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foshr-my.sharepoint.com/personal/krpic_etfos_hr/Documents/Istraživanje/1. SBCC/Results/"/>
    </mc:Choice>
  </mc:AlternateContent>
  <xr:revisionPtr revIDLastSave="138" documentId="13_ncr:1_{E3DDC1E6-FC02-40A0-A688-BA4C2E408BE2}" xr6:coauthVersionLast="47" xr6:coauthVersionMax="47" xr10:uidLastSave="{5ECA0600-B839-480B-8159-02A7238F0E06}"/>
  <bookViews>
    <workbookView xWindow="-120" yWindow="-120" windowWidth="38640" windowHeight="21390" activeTab="8" xr2:uid="{A2AD9453-B2DD-442A-8FF6-DE56922957DD}"/>
  </bookViews>
  <sheets>
    <sheet name="Arch details" sheetId="6" r:id="rId1"/>
    <sheet name="HPL_Builds" sheetId="8" r:id="rId2"/>
    <sheet name="ATLAS builds" sheetId="9" r:id="rId3"/>
    <sheet name="HPL 4 nodes, builds" sheetId="12" r:id="rId4"/>
    <sheet name="1 node, params, RAW" sheetId="15" r:id="rId5"/>
    <sheet name="4 node, params, RAW" sheetId="14" r:id="rId6"/>
    <sheet name="1 node, params" sheetId="16" r:id="rId7"/>
    <sheet name="4 node, params" sheetId="17" r:id="rId8"/>
    <sheet name="Scalability analysis" sheetId="1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6" i="18" l="1"/>
  <c r="AY26" i="18"/>
  <c r="BA25" i="18"/>
  <c r="AY25" i="18"/>
  <c r="BA24" i="18"/>
  <c r="AY24" i="18"/>
  <c r="BA23" i="18"/>
  <c r="AY23" i="18"/>
  <c r="BA22" i="18"/>
  <c r="AY22" i="18"/>
  <c r="BA21" i="18"/>
  <c r="AY21" i="18"/>
  <c r="BA20" i="18"/>
  <c r="AY20" i="18"/>
  <c r="BA19" i="18"/>
  <c r="AY19" i="18"/>
  <c r="BA18" i="18"/>
  <c r="AY18" i="18"/>
  <c r="BA17" i="18"/>
  <c r="AY17" i="18"/>
  <c r="BA16" i="18"/>
  <c r="AY16" i="18"/>
  <c r="BA15" i="18"/>
  <c r="AY15" i="18"/>
  <c r="BA14" i="18"/>
  <c r="AY14" i="18"/>
  <c r="BA13" i="18"/>
  <c r="AY13" i="18"/>
  <c r="BA12" i="18"/>
  <c r="AY12" i="18"/>
  <c r="BA11" i="18"/>
  <c r="AY11" i="18"/>
  <c r="BA10" i="18"/>
  <c r="AY10" i="18"/>
  <c r="BA9" i="18"/>
  <c r="AY9" i="18"/>
  <c r="BA8" i="18"/>
  <c r="AY8" i="18"/>
  <c r="BA7" i="18"/>
  <c r="AY7" i="18"/>
  <c r="BA6" i="18"/>
  <c r="AY6" i="18"/>
  <c r="BA5" i="18"/>
  <c r="AY5" i="18"/>
  <c r="BA4" i="18"/>
  <c r="AY4" i="18"/>
  <c r="BA3" i="18"/>
  <c r="AY3" i="18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U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4" i="16"/>
  <c r="AC5" i="17"/>
  <c r="AC6" i="17"/>
  <c r="AC7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38" i="17"/>
  <c r="AC39" i="17"/>
  <c r="AC40" i="17"/>
  <c r="AC41" i="17"/>
  <c r="AC42" i="17"/>
  <c r="AC43" i="17"/>
  <c r="AC44" i="17"/>
  <c r="AC45" i="17"/>
  <c r="AC46" i="17"/>
  <c r="AC47" i="17"/>
  <c r="AC48" i="17"/>
  <c r="AC49" i="17"/>
  <c r="AC50" i="17"/>
  <c r="AC51" i="17"/>
  <c r="AC52" i="17"/>
  <c r="AC53" i="17"/>
  <c r="AC54" i="17"/>
  <c r="AC55" i="17"/>
  <c r="AC56" i="17"/>
  <c r="AC57" i="17"/>
  <c r="AC58" i="17"/>
  <c r="AC59" i="17"/>
  <c r="AC60" i="17"/>
  <c r="AC61" i="17"/>
  <c r="AC62" i="17"/>
  <c r="AC63" i="17"/>
  <c r="AC64" i="17"/>
  <c r="AC65" i="17"/>
  <c r="AC66" i="17"/>
  <c r="AC67" i="17"/>
  <c r="AC68" i="17"/>
  <c r="AC69" i="17"/>
  <c r="AC70" i="17"/>
  <c r="AC71" i="17"/>
  <c r="AC72" i="17"/>
  <c r="AC73" i="17"/>
  <c r="AC74" i="17"/>
  <c r="AC75" i="17"/>
  <c r="AC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4" i="17"/>
  <c r="L3" i="9"/>
  <c r="L4" i="9"/>
  <c r="L5" i="9"/>
  <c r="L6" i="9"/>
  <c r="L7" i="9"/>
  <c r="L8" i="9"/>
  <c r="L9" i="9"/>
  <c r="L2" i="9"/>
  <c r="X34" i="12"/>
  <c r="X35" i="12" s="1"/>
  <c r="X36" i="12" s="1"/>
  <c r="X37" i="12" s="1"/>
  <c r="X38" i="12" s="1"/>
  <c r="X39" i="12"/>
  <c r="X40" i="12"/>
  <c r="X41" i="12" s="1"/>
  <c r="X42" i="12" s="1"/>
  <c r="X43" i="12" s="1"/>
  <c r="X9" i="12"/>
  <c r="X10" i="12" s="1"/>
  <c r="X11" i="12" s="1"/>
  <c r="X12" i="12" s="1"/>
  <c r="X13" i="12" s="1"/>
  <c r="X29" i="12"/>
  <c r="X30" i="12" s="1"/>
  <c r="X31" i="12" s="1"/>
  <c r="X32" i="12" s="1"/>
  <c r="X33" i="12" s="1"/>
  <c r="X19" i="12"/>
  <c r="X20" i="12" s="1"/>
  <c r="X21" i="12" s="1"/>
  <c r="X22" i="12" s="1"/>
  <c r="X23" i="12" s="1"/>
  <c r="X4" i="12"/>
  <c r="X5" i="12" s="1"/>
  <c r="X6" i="12" s="1"/>
  <c r="X7" i="12" s="1"/>
  <c r="X8" i="12" s="1"/>
  <c r="X24" i="12"/>
  <c r="X25" i="12" s="1"/>
  <c r="X26" i="12" s="1"/>
  <c r="X27" i="12" s="1"/>
  <c r="X28" i="12" s="1"/>
  <c r="G4" i="16" l="1" a="1"/>
  <c r="G4" i="16" s="1"/>
  <c r="A4" i="16" a="1"/>
  <c r="A4" i="16" s="1"/>
  <c r="N124" i="15"/>
  <c r="N109" i="15"/>
  <c r="N79" i="15"/>
  <c r="N64" i="15"/>
  <c r="N49" i="15"/>
  <c r="N19" i="15"/>
  <c r="N4" i="15"/>
  <c r="AC184" i="15"/>
  <c r="AC64" i="15"/>
  <c r="AC14" i="15"/>
  <c r="R2" i="15"/>
  <c r="AC239" i="15"/>
  <c r="N239" i="15"/>
  <c r="AC234" i="15"/>
  <c r="N234" i="15"/>
  <c r="AC229" i="15"/>
  <c r="N229" i="15"/>
  <c r="AC224" i="15"/>
  <c r="N224" i="15"/>
  <c r="AC219" i="15"/>
  <c r="N219" i="15"/>
  <c r="AC214" i="15"/>
  <c r="N214" i="15"/>
  <c r="AC209" i="15"/>
  <c r="N209" i="15"/>
  <c r="AC204" i="15"/>
  <c r="N204" i="15"/>
  <c r="AC199" i="15"/>
  <c r="N199" i="15"/>
  <c r="AC194" i="15"/>
  <c r="N194" i="15"/>
  <c r="AC189" i="15"/>
  <c r="N189" i="15"/>
  <c r="N184" i="15"/>
  <c r="AC179" i="15"/>
  <c r="N179" i="15"/>
  <c r="AC174" i="15"/>
  <c r="N174" i="15"/>
  <c r="AC169" i="15"/>
  <c r="N169" i="15"/>
  <c r="AC164" i="15"/>
  <c r="N164" i="15"/>
  <c r="AC159" i="15"/>
  <c r="N159" i="15"/>
  <c r="AC154" i="15"/>
  <c r="N154" i="15"/>
  <c r="AC149" i="15"/>
  <c r="N149" i="15"/>
  <c r="AC144" i="15"/>
  <c r="N144" i="15"/>
  <c r="AC139" i="15"/>
  <c r="N139" i="15"/>
  <c r="AC134" i="15"/>
  <c r="N134" i="15"/>
  <c r="AC129" i="15"/>
  <c r="N129" i="15"/>
  <c r="AC119" i="15"/>
  <c r="N119" i="15"/>
  <c r="AC114" i="15"/>
  <c r="N114" i="15"/>
  <c r="AC109" i="15"/>
  <c r="AC104" i="15"/>
  <c r="N104" i="15"/>
  <c r="AC99" i="15"/>
  <c r="N99" i="15"/>
  <c r="AC94" i="15"/>
  <c r="N94" i="15"/>
  <c r="AC89" i="15"/>
  <c r="N89" i="15"/>
  <c r="AC84" i="15"/>
  <c r="N84" i="15"/>
  <c r="AC79" i="15"/>
  <c r="AC74" i="15"/>
  <c r="N74" i="15"/>
  <c r="AC69" i="15"/>
  <c r="N69" i="15"/>
  <c r="AC59" i="15"/>
  <c r="N59" i="15"/>
  <c r="AC54" i="15"/>
  <c r="N54" i="15"/>
  <c r="AC49" i="15"/>
  <c r="AC44" i="15"/>
  <c r="N44" i="15"/>
  <c r="AC39" i="15"/>
  <c r="N39" i="15"/>
  <c r="AC34" i="15"/>
  <c r="N34" i="15"/>
  <c r="AC29" i="15"/>
  <c r="N29" i="15"/>
  <c r="AC24" i="15"/>
  <c r="N24" i="15"/>
  <c r="AC19" i="15"/>
  <c r="N14" i="15"/>
  <c r="AC9" i="15"/>
  <c r="N9" i="15"/>
  <c r="C2" i="15"/>
  <c r="D2" i="12"/>
  <c r="W9" i="14"/>
  <c r="W14" i="14"/>
  <c r="W19" i="14"/>
  <c r="W24" i="14"/>
  <c r="W29" i="14"/>
  <c r="W34" i="14"/>
  <c r="W39" i="14"/>
  <c r="W44" i="14"/>
  <c r="W49" i="14"/>
  <c r="W54" i="14"/>
  <c r="W59" i="14"/>
  <c r="W64" i="14"/>
  <c r="W69" i="14"/>
  <c r="W74" i="14"/>
  <c r="W79" i="14"/>
  <c r="W84" i="14"/>
  <c r="W89" i="14"/>
  <c r="W94" i="14"/>
  <c r="W99" i="14"/>
  <c r="W104" i="14"/>
  <c r="W109" i="14"/>
  <c r="W114" i="14"/>
  <c r="W119" i="14"/>
  <c r="W124" i="14"/>
  <c r="W129" i="14"/>
  <c r="W134" i="14"/>
  <c r="W139" i="14"/>
  <c r="W144" i="14"/>
  <c r="W149" i="14"/>
  <c r="W154" i="14"/>
  <c r="W159" i="14"/>
  <c r="W164" i="14"/>
  <c r="W169" i="14"/>
  <c r="W174" i="14"/>
  <c r="W179" i="14"/>
  <c r="W184" i="14"/>
  <c r="W189" i="14"/>
  <c r="W194" i="14"/>
  <c r="W199" i="14"/>
  <c r="W204" i="14"/>
  <c r="W209" i="14"/>
  <c r="W214" i="14"/>
  <c r="W219" i="14"/>
  <c r="W224" i="14"/>
  <c r="W229" i="14"/>
  <c r="W234" i="14"/>
  <c r="W239" i="14"/>
  <c r="W244" i="14"/>
  <c r="W249" i="14"/>
  <c r="W254" i="14"/>
  <c r="W259" i="14"/>
  <c r="W264" i="14"/>
  <c r="W269" i="14"/>
  <c r="W274" i="14"/>
  <c r="W279" i="14"/>
  <c r="W284" i="14"/>
  <c r="W289" i="14"/>
  <c r="W294" i="14"/>
  <c r="W299" i="14"/>
  <c r="W304" i="14"/>
  <c r="W309" i="14"/>
  <c r="W314" i="14"/>
  <c r="W319" i="14"/>
  <c r="W324" i="14"/>
  <c r="W329" i="14"/>
  <c r="W334" i="14"/>
  <c r="W339" i="14"/>
  <c r="W344" i="14"/>
  <c r="W349" i="14"/>
  <c r="W354" i="14"/>
  <c r="W359" i="14"/>
  <c r="W4" i="14"/>
  <c r="A4" i="17" s="1" a="1"/>
  <c r="A4" i="17" s="1"/>
  <c r="C2" i="14"/>
  <c r="AA2" i="14"/>
  <c r="AU9" i="14"/>
  <c r="AU14" i="14"/>
  <c r="AU19" i="14"/>
  <c r="AU24" i="14"/>
  <c r="AU29" i="14"/>
  <c r="AU34" i="14"/>
  <c r="AU39" i="14"/>
  <c r="AU44" i="14"/>
  <c r="AU49" i="14"/>
  <c r="AU54" i="14"/>
  <c r="AU59" i="14"/>
  <c r="AU64" i="14"/>
  <c r="AU69" i="14"/>
  <c r="AU74" i="14"/>
  <c r="AU79" i="14"/>
  <c r="AU84" i="14"/>
  <c r="AU89" i="14"/>
  <c r="AU94" i="14"/>
  <c r="AU99" i="14"/>
  <c r="AU104" i="14"/>
  <c r="AU109" i="14"/>
  <c r="AU114" i="14"/>
  <c r="AU119" i="14"/>
  <c r="AU124" i="14"/>
  <c r="AU129" i="14"/>
  <c r="AU134" i="14"/>
  <c r="AU139" i="14"/>
  <c r="AU144" i="14"/>
  <c r="AU149" i="14"/>
  <c r="AU154" i="14"/>
  <c r="AU159" i="14"/>
  <c r="AU164" i="14"/>
  <c r="AU169" i="14"/>
  <c r="AU174" i="14"/>
  <c r="AU179" i="14"/>
  <c r="AU184" i="14"/>
  <c r="AU189" i="14"/>
  <c r="AU194" i="14"/>
  <c r="AU199" i="14"/>
  <c r="AU204" i="14"/>
  <c r="AU209" i="14"/>
  <c r="AU214" i="14"/>
  <c r="AU219" i="14"/>
  <c r="AU224" i="14"/>
  <c r="AU229" i="14"/>
  <c r="AU234" i="14"/>
  <c r="AU239" i="14"/>
  <c r="AU244" i="14"/>
  <c r="AU249" i="14"/>
  <c r="AU254" i="14"/>
  <c r="AU259" i="14"/>
  <c r="AU264" i="14"/>
  <c r="AU269" i="14"/>
  <c r="AU274" i="14"/>
  <c r="AU279" i="14"/>
  <c r="AU284" i="14"/>
  <c r="AU289" i="14"/>
  <c r="AU294" i="14"/>
  <c r="AU299" i="14"/>
  <c r="AU304" i="14"/>
  <c r="AU309" i="14"/>
  <c r="AU314" i="14"/>
  <c r="AU319" i="14"/>
  <c r="AU324" i="14"/>
  <c r="AU329" i="14"/>
  <c r="AU334" i="14"/>
  <c r="AU339" i="14"/>
  <c r="AU344" i="14"/>
  <c r="AU349" i="14"/>
  <c r="AU354" i="14"/>
  <c r="AU359" i="14"/>
  <c r="AU4" i="14"/>
  <c r="G4" i="17" l="1" a="1"/>
  <c r="H1" i="14"/>
  <c r="G1" i="14"/>
  <c r="F1" i="14"/>
  <c r="I1" i="14"/>
  <c r="E2" i="16"/>
  <c r="D2" i="16"/>
  <c r="C2" i="16"/>
  <c r="B2" i="16"/>
  <c r="A2" i="16"/>
  <c r="K2" i="16"/>
  <c r="J2" i="16"/>
  <c r="I2" i="16"/>
  <c r="H2" i="16"/>
  <c r="G2" i="16"/>
  <c r="B2" i="17"/>
  <c r="A2" i="17"/>
  <c r="D2" i="17"/>
  <c r="E2" i="17"/>
  <c r="C2" i="17"/>
  <c r="AC4" i="15"/>
  <c r="V1" i="15" s="1"/>
  <c r="AC124" i="15"/>
  <c r="G1" i="15"/>
  <c r="H1" i="15"/>
  <c r="F1" i="15"/>
  <c r="E1" i="15"/>
  <c r="I1" i="15"/>
  <c r="E1" i="14"/>
  <c r="AC1" i="14"/>
  <c r="AE1" i="14"/>
  <c r="AF1" i="14"/>
  <c r="AD1" i="14"/>
  <c r="AG1" i="14"/>
  <c r="X14" i="12"/>
  <c r="G4" i="17" l="1"/>
  <c r="S12" i="17"/>
  <c r="S24" i="17"/>
  <c r="S36" i="17"/>
  <c r="S48" i="17"/>
  <c r="S60" i="17"/>
  <c r="S72" i="17"/>
  <c r="S13" i="17"/>
  <c r="S25" i="17"/>
  <c r="S37" i="17"/>
  <c r="S49" i="17"/>
  <c r="S61" i="17"/>
  <c r="S73" i="17"/>
  <c r="S53" i="17"/>
  <c r="S18" i="17"/>
  <c r="S66" i="17"/>
  <c r="S31" i="17"/>
  <c r="S69" i="17"/>
  <c r="S47" i="17"/>
  <c r="S14" i="17"/>
  <c r="S26" i="17"/>
  <c r="S38" i="17"/>
  <c r="S50" i="17"/>
  <c r="S62" i="17"/>
  <c r="S74" i="17"/>
  <c r="S27" i="17"/>
  <c r="S39" i="17"/>
  <c r="S51" i="17"/>
  <c r="S63" i="17"/>
  <c r="S75" i="17"/>
  <c r="S64" i="17"/>
  <c r="S29" i="17"/>
  <c r="S65" i="17"/>
  <c r="S42" i="17"/>
  <c r="S43" i="17"/>
  <c r="S67" i="17"/>
  <c r="S57" i="17"/>
  <c r="S22" i="17"/>
  <c r="S11" i="17"/>
  <c r="S15" i="17"/>
  <c r="S16" i="17"/>
  <c r="S28" i="17"/>
  <c r="S40" i="17"/>
  <c r="S52" i="17"/>
  <c r="S4" i="17"/>
  <c r="S17" i="17"/>
  <c r="S41" i="17"/>
  <c r="S30" i="17"/>
  <c r="S54" i="17"/>
  <c r="S19" i="17"/>
  <c r="S9" i="17"/>
  <c r="S59" i="17"/>
  <c r="S5" i="17"/>
  <c r="S33" i="17"/>
  <c r="S46" i="17"/>
  <c r="S35" i="17"/>
  <c r="S6" i="17"/>
  <c r="S21" i="17"/>
  <c r="S58" i="17"/>
  <c r="S23" i="17"/>
  <c r="S7" i="17"/>
  <c r="S55" i="17"/>
  <c r="S34" i="17"/>
  <c r="S71" i="17"/>
  <c r="S8" i="17"/>
  <c r="S20" i="17"/>
  <c r="S32" i="17"/>
  <c r="S44" i="17"/>
  <c r="S56" i="17"/>
  <c r="S68" i="17"/>
  <c r="S45" i="17"/>
  <c r="S10" i="17"/>
  <c r="S70" i="17"/>
  <c r="X15" i="12"/>
  <c r="X16" i="12" s="1"/>
  <c r="X17" i="12" s="1"/>
  <c r="X18" i="12" s="1"/>
  <c r="J1" i="12"/>
  <c r="I1" i="12"/>
  <c r="G1" i="12"/>
  <c r="F1" i="12"/>
  <c r="B1" i="12"/>
  <c r="H1" i="12"/>
  <c r="K2" i="17"/>
  <c r="G2" i="17"/>
  <c r="I2" i="17"/>
  <c r="J2" i="17"/>
  <c r="H2" i="17"/>
  <c r="W1" i="15"/>
  <c r="U1" i="15"/>
  <c r="T1" i="15"/>
  <c r="X1" i="15"/>
  <c r="H14" i="6"/>
  <c r="I14" i="6" s="1"/>
  <c r="F14" i="6"/>
  <c r="G14" i="6" s="1"/>
  <c r="O14" i="6" s="1"/>
  <c r="H13" i="6"/>
  <c r="I13" i="6" s="1"/>
  <c r="F13" i="6"/>
  <c r="G13" i="6" s="1"/>
  <c r="O13" i="6" s="1"/>
  <c r="S76" i="17" l="1"/>
  <c r="M13" i="6"/>
  <c r="N13" i="6" s="1"/>
  <c r="P13" i="6" s="1"/>
  <c r="Q13" i="6" s="1"/>
  <c r="M14" i="6"/>
  <c r="N14" i="6" s="1"/>
  <c r="P14" i="6" s="1"/>
  <c r="Q1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<sst xmlns="http://schemas.openxmlformats.org/spreadsheetml/2006/main" count="1607" uniqueCount="115">
  <si>
    <t>Cubieboard2</t>
  </si>
  <si>
    <t>N</t>
  </si>
  <si>
    <t>NB</t>
  </si>
  <si>
    <t>P</t>
  </si>
  <si>
    <t>Q</t>
  </si>
  <si>
    <t>Time</t>
  </si>
  <si>
    <t>GFLOPS</t>
  </si>
  <si>
    <t>WR00L2L2</t>
  </si>
  <si>
    <t>SBC</t>
  </si>
  <si>
    <t>Cores</t>
  </si>
  <si>
    <t>march</t>
  </si>
  <si>
    <t>mcpu</t>
  </si>
  <si>
    <t>mtune</t>
  </si>
  <si>
    <t>fpu</t>
  </si>
  <si>
    <t>mfloat-abi</t>
  </si>
  <si>
    <t>ostalo</t>
  </si>
  <si>
    <t>ostalo (Thumb)</t>
  </si>
  <si>
    <t>Rpi 1B</t>
  </si>
  <si>
    <t>armv6</t>
  </si>
  <si>
    <t>arm1176jzf-s</t>
  </si>
  <si>
    <t>vfpv2 (alias is vfp)</t>
  </si>
  <si>
    <t>hard</t>
  </si>
  <si>
    <t>Thumb</t>
  </si>
  <si>
    <t>16KB L1 and no L2</t>
  </si>
  <si>
    <t>armv7-a</t>
  </si>
  <si>
    <t>cortex-a7</t>
  </si>
  <si>
    <t>neon-vfpv4</t>
  </si>
  <si>
    <t>-funsafe-math-optimizations</t>
  </si>
  <si>
    <t>Thumb-2</t>
  </si>
  <si>
    <t>OdroidU3</t>
  </si>
  <si>
    <t>cortex-a9</t>
  </si>
  <si>
    <t>neon-vfpv3 (alias is neon)</t>
  </si>
  <si>
    <t>Thumb or Thumb-2</t>
  </si>
  <si>
    <t>1MB L2 cache total? From paper…</t>
  </si>
  <si>
    <t>OdroidMC1</t>
  </si>
  <si>
    <t>LITTLE</t>
  </si>
  <si>
    <t>2 sockets, 2,5MB L2 cache per socket</t>
  </si>
  <si>
    <t>Big</t>
  </si>
  <si>
    <t>cortex-a15</t>
  </si>
  <si>
    <t>Raspberry Pi 1B</t>
  </si>
  <si>
    <t>Flags used for building ATLAS</t>
  </si>
  <si>
    <t>Flags used for flagsearching - mandatory</t>
  </si>
  <si>
    <t>Flags used for building HPL</t>
  </si>
  <si>
    <t>Machine setup for building HPL</t>
  </si>
  <si>
    <t>Ran?</t>
  </si>
  <si>
    <t>NOTE</t>
  </si>
  <si>
    <t>HPL Runs (fixed parameters)</t>
  </si>
  <si>
    <t>Node</t>
  </si>
  <si>
    <t>Total memory of a node (kB)</t>
  </si>
  <si>
    <t>N, alpha</t>
  </si>
  <si>
    <t>N, alpha (NB round)</t>
  </si>
  <si>
    <t>N, beta</t>
  </si>
  <si>
    <t>N, beta (NB round)</t>
  </si>
  <si>
    <t>Ns difference</t>
  </si>
  <si>
    <t>Half of the Ns difference</t>
  </si>
  <si>
    <t>N1</t>
  </si>
  <si>
    <t>N2</t>
  </si>
  <si>
    <t>N3</t>
  </si>
  <si>
    <t>Number of nodes</t>
  </si>
  <si>
    <t>Percentage of mem</t>
  </si>
  <si>
    <t>atlarch</t>
  </si>
  <si>
    <t>cpu-tune</t>
  </si>
  <si>
    <t>arch-native-tune</t>
  </si>
  <si>
    <t>cpu-tune-overr</t>
  </si>
  <si>
    <t>Flags used for building</t>
  </si>
  <si>
    <t>Flags used for flagsearching - optional</t>
  </si>
  <si>
    <t>Machine originally
built on</t>
  </si>
  <si>
    <t>Needs
flagsearching</t>
  </si>
  <si>
    <t>Flagsearched (d)</t>
  </si>
  <si>
    <t>Flagsearched (s)
No need! HPL uses only double precision! See ATLAS install manual</t>
  </si>
  <si>
    <t>Flagsearched (Td)</t>
  </si>
  <si>
    <t>Kernel</t>
  </si>
  <si>
    <t>TODO</t>
  </si>
  <si>
    <t>-D c -DWALL -b 32 -A ARMa9</t>
  </si>
  <si>
    <t>-mcpu=cortex-a9 -fno-schedule-insns -fno-schedule-insns2</t>
  </si>
  <si>
    <t>-D c -DWALL -b 32 -Fa al "-mcpu=native -mfloat-abi=hard -mfpu=neon-vfpv3"</t>
  </si>
  <si>
    <t>-D c -DWALL -b 32 -Fa al "-march=native -mtune=cortex-a9 -mfloat-abi=hard -mfpu=neon-vfpv3"</t>
  </si>
  <si>
    <t>Should not work since we have overriden the VFP with the more advanced one</t>
  </si>
  <si>
    <t>-mcpu=native
-mcpu=cortex-a9
-march=native
-mtune=cortex-a9
-mfloat-abi=hard
-mfpu=neon-vfpv3</t>
  </si>
  <si>
    <t>-mcpu=native -mfloat-abi=hard -mfpu=neon-vfpv3</t>
  </si>
  <si>
    <t>-march=native -mtune=cortex-a9 -mfloat-abi=hard -mfpu=neon-vfpv3</t>
  </si>
  <si>
    <t>atlarch-flags</t>
  </si>
  <si>
    <t>cpu-tune-flags</t>
  </si>
  <si>
    <t>arch-native-tune-flags</t>
  </si>
  <si>
    <t>cpu-tune-overr-flags</t>
  </si>
  <si>
    <t>RUN</t>
  </si>
  <si>
    <t>OpenBLAS</t>
  </si>
  <si>
    <t>Date</t>
  </si>
  <si>
    <t>Odroid01 throttling time [1/100s]</t>
  </si>
  <si>
    <t>Odroid02 throttling time [1/100s]</t>
  </si>
  <si>
    <t>Odroid03 throttling time [1/100s]</t>
  </si>
  <si>
    <t>Odroid04 throttling time [1/100s]</t>
  </si>
  <si>
    <t>Max avg. GFLOPS (and params):</t>
  </si>
  <si>
    <t>MAX GFLOPS:</t>
  </si>
  <si>
    <t>1400MHz</t>
  </si>
  <si>
    <t>1500MHz</t>
  </si>
  <si>
    <t>1600MHz</t>
  </si>
  <si>
    <t>ATLAS (cpu-tune-overr-flags)</t>
  </si>
  <si>
    <t>Build</t>
  </si>
  <si>
    <t>Average GFLOP/s</t>
  </si>
  <si>
    <t>ATLAS</t>
  </si>
  <si>
    <t>-D c -DWALL -b 32 -F al "-mcpu=native -mfloat-abi=hard -mfpu=neon-vfpv3"</t>
  </si>
  <si>
    <t>-D c -DWALL -b 32  -Fa alg "-O3 -mcpu=cortex-a9 -fno-schedule-insns -fno-schedule-insns2 -fschedule-insns2 -mfpu=neon-vfpv3 -frename-registers -fno-tree-fre -fno-ivopts"</t>
  </si>
  <si>
    <t>-D c -DWALL -b 32  -Fa alg "-O3 -mcpu=native -mfloat-abi=hard -mfpu=neon-vfpv3 -fno-schedule-insns -frename-registers -fno-tree-fre -fno-ivopts"</t>
  </si>
  <si>
    <t>-D c -DWALL -b 32  -Fa alg "-O3 -march=native -mtune=cortex-a9 -mfloat-abi=hard -mfpu=neon-vfpv3 -fno-schedule-insns -frename-registers -fno-tree-fre -fno-ivopts"</t>
  </si>
  <si>
    <t>-D c -DWALL -b 32  -F alg "-O3 -mcpu=native -mfloat-abi=hard -mfpu=neon-vfpv3 -fno-schedule-insns -frename-registers -fno-tree-fre"</t>
  </si>
  <si>
    <t>Ponovljeno po jedno mjerenje s OMP modifikacijama - još gore</t>
  </si>
  <si>
    <t>Gflops</t>
  </si>
  <si>
    <t>N (rounded)</t>
  </si>
  <si>
    <t>Column1</t>
  </si>
  <si>
    <t>ATLAS speedup</t>
  </si>
  <si>
    <t>OpenBLAS speedup</t>
  </si>
  <si>
    <t>N(beta)</t>
  </si>
  <si>
    <t>N(mid)</t>
  </si>
  <si>
    <t>N(alpha)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</si>
</sst>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[$-F400]h:mm:ss\ AM/PM"/>
    <numFmt numFmtId="167" formatCode="0.00000"/>
    <numFmt numFmtId="168" formatCode="0.0%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164" fontId="1" fillId="0" borderId="0" xfId="0" quotePrefix="1" applyNumberFormat="1" applyFont="1"/>
    <xf numFmtId="164" fontId="0" fillId="0" borderId="0" xfId="0" quotePrefix="1" applyNumberFormat="1"/>
    <xf numFmtId="0" fontId="6" fillId="0" borderId="0" xfId="0" applyFont="1"/>
    <xf numFmtId="14" fontId="6" fillId="0" borderId="0" xfId="0" applyNumberFormat="1" applyFont="1"/>
    <xf numFmtId="21" fontId="6" fillId="0" borderId="0" xfId="0" applyNumberFormat="1" applyFont="1"/>
    <xf numFmtId="1" fontId="0" fillId="0" borderId="0" xfId="0" applyNumberFormat="1"/>
    <xf numFmtId="14" fontId="1" fillId="0" borderId="0" xfId="0" applyNumberFormat="1" applyFont="1" applyAlignment="1">
      <alignment horizontal="center" vertical="center"/>
    </xf>
    <xf numFmtId="166" fontId="0" fillId="0" borderId="0" xfId="0" applyNumberFormat="1"/>
    <xf numFmtId="166" fontId="1" fillId="0" borderId="0" xfId="0" applyNumberFormat="1" applyFont="1"/>
    <xf numFmtId="166" fontId="0" fillId="0" borderId="0" xfId="0" quotePrefix="1" applyNumberFormat="1"/>
    <xf numFmtId="0" fontId="1" fillId="0" borderId="1" xfId="0" applyFont="1" applyBorder="1" applyAlignment="1">
      <alignment horizontal="left" vertical="center"/>
    </xf>
    <xf numFmtId="167" fontId="7" fillId="0" borderId="1" xfId="0" applyNumberFormat="1" applyFont="1" applyBorder="1"/>
    <xf numFmtId="1" fontId="1" fillId="0" borderId="1" xfId="0" applyNumberFormat="1" applyFont="1" applyBorder="1"/>
    <xf numFmtId="166" fontId="0" fillId="0" borderId="1" xfId="0" applyNumberFormat="1" applyBorder="1"/>
    <xf numFmtId="165" fontId="3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6" fillId="0" borderId="0" xfId="0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1" fillId="0" borderId="1" xfId="0" applyNumberFormat="1" applyFont="1" applyBorder="1"/>
    <xf numFmtId="164" fontId="0" fillId="0" borderId="1" xfId="0" applyNumberFormat="1" applyBorder="1"/>
    <xf numFmtId="164" fontId="6" fillId="0" borderId="0" xfId="0" quotePrefix="1" applyNumberFormat="1" applyFont="1" applyAlignment="1">
      <alignment horizontal="right"/>
    </xf>
    <xf numFmtId="164" fontId="0" fillId="0" borderId="0" xfId="0" quotePrefix="1" applyNumberFormat="1" applyAlignment="1">
      <alignment horizontal="right"/>
    </xf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65" fontId="7" fillId="0" borderId="1" xfId="0" applyNumberFormat="1" applyFont="1" applyBorder="1"/>
    <xf numFmtId="165" fontId="0" fillId="0" borderId="0" xfId="0" applyNumberFormat="1"/>
    <xf numFmtId="167" fontId="1" fillId="0" borderId="1" xfId="0" applyNumberFormat="1" applyFont="1" applyBorder="1"/>
    <xf numFmtId="167" fontId="0" fillId="0" borderId="0" xfId="0" applyNumberFormat="1"/>
    <xf numFmtId="165" fontId="1" fillId="0" borderId="0" xfId="0" applyNumberFormat="1" applyFont="1"/>
    <xf numFmtId="165" fontId="1" fillId="0" borderId="0" xfId="0" quotePrefix="1" applyNumberFormat="1" applyFont="1"/>
    <xf numFmtId="165" fontId="0" fillId="0" borderId="0" xfId="0" quotePrefix="1" applyNumberFormat="1"/>
    <xf numFmtId="168" fontId="0" fillId="0" borderId="0" xfId="1" applyNumberFormat="1" applyFont="1"/>
    <xf numFmtId="164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5C334-5E27-4901-AB95-7DFC65A52599}" name="Table1" displayName="Table1" ref="A2:E74" totalsRowShown="0">
  <autoFilter ref="A2:E74" xr:uid="{5735C334-5E27-4901-AB95-7DFC65A52599}"/>
  <sortState xmlns:xlrd2="http://schemas.microsoft.com/office/spreadsheetml/2017/richdata2" ref="A3:E74">
    <sortCondition ref="C3:C74"/>
    <sortCondition descending="1" ref="A3:A74"/>
    <sortCondition ref="B3:B74"/>
  </sortState>
  <tableColumns count="5">
    <tableColumn id="1" xr3:uid="{0ABA392A-7F35-483A-AE5B-754F223BA471}" name="N (rounded)"/>
    <tableColumn id="2" xr3:uid="{5F9100EA-8281-4D28-AA4E-E6791327E7DD}" name="NB"/>
    <tableColumn id="3" xr3:uid="{3C9108D6-11EB-4E79-AF12-19D79A348A71}" name="P"/>
    <tableColumn id="4" xr3:uid="{DCCB025C-E19A-4B12-94A8-FC47154B34A2}" name="Q"/>
    <tableColumn id="5" xr3:uid="{4854C935-C22B-42EE-AC7B-2D4D5432C2A6}" name="Average GFLOP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C334F-AAEF-4ABA-80D2-44C0F1606CA7}" name="Table2" displayName="Table2" ref="G2:K74" totalsRowShown="0">
  <autoFilter ref="G2:K74" xr:uid="{7BDC334F-AAEF-4ABA-80D2-44C0F1606CA7}"/>
  <sortState xmlns:xlrd2="http://schemas.microsoft.com/office/spreadsheetml/2017/richdata2" ref="G3:K74">
    <sortCondition ref="I3:I74"/>
    <sortCondition descending="1" ref="G3:G74"/>
    <sortCondition ref="H3:H74"/>
  </sortState>
  <tableColumns count="5">
    <tableColumn id="1" xr3:uid="{54782DA0-A2C8-422D-8177-E31BC6AEF7FE}" name="N (rounded)"/>
    <tableColumn id="2" xr3:uid="{F7DF76B4-9F54-4C88-AF70-5F85C6A4B8C3}" name="NB"/>
    <tableColumn id="3" xr3:uid="{2DAD965D-84A1-4FC0-A873-250793347315}" name="P"/>
    <tableColumn id="4" xr3:uid="{34818420-D5C5-463A-985F-91A8E0FBF7F3}" name="Q"/>
    <tableColumn id="5" xr3:uid="{99134EA1-EABD-4A29-AAC3-7C8B0D14518B}" name="Average GFLOP/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9E4177-6073-4877-ABE8-31550B77528B}" name="Table3" displayName="Table3" ref="M2:Q50" totalsRowShown="0">
  <autoFilter ref="M2:Q50" xr:uid="{6F9E4177-6073-4877-ABE8-31550B77528B}"/>
  <sortState xmlns:xlrd2="http://schemas.microsoft.com/office/spreadsheetml/2017/richdata2" ref="M3:Q50">
    <sortCondition ref="O3:O50"/>
    <sortCondition descending="1" ref="M3:M50"/>
    <sortCondition ref="N3:N50"/>
  </sortState>
  <tableColumns count="5">
    <tableColumn id="1" xr3:uid="{F254E68E-5FF7-46E3-8700-7EC962C7F383}" name="Column1"/>
    <tableColumn id="2" xr3:uid="{1647C1D4-0971-48B3-AF75-5EFC8B2592EF}" name="NB"/>
    <tableColumn id="3" xr3:uid="{A5067CF5-601D-498C-A155-A23031094137}" name="P"/>
    <tableColumn id="4" xr3:uid="{479E78CE-E113-41A2-8936-0DAA3E95093B}" name="Q"/>
    <tableColumn id="5" xr3:uid="{C921DDD6-91B8-4CBD-841A-419769B3EFB7}" name="Average GFLOP/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C52321-C464-432D-BBBF-A9396B609B2C}" name="Table4" displayName="Table4" ref="S2:W50" totalsRowShown="0">
  <autoFilter ref="S2:W50" xr:uid="{48C52321-C464-432D-BBBF-A9396B609B2C}"/>
  <sortState xmlns:xlrd2="http://schemas.microsoft.com/office/spreadsheetml/2017/richdata2" ref="S3:W50">
    <sortCondition ref="U3:U50"/>
    <sortCondition descending="1" ref="S3:S50"/>
    <sortCondition ref="T3:T50"/>
  </sortState>
  <tableColumns count="5">
    <tableColumn id="1" xr3:uid="{E7144846-E1A7-44B2-8A04-BF0B633EF181}" name="Column1"/>
    <tableColumn id="2" xr3:uid="{6D00D747-7524-4855-8384-8D870E8E7313}" name="NB"/>
    <tableColumn id="3" xr3:uid="{371D7713-E3DA-447B-AE05-26C7DF392946}" name="P"/>
    <tableColumn id="4" xr3:uid="{9AD8A18B-B0BA-4F73-97BE-03D98E946898}" name="Q"/>
    <tableColumn id="5" xr3:uid="{DC66BC60-E5AD-46E1-9090-DB20FE2F8471}" name="Average GFLOP/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4B5-93CF-4B8A-8DFF-B002923152E4}">
  <dimension ref="A1:Q14"/>
  <sheetViews>
    <sheetView workbookViewId="0">
      <selection activeCell="O13" sqref="O13:Q13"/>
    </sheetView>
  </sheetViews>
  <sheetFormatPr defaultRowHeight="15" x14ac:dyDescent="0.25"/>
  <cols>
    <col min="1" max="1" width="12.28515625" bestFit="1" customWidth="1"/>
    <col min="2" max="2" width="6.28515625" bestFit="1" customWidth="1"/>
    <col min="3" max="3" width="8.140625" bestFit="1" customWidth="1"/>
    <col min="4" max="5" width="12.140625" bestFit="1" customWidth="1"/>
    <col min="6" max="6" width="26.28515625" customWidth="1"/>
    <col min="7" max="7" width="10.5703125" customWidth="1"/>
    <col min="10" max="10" width="27.140625" bestFit="1" customWidth="1"/>
    <col min="11" max="11" width="18" bestFit="1" customWidth="1"/>
    <col min="12" max="12" width="31.140625" bestFit="1" customWidth="1"/>
  </cols>
  <sheetData>
    <row r="1" spans="1:17" x14ac:dyDescent="0.25">
      <c r="A1" s="6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/>
      <c r="I1" s="5"/>
      <c r="J1" s="5" t="s">
        <v>15</v>
      </c>
      <c r="K1" t="s">
        <v>16</v>
      </c>
    </row>
    <row r="2" spans="1:17" x14ac:dyDescent="0.25">
      <c r="A2" s="6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K2" t="s">
        <v>22</v>
      </c>
      <c r="L2" t="s">
        <v>23</v>
      </c>
    </row>
    <row r="3" spans="1:17" x14ac:dyDescent="0.25">
      <c r="A3" s="6" t="s">
        <v>0</v>
      </c>
      <c r="C3" t="s">
        <v>24</v>
      </c>
      <c r="D3" t="s">
        <v>25</v>
      </c>
      <c r="E3" t="s">
        <v>25</v>
      </c>
      <c r="F3" t="s">
        <v>26</v>
      </c>
      <c r="G3" t="s">
        <v>21</v>
      </c>
      <c r="J3" t="s">
        <v>27</v>
      </c>
      <c r="K3" t="s">
        <v>28</v>
      </c>
    </row>
    <row r="4" spans="1:17" x14ac:dyDescent="0.25">
      <c r="A4" s="6" t="s">
        <v>29</v>
      </c>
      <c r="C4" t="s">
        <v>24</v>
      </c>
      <c r="D4" t="s">
        <v>30</v>
      </c>
      <c r="E4" t="s">
        <v>30</v>
      </c>
      <c r="F4" t="s">
        <v>31</v>
      </c>
      <c r="G4" t="s">
        <v>21</v>
      </c>
      <c r="J4" t="s">
        <v>27</v>
      </c>
      <c r="K4" t="s">
        <v>32</v>
      </c>
      <c r="L4" t="s">
        <v>33</v>
      </c>
    </row>
    <row r="5" spans="1:17" x14ac:dyDescent="0.25">
      <c r="A5" s="66" t="s">
        <v>34</v>
      </c>
      <c r="B5" s="2" t="s">
        <v>35</v>
      </c>
      <c r="C5" t="s">
        <v>24</v>
      </c>
      <c r="D5" t="s">
        <v>25</v>
      </c>
      <c r="E5" t="s">
        <v>25</v>
      </c>
      <c r="F5" t="s">
        <v>26</v>
      </c>
      <c r="G5" t="s">
        <v>21</v>
      </c>
      <c r="J5" t="s">
        <v>27</v>
      </c>
      <c r="K5" t="s">
        <v>28</v>
      </c>
      <c r="L5" s="67" t="s">
        <v>36</v>
      </c>
    </row>
    <row r="6" spans="1:17" x14ac:dyDescent="0.25">
      <c r="A6" s="66"/>
      <c r="B6" s="2" t="s">
        <v>37</v>
      </c>
      <c r="C6" t="s">
        <v>24</v>
      </c>
      <c r="D6" t="s">
        <v>38</v>
      </c>
      <c r="E6" t="s">
        <v>38</v>
      </c>
      <c r="F6" t="s">
        <v>26</v>
      </c>
      <c r="G6" t="s">
        <v>21</v>
      </c>
      <c r="J6" t="s">
        <v>27</v>
      </c>
      <c r="K6" t="s">
        <v>28</v>
      </c>
      <c r="L6" s="67"/>
    </row>
    <row r="12" spans="1:17" ht="60" x14ac:dyDescent="0.25">
      <c r="A12" s="68" t="s">
        <v>46</v>
      </c>
      <c r="B12" s="68"/>
      <c r="C12" s="11" t="s">
        <v>58</v>
      </c>
      <c r="D12" s="11" t="s">
        <v>47</v>
      </c>
      <c r="E12" s="11" t="s">
        <v>48</v>
      </c>
      <c r="F12" s="11" t="s">
        <v>49</v>
      </c>
      <c r="G12" s="11" t="s">
        <v>50</v>
      </c>
      <c r="H12" s="11" t="s">
        <v>51</v>
      </c>
      <c r="I12" s="11" t="s">
        <v>52</v>
      </c>
      <c r="J12" s="11" t="s">
        <v>2</v>
      </c>
      <c r="K12" s="11" t="s">
        <v>3</v>
      </c>
      <c r="L12" s="11" t="s">
        <v>4</v>
      </c>
      <c r="M12" s="11" t="s">
        <v>53</v>
      </c>
      <c r="N12" s="11" t="s">
        <v>54</v>
      </c>
      <c r="O12" s="11" t="s">
        <v>55</v>
      </c>
      <c r="P12" s="11" t="s">
        <v>56</v>
      </c>
      <c r="Q12" s="11" t="s">
        <v>57</v>
      </c>
    </row>
    <row r="13" spans="1:17" x14ac:dyDescent="0.25">
      <c r="A13" t="s">
        <v>58</v>
      </c>
      <c r="B13">
        <v>4</v>
      </c>
      <c r="C13">
        <v>1</v>
      </c>
      <c r="D13" t="s">
        <v>29</v>
      </c>
      <c r="E13">
        <v>2019172</v>
      </c>
      <c r="F13">
        <f>$B$14*SQRT(($C13*$E13*1024)/8)</f>
        <v>12861.204074269253</v>
      </c>
      <c r="G13">
        <f>_xlfn.CEILING.MATH(F13/J13)*J13</f>
        <v>12864</v>
      </c>
      <c r="H13">
        <f>SQRT($B$14*($C13*$E13*1024)/8)</f>
        <v>14379.263291281652</v>
      </c>
      <c r="I13">
        <f>_xlfn.CEILING.MATH(H13/J13)*J13</f>
        <v>14400</v>
      </c>
      <c r="J13">
        <v>64</v>
      </c>
      <c r="K13">
        <v>2</v>
      </c>
      <c r="L13">
        <v>2</v>
      </c>
      <c r="M13">
        <f>I13-G13</f>
        <v>1536</v>
      </c>
      <c r="N13">
        <f>M13/2</f>
        <v>768</v>
      </c>
      <c r="O13">
        <f>G13</f>
        <v>12864</v>
      </c>
      <c r="P13">
        <f>_xlfn.CEILING.MATH((O13+N13)/J13)*J13</f>
        <v>13632</v>
      </c>
      <c r="Q13">
        <f>_xlfn.CEILING.MATH((P13+N13)/J13)*J13</f>
        <v>14400</v>
      </c>
    </row>
    <row r="14" spans="1:17" x14ac:dyDescent="0.25">
      <c r="A14" t="s">
        <v>59</v>
      </c>
      <c r="B14">
        <v>0.8</v>
      </c>
      <c r="C14">
        <v>4</v>
      </c>
      <c r="D14" t="s">
        <v>29</v>
      </c>
      <c r="E14">
        <v>2019173</v>
      </c>
      <c r="F14">
        <f>$B$14*SQRT(($B$13*$E14*1024)/8)</f>
        <v>25722.414518081307</v>
      </c>
      <c r="G14">
        <f>_xlfn.CEILING.MATH(F14/J14)*J14</f>
        <v>25728</v>
      </c>
      <c r="H14">
        <f>SQRT($B$14*($B$13*$E14*1024)/8)</f>
        <v>28758.53370392865</v>
      </c>
      <c r="I14">
        <f>_xlfn.CEILING.MATH(H14/J14)*J14</f>
        <v>28800</v>
      </c>
      <c r="J14">
        <v>128</v>
      </c>
      <c r="K14">
        <v>2</v>
      </c>
      <c r="L14">
        <v>8</v>
      </c>
      <c r="M14">
        <f>I14-G14</f>
        <v>3072</v>
      </c>
      <c r="N14">
        <f>M14/2</f>
        <v>1536</v>
      </c>
      <c r="O14">
        <f>G14</f>
        <v>25728</v>
      </c>
      <c r="P14">
        <f>_xlfn.CEILING.MATH((O14+N14)/J14)*J14</f>
        <v>27264</v>
      </c>
      <c r="Q14">
        <f>_xlfn.CEILING.MATH((P14+N14)/J14)*J14</f>
        <v>28800</v>
      </c>
    </row>
  </sheetData>
  <mergeCells count="3">
    <mergeCell ref="A5:A6"/>
    <mergeCell ref="L5:L6"/>
    <mergeCell ref="A12:B1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CB29-1A3B-42C4-A0B1-1C7B04D9111F}">
  <dimension ref="A1:H1"/>
  <sheetViews>
    <sheetView zoomScale="85" zoomScaleNormal="85" workbookViewId="0">
      <selection activeCell="D26" sqref="D26"/>
    </sheetView>
  </sheetViews>
  <sheetFormatPr defaultRowHeight="15" x14ac:dyDescent="0.25"/>
  <cols>
    <col min="1" max="1" width="3" bestFit="1" customWidth="1"/>
    <col min="2" max="2" width="30.5703125" bestFit="1" customWidth="1"/>
    <col min="3" max="3" width="46.28515625" style="4" bestFit="1" customWidth="1"/>
    <col min="4" max="4" width="35.85546875" bestFit="1" customWidth="1"/>
    <col min="5" max="5" width="53.85546875" style="7" bestFit="1" customWidth="1"/>
    <col min="6" max="6" width="17.5703125" bestFit="1" customWidth="1"/>
    <col min="7" max="7" width="17.5703125" customWidth="1"/>
    <col min="8" max="8" width="13.140625" style="3" customWidth="1"/>
  </cols>
  <sheetData>
    <row r="1" spans="1:8" ht="30" x14ac:dyDescent="0.25">
      <c r="A1" s="66" t="s">
        <v>39</v>
      </c>
      <c r="B1" s="66"/>
      <c r="C1" s="10" t="s">
        <v>40</v>
      </c>
      <c r="D1" s="10" t="s">
        <v>41</v>
      </c>
      <c r="E1" s="10" t="s">
        <v>42</v>
      </c>
      <c r="F1" s="11" t="s">
        <v>43</v>
      </c>
      <c r="G1" s="11" t="s">
        <v>44</v>
      </c>
      <c r="H1" s="11" t="s">
        <v>45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2C3B-9CE2-42F1-979D-DD3786550C7D}">
  <dimension ref="A1:O9"/>
  <sheetViews>
    <sheetView zoomScale="85" zoomScaleNormal="85" workbookViewId="0">
      <selection activeCell="L2" sqref="L2"/>
    </sheetView>
  </sheetViews>
  <sheetFormatPr defaultRowHeight="15" x14ac:dyDescent="0.25"/>
  <cols>
    <col min="2" max="2" width="32.28515625" bestFit="1" customWidth="1"/>
    <col min="3" max="3" width="56.140625" style="7" customWidth="1"/>
    <col min="4" max="4" width="34.140625" style="7" bestFit="1" customWidth="1"/>
    <col min="5" max="5" width="35.140625" style="4" bestFit="1" customWidth="1"/>
    <col min="6" max="6" width="17.5703125" bestFit="1" customWidth="1"/>
    <col min="7" max="7" width="12.7109375" bestFit="1" customWidth="1"/>
    <col min="8" max="8" width="15.7109375" bestFit="1" customWidth="1"/>
    <col min="9" max="9" width="15.42578125" bestFit="1" customWidth="1"/>
    <col min="10" max="10" width="16.7109375" bestFit="1" customWidth="1"/>
    <col min="11" max="11" width="16.42578125" bestFit="1" customWidth="1"/>
    <col min="12" max="12" width="16.42578125" customWidth="1"/>
    <col min="13" max="13" width="79.140625" style="3" customWidth="1"/>
    <col min="15" max="15" width="16.140625" bestFit="1" customWidth="1"/>
  </cols>
  <sheetData>
    <row r="1" spans="1:15" s="13" customFormat="1" ht="120" x14ac:dyDescent="0.25">
      <c r="A1" s="66" t="s">
        <v>29</v>
      </c>
      <c r="B1" s="66"/>
      <c r="C1" s="10" t="s">
        <v>64</v>
      </c>
      <c r="D1" s="10" t="s">
        <v>41</v>
      </c>
      <c r="E1" s="10" t="s">
        <v>65</v>
      </c>
      <c r="F1" s="11" t="s">
        <v>66</v>
      </c>
      <c r="G1" s="11" t="s">
        <v>67</v>
      </c>
      <c r="H1" s="9" t="s">
        <v>68</v>
      </c>
      <c r="I1" s="14" t="s">
        <v>69</v>
      </c>
      <c r="J1" s="9" t="s">
        <v>70</v>
      </c>
      <c r="K1" s="9" t="s">
        <v>71</v>
      </c>
      <c r="L1" s="9" t="s">
        <v>107</v>
      </c>
      <c r="M1" s="12" t="s">
        <v>45</v>
      </c>
      <c r="N1" s="15"/>
      <c r="O1" s="16" t="s">
        <v>72</v>
      </c>
    </row>
    <row r="2" spans="1:15" s="8" customFormat="1" ht="15" customHeight="1" x14ac:dyDescent="0.25">
      <c r="A2">
        <v>1</v>
      </c>
      <c r="B2" s="7" t="s">
        <v>60</v>
      </c>
      <c r="C2" s="7" t="s">
        <v>73</v>
      </c>
      <c r="D2" s="7" t="s">
        <v>74</v>
      </c>
      <c r="E2" s="69" t="s">
        <v>78</v>
      </c>
      <c r="F2"/>
      <c r="G2"/>
      <c r="H2"/>
      <c r="I2"/>
      <c r="J2"/>
      <c r="K2"/>
      <c r="L2">
        <f>VLOOKUP(B2,'HPL 4 nodes, builds'!$A$4:$X$43,24,FALSE)</f>
        <v>12.425000000000001</v>
      </c>
    </row>
    <row r="3" spans="1:15" ht="30" x14ac:dyDescent="0.25">
      <c r="A3">
        <v>2</v>
      </c>
      <c r="B3" s="7" t="s">
        <v>61</v>
      </c>
      <c r="C3" s="7" t="s">
        <v>75</v>
      </c>
      <c r="D3" s="7" t="s">
        <v>79</v>
      </c>
      <c r="E3" s="70"/>
      <c r="L3">
        <f>VLOOKUP(B3,'HPL 4 nodes, builds'!$A$4:$X$43,24,FALSE)</f>
        <v>12.4086</v>
      </c>
      <c r="M3"/>
    </row>
    <row r="4" spans="1:15" ht="30" x14ac:dyDescent="0.25">
      <c r="A4">
        <v>3</v>
      </c>
      <c r="B4" s="7" t="s">
        <v>62</v>
      </c>
      <c r="C4" s="7" t="s">
        <v>76</v>
      </c>
      <c r="D4" s="7" t="s">
        <v>80</v>
      </c>
      <c r="E4" s="70"/>
      <c r="L4">
        <f>VLOOKUP(B4,'HPL 4 nodes, builds'!$A$4:$X$43,24,FALSE)</f>
        <v>12.391999999999999</v>
      </c>
      <c r="M4"/>
    </row>
    <row r="5" spans="1:15" ht="30" x14ac:dyDescent="0.25">
      <c r="A5">
        <v>4</v>
      </c>
      <c r="B5" s="7" t="s">
        <v>63</v>
      </c>
      <c r="C5" s="7" t="s">
        <v>101</v>
      </c>
      <c r="D5" s="7" t="s">
        <v>79</v>
      </c>
      <c r="E5" s="70"/>
      <c r="L5">
        <f>VLOOKUP(B5,'HPL 4 nodes, builds'!$A$4:$X$43,24,FALSE)</f>
        <v>11.98</v>
      </c>
      <c r="M5"/>
    </row>
    <row r="6" spans="1:15" ht="60" x14ac:dyDescent="0.25">
      <c r="A6">
        <v>5</v>
      </c>
      <c r="B6" s="7" t="s">
        <v>81</v>
      </c>
      <c r="C6" s="7" t="s">
        <v>102</v>
      </c>
      <c r="D6" s="56"/>
      <c r="E6" s="70"/>
      <c r="L6">
        <f>VLOOKUP(B6,'HPL 4 nodes, builds'!$A$4:$X$43,24,FALSE)</f>
        <v>12.434999999999999</v>
      </c>
      <c r="M6"/>
    </row>
    <row r="7" spans="1:15" ht="45" x14ac:dyDescent="0.25">
      <c r="A7">
        <v>6</v>
      </c>
      <c r="B7" s="7" t="s">
        <v>82</v>
      </c>
      <c r="C7" s="7" t="s">
        <v>103</v>
      </c>
      <c r="D7" s="56"/>
      <c r="E7" s="70"/>
      <c r="L7">
        <f>VLOOKUP(B7,'HPL 4 nodes, builds'!$A$4:$X$43,24,FALSE)</f>
        <v>12.3924</v>
      </c>
      <c r="M7"/>
    </row>
    <row r="8" spans="1:15" ht="45" x14ac:dyDescent="0.25">
      <c r="A8">
        <v>7</v>
      </c>
      <c r="B8" s="7" t="s">
        <v>83</v>
      </c>
      <c r="C8" s="7" t="s">
        <v>104</v>
      </c>
      <c r="D8" s="56"/>
      <c r="E8" s="70"/>
      <c r="L8">
        <f>VLOOKUP(B8,'HPL 4 nodes, builds'!$A$4:$X$43,24,FALSE)</f>
        <v>12.410599999999999</v>
      </c>
      <c r="M8"/>
    </row>
    <row r="9" spans="1:15" ht="45" x14ac:dyDescent="0.25">
      <c r="A9">
        <v>8</v>
      </c>
      <c r="B9" s="7" t="s">
        <v>84</v>
      </c>
      <c r="C9" s="7" t="s">
        <v>105</v>
      </c>
      <c r="D9" s="56"/>
      <c r="E9" s="70"/>
      <c r="F9" t="s">
        <v>77</v>
      </c>
      <c r="L9">
        <f>VLOOKUP(B9,'HPL 4 nodes, builds'!$A$4:$X$43,24,FALSE)</f>
        <v>12.440999999999999</v>
      </c>
      <c r="M9"/>
    </row>
  </sheetData>
  <mergeCells count="2">
    <mergeCell ref="A1:B1"/>
    <mergeCell ref="E2:E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260-EAAF-4A97-9410-92857D597ED2}">
  <dimension ref="A1:X64"/>
  <sheetViews>
    <sheetView zoomScale="85" zoomScaleNormal="85" workbookViewId="0">
      <selection activeCell="X43" sqref="X43"/>
    </sheetView>
  </sheetViews>
  <sheetFormatPr defaultRowHeight="15" x14ac:dyDescent="0.25"/>
  <cols>
    <col min="1" max="1" width="22" bestFit="1" customWidth="1"/>
    <col min="8" max="9" width="9.140625" style="19"/>
    <col min="24" max="24" width="9.140625" style="19"/>
  </cols>
  <sheetData>
    <row r="1" spans="1:24" x14ac:dyDescent="0.25">
      <c r="A1" s="30" t="s">
        <v>92</v>
      </c>
      <c r="B1" s="71" t="str">
        <f>INDEX(A:A,MATCH(MAX($X:$X),$X:$X,0))</f>
        <v>cpu-tune-overr-flags</v>
      </c>
      <c r="C1" s="71"/>
      <c r="D1" s="71"/>
      <c r="E1" s="71"/>
      <c r="F1" s="31">
        <f>MAX(X:X)</f>
        <v>12.440999999999999</v>
      </c>
      <c r="G1" s="52">
        <f>INDEX(D:D,MATCH(MAX($X:$X),$X:$X,0))</f>
        <v>25728</v>
      </c>
      <c r="H1" s="52">
        <f t="shared" ref="H1:J1" si="0">INDEX(E:E,MATCH(MAX($X:$X),$X:$X,0))</f>
        <v>128</v>
      </c>
      <c r="I1" s="52">
        <f t="shared" si="0"/>
        <v>2</v>
      </c>
      <c r="J1" s="52">
        <f t="shared" si="0"/>
        <v>8</v>
      </c>
      <c r="K1" s="33"/>
      <c r="L1" s="73" t="s">
        <v>100</v>
      </c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4" t="s">
        <v>99</v>
      </c>
    </row>
    <row r="2" spans="1:24" x14ac:dyDescent="0.25">
      <c r="A2" s="72" t="s">
        <v>93</v>
      </c>
      <c r="B2" s="72"/>
      <c r="C2" s="72"/>
      <c r="D2" s="34">
        <f>MAX(I4:I841)</f>
        <v>12.491</v>
      </c>
      <c r="E2" s="35"/>
      <c r="F2" s="35"/>
      <c r="G2" s="35"/>
      <c r="H2" s="36"/>
      <c r="I2" s="49"/>
      <c r="J2" s="35"/>
      <c r="K2" s="33"/>
      <c r="L2" s="75" t="s">
        <v>88</v>
      </c>
      <c r="M2" s="75"/>
      <c r="N2" s="75"/>
      <c r="O2" s="75" t="s">
        <v>89</v>
      </c>
      <c r="P2" s="75"/>
      <c r="Q2" s="75"/>
      <c r="R2" s="75" t="s">
        <v>90</v>
      </c>
      <c r="S2" s="75"/>
      <c r="T2" s="75"/>
      <c r="U2" s="75" t="s">
        <v>91</v>
      </c>
      <c r="V2" s="75"/>
      <c r="W2" s="75"/>
      <c r="X2" s="74"/>
    </row>
    <row r="3" spans="1:24" x14ac:dyDescent="0.25">
      <c r="A3" s="53" t="s">
        <v>98</v>
      </c>
      <c r="B3" s="38" t="s">
        <v>85</v>
      </c>
      <c r="C3" s="38"/>
      <c r="D3" s="38" t="s">
        <v>1</v>
      </c>
      <c r="E3" s="38" t="s">
        <v>2</v>
      </c>
      <c r="F3" s="38" t="s">
        <v>3</v>
      </c>
      <c r="G3" s="38" t="s">
        <v>4</v>
      </c>
      <c r="H3" s="39" t="s">
        <v>5</v>
      </c>
      <c r="I3" s="48" t="s">
        <v>6</v>
      </c>
      <c r="J3" s="40" t="s">
        <v>87</v>
      </c>
      <c r="K3" s="41" t="s">
        <v>5</v>
      </c>
      <c r="L3" s="38" t="s">
        <v>94</v>
      </c>
      <c r="M3" s="38" t="s">
        <v>95</v>
      </c>
      <c r="N3" s="38" t="s">
        <v>96</v>
      </c>
      <c r="O3" s="38" t="s">
        <v>94</v>
      </c>
      <c r="P3" s="38" t="s">
        <v>95</v>
      </c>
      <c r="Q3" s="38" t="s">
        <v>96</v>
      </c>
      <c r="R3" s="38" t="s">
        <v>94</v>
      </c>
      <c r="S3" s="38" t="s">
        <v>95</v>
      </c>
      <c r="T3" s="38" t="s">
        <v>96</v>
      </c>
      <c r="U3" s="38" t="s">
        <v>94</v>
      </c>
      <c r="V3" s="38" t="s">
        <v>95</v>
      </c>
      <c r="W3" s="38" t="s">
        <v>96</v>
      </c>
      <c r="X3" s="74"/>
    </row>
    <row r="4" spans="1:24" x14ac:dyDescent="0.25">
      <c r="A4" t="s">
        <v>84</v>
      </c>
      <c r="B4">
        <v>0</v>
      </c>
      <c r="C4" t="s">
        <v>7</v>
      </c>
      <c r="D4">
        <v>25728</v>
      </c>
      <c r="E4">
        <v>128</v>
      </c>
      <c r="F4">
        <v>2</v>
      </c>
      <c r="G4">
        <v>8</v>
      </c>
      <c r="H4" s="19">
        <v>913.66</v>
      </c>
      <c r="I4" s="19">
        <v>12.427</v>
      </c>
      <c r="J4" s="17">
        <v>45458</v>
      </c>
      <c r="K4" s="18">
        <v>7.6851851851851855E-3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s="65">
        <f>AVERAGE(I4:I8)</f>
        <v>12.440999999999999</v>
      </c>
    </row>
    <row r="5" spans="1:24" x14ac:dyDescent="0.25">
      <c r="A5" t="s">
        <v>84</v>
      </c>
      <c r="B5">
        <v>1</v>
      </c>
      <c r="C5" t="s">
        <v>7</v>
      </c>
      <c r="D5">
        <v>25728</v>
      </c>
      <c r="E5">
        <v>128</v>
      </c>
      <c r="F5">
        <v>2</v>
      </c>
      <c r="G5">
        <v>8</v>
      </c>
      <c r="H5" s="19">
        <v>915.07</v>
      </c>
      <c r="I5" s="19">
        <v>12.407999999999999</v>
      </c>
      <c r="J5" s="17">
        <v>45458</v>
      </c>
      <c r="K5" s="18">
        <v>1.8553240740740742E-2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s="65">
        <f>X4</f>
        <v>12.440999999999999</v>
      </c>
    </row>
    <row r="6" spans="1:24" x14ac:dyDescent="0.25">
      <c r="A6" t="s">
        <v>84</v>
      </c>
      <c r="B6">
        <v>2</v>
      </c>
      <c r="C6" t="s">
        <v>7</v>
      </c>
      <c r="D6">
        <v>25728</v>
      </c>
      <c r="E6">
        <v>128</v>
      </c>
      <c r="F6">
        <v>2</v>
      </c>
      <c r="G6">
        <v>8</v>
      </c>
      <c r="H6" s="19">
        <v>911.59</v>
      </c>
      <c r="I6" s="19">
        <v>12.456</v>
      </c>
      <c r="J6" s="17">
        <v>45458</v>
      </c>
      <c r="K6" s="18">
        <v>2.9398148148148149E-2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65">
        <f>X5</f>
        <v>12.440999999999999</v>
      </c>
    </row>
    <row r="7" spans="1:24" x14ac:dyDescent="0.25">
      <c r="A7" t="s">
        <v>84</v>
      </c>
      <c r="B7">
        <v>3</v>
      </c>
      <c r="C7" t="s">
        <v>7</v>
      </c>
      <c r="D7">
        <v>25728</v>
      </c>
      <c r="E7">
        <v>128</v>
      </c>
      <c r="F7">
        <v>2</v>
      </c>
      <c r="G7">
        <v>8</v>
      </c>
      <c r="H7" s="19">
        <v>912.19</v>
      </c>
      <c r="I7" s="19">
        <v>12.446999999999999</v>
      </c>
      <c r="J7" s="17">
        <v>45458</v>
      </c>
      <c r="K7" s="18">
        <v>4.0231481481481479E-2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65">
        <f>X6</f>
        <v>12.440999999999999</v>
      </c>
    </row>
    <row r="8" spans="1:24" x14ac:dyDescent="0.25">
      <c r="A8" t="s">
        <v>84</v>
      </c>
      <c r="B8">
        <v>4</v>
      </c>
      <c r="C8" t="s">
        <v>7</v>
      </c>
      <c r="D8">
        <v>25728</v>
      </c>
      <c r="E8">
        <v>128</v>
      </c>
      <c r="F8">
        <v>2</v>
      </c>
      <c r="G8">
        <v>8</v>
      </c>
      <c r="H8" s="19">
        <v>910.77</v>
      </c>
      <c r="I8" s="19">
        <v>12.467000000000001</v>
      </c>
      <c r="J8" s="17">
        <v>45458</v>
      </c>
      <c r="K8" s="18">
        <v>5.1053240740740739E-2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65">
        <f>X7</f>
        <v>12.440999999999999</v>
      </c>
    </row>
    <row r="9" spans="1:24" x14ac:dyDescent="0.25">
      <c r="A9" t="s">
        <v>81</v>
      </c>
      <c r="B9">
        <v>0</v>
      </c>
      <c r="C9" t="s">
        <v>7</v>
      </c>
      <c r="D9">
        <v>25728</v>
      </c>
      <c r="E9">
        <v>128</v>
      </c>
      <c r="F9">
        <v>2</v>
      </c>
      <c r="G9">
        <v>8</v>
      </c>
      <c r="H9" s="19">
        <v>913.34</v>
      </c>
      <c r="I9" s="19">
        <v>12.432</v>
      </c>
      <c r="J9" s="17">
        <v>45457</v>
      </c>
      <c r="K9" s="18">
        <v>0.84462962962962962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65">
        <f>AVERAGE(I9:I13)</f>
        <v>12.434999999999999</v>
      </c>
    </row>
    <row r="10" spans="1:24" x14ac:dyDescent="0.25">
      <c r="A10" t="s">
        <v>81</v>
      </c>
      <c r="B10">
        <v>1</v>
      </c>
      <c r="C10" t="s">
        <v>7</v>
      </c>
      <c r="D10">
        <v>25728</v>
      </c>
      <c r="E10">
        <v>128</v>
      </c>
      <c r="F10">
        <v>2</v>
      </c>
      <c r="G10">
        <v>8</v>
      </c>
      <c r="H10" s="19">
        <v>912.83</v>
      </c>
      <c r="I10" s="19">
        <v>12.439</v>
      </c>
      <c r="J10" s="17">
        <v>45457</v>
      </c>
      <c r="K10" s="18">
        <v>0.85548611111111106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65">
        <f>X9</f>
        <v>12.434999999999999</v>
      </c>
    </row>
    <row r="11" spans="1:24" x14ac:dyDescent="0.25">
      <c r="A11" t="s">
        <v>81</v>
      </c>
      <c r="B11">
        <v>2</v>
      </c>
      <c r="C11" t="s">
        <v>7</v>
      </c>
      <c r="D11">
        <v>25728</v>
      </c>
      <c r="E11">
        <v>128</v>
      </c>
      <c r="F11">
        <v>2</v>
      </c>
      <c r="G11">
        <v>8</v>
      </c>
      <c r="H11" s="19">
        <v>912.23</v>
      </c>
      <c r="I11" s="19">
        <v>12.446999999999999</v>
      </c>
      <c r="J11" s="17">
        <v>45457</v>
      </c>
      <c r="K11" s="18">
        <v>0.86631944444444442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65">
        <f>X10</f>
        <v>12.434999999999999</v>
      </c>
    </row>
    <row r="12" spans="1:24" x14ac:dyDescent="0.25">
      <c r="A12" t="s">
        <v>81</v>
      </c>
      <c r="B12">
        <v>3</v>
      </c>
      <c r="C12" t="s">
        <v>7</v>
      </c>
      <c r="D12">
        <v>25728</v>
      </c>
      <c r="E12">
        <v>128</v>
      </c>
      <c r="F12">
        <v>2</v>
      </c>
      <c r="G12">
        <v>8</v>
      </c>
      <c r="H12" s="19">
        <v>914.19</v>
      </c>
      <c r="I12" s="19">
        <v>12.42</v>
      </c>
      <c r="J12" s="17">
        <v>45457</v>
      </c>
      <c r="K12" s="18">
        <v>0.87718750000000001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65">
        <f>X11</f>
        <v>12.434999999999999</v>
      </c>
    </row>
    <row r="13" spans="1:24" x14ac:dyDescent="0.25">
      <c r="A13" t="s">
        <v>81</v>
      </c>
      <c r="B13">
        <v>4</v>
      </c>
      <c r="C13" t="s">
        <v>7</v>
      </c>
      <c r="D13">
        <v>25728</v>
      </c>
      <c r="E13">
        <v>128</v>
      </c>
      <c r="F13">
        <v>2</v>
      </c>
      <c r="G13">
        <v>8</v>
      </c>
      <c r="H13" s="19">
        <v>912.93</v>
      </c>
      <c r="I13" s="19">
        <v>12.436999999999999</v>
      </c>
      <c r="J13" s="17">
        <v>45457</v>
      </c>
      <c r="K13" s="18">
        <v>0.88803240740740741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65">
        <f>X12</f>
        <v>12.434999999999999</v>
      </c>
    </row>
    <row r="14" spans="1:24" x14ac:dyDescent="0.25">
      <c r="A14" t="s">
        <v>60</v>
      </c>
      <c r="B14">
        <v>0</v>
      </c>
      <c r="C14" t="s">
        <v>7</v>
      </c>
      <c r="D14">
        <v>25728</v>
      </c>
      <c r="E14">
        <v>128</v>
      </c>
      <c r="F14">
        <v>2</v>
      </c>
      <c r="G14">
        <v>8</v>
      </c>
      <c r="H14" s="19">
        <v>911.8</v>
      </c>
      <c r="I14" s="19">
        <v>12.452999999999999</v>
      </c>
      <c r="J14" s="17">
        <v>45457</v>
      </c>
      <c r="K14" s="18">
        <v>0.61020833333333335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65">
        <f>AVERAGE(I14:I18)</f>
        <v>12.425000000000001</v>
      </c>
    </row>
    <row r="15" spans="1:24" x14ac:dyDescent="0.25">
      <c r="A15" t="s">
        <v>60</v>
      </c>
      <c r="B15">
        <v>1</v>
      </c>
      <c r="C15" t="s">
        <v>7</v>
      </c>
      <c r="D15">
        <v>25728</v>
      </c>
      <c r="E15">
        <v>128</v>
      </c>
      <c r="F15">
        <v>2</v>
      </c>
      <c r="G15">
        <v>8</v>
      </c>
      <c r="H15" s="19">
        <v>920.05</v>
      </c>
      <c r="I15" s="19">
        <v>12.340999999999999</v>
      </c>
      <c r="J15" s="17">
        <v>45457</v>
      </c>
      <c r="K15" s="18">
        <v>0.62193287037037037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65">
        <f>X14</f>
        <v>12.425000000000001</v>
      </c>
    </row>
    <row r="16" spans="1:24" x14ac:dyDescent="0.25">
      <c r="A16" t="s">
        <v>60</v>
      </c>
      <c r="B16">
        <v>2</v>
      </c>
      <c r="C16" t="s">
        <v>7</v>
      </c>
      <c r="D16">
        <v>25728</v>
      </c>
      <c r="E16">
        <v>128</v>
      </c>
      <c r="F16">
        <v>2</v>
      </c>
      <c r="G16">
        <v>8</v>
      </c>
      <c r="H16" s="19">
        <v>911.38</v>
      </c>
      <c r="I16" s="19">
        <v>12.458</v>
      </c>
      <c r="J16" s="17">
        <v>45457</v>
      </c>
      <c r="K16" s="18">
        <v>0.6335763888888889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65">
        <f>X15</f>
        <v>12.425000000000001</v>
      </c>
    </row>
    <row r="17" spans="1:24" x14ac:dyDescent="0.25">
      <c r="A17" t="s">
        <v>60</v>
      </c>
      <c r="B17">
        <v>3</v>
      </c>
      <c r="C17" t="s">
        <v>7</v>
      </c>
      <c r="D17">
        <v>25728</v>
      </c>
      <c r="E17">
        <v>128</v>
      </c>
      <c r="F17">
        <v>2</v>
      </c>
      <c r="G17">
        <v>8</v>
      </c>
      <c r="H17" s="19">
        <v>912.66</v>
      </c>
      <c r="I17" s="19">
        <v>12.441000000000001</v>
      </c>
      <c r="J17" s="17">
        <v>45457</v>
      </c>
      <c r="K17" s="18">
        <v>0.64520833333333338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65">
        <f>X16</f>
        <v>12.425000000000001</v>
      </c>
    </row>
    <row r="18" spans="1:24" x14ac:dyDescent="0.25">
      <c r="A18" t="s">
        <v>60</v>
      </c>
      <c r="B18">
        <v>4</v>
      </c>
      <c r="C18" t="s">
        <v>7</v>
      </c>
      <c r="D18">
        <v>25728</v>
      </c>
      <c r="E18">
        <v>128</v>
      </c>
      <c r="F18">
        <v>2</v>
      </c>
      <c r="G18">
        <v>8</v>
      </c>
      <c r="H18" s="19">
        <v>913.29</v>
      </c>
      <c r="I18" s="19">
        <v>12.432</v>
      </c>
      <c r="J18" s="17">
        <v>45457</v>
      </c>
      <c r="K18" s="18">
        <v>0.6568518518518518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65">
        <f>X17</f>
        <v>12.425000000000001</v>
      </c>
    </row>
    <row r="19" spans="1:24" x14ac:dyDescent="0.25">
      <c r="A19" t="s">
        <v>83</v>
      </c>
      <c r="B19">
        <v>0</v>
      </c>
      <c r="C19" t="s">
        <v>7</v>
      </c>
      <c r="D19">
        <v>25728</v>
      </c>
      <c r="E19">
        <v>128</v>
      </c>
      <c r="F19">
        <v>2</v>
      </c>
      <c r="G19">
        <v>8</v>
      </c>
      <c r="H19" s="19">
        <v>917.22</v>
      </c>
      <c r="I19" s="19">
        <v>12.379</v>
      </c>
      <c r="J19" s="17">
        <v>45457</v>
      </c>
      <c r="K19" s="18">
        <v>0.95336805555555559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65">
        <f>AVERAGE(I19:I23)</f>
        <v>12.410599999999999</v>
      </c>
    </row>
    <row r="20" spans="1:24" x14ac:dyDescent="0.25">
      <c r="A20" t="s">
        <v>83</v>
      </c>
      <c r="B20">
        <v>1</v>
      </c>
      <c r="C20" t="s">
        <v>7</v>
      </c>
      <c r="D20">
        <v>25728</v>
      </c>
      <c r="E20">
        <v>128</v>
      </c>
      <c r="F20">
        <v>2</v>
      </c>
      <c r="G20">
        <v>8</v>
      </c>
      <c r="H20" s="19">
        <v>917.91</v>
      </c>
      <c r="I20" s="19">
        <v>12.37</v>
      </c>
      <c r="J20" s="17">
        <v>45457</v>
      </c>
      <c r="K20" s="18">
        <v>0.9642708333333333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65">
        <f>X19</f>
        <v>12.410599999999999</v>
      </c>
    </row>
    <row r="21" spans="1:24" x14ac:dyDescent="0.25">
      <c r="A21" t="s">
        <v>83</v>
      </c>
      <c r="B21">
        <v>2</v>
      </c>
      <c r="C21" t="s">
        <v>7</v>
      </c>
      <c r="D21">
        <v>25728</v>
      </c>
      <c r="E21">
        <v>128</v>
      </c>
      <c r="F21">
        <v>2</v>
      </c>
      <c r="G21">
        <v>8</v>
      </c>
      <c r="H21" s="19">
        <v>910.21</v>
      </c>
      <c r="I21" s="19">
        <v>12.474</v>
      </c>
      <c r="J21" s="17">
        <v>45457</v>
      </c>
      <c r="K21" s="18">
        <v>0.97509259259259262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65">
        <f>X20</f>
        <v>12.410599999999999</v>
      </c>
    </row>
    <row r="22" spans="1:24" x14ac:dyDescent="0.25">
      <c r="A22" t="s">
        <v>83</v>
      </c>
      <c r="B22">
        <v>3</v>
      </c>
      <c r="C22" t="s">
        <v>7</v>
      </c>
      <c r="D22">
        <v>25728</v>
      </c>
      <c r="E22">
        <v>128</v>
      </c>
      <c r="F22">
        <v>2</v>
      </c>
      <c r="G22">
        <v>8</v>
      </c>
      <c r="H22" s="19">
        <v>913.38</v>
      </c>
      <c r="I22" s="19">
        <v>12.430999999999999</v>
      </c>
      <c r="J22" s="17">
        <v>45457</v>
      </c>
      <c r="K22" s="18">
        <v>0.98594907407407406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65">
        <f>X21</f>
        <v>12.410599999999999</v>
      </c>
    </row>
    <row r="23" spans="1:24" x14ac:dyDescent="0.25">
      <c r="A23" t="s">
        <v>83</v>
      </c>
      <c r="B23">
        <v>4</v>
      </c>
      <c r="C23" t="s">
        <v>7</v>
      </c>
      <c r="D23">
        <v>25728</v>
      </c>
      <c r="E23">
        <v>128</v>
      </c>
      <c r="F23">
        <v>2</v>
      </c>
      <c r="G23">
        <v>8</v>
      </c>
      <c r="H23" s="19">
        <v>915.73</v>
      </c>
      <c r="I23" s="19">
        <v>12.398999999999999</v>
      </c>
      <c r="J23" s="17">
        <v>45457</v>
      </c>
      <c r="K23" s="18">
        <v>0.99682870370370369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65">
        <f>X22</f>
        <v>12.410599999999999</v>
      </c>
    </row>
    <row r="24" spans="1:24" x14ac:dyDescent="0.25">
      <c r="A24" t="s">
        <v>61</v>
      </c>
      <c r="B24">
        <v>0</v>
      </c>
      <c r="C24" t="s">
        <v>7</v>
      </c>
      <c r="D24">
        <v>25728</v>
      </c>
      <c r="E24">
        <v>128</v>
      </c>
      <c r="F24">
        <v>2</v>
      </c>
      <c r="G24">
        <v>8</v>
      </c>
      <c r="H24" s="19">
        <v>911.9</v>
      </c>
      <c r="I24" s="19">
        <v>12.451000000000001</v>
      </c>
      <c r="J24" s="17">
        <v>45457</v>
      </c>
      <c r="K24" s="18">
        <v>0.66848379629629628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65">
        <f>AVERAGE(I24:I28)</f>
        <v>12.4086</v>
      </c>
    </row>
    <row r="25" spans="1:24" x14ac:dyDescent="0.25">
      <c r="A25" t="s">
        <v>61</v>
      </c>
      <c r="B25">
        <v>1</v>
      </c>
      <c r="C25" t="s">
        <v>7</v>
      </c>
      <c r="D25">
        <v>25728</v>
      </c>
      <c r="E25">
        <v>128</v>
      </c>
      <c r="F25">
        <v>2</v>
      </c>
      <c r="G25">
        <v>8</v>
      </c>
      <c r="H25" s="19">
        <v>918.61</v>
      </c>
      <c r="I25" s="19">
        <v>12.36</v>
      </c>
      <c r="J25" s="17">
        <v>45457</v>
      </c>
      <c r="K25" s="18">
        <v>0.68019675925925926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65">
        <f>X24</f>
        <v>12.4086</v>
      </c>
    </row>
    <row r="26" spans="1:24" x14ac:dyDescent="0.25">
      <c r="A26" t="s">
        <v>61</v>
      </c>
      <c r="B26">
        <v>2</v>
      </c>
      <c r="C26" t="s">
        <v>7</v>
      </c>
      <c r="D26">
        <v>25728</v>
      </c>
      <c r="E26">
        <v>128</v>
      </c>
      <c r="F26">
        <v>2</v>
      </c>
      <c r="G26">
        <v>8</v>
      </c>
      <c r="H26" s="19">
        <v>917.22</v>
      </c>
      <c r="I26" s="19">
        <v>12.379</v>
      </c>
      <c r="J26" s="17">
        <v>45457</v>
      </c>
      <c r="K26" s="18">
        <v>0.69188657407407406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65">
        <f>X25</f>
        <v>12.4086</v>
      </c>
    </row>
    <row r="27" spans="1:24" x14ac:dyDescent="0.25">
      <c r="A27" t="s">
        <v>61</v>
      </c>
      <c r="B27">
        <v>3</v>
      </c>
      <c r="C27" t="s">
        <v>7</v>
      </c>
      <c r="D27">
        <v>25728</v>
      </c>
      <c r="E27">
        <v>128</v>
      </c>
      <c r="F27">
        <v>2</v>
      </c>
      <c r="G27">
        <v>8</v>
      </c>
      <c r="H27" s="19">
        <v>918.49</v>
      </c>
      <c r="I27" s="19">
        <v>12.362</v>
      </c>
      <c r="J27" s="17">
        <v>45457</v>
      </c>
      <c r="K27" s="18">
        <v>0.703587962962963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65">
        <f>X26</f>
        <v>12.4086</v>
      </c>
    </row>
    <row r="28" spans="1:24" x14ac:dyDescent="0.25">
      <c r="A28" t="s">
        <v>61</v>
      </c>
      <c r="B28">
        <v>4</v>
      </c>
      <c r="C28" t="s">
        <v>7</v>
      </c>
      <c r="D28">
        <v>25728</v>
      </c>
      <c r="E28">
        <v>128</v>
      </c>
      <c r="F28">
        <v>2</v>
      </c>
      <c r="G28">
        <v>8</v>
      </c>
      <c r="H28" s="19">
        <v>909.01</v>
      </c>
      <c r="I28" s="19">
        <v>12.491</v>
      </c>
      <c r="J28" s="17">
        <v>45457</v>
      </c>
      <c r="K28" s="18">
        <v>0.71517361111111111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65">
        <f>X27</f>
        <v>12.4086</v>
      </c>
    </row>
    <row r="29" spans="1:24" x14ac:dyDescent="0.25">
      <c r="A29" t="s">
        <v>82</v>
      </c>
      <c r="B29">
        <v>0</v>
      </c>
      <c r="C29" t="s">
        <v>7</v>
      </c>
      <c r="D29">
        <v>25728</v>
      </c>
      <c r="E29">
        <v>128</v>
      </c>
      <c r="F29">
        <v>2</v>
      </c>
      <c r="G29">
        <v>8</v>
      </c>
      <c r="H29" s="19">
        <v>920.73</v>
      </c>
      <c r="I29" s="19">
        <v>12.332000000000001</v>
      </c>
      <c r="J29" s="17">
        <v>45457</v>
      </c>
      <c r="K29" s="18">
        <v>0.89896990740740745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65">
        <f>AVERAGE(I29:I33)</f>
        <v>12.3924</v>
      </c>
    </row>
    <row r="30" spans="1:24" x14ac:dyDescent="0.25">
      <c r="A30" t="s">
        <v>82</v>
      </c>
      <c r="B30">
        <v>1</v>
      </c>
      <c r="C30" t="s">
        <v>7</v>
      </c>
      <c r="D30">
        <v>25728</v>
      </c>
      <c r="E30">
        <v>128</v>
      </c>
      <c r="F30">
        <v>2</v>
      </c>
      <c r="G30">
        <v>8</v>
      </c>
      <c r="H30" s="19">
        <v>911.54</v>
      </c>
      <c r="I30" s="19">
        <v>12.456</v>
      </c>
      <c r="J30" s="17">
        <v>45457</v>
      </c>
      <c r="K30" s="18">
        <v>0.9098032407407407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65">
        <f>X29</f>
        <v>12.3924</v>
      </c>
    </row>
    <row r="31" spans="1:24" x14ac:dyDescent="0.25">
      <c r="A31" t="s">
        <v>82</v>
      </c>
      <c r="B31">
        <v>2</v>
      </c>
      <c r="C31" t="s">
        <v>7</v>
      </c>
      <c r="D31">
        <v>25728</v>
      </c>
      <c r="E31">
        <v>128</v>
      </c>
      <c r="F31">
        <v>2</v>
      </c>
      <c r="G31">
        <v>8</v>
      </c>
      <c r="H31" s="19">
        <v>919.82</v>
      </c>
      <c r="I31" s="19">
        <v>12.343999999999999</v>
      </c>
      <c r="J31" s="17">
        <v>45457</v>
      </c>
      <c r="K31" s="18">
        <v>0.92072916666666671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65">
        <f>X30</f>
        <v>12.3924</v>
      </c>
    </row>
    <row r="32" spans="1:24" x14ac:dyDescent="0.25">
      <c r="A32" t="s">
        <v>82</v>
      </c>
      <c r="B32">
        <v>3</v>
      </c>
      <c r="C32" t="s">
        <v>7</v>
      </c>
      <c r="D32">
        <v>25728</v>
      </c>
      <c r="E32">
        <v>128</v>
      </c>
      <c r="F32">
        <v>2</v>
      </c>
      <c r="G32">
        <v>8</v>
      </c>
      <c r="H32" s="19">
        <v>915.53</v>
      </c>
      <c r="I32" s="19">
        <v>12.401999999999999</v>
      </c>
      <c r="J32" s="17">
        <v>45457</v>
      </c>
      <c r="K32" s="18">
        <v>0.93160879629629634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65">
        <f>X31</f>
        <v>12.3924</v>
      </c>
    </row>
    <row r="33" spans="1:24" x14ac:dyDescent="0.25">
      <c r="A33" t="s">
        <v>82</v>
      </c>
      <c r="B33">
        <v>4</v>
      </c>
      <c r="C33" t="s">
        <v>7</v>
      </c>
      <c r="D33">
        <v>25728</v>
      </c>
      <c r="E33">
        <v>128</v>
      </c>
      <c r="F33">
        <v>2</v>
      </c>
      <c r="G33">
        <v>8</v>
      </c>
      <c r="H33" s="19">
        <v>913.62</v>
      </c>
      <c r="I33" s="19">
        <v>12.428000000000001</v>
      </c>
      <c r="J33" s="17">
        <v>45457</v>
      </c>
      <c r="K33" s="18">
        <v>0.94246527777777778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65">
        <f>X32</f>
        <v>12.3924</v>
      </c>
    </row>
    <row r="34" spans="1:24" x14ac:dyDescent="0.25">
      <c r="A34" t="s">
        <v>62</v>
      </c>
      <c r="B34">
        <v>0</v>
      </c>
      <c r="C34" t="s">
        <v>7</v>
      </c>
      <c r="D34">
        <v>25728</v>
      </c>
      <c r="E34">
        <v>128</v>
      </c>
      <c r="F34">
        <v>2</v>
      </c>
      <c r="G34">
        <v>8</v>
      </c>
      <c r="H34" s="19">
        <v>917.17</v>
      </c>
      <c r="I34" s="19">
        <v>12.38</v>
      </c>
      <c r="J34" s="17">
        <v>45457</v>
      </c>
      <c r="K34" s="18">
        <v>0.72687500000000005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65">
        <f>AVERAGE(I34:I38)</f>
        <v>12.391999999999999</v>
      </c>
    </row>
    <row r="35" spans="1:24" x14ac:dyDescent="0.25">
      <c r="A35" t="s">
        <v>62</v>
      </c>
      <c r="B35">
        <v>1</v>
      </c>
      <c r="C35" t="s">
        <v>7</v>
      </c>
      <c r="D35">
        <v>25728</v>
      </c>
      <c r="E35">
        <v>128</v>
      </c>
      <c r="F35">
        <v>2</v>
      </c>
      <c r="G35">
        <v>8</v>
      </c>
      <c r="H35" s="19">
        <v>913.98</v>
      </c>
      <c r="I35" s="19">
        <v>12.423</v>
      </c>
      <c r="J35" s="17">
        <v>45457</v>
      </c>
      <c r="K35" s="18">
        <v>0.73851851851851846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65">
        <f>X34</f>
        <v>12.391999999999999</v>
      </c>
    </row>
    <row r="36" spans="1:24" x14ac:dyDescent="0.25">
      <c r="A36" t="s">
        <v>62</v>
      </c>
      <c r="B36">
        <v>2</v>
      </c>
      <c r="C36" t="s">
        <v>7</v>
      </c>
      <c r="D36">
        <v>25728</v>
      </c>
      <c r="E36">
        <v>128</v>
      </c>
      <c r="F36">
        <v>2</v>
      </c>
      <c r="G36">
        <v>8</v>
      </c>
      <c r="H36" s="19">
        <v>918.22</v>
      </c>
      <c r="I36" s="19">
        <v>12.366</v>
      </c>
      <c r="J36" s="17">
        <v>45457</v>
      </c>
      <c r="K36" s="18">
        <v>0.7502199074074074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65">
        <f>X35</f>
        <v>12.391999999999999</v>
      </c>
    </row>
    <row r="37" spans="1:24" x14ac:dyDescent="0.25">
      <c r="A37" t="s">
        <v>62</v>
      </c>
      <c r="B37">
        <v>3</v>
      </c>
      <c r="C37" t="s">
        <v>7</v>
      </c>
      <c r="D37">
        <v>25728</v>
      </c>
      <c r="E37">
        <v>128</v>
      </c>
      <c r="F37">
        <v>2</v>
      </c>
      <c r="G37">
        <v>8</v>
      </c>
      <c r="H37" s="19">
        <v>919.18</v>
      </c>
      <c r="I37" s="19">
        <v>12.353</v>
      </c>
      <c r="J37" s="17">
        <v>45457</v>
      </c>
      <c r="K37" s="18">
        <v>0.76193287037037039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65">
        <f>X36</f>
        <v>12.391999999999999</v>
      </c>
    </row>
    <row r="38" spans="1:24" x14ac:dyDescent="0.25">
      <c r="A38" t="s">
        <v>62</v>
      </c>
      <c r="B38">
        <v>4</v>
      </c>
      <c r="C38" t="s">
        <v>7</v>
      </c>
      <c r="D38">
        <v>25728</v>
      </c>
      <c r="E38">
        <v>128</v>
      </c>
      <c r="F38">
        <v>2</v>
      </c>
      <c r="G38">
        <v>8</v>
      </c>
      <c r="H38" s="19">
        <v>912.87</v>
      </c>
      <c r="I38" s="19">
        <v>12.438000000000001</v>
      </c>
      <c r="J38" s="17">
        <v>45457</v>
      </c>
      <c r="K38" s="18">
        <v>0.77356481481481476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65">
        <f>X37</f>
        <v>12.391999999999999</v>
      </c>
    </row>
    <row r="39" spans="1:24" x14ac:dyDescent="0.25">
      <c r="A39" t="s">
        <v>63</v>
      </c>
      <c r="B39">
        <v>0</v>
      </c>
      <c r="C39" t="s">
        <v>7</v>
      </c>
      <c r="D39">
        <v>25728</v>
      </c>
      <c r="E39">
        <v>128</v>
      </c>
      <c r="F39">
        <v>2</v>
      </c>
      <c r="G39">
        <v>8</v>
      </c>
      <c r="H39" s="19">
        <v>953.67</v>
      </c>
      <c r="I39" s="19">
        <v>11.906000000000001</v>
      </c>
      <c r="J39" s="17">
        <v>45457</v>
      </c>
      <c r="K39" s="18">
        <v>0.78568287037037032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65">
        <f>AVERAGE(I39:I43)</f>
        <v>11.98</v>
      </c>
    </row>
    <row r="40" spans="1:24" x14ac:dyDescent="0.25">
      <c r="A40" t="s">
        <v>63</v>
      </c>
      <c r="B40">
        <v>1</v>
      </c>
      <c r="C40" t="s">
        <v>7</v>
      </c>
      <c r="D40">
        <v>25728</v>
      </c>
      <c r="E40">
        <v>128</v>
      </c>
      <c r="F40">
        <v>2</v>
      </c>
      <c r="G40">
        <v>8</v>
      </c>
      <c r="H40" s="19">
        <v>945.1</v>
      </c>
      <c r="I40" s="19">
        <v>12.013999999999999</v>
      </c>
      <c r="J40" s="17">
        <v>45457</v>
      </c>
      <c r="K40" s="18">
        <v>0.79768518518518516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65">
        <f>X39</f>
        <v>11.98</v>
      </c>
    </row>
    <row r="41" spans="1:24" x14ac:dyDescent="0.25">
      <c r="A41" t="s">
        <v>63</v>
      </c>
      <c r="B41">
        <v>2</v>
      </c>
      <c r="C41" t="s">
        <v>7</v>
      </c>
      <c r="D41">
        <v>25728</v>
      </c>
      <c r="E41">
        <v>128</v>
      </c>
      <c r="F41">
        <v>2</v>
      </c>
      <c r="G41">
        <v>8</v>
      </c>
      <c r="H41" s="19">
        <v>946.63</v>
      </c>
      <c r="I41" s="19">
        <v>11.994999999999999</v>
      </c>
      <c r="J41" s="17">
        <v>45457</v>
      </c>
      <c r="K41" s="18">
        <v>0.80972222222222223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65">
        <f>X40</f>
        <v>11.98</v>
      </c>
    </row>
    <row r="42" spans="1:24" x14ac:dyDescent="0.25">
      <c r="A42" t="s">
        <v>63</v>
      </c>
      <c r="B42">
        <v>3</v>
      </c>
      <c r="C42" t="s">
        <v>7</v>
      </c>
      <c r="D42">
        <v>25728</v>
      </c>
      <c r="E42">
        <v>128</v>
      </c>
      <c r="F42">
        <v>2</v>
      </c>
      <c r="G42">
        <v>8</v>
      </c>
      <c r="H42" s="19">
        <v>949.12</v>
      </c>
      <c r="I42" s="19">
        <v>11.962999999999999</v>
      </c>
      <c r="J42" s="17">
        <v>45457</v>
      </c>
      <c r="K42" s="18">
        <v>0.82177083333333334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65">
        <f>X41</f>
        <v>11.98</v>
      </c>
    </row>
    <row r="43" spans="1:24" x14ac:dyDescent="0.25">
      <c r="A43" t="s">
        <v>63</v>
      </c>
      <c r="B43">
        <v>4</v>
      </c>
      <c r="C43" t="s">
        <v>7</v>
      </c>
      <c r="D43">
        <v>25728</v>
      </c>
      <c r="E43">
        <v>128</v>
      </c>
      <c r="F43">
        <v>2</v>
      </c>
      <c r="G43">
        <v>8</v>
      </c>
      <c r="H43" s="19">
        <v>944.43</v>
      </c>
      <c r="I43" s="19">
        <v>12.022</v>
      </c>
      <c r="J43" s="17">
        <v>45457</v>
      </c>
      <c r="K43" s="18">
        <v>0.83378472222222222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65">
        <f>X42</f>
        <v>11.98</v>
      </c>
    </row>
    <row r="44" spans="1:24" x14ac:dyDescent="0.25">
      <c r="H44"/>
      <c r="X44"/>
    </row>
    <row r="45" spans="1:24" x14ac:dyDescent="0.25">
      <c r="H45"/>
      <c r="X45"/>
    </row>
    <row r="46" spans="1:24" x14ac:dyDescent="0.25">
      <c r="H46"/>
      <c r="X46"/>
    </row>
    <row r="47" spans="1:24" x14ac:dyDescent="0.25">
      <c r="H47"/>
      <c r="X47"/>
    </row>
    <row r="48" spans="1:24" x14ac:dyDescent="0.25">
      <c r="H48"/>
      <c r="X48"/>
    </row>
    <row r="49" spans="8:24" x14ac:dyDescent="0.25">
      <c r="H49"/>
      <c r="X49"/>
    </row>
    <row r="50" spans="8:24" x14ac:dyDescent="0.25">
      <c r="H50"/>
      <c r="X50"/>
    </row>
    <row r="51" spans="8:24" x14ac:dyDescent="0.25">
      <c r="H51"/>
      <c r="X51"/>
    </row>
    <row r="52" spans="8:24" x14ac:dyDescent="0.25">
      <c r="H52"/>
      <c r="X52"/>
    </row>
    <row r="53" spans="8:24" x14ac:dyDescent="0.25">
      <c r="H53"/>
      <c r="X53"/>
    </row>
    <row r="54" spans="8:24" x14ac:dyDescent="0.25">
      <c r="H54"/>
      <c r="X54"/>
    </row>
    <row r="55" spans="8:24" x14ac:dyDescent="0.25">
      <c r="H55"/>
      <c r="X55"/>
    </row>
    <row r="56" spans="8:24" x14ac:dyDescent="0.25">
      <c r="H56"/>
      <c r="X56"/>
    </row>
    <row r="57" spans="8:24" x14ac:dyDescent="0.25">
      <c r="H57"/>
      <c r="X57"/>
    </row>
    <row r="58" spans="8:24" x14ac:dyDescent="0.25">
      <c r="H58"/>
      <c r="X58"/>
    </row>
    <row r="59" spans="8:24" x14ac:dyDescent="0.25">
      <c r="H59"/>
      <c r="X59"/>
    </row>
    <row r="60" spans="8:24" x14ac:dyDescent="0.25">
      <c r="H60"/>
      <c r="X60"/>
    </row>
    <row r="61" spans="8:24" x14ac:dyDescent="0.25">
      <c r="H61"/>
      <c r="X61"/>
    </row>
    <row r="62" spans="8:24" x14ac:dyDescent="0.25">
      <c r="H62"/>
      <c r="X62"/>
    </row>
    <row r="63" spans="8:24" x14ac:dyDescent="0.25">
      <c r="H63"/>
      <c r="X63"/>
    </row>
    <row r="64" spans="8:24" x14ac:dyDescent="0.25">
      <c r="H64"/>
      <c r="X64"/>
    </row>
  </sheetData>
  <sortState xmlns:xlrd2="http://schemas.microsoft.com/office/spreadsheetml/2017/richdata2" ref="A4:X43">
    <sortCondition descending="1" ref="X4:X43"/>
    <sortCondition ref="A4:A43"/>
    <sortCondition ref="B4:B43"/>
  </sortState>
  <mergeCells count="8">
    <mergeCell ref="B1:E1"/>
    <mergeCell ref="A2:C2"/>
    <mergeCell ref="L1:W1"/>
    <mergeCell ref="X1:X3"/>
    <mergeCell ref="L2:N2"/>
    <mergeCell ref="O2:Q2"/>
    <mergeCell ref="R2:T2"/>
    <mergeCell ref="U2:W2"/>
  </mergeCells>
  <conditionalFormatting sqref="X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5:X1048576 X4:X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CA74-E361-4127-ABFD-15400E34D308}">
  <dimension ref="A1:AC363"/>
  <sheetViews>
    <sheetView workbookViewId="0">
      <selection activeCell="K1" sqref="K1:M1"/>
    </sheetView>
  </sheetViews>
  <sheetFormatPr defaultRowHeight="15" x14ac:dyDescent="0.25"/>
  <cols>
    <col min="3" max="6" width="9.140625" style="25"/>
    <col min="7" max="7" width="10.140625" style="1" bestFit="1" customWidth="1"/>
    <col min="8" max="8" width="13.5703125" style="19" customWidth="1"/>
    <col min="23" max="23" width="9.140625" style="19"/>
    <col min="24" max="24" width="8.140625" style="17" bestFit="1" customWidth="1"/>
    <col min="25" max="25" width="9.140625" style="27"/>
  </cols>
  <sheetData>
    <row r="1" spans="1:29" x14ac:dyDescent="0.25">
      <c r="A1" s="78" t="s">
        <v>92</v>
      </c>
      <c r="B1" s="78"/>
      <c r="C1" s="78"/>
      <c r="D1" s="78"/>
      <c r="E1" s="31">
        <f>MAX(N:N)</f>
        <v>4.4801000000000002</v>
      </c>
      <c r="F1" s="32">
        <f>INDEX(C:C,MATCH(MAX($N:$N),$N:$N,0))</f>
        <v>14400</v>
      </c>
      <c r="G1" s="32">
        <f>INDEX(D:D,MATCH(MAX($N:$N),$N:$N,0))</f>
        <v>96</v>
      </c>
      <c r="H1" s="32">
        <f>INDEX(E:E,MATCH(MAX($N:$N),$N:$N,0))</f>
        <v>2</v>
      </c>
      <c r="I1" s="32">
        <f>INDEX(F:F,MATCH(MAX($N:$N),$N:$N,0))</f>
        <v>2</v>
      </c>
      <c r="J1" s="33"/>
      <c r="K1" s="73" t="s">
        <v>97</v>
      </c>
      <c r="L1" s="73"/>
      <c r="M1" s="73"/>
      <c r="N1" s="74" t="s">
        <v>99</v>
      </c>
      <c r="P1" s="78" t="s">
        <v>92</v>
      </c>
      <c r="Q1" s="78"/>
      <c r="R1" s="78"/>
      <c r="S1" s="78"/>
      <c r="T1" s="31">
        <f>MAX(AC:AC)</f>
        <v>4.4016999999999999</v>
      </c>
      <c r="U1" s="32">
        <f>INDEX(R:R,MATCH(MAX($AC:$AC),$AC:$AC,0))</f>
        <v>14400</v>
      </c>
      <c r="V1" s="32">
        <f>INDEX(S:S,MATCH(MAX($AC:$AC),$AC:$AC,0))</f>
        <v>192</v>
      </c>
      <c r="W1" s="32">
        <f>INDEX(T:T,MATCH(MAX($AC:$AC),$AC:$AC,0))</f>
        <v>1</v>
      </c>
      <c r="X1" s="32">
        <f>INDEX(U:U,MATCH(MAX($AC:$AC),$AC:$AC,0))</f>
        <v>4</v>
      </c>
      <c r="Y1" s="33"/>
      <c r="Z1" s="73" t="s">
        <v>86</v>
      </c>
      <c r="AA1" s="73"/>
      <c r="AB1" s="73"/>
      <c r="AC1" s="74" t="s">
        <v>99</v>
      </c>
    </row>
    <row r="2" spans="1:29" x14ac:dyDescent="0.25">
      <c r="A2" s="72" t="s">
        <v>93</v>
      </c>
      <c r="B2" s="72"/>
      <c r="C2" s="34">
        <f>MAX(H4:H840)</f>
        <v>4.4859</v>
      </c>
      <c r="D2" s="35"/>
      <c r="E2" s="35"/>
      <c r="F2" s="35"/>
      <c r="G2" s="36"/>
      <c r="H2" s="49"/>
      <c r="I2" s="35"/>
      <c r="J2" s="33"/>
      <c r="K2" s="75" t="s">
        <v>88</v>
      </c>
      <c r="L2" s="75"/>
      <c r="M2" s="75"/>
      <c r="N2" s="74"/>
      <c r="P2" s="72" t="s">
        <v>93</v>
      </c>
      <c r="Q2" s="72"/>
      <c r="R2" s="34">
        <f>MAX(W4:W841)</f>
        <v>4.4463999999999997</v>
      </c>
      <c r="S2" s="35"/>
      <c r="T2" s="35"/>
      <c r="U2" s="35"/>
      <c r="V2" s="36"/>
      <c r="W2" s="37"/>
      <c r="X2" s="35"/>
      <c r="Y2" s="33"/>
      <c r="Z2" s="75" t="s">
        <v>89</v>
      </c>
      <c r="AA2" s="75"/>
      <c r="AB2" s="75"/>
      <c r="AC2" s="74"/>
    </row>
    <row r="3" spans="1:29" s="5" customFormat="1" x14ac:dyDescent="0.25">
      <c r="A3" s="38" t="s">
        <v>85</v>
      </c>
      <c r="B3" s="38"/>
      <c r="C3" s="38" t="s">
        <v>1</v>
      </c>
      <c r="D3" s="38" t="s">
        <v>2</v>
      </c>
      <c r="E3" s="38" t="s">
        <v>3</v>
      </c>
      <c r="F3" s="38" t="s">
        <v>4</v>
      </c>
      <c r="G3" s="39" t="s">
        <v>5</v>
      </c>
      <c r="H3" s="48" t="s">
        <v>6</v>
      </c>
      <c r="I3" s="40" t="s">
        <v>87</v>
      </c>
      <c r="J3" s="41" t="s">
        <v>5</v>
      </c>
      <c r="K3" s="38" t="s">
        <v>94</v>
      </c>
      <c r="L3" s="38" t="s">
        <v>95</v>
      </c>
      <c r="M3" s="38" t="s">
        <v>96</v>
      </c>
      <c r="N3" s="74"/>
      <c r="P3" s="38" t="s">
        <v>85</v>
      </c>
      <c r="Q3" s="38"/>
      <c r="R3" s="38" t="s">
        <v>1</v>
      </c>
      <c r="S3" s="38" t="s">
        <v>2</v>
      </c>
      <c r="T3" s="38" t="s">
        <v>3</v>
      </c>
      <c r="U3" s="38" t="s">
        <v>4</v>
      </c>
      <c r="V3" s="39" t="s">
        <v>5</v>
      </c>
      <c r="W3" s="40" t="s">
        <v>6</v>
      </c>
      <c r="X3" s="40" t="s">
        <v>87</v>
      </c>
      <c r="Y3" s="41" t="s">
        <v>5</v>
      </c>
      <c r="Z3" s="38" t="s">
        <v>94</v>
      </c>
      <c r="AA3" s="38" t="s">
        <v>95</v>
      </c>
      <c r="AB3" s="38" t="s">
        <v>96</v>
      </c>
      <c r="AC3" s="74"/>
    </row>
    <row r="4" spans="1:29" s="5" customFormat="1" x14ac:dyDescent="0.25">
      <c r="A4" s="42">
        <v>0</v>
      </c>
      <c r="B4" s="42" t="s">
        <v>7</v>
      </c>
      <c r="C4" s="43">
        <v>12864</v>
      </c>
      <c r="D4" s="43">
        <v>32</v>
      </c>
      <c r="E4" s="43">
        <v>1</v>
      </c>
      <c r="F4" s="43">
        <v>4</v>
      </c>
      <c r="G4" s="43">
        <v>364.79</v>
      </c>
      <c r="H4" s="50">
        <v>3.8910999999999998</v>
      </c>
      <c r="I4" s="23">
        <v>45474</v>
      </c>
      <c r="J4" s="24">
        <v>0.50143518518518515</v>
      </c>
      <c r="K4" s="22">
        <v>0</v>
      </c>
      <c r="L4" s="22">
        <v>0</v>
      </c>
      <c r="M4" s="22">
        <v>0</v>
      </c>
      <c r="N4" s="76">
        <f>AVERAGE(H4:H8)</f>
        <v>3.93302</v>
      </c>
      <c r="P4" s="5">
        <v>0</v>
      </c>
      <c r="Q4" s="5" t="s">
        <v>7</v>
      </c>
      <c r="R4" s="5">
        <v>12864</v>
      </c>
      <c r="S4" s="5">
        <v>32</v>
      </c>
      <c r="T4" s="5">
        <v>1</v>
      </c>
      <c r="U4" s="5">
        <v>4</v>
      </c>
      <c r="V4" s="5">
        <v>403.34</v>
      </c>
      <c r="W4" s="20">
        <v>3.5192000000000001</v>
      </c>
      <c r="X4" s="26">
        <v>45474</v>
      </c>
      <c r="Y4" s="28">
        <v>0.50275462962962958</v>
      </c>
      <c r="Z4" s="5">
        <v>0</v>
      </c>
      <c r="AA4" s="5">
        <v>0</v>
      </c>
      <c r="AB4" s="5">
        <v>0</v>
      </c>
      <c r="AC4" s="77">
        <f>AVERAGE(W4:W8)</f>
        <v>3.5624000000000002</v>
      </c>
    </row>
    <row r="5" spans="1:29" x14ac:dyDescent="0.25">
      <c r="A5" s="44">
        <v>1</v>
      </c>
      <c r="B5" s="44" t="s">
        <v>7</v>
      </c>
      <c r="C5" s="46">
        <v>12864</v>
      </c>
      <c r="D5" s="46">
        <v>32</v>
      </c>
      <c r="E5" s="46">
        <v>1</v>
      </c>
      <c r="F5" s="46">
        <v>4</v>
      </c>
      <c r="G5" s="47">
        <v>362.54</v>
      </c>
      <c r="H5" s="51">
        <v>3.9152999999999998</v>
      </c>
      <c r="I5" s="17">
        <v>45474</v>
      </c>
      <c r="J5" s="18">
        <v>0.7353587962962963</v>
      </c>
      <c r="K5">
        <v>0</v>
      </c>
      <c r="L5">
        <v>0</v>
      </c>
      <c r="M5">
        <v>0</v>
      </c>
      <c r="N5" s="76"/>
      <c r="P5">
        <v>1</v>
      </c>
      <c r="Q5" t="s">
        <v>7</v>
      </c>
      <c r="R5">
        <v>12864</v>
      </c>
      <c r="S5">
        <v>32</v>
      </c>
      <c r="T5">
        <v>1</v>
      </c>
      <c r="U5">
        <v>4</v>
      </c>
      <c r="V5">
        <v>397.66</v>
      </c>
      <c r="W5" s="21">
        <v>3.5695000000000001</v>
      </c>
      <c r="X5" s="26">
        <v>45474</v>
      </c>
      <c r="Y5" s="27">
        <v>0.78759259259259262</v>
      </c>
      <c r="Z5">
        <v>0</v>
      </c>
      <c r="AA5">
        <v>0</v>
      </c>
      <c r="AB5">
        <v>0</v>
      </c>
      <c r="AC5" s="77"/>
    </row>
    <row r="6" spans="1:29" x14ac:dyDescent="0.25">
      <c r="A6" s="44">
        <v>2</v>
      </c>
      <c r="B6" s="44" t="s">
        <v>7</v>
      </c>
      <c r="C6" s="45">
        <v>12864</v>
      </c>
      <c r="D6" s="45">
        <v>32</v>
      </c>
      <c r="E6" s="45">
        <v>1</v>
      </c>
      <c r="F6" s="45">
        <v>4</v>
      </c>
      <c r="G6" s="45">
        <v>359.95</v>
      </c>
      <c r="H6" s="51">
        <v>3.9434</v>
      </c>
      <c r="I6" s="17">
        <v>45474</v>
      </c>
      <c r="J6" s="18">
        <v>0.96913194444444439</v>
      </c>
      <c r="K6">
        <v>0</v>
      </c>
      <c r="L6">
        <v>0</v>
      </c>
      <c r="M6">
        <v>0</v>
      </c>
      <c r="N6" s="76"/>
      <c r="P6">
        <v>2</v>
      </c>
      <c r="Q6" t="s">
        <v>7</v>
      </c>
      <c r="R6">
        <v>12864</v>
      </c>
      <c r="S6">
        <v>32</v>
      </c>
      <c r="T6">
        <v>1</v>
      </c>
      <c r="U6">
        <v>4</v>
      </c>
      <c r="V6">
        <v>397.75</v>
      </c>
      <c r="W6" s="21">
        <v>3.5686</v>
      </c>
      <c r="X6" s="26">
        <v>45475</v>
      </c>
      <c r="Y6" s="27">
        <v>7.1620370370370376E-2</v>
      </c>
      <c r="Z6">
        <v>0</v>
      </c>
      <c r="AA6">
        <v>0</v>
      </c>
      <c r="AB6">
        <v>0</v>
      </c>
      <c r="AC6" s="77"/>
    </row>
    <row r="7" spans="1:29" x14ac:dyDescent="0.25">
      <c r="A7" s="44">
        <v>3</v>
      </c>
      <c r="B7" s="44" t="s">
        <v>7</v>
      </c>
      <c r="C7" s="46">
        <v>12864</v>
      </c>
      <c r="D7" s="46">
        <v>32</v>
      </c>
      <c r="E7" s="46">
        <v>1</v>
      </c>
      <c r="F7" s="46">
        <v>4</v>
      </c>
      <c r="G7" s="47">
        <v>359.17</v>
      </c>
      <c r="H7" s="51">
        <v>3.952</v>
      </c>
      <c r="I7" s="17">
        <v>45475</v>
      </c>
      <c r="J7" s="18">
        <v>0.20274305555555555</v>
      </c>
      <c r="K7">
        <v>0</v>
      </c>
      <c r="L7">
        <v>0</v>
      </c>
      <c r="M7">
        <v>0</v>
      </c>
      <c r="N7" s="76"/>
      <c r="P7">
        <v>3</v>
      </c>
      <c r="Q7" t="s">
        <v>7</v>
      </c>
      <c r="R7">
        <v>12864</v>
      </c>
      <c r="S7">
        <v>32</v>
      </c>
      <c r="T7">
        <v>1</v>
      </c>
      <c r="U7">
        <v>4</v>
      </c>
      <c r="V7">
        <v>395.76</v>
      </c>
      <c r="W7" s="21">
        <v>3.5865999999999998</v>
      </c>
      <c r="X7" s="26">
        <v>45475</v>
      </c>
      <c r="Y7" s="27">
        <v>0.35531249999999998</v>
      </c>
      <c r="Z7">
        <v>0</v>
      </c>
      <c r="AA7">
        <v>0</v>
      </c>
      <c r="AB7">
        <v>0</v>
      </c>
      <c r="AC7" s="77"/>
    </row>
    <row r="8" spans="1:29" x14ac:dyDescent="0.25">
      <c r="A8" s="44">
        <v>4</v>
      </c>
      <c r="B8" s="44" t="s">
        <v>7</v>
      </c>
      <c r="C8" s="46">
        <v>12864</v>
      </c>
      <c r="D8" s="46">
        <v>32</v>
      </c>
      <c r="E8" s="46">
        <v>1</v>
      </c>
      <c r="F8" s="46">
        <v>4</v>
      </c>
      <c r="G8" s="47">
        <v>358.15</v>
      </c>
      <c r="H8" s="51">
        <v>3.9632999999999998</v>
      </c>
      <c r="I8" s="17">
        <v>45475</v>
      </c>
      <c r="J8" s="18">
        <v>0.43623842592592593</v>
      </c>
      <c r="K8">
        <v>0</v>
      </c>
      <c r="L8">
        <v>0</v>
      </c>
      <c r="M8">
        <v>0</v>
      </c>
      <c r="N8" s="76"/>
      <c r="P8">
        <v>4</v>
      </c>
      <c r="Q8" t="s">
        <v>7</v>
      </c>
      <c r="R8">
        <v>12864</v>
      </c>
      <c r="S8">
        <v>32</v>
      </c>
      <c r="T8">
        <v>1</v>
      </c>
      <c r="U8">
        <v>4</v>
      </c>
      <c r="V8">
        <v>397.81</v>
      </c>
      <c r="W8" s="21">
        <v>3.5680999999999998</v>
      </c>
      <c r="X8" s="26">
        <v>45475</v>
      </c>
      <c r="Y8" s="27">
        <v>0.63900462962962967</v>
      </c>
      <c r="Z8">
        <v>0</v>
      </c>
      <c r="AA8">
        <v>0</v>
      </c>
      <c r="AB8">
        <v>0</v>
      </c>
      <c r="AC8" s="77"/>
    </row>
    <row r="9" spans="1:29" x14ac:dyDescent="0.25">
      <c r="A9" s="44">
        <v>0</v>
      </c>
      <c r="B9" s="44" t="s">
        <v>7</v>
      </c>
      <c r="C9" s="45">
        <v>13632</v>
      </c>
      <c r="D9" s="45">
        <v>32</v>
      </c>
      <c r="E9" s="45">
        <v>1</v>
      </c>
      <c r="F9" s="45">
        <v>4</v>
      </c>
      <c r="G9" s="45">
        <v>442.37</v>
      </c>
      <c r="H9" s="51">
        <v>3.8184</v>
      </c>
      <c r="I9" s="17">
        <v>45474</v>
      </c>
      <c r="J9" s="18">
        <v>0.56765046296296295</v>
      </c>
      <c r="K9">
        <v>0</v>
      </c>
      <c r="L9">
        <v>0</v>
      </c>
      <c r="M9">
        <v>0</v>
      </c>
      <c r="N9" s="76">
        <f>AVERAGE(H9:H13)</f>
        <v>3.8563999999999998</v>
      </c>
      <c r="P9">
        <v>0</v>
      </c>
      <c r="Q9" t="s">
        <v>7</v>
      </c>
      <c r="R9">
        <v>13632</v>
      </c>
      <c r="S9">
        <v>32</v>
      </c>
      <c r="T9">
        <v>1</v>
      </c>
      <c r="U9">
        <v>4</v>
      </c>
      <c r="V9">
        <v>465.9</v>
      </c>
      <c r="W9" s="21">
        <v>3.6255000000000002</v>
      </c>
      <c r="X9" s="26">
        <v>45474</v>
      </c>
      <c r="Y9" s="27">
        <v>0.58527777777777779</v>
      </c>
      <c r="Z9">
        <v>0</v>
      </c>
      <c r="AA9">
        <v>0</v>
      </c>
      <c r="AB9">
        <v>0</v>
      </c>
      <c r="AC9" s="77">
        <f t="shared" ref="AC9" si="0">AVERAGE(W9:W13)</f>
        <v>3.6240600000000001</v>
      </c>
    </row>
    <row r="10" spans="1:29" x14ac:dyDescent="0.25">
      <c r="A10" s="44">
        <v>1</v>
      </c>
      <c r="B10" s="44" t="s">
        <v>7</v>
      </c>
      <c r="C10" s="46">
        <v>13632</v>
      </c>
      <c r="D10" s="46">
        <v>32</v>
      </c>
      <c r="E10" s="46">
        <v>1</v>
      </c>
      <c r="F10" s="46">
        <v>4</v>
      </c>
      <c r="G10" s="47">
        <v>439.55</v>
      </c>
      <c r="H10" s="51">
        <v>3.8429000000000002</v>
      </c>
      <c r="I10" s="17">
        <v>45474</v>
      </c>
      <c r="J10" s="18">
        <v>0.80146990740740742</v>
      </c>
      <c r="K10">
        <v>0</v>
      </c>
      <c r="L10">
        <v>0</v>
      </c>
      <c r="M10">
        <v>0</v>
      </c>
      <c r="N10" s="76"/>
      <c r="P10">
        <v>1</v>
      </c>
      <c r="Q10" t="s">
        <v>7</v>
      </c>
      <c r="R10">
        <v>13632</v>
      </c>
      <c r="S10">
        <v>32</v>
      </c>
      <c r="T10">
        <v>1</v>
      </c>
      <c r="U10">
        <v>4</v>
      </c>
      <c r="V10">
        <v>465.74</v>
      </c>
      <c r="W10" s="21">
        <v>3.6267999999999998</v>
      </c>
      <c r="X10" s="26">
        <v>45474</v>
      </c>
      <c r="Y10" s="27">
        <v>0.87</v>
      </c>
      <c r="Z10">
        <v>0</v>
      </c>
      <c r="AA10">
        <v>0</v>
      </c>
      <c r="AB10">
        <v>0</v>
      </c>
      <c r="AC10" s="77"/>
    </row>
    <row r="11" spans="1:29" x14ac:dyDescent="0.25">
      <c r="A11" s="44">
        <v>2</v>
      </c>
      <c r="B11" s="44" t="s">
        <v>7</v>
      </c>
      <c r="C11" s="46">
        <v>13632</v>
      </c>
      <c r="D11" s="46">
        <v>32</v>
      </c>
      <c r="E11" s="46">
        <v>1</v>
      </c>
      <c r="F11" s="46">
        <v>4</v>
      </c>
      <c r="G11" s="47">
        <v>438.1</v>
      </c>
      <c r="H11" s="51">
        <v>3.8555000000000001</v>
      </c>
      <c r="I11" s="17">
        <v>45475</v>
      </c>
      <c r="J11" s="18">
        <v>3.5196759259259261E-2</v>
      </c>
      <c r="K11">
        <v>0</v>
      </c>
      <c r="L11">
        <v>0</v>
      </c>
      <c r="M11">
        <v>0</v>
      </c>
      <c r="N11" s="76"/>
      <c r="P11">
        <v>2</v>
      </c>
      <c r="Q11" t="s">
        <v>7</v>
      </c>
      <c r="R11">
        <v>13632</v>
      </c>
      <c r="S11">
        <v>32</v>
      </c>
      <c r="T11">
        <v>1</v>
      </c>
      <c r="U11">
        <v>4</v>
      </c>
      <c r="V11">
        <v>467.73</v>
      </c>
      <c r="W11" s="21">
        <v>3.6113</v>
      </c>
      <c r="X11" s="26">
        <v>45475</v>
      </c>
      <c r="Y11" s="27">
        <v>0.15378472222222223</v>
      </c>
      <c r="Z11">
        <v>0</v>
      </c>
      <c r="AA11">
        <v>0</v>
      </c>
      <c r="AB11">
        <v>0</v>
      </c>
      <c r="AC11" s="77"/>
    </row>
    <row r="12" spans="1:29" x14ac:dyDescent="0.25">
      <c r="A12" s="42">
        <v>3</v>
      </c>
      <c r="B12" s="42" t="s">
        <v>7</v>
      </c>
      <c r="C12" s="43">
        <v>13632</v>
      </c>
      <c r="D12" s="43">
        <v>32</v>
      </c>
      <c r="E12" s="43">
        <v>1</v>
      </c>
      <c r="F12" s="43">
        <v>4</v>
      </c>
      <c r="G12" s="43">
        <v>434.6</v>
      </c>
      <c r="H12" s="50">
        <v>3.8866000000000001</v>
      </c>
      <c r="I12" s="23">
        <v>45475</v>
      </c>
      <c r="J12" s="24">
        <v>0.26870370370370372</v>
      </c>
      <c r="K12" s="22">
        <v>0</v>
      </c>
      <c r="L12" s="22">
        <v>0</v>
      </c>
      <c r="M12" s="22">
        <v>0</v>
      </c>
      <c r="N12" s="76"/>
      <c r="P12">
        <v>3</v>
      </c>
      <c r="Q12" t="s">
        <v>7</v>
      </c>
      <c r="R12">
        <v>13632</v>
      </c>
      <c r="S12">
        <v>32</v>
      </c>
      <c r="T12">
        <v>1</v>
      </c>
      <c r="U12">
        <v>4</v>
      </c>
      <c r="V12">
        <v>465.5</v>
      </c>
      <c r="W12" s="21">
        <v>3.6286</v>
      </c>
      <c r="X12" s="26">
        <v>45475</v>
      </c>
      <c r="Y12" s="27">
        <v>0.43761574074074072</v>
      </c>
      <c r="Z12">
        <v>0</v>
      </c>
      <c r="AA12">
        <v>0</v>
      </c>
      <c r="AB12">
        <v>0</v>
      </c>
      <c r="AC12" s="77"/>
    </row>
    <row r="13" spans="1:29" x14ac:dyDescent="0.25">
      <c r="A13" s="44">
        <v>4</v>
      </c>
      <c r="B13" s="44" t="s">
        <v>7</v>
      </c>
      <c r="C13" s="46">
        <v>13632</v>
      </c>
      <c r="D13" s="46">
        <v>32</v>
      </c>
      <c r="E13" s="46">
        <v>1</v>
      </c>
      <c r="F13" s="46">
        <v>4</v>
      </c>
      <c r="G13" s="47">
        <v>435.5</v>
      </c>
      <c r="H13" s="51">
        <v>3.8786</v>
      </c>
      <c r="I13" s="17">
        <v>45475</v>
      </c>
      <c r="J13" s="18">
        <v>0.50222222222222224</v>
      </c>
      <c r="K13">
        <v>0</v>
      </c>
      <c r="L13">
        <v>0</v>
      </c>
      <c r="M13">
        <v>0</v>
      </c>
      <c r="N13" s="76"/>
      <c r="P13">
        <v>4</v>
      </c>
      <c r="Q13" t="s">
        <v>7</v>
      </c>
      <c r="R13">
        <v>13632</v>
      </c>
      <c r="S13">
        <v>32</v>
      </c>
      <c r="T13">
        <v>1</v>
      </c>
      <c r="U13">
        <v>4</v>
      </c>
      <c r="V13">
        <v>465.57</v>
      </c>
      <c r="W13" s="21">
        <v>3.6280999999999999</v>
      </c>
      <c r="X13" s="26">
        <v>45475</v>
      </c>
      <c r="Y13" s="27">
        <v>0.72135416666666663</v>
      </c>
      <c r="Z13">
        <v>0</v>
      </c>
      <c r="AA13">
        <v>0</v>
      </c>
      <c r="AB13">
        <v>0</v>
      </c>
      <c r="AC13" s="77"/>
    </row>
    <row r="14" spans="1:29" x14ac:dyDescent="0.25">
      <c r="A14" s="44">
        <v>0</v>
      </c>
      <c r="B14" s="44" t="s">
        <v>7</v>
      </c>
      <c r="C14" s="46">
        <v>14400</v>
      </c>
      <c r="D14" s="46">
        <v>32</v>
      </c>
      <c r="E14" s="46">
        <v>1</v>
      </c>
      <c r="F14" s="46">
        <v>4</v>
      </c>
      <c r="G14" s="47">
        <v>497.96</v>
      </c>
      <c r="H14" s="51">
        <v>3.9982000000000002</v>
      </c>
      <c r="I14" s="17">
        <v>45474</v>
      </c>
      <c r="J14" s="18">
        <v>0.64619212962962957</v>
      </c>
      <c r="K14">
        <v>0</v>
      </c>
      <c r="L14">
        <v>0</v>
      </c>
      <c r="M14">
        <v>0</v>
      </c>
      <c r="N14" s="76">
        <f>AVERAGE(H14:H18)</f>
        <v>3.9519799999999998</v>
      </c>
      <c r="P14">
        <v>0</v>
      </c>
      <c r="Q14" t="s">
        <v>7</v>
      </c>
      <c r="R14">
        <v>14400</v>
      </c>
      <c r="S14">
        <v>32</v>
      </c>
      <c r="T14">
        <v>1</v>
      </c>
      <c r="U14">
        <v>4</v>
      </c>
      <c r="V14">
        <v>530.91</v>
      </c>
      <c r="W14" s="21">
        <v>3.7501000000000002</v>
      </c>
      <c r="X14" s="26">
        <v>45474</v>
      </c>
      <c r="Y14" s="27">
        <v>0.68056712962962962</v>
      </c>
      <c r="Z14">
        <v>0</v>
      </c>
      <c r="AA14">
        <v>0</v>
      </c>
      <c r="AB14">
        <v>0</v>
      </c>
      <c r="AC14" s="77">
        <f t="shared" ref="AC14" si="1">AVERAGE(W14:W18)</f>
        <v>3.7233800000000001</v>
      </c>
    </row>
    <row r="15" spans="1:29" x14ac:dyDescent="0.25">
      <c r="A15" s="42">
        <v>1</v>
      </c>
      <c r="B15" s="42" t="s">
        <v>7</v>
      </c>
      <c r="C15" s="43">
        <v>14400</v>
      </c>
      <c r="D15" s="43">
        <v>32</v>
      </c>
      <c r="E15" s="43">
        <v>1</v>
      </c>
      <c r="F15" s="43">
        <v>4</v>
      </c>
      <c r="G15" s="43">
        <v>506.11</v>
      </c>
      <c r="H15" s="50">
        <v>3.9339</v>
      </c>
      <c r="I15" s="23">
        <v>45474</v>
      </c>
      <c r="J15" s="24">
        <v>0.87993055555555555</v>
      </c>
      <c r="K15" s="22">
        <v>0</v>
      </c>
      <c r="L15" s="22">
        <v>0</v>
      </c>
      <c r="M15" s="22">
        <v>0</v>
      </c>
      <c r="N15" s="76"/>
      <c r="P15">
        <v>1</v>
      </c>
      <c r="Q15" t="s">
        <v>7</v>
      </c>
      <c r="R15">
        <v>14400</v>
      </c>
      <c r="S15">
        <v>32</v>
      </c>
      <c r="T15">
        <v>1</v>
      </c>
      <c r="U15">
        <v>4</v>
      </c>
      <c r="V15">
        <v>535.69000000000005</v>
      </c>
      <c r="W15" s="21">
        <v>3.7166000000000001</v>
      </c>
      <c r="X15" s="26">
        <v>45474</v>
      </c>
      <c r="Y15" s="27">
        <v>0.9650347222222222</v>
      </c>
      <c r="Z15">
        <v>0</v>
      </c>
      <c r="AA15">
        <v>0</v>
      </c>
      <c r="AB15">
        <v>0</v>
      </c>
      <c r="AC15" s="77"/>
    </row>
    <row r="16" spans="1:29" x14ac:dyDescent="0.25">
      <c r="A16" s="44">
        <v>2</v>
      </c>
      <c r="B16" s="44" t="s">
        <v>7</v>
      </c>
      <c r="C16" s="46">
        <v>14400</v>
      </c>
      <c r="D16" s="46">
        <v>32</v>
      </c>
      <c r="E16" s="46">
        <v>1</v>
      </c>
      <c r="F16" s="46">
        <v>4</v>
      </c>
      <c r="G16" s="47">
        <v>506.08</v>
      </c>
      <c r="H16" s="51">
        <v>3.9340999999999999</v>
      </c>
      <c r="I16" s="17">
        <v>45475</v>
      </c>
      <c r="J16" s="18">
        <v>0.11358796296296296</v>
      </c>
      <c r="K16">
        <v>0</v>
      </c>
      <c r="L16">
        <v>0</v>
      </c>
      <c r="M16">
        <v>0</v>
      </c>
      <c r="N16" s="76"/>
      <c r="P16">
        <v>2</v>
      </c>
      <c r="Q16" t="s">
        <v>7</v>
      </c>
      <c r="R16">
        <v>14400</v>
      </c>
      <c r="S16">
        <v>32</v>
      </c>
      <c r="T16">
        <v>1</v>
      </c>
      <c r="U16">
        <v>4</v>
      </c>
      <c r="V16">
        <v>535.07000000000005</v>
      </c>
      <c r="W16" s="21">
        <v>3.7210000000000001</v>
      </c>
      <c r="X16" s="26">
        <v>45475</v>
      </c>
      <c r="Y16" s="27">
        <v>0.24886574074074075</v>
      </c>
      <c r="Z16">
        <v>0</v>
      </c>
      <c r="AA16">
        <v>0</v>
      </c>
      <c r="AB16">
        <v>0</v>
      </c>
      <c r="AC16" s="77"/>
    </row>
    <row r="17" spans="1:29" x14ac:dyDescent="0.25">
      <c r="A17" s="44">
        <v>3</v>
      </c>
      <c r="B17" s="44" t="s">
        <v>7</v>
      </c>
      <c r="C17" s="45">
        <v>14400</v>
      </c>
      <c r="D17" s="45">
        <v>32</v>
      </c>
      <c r="E17" s="45">
        <v>1</v>
      </c>
      <c r="F17" s="45">
        <v>4</v>
      </c>
      <c r="G17" s="45">
        <v>504.58</v>
      </c>
      <c r="H17" s="51">
        <v>3.9458000000000002</v>
      </c>
      <c r="I17" s="17">
        <v>45475</v>
      </c>
      <c r="J17" s="18">
        <v>0.34710648148148149</v>
      </c>
      <c r="K17">
        <v>0</v>
      </c>
      <c r="L17">
        <v>0</v>
      </c>
      <c r="M17">
        <v>0</v>
      </c>
      <c r="N17" s="76"/>
      <c r="P17">
        <v>3</v>
      </c>
      <c r="Q17" t="s">
        <v>7</v>
      </c>
      <c r="R17">
        <v>14400</v>
      </c>
      <c r="S17">
        <v>32</v>
      </c>
      <c r="T17">
        <v>1</v>
      </c>
      <c r="U17">
        <v>4</v>
      </c>
      <c r="V17">
        <v>535.15</v>
      </c>
      <c r="W17" s="21">
        <v>3.7204000000000002</v>
      </c>
      <c r="X17" s="26">
        <v>45475</v>
      </c>
      <c r="Y17" s="27">
        <v>0.5324768518518519</v>
      </c>
      <c r="Z17">
        <v>0</v>
      </c>
      <c r="AA17">
        <v>0</v>
      </c>
      <c r="AB17">
        <v>0</v>
      </c>
      <c r="AC17" s="77"/>
    </row>
    <row r="18" spans="1:29" x14ac:dyDescent="0.25">
      <c r="A18" s="44">
        <v>4</v>
      </c>
      <c r="B18" s="44" t="s">
        <v>7</v>
      </c>
      <c r="C18" s="46">
        <v>14400</v>
      </c>
      <c r="D18" s="46">
        <v>32</v>
      </c>
      <c r="E18" s="46">
        <v>1</v>
      </c>
      <c r="F18" s="46">
        <v>4</v>
      </c>
      <c r="G18" s="47">
        <v>504.31</v>
      </c>
      <c r="H18" s="51">
        <v>3.9479000000000002</v>
      </c>
      <c r="I18" s="17">
        <v>45475</v>
      </c>
      <c r="J18" s="18">
        <v>0.58054398148148145</v>
      </c>
      <c r="K18">
        <v>0</v>
      </c>
      <c r="L18">
        <v>0</v>
      </c>
      <c r="M18">
        <v>0</v>
      </c>
      <c r="N18" s="76"/>
      <c r="P18">
        <v>4</v>
      </c>
      <c r="Q18" t="s">
        <v>7</v>
      </c>
      <c r="R18">
        <v>14400</v>
      </c>
      <c r="S18">
        <v>32</v>
      </c>
      <c r="T18">
        <v>1</v>
      </c>
      <c r="U18">
        <v>4</v>
      </c>
      <c r="V18">
        <v>536.82000000000005</v>
      </c>
      <c r="W18" s="21">
        <v>3.7088000000000001</v>
      </c>
      <c r="X18" s="26">
        <v>45475</v>
      </c>
      <c r="Y18" s="27">
        <v>0.81579861111111107</v>
      </c>
      <c r="Z18">
        <v>0</v>
      </c>
      <c r="AA18">
        <v>0</v>
      </c>
      <c r="AB18">
        <v>0</v>
      </c>
      <c r="AC18" s="77"/>
    </row>
    <row r="19" spans="1:29" x14ac:dyDescent="0.25">
      <c r="A19" s="44">
        <v>0</v>
      </c>
      <c r="B19" s="44" t="s">
        <v>7</v>
      </c>
      <c r="C19" s="45">
        <v>12864</v>
      </c>
      <c r="D19" s="45">
        <v>32</v>
      </c>
      <c r="E19" s="45">
        <v>2</v>
      </c>
      <c r="F19" s="45">
        <v>2</v>
      </c>
      <c r="G19" s="45">
        <v>362.61</v>
      </c>
      <c r="H19" s="51">
        <v>3.9144000000000001</v>
      </c>
      <c r="I19" s="17">
        <v>45474</v>
      </c>
      <c r="J19" s="18">
        <v>0.50581018518518517</v>
      </c>
      <c r="K19">
        <v>0</v>
      </c>
      <c r="L19">
        <v>0</v>
      </c>
      <c r="M19">
        <v>0</v>
      </c>
      <c r="N19" s="76">
        <f>AVERAGE(H19:H23)</f>
        <v>3.9397000000000006</v>
      </c>
      <c r="P19">
        <v>0</v>
      </c>
      <c r="Q19" t="s">
        <v>7</v>
      </c>
      <c r="R19">
        <v>12864</v>
      </c>
      <c r="S19">
        <v>32</v>
      </c>
      <c r="T19">
        <v>2</v>
      </c>
      <c r="U19">
        <v>2</v>
      </c>
      <c r="V19">
        <v>401.01</v>
      </c>
      <c r="W19" s="21">
        <v>3.5396000000000001</v>
      </c>
      <c r="X19" s="26">
        <v>45474</v>
      </c>
      <c r="Y19" s="27">
        <v>0.50840277777777776</v>
      </c>
      <c r="Z19">
        <v>0</v>
      </c>
      <c r="AA19">
        <v>0</v>
      </c>
      <c r="AB19">
        <v>0</v>
      </c>
      <c r="AC19" s="77">
        <f t="shared" ref="AC19" si="2">AVERAGE(W19:W23)</f>
        <v>3.5679799999999999</v>
      </c>
    </row>
    <row r="20" spans="1:29" x14ac:dyDescent="0.25">
      <c r="A20" s="44">
        <v>1</v>
      </c>
      <c r="B20" s="44" t="s">
        <v>7</v>
      </c>
      <c r="C20" s="46">
        <v>12864</v>
      </c>
      <c r="D20" s="46">
        <v>32</v>
      </c>
      <c r="E20" s="46">
        <v>2</v>
      </c>
      <c r="F20" s="46">
        <v>2</v>
      </c>
      <c r="G20" s="47">
        <v>360.47</v>
      </c>
      <c r="H20" s="51">
        <v>3.9377</v>
      </c>
      <c r="I20" s="17">
        <v>45474</v>
      </c>
      <c r="J20" s="18">
        <v>0.73972222222222217</v>
      </c>
      <c r="K20">
        <v>0</v>
      </c>
      <c r="L20">
        <v>0</v>
      </c>
      <c r="M20">
        <v>0</v>
      </c>
      <c r="N20" s="76"/>
      <c r="P20">
        <v>1</v>
      </c>
      <c r="Q20" t="s">
        <v>7</v>
      </c>
      <c r="R20">
        <v>12864</v>
      </c>
      <c r="S20">
        <v>32</v>
      </c>
      <c r="T20">
        <v>2</v>
      </c>
      <c r="U20">
        <v>2</v>
      </c>
      <c r="V20">
        <v>397.56</v>
      </c>
      <c r="W20" s="21">
        <v>3.5703</v>
      </c>
      <c r="X20" s="26">
        <v>45474</v>
      </c>
      <c r="Y20" s="27">
        <v>0.79320601851851846</v>
      </c>
      <c r="Z20">
        <v>0</v>
      </c>
      <c r="AA20">
        <v>0</v>
      </c>
      <c r="AB20">
        <v>0</v>
      </c>
      <c r="AC20" s="77"/>
    </row>
    <row r="21" spans="1:29" x14ac:dyDescent="0.25">
      <c r="A21" s="44">
        <v>2</v>
      </c>
      <c r="B21" s="44" t="s">
        <v>7</v>
      </c>
      <c r="C21" s="46">
        <v>12864</v>
      </c>
      <c r="D21" s="46">
        <v>32</v>
      </c>
      <c r="E21" s="46">
        <v>2</v>
      </c>
      <c r="F21" s="46">
        <v>2</v>
      </c>
      <c r="G21" s="47">
        <v>360.09</v>
      </c>
      <c r="H21" s="51">
        <v>3.9419</v>
      </c>
      <c r="I21" s="17">
        <v>45474</v>
      </c>
      <c r="J21" s="18">
        <v>0.97348379629629633</v>
      </c>
      <c r="K21">
        <v>0</v>
      </c>
      <c r="L21">
        <v>0</v>
      </c>
      <c r="M21">
        <v>0</v>
      </c>
      <c r="N21" s="76"/>
      <c r="P21">
        <v>2</v>
      </c>
      <c r="Q21" t="s">
        <v>7</v>
      </c>
      <c r="R21">
        <v>12864</v>
      </c>
      <c r="S21">
        <v>32</v>
      </c>
      <c r="T21">
        <v>2</v>
      </c>
      <c r="U21">
        <v>2</v>
      </c>
      <c r="V21">
        <v>396.29</v>
      </c>
      <c r="W21" s="21">
        <v>3.5817999999999999</v>
      </c>
      <c r="X21" s="26">
        <v>45475</v>
      </c>
      <c r="Y21" s="27">
        <v>7.722222222222222E-2</v>
      </c>
      <c r="Z21">
        <v>0</v>
      </c>
      <c r="AA21">
        <v>0</v>
      </c>
      <c r="AB21">
        <v>0</v>
      </c>
      <c r="AC21" s="77"/>
    </row>
    <row r="22" spans="1:29" x14ac:dyDescent="0.25">
      <c r="A22" s="42">
        <v>3</v>
      </c>
      <c r="B22" s="42" t="s">
        <v>7</v>
      </c>
      <c r="C22" s="43">
        <v>12864</v>
      </c>
      <c r="D22" s="43">
        <v>32</v>
      </c>
      <c r="E22" s="43">
        <v>2</v>
      </c>
      <c r="F22" s="43">
        <v>2</v>
      </c>
      <c r="G22" s="43">
        <v>359.69</v>
      </c>
      <c r="H22" s="50">
        <v>3.9462000000000002</v>
      </c>
      <c r="I22" s="23">
        <v>45475</v>
      </c>
      <c r="J22" s="24">
        <v>0.20708333333333334</v>
      </c>
      <c r="K22" s="22">
        <v>0</v>
      </c>
      <c r="L22" s="22">
        <v>0</v>
      </c>
      <c r="M22" s="22">
        <v>0</v>
      </c>
      <c r="N22" s="76"/>
      <c r="P22">
        <v>3</v>
      </c>
      <c r="Q22" t="s">
        <v>7</v>
      </c>
      <c r="R22">
        <v>12864</v>
      </c>
      <c r="S22">
        <v>32</v>
      </c>
      <c r="T22">
        <v>2</v>
      </c>
      <c r="U22">
        <v>2</v>
      </c>
      <c r="V22">
        <v>397.1</v>
      </c>
      <c r="W22" s="21">
        <v>3.5745</v>
      </c>
      <c r="X22" s="26">
        <v>45475</v>
      </c>
      <c r="Y22" s="27">
        <v>0.36092592592592593</v>
      </c>
      <c r="Z22">
        <v>0</v>
      </c>
      <c r="AA22">
        <v>0</v>
      </c>
      <c r="AB22">
        <v>0</v>
      </c>
      <c r="AC22" s="77"/>
    </row>
    <row r="23" spans="1:29" x14ac:dyDescent="0.25">
      <c r="A23" s="44">
        <v>4</v>
      </c>
      <c r="B23" s="44" t="s">
        <v>7</v>
      </c>
      <c r="C23" s="46">
        <v>12864</v>
      </c>
      <c r="D23" s="46">
        <v>32</v>
      </c>
      <c r="E23" s="46">
        <v>2</v>
      </c>
      <c r="F23" s="46">
        <v>2</v>
      </c>
      <c r="G23" s="47">
        <v>358.59</v>
      </c>
      <c r="H23" s="51">
        <v>3.9582999999999999</v>
      </c>
      <c r="I23" s="17">
        <v>45475</v>
      </c>
      <c r="J23" s="18">
        <v>0.44056712962962963</v>
      </c>
      <c r="K23">
        <v>0</v>
      </c>
      <c r="L23">
        <v>0</v>
      </c>
      <c r="M23">
        <v>0</v>
      </c>
      <c r="N23" s="76"/>
      <c r="P23">
        <v>4</v>
      </c>
      <c r="Q23" t="s">
        <v>7</v>
      </c>
      <c r="R23">
        <v>12864</v>
      </c>
      <c r="S23">
        <v>32</v>
      </c>
      <c r="T23">
        <v>2</v>
      </c>
      <c r="U23">
        <v>2</v>
      </c>
      <c r="V23">
        <v>397.18</v>
      </c>
      <c r="W23" s="21">
        <v>3.5737000000000001</v>
      </c>
      <c r="X23" s="26">
        <v>45475</v>
      </c>
      <c r="Y23" s="27">
        <v>0.64460648148148147</v>
      </c>
      <c r="Z23">
        <v>0</v>
      </c>
      <c r="AA23">
        <v>0</v>
      </c>
      <c r="AB23">
        <v>0</v>
      </c>
      <c r="AC23" s="77"/>
    </row>
    <row r="24" spans="1:29" x14ac:dyDescent="0.25">
      <c r="A24" s="44">
        <v>0</v>
      </c>
      <c r="B24" s="44" t="s">
        <v>7</v>
      </c>
      <c r="C24" s="46">
        <v>13632</v>
      </c>
      <c r="D24" s="46">
        <v>32</v>
      </c>
      <c r="E24" s="46">
        <v>2</v>
      </c>
      <c r="F24" s="46">
        <v>2</v>
      </c>
      <c r="G24" s="47">
        <v>435.7</v>
      </c>
      <c r="H24" s="51">
        <v>3.8767999999999998</v>
      </c>
      <c r="I24" s="17">
        <v>45474</v>
      </c>
      <c r="J24" s="18">
        <v>0.57290509259259259</v>
      </c>
      <c r="K24">
        <v>0</v>
      </c>
      <c r="L24">
        <v>0</v>
      </c>
      <c r="M24">
        <v>0</v>
      </c>
      <c r="N24" s="76">
        <f>AVERAGE(H24:H28)</f>
        <v>3.89724</v>
      </c>
      <c r="P24">
        <v>0</v>
      </c>
      <c r="Q24" t="s">
        <v>7</v>
      </c>
      <c r="R24">
        <v>13632</v>
      </c>
      <c r="S24">
        <v>32</v>
      </c>
      <c r="T24">
        <v>2</v>
      </c>
      <c r="U24">
        <v>2</v>
      </c>
      <c r="V24">
        <v>465.56</v>
      </c>
      <c r="W24" s="21">
        <v>3.6280999999999999</v>
      </c>
      <c r="X24" s="26">
        <v>45474</v>
      </c>
      <c r="Y24" s="27">
        <v>0.59179398148148143</v>
      </c>
      <c r="Z24">
        <v>0</v>
      </c>
      <c r="AA24">
        <v>0</v>
      </c>
      <c r="AB24">
        <v>0</v>
      </c>
      <c r="AC24" s="77">
        <f t="shared" ref="AC24" si="3">AVERAGE(W24:W28)</f>
        <v>3.6387</v>
      </c>
    </row>
    <row r="25" spans="1:29" x14ac:dyDescent="0.25">
      <c r="A25" s="42">
        <v>1</v>
      </c>
      <c r="B25" s="42" t="s">
        <v>7</v>
      </c>
      <c r="C25" s="43">
        <v>13632</v>
      </c>
      <c r="D25" s="43">
        <v>32</v>
      </c>
      <c r="E25" s="43">
        <v>2</v>
      </c>
      <c r="F25" s="43">
        <v>2</v>
      </c>
      <c r="G25" s="43">
        <v>433.24</v>
      </c>
      <c r="H25" s="50">
        <v>3.8988</v>
      </c>
      <c r="I25" s="23">
        <v>45474</v>
      </c>
      <c r="J25" s="24">
        <v>0.80668981481481483</v>
      </c>
      <c r="K25" s="22">
        <v>0</v>
      </c>
      <c r="L25" s="22">
        <v>0</v>
      </c>
      <c r="M25" s="22">
        <v>0</v>
      </c>
      <c r="N25" s="76"/>
      <c r="P25">
        <v>1</v>
      </c>
      <c r="Q25" t="s">
        <v>7</v>
      </c>
      <c r="R25">
        <v>13632</v>
      </c>
      <c r="S25">
        <v>32</v>
      </c>
      <c r="T25">
        <v>2</v>
      </c>
      <c r="U25">
        <v>2</v>
      </c>
      <c r="V25">
        <v>462.2</v>
      </c>
      <c r="W25" s="21">
        <v>3.6545000000000001</v>
      </c>
      <c r="X25" s="26">
        <v>45474</v>
      </c>
      <c r="Y25" s="27">
        <v>0.87648148148148153</v>
      </c>
      <c r="Z25">
        <v>0</v>
      </c>
      <c r="AA25">
        <v>0</v>
      </c>
      <c r="AB25">
        <v>0</v>
      </c>
      <c r="AC25" s="77"/>
    </row>
    <row r="26" spans="1:29" x14ac:dyDescent="0.25">
      <c r="A26" s="44">
        <v>2</v>
      </c>
      <c r="B26" s="44" t="s">
        <v>7</v>
      </c>
      <c r="C26" s="46">
        <v>13632</v>
      </c>
      <c r="D26" s="46">
        <v>32</v>
      </c>
      <c r="E26" s="46">
        <v>2</v>
      </c>
      <c r="F26" s="46">
        <v>2</v>
      </c>
      <c r="G26" s="47">
        <v>433.46</v>
      </c>
      <c r="H26" s="51">
        <v>3.8969</v>
      </c>
      <c r="I26" s="17">
        <v>45475</v>
      </c>
      <c r="J26" s="18">
        <v>4.0416666666666663E-2</v>
      </c>
      <c r="K26">
        <v>0</v>
      </c>
      <c r="L26">
        <v>0</v>
      </c>
      <c r="M26">
        <v>0</v>
      </c>
      <c r="N26" s="76"/>
      <c r="P26">
        <v>2</v>
      </c>
      <c r="Q26" t="s">
        <v>7</v>
      </c>
      <c r="R26">
        <v>13632</v>
      </c>
      <c r="S26">
        <v>32</v>
      </c>
      <c r="T26">
        <v>2</v>
      </c>
      <c r="U26">
        <v>2</v>
      </c>
      <c r="V26">
        <v>464.24</v>
      </c>
      <c r="W26" s="21">
        <v>3.6383999999999999</v>
      </c>
      <c r="X26" s="26">
        <v>45475</v>
      </c>
      <c r="Y26" s="27">
        <v>0.16028935185185186</v>
      </c>
      <c r="Z26">
        <v>0</v>
      </c>
      <c r="AA26">
        <v>0</v>
      </c>
      <c r="AB26">
        <v>0</v>
      </c>
      <c r="AC26" s="77"/>
    </row>
    <row r="27" spans="1:29" x14ac:dyDescent="0.25">
      <c r="A27" s="44">
        <v>3</v>
      </c>
      <c r="B27" s="44" t="s">
        <v>7</v>
      </c>
      <c r="C27" s="45">
        <v>13632</v>
      </c>
      <c r="D27" s="45">
        <v>32</v>
      </c>
      <c r="E27" s="45">
        <v>2</v>
      </c>
      <c r="F27" s="45">
        <v>2</v>
      </c>
      <c r="G27" s="45">
        <v>432.75</v>
      </c>
      <c r="H27" s="51">
        <v>3.9032</v>
      </c>
      <c r="I27" s="17">
        <v>45475</v>
      </c>
      <c r="J27" s="18">
        <v>0.27392361111111113</v>
      </c>
      <c r="K27">
        <v>0</v>
      </c>
      <c r="L27">
        <v>0</v>
      </c>
      <c r="M27">
        <v>0</v>
      </c>
      <c r="N27" s="76"/>
      <c r="P27">
        <v>3</v>
      </c>
      <c r="Q27" t="s">
        <v>7</v>
      </c>
      <c r="R27">
        <v>13632</v>
      </c>
      <c r="S27">
        <v>32</v>
      </c>
      <c r="T27">
        <v>2</v>
      </c>
      <c r="U27">
        <v>2</v>
      </c>
      <c r="V27">
        <v>464.65</v>
      </c>
      <c r="W27" s="21">
        <v>3.6352000000000002</v>
      </c>
      <c r="X27" s="26">
        <v>45475</v>
      </c>
      <c r="Y27" s="27">
        <v>0.44410879629629629</v>
      </c>
      <c r="Z27">
        <v>0</v>
      </c>
      <c r="AA27">
        <v>0</v>
      </c>
      <c r="AB27">
        <v>0</v>
      </c>
      <c r="AC27" s="77"/>
    </row>
    <row r="28" spans="1:29" x14ac:dyDescent="0.25">
      <c r="A28" s="44">
        <v>4</v>
      </c>
      <c r="B28" s="44" t="s">
        <v>7</v>
      </c>
      <c r="C28" s="46">
        <v>13632</v>
      </c>
      <c r="D28" s="46">
        <v>32</v>
      </c>
      <c r="E28" s="46">
        <v>2</v>
      </c>
      <c r="F28" s="46">
        <v>2</v>
      </c>
      <c r="G28" s="47">
        <v>431.94</v>
      </c>
      <c r="H28" s="51">
        <v>3.9104999999999999</v>
      </c>
      <c r="I28" s="17">
        <v>45475</v>
      </c>
      <c r="J28" s="18">
        <v>0.50743055555555561</v>
      </c>
      <c r="K28">
        <v>0</v>
      </c>
      <c r="L28">
        <v>0</v>
      </c>
      <c r="M28">
        <v>0</v>
      </c>
      <c r="N28" s="76"/>
      <c r="P28">
        <v>4</v>
      </c>
      <c r="Q28" t="s">
        <v>7</v>
      </c>
      <c r="R28">
        <v>13632</v>
      </c>
      <c r="S28">
        <v>32</v>
      </c>
      <c r="T28">
        <v>2</v>
      </c>
      <c r="U28">
        <v>2</v>
      </c>
      <c r="V28">
        <v>464.38</v>
      </c>
      <c r="W28" s="21">
        <v>3.6373000000000002</v>
      </c>
      <c r="X28" s="26">
        <v>45475</v>
      </c>
      <c r="Y28" s="27">
        <v>0.72782407407407412</v>
      </c>
      <c r="Z28">
        <v>0</v>
      </c>
      <c r="AA28">
        <v>0</v>
      </c>
      <c r="AB28">
        <v>0</v>
      </c>
      <c r="AC28" s="77"/>
    </row>
    <row r="29" spans="1:29" x14ac:dyDescent="0.25">
      <c r="A29" s="44">
        <v>0</v>
      </c>
      <c r="B29" s="44" t="s">
        <v>7</v>
      </c>
      <c r="C29" s="46">
        <v>14400</v>
      </c>
      <c r="D29" s="46">
        <v>32</v>
      </c>
      <c r="E29" s="46">
        <v>2</v>
      </c>
      <c r="F29" s="46">
        <v>2</v>
      </c>
      <c r="G29" s="47">
        <v>508.24</v>
      </c>
      <c r="H29" s="51">
        <v>3.9174000000000002</v>
      </c>
      <c r="I29" s="17">
        <v>45474</v>
      </c>
      <c r="J29" s="18">
        <v>0.65230324074074075</v>
      </c>
      <c r="K29">
        <v>0</v>
      </c>
      <c r="L29">
        <v>0</v>
      </c>
      <c r="M29">
        <v>0</v>
      </c>
      <c r="N29" s="76">
        <f>AVERAGE(H29:H33)</f>
        <v>3.9259999999999997</v>
      </c>
      <c r="P29">
        <v>0</v>
      </c>
      <c r="Q29" t="s">
        <v>7</v>
      </c>
      <c r="R29">
        <v>14400</v>
      </c>
      <c r="S29">
        <v>32</v>
      </c>
      <c r="T29">
        <v>2</v>
      </c>
      <c r="U29">
        <v>2</v>
      </c>
      <c r="V29">
        <v>535.74</v>
      </c>
      <c r="W29" s="21">
        <v>3.7162999999999999</v>
      </c>
      <c r="X29" s="26">
        <v>45474</v>
      </c>
      <c r="Y29" s="27">
        <v>0.6880208333333333</v>
      </c>
      <c r="Z29">
        <v>0</v>
      </c>
      <c r="AA29">
        <v>0</v>
      </c>
      <c r="AB29">
        <v>0</v>
      </c>
      <c r="AC29" s="77">
        <f t="shared" ref="AC29" si="4">AVERAGE(W29:W33)</f>
        <v>3.7171799999999999</v>
      </c>
    </row>
    <row r="30" spans="1:29" x14ac:dyDescent="0.25">
      <c r="A30" s="44">
        <v>1</v>
      </c>
      <c r="B30" s="44" t="s">
        <v>7</v>
      </c>
      <c r="C30" s="45">
        <v>14400</v>
      </c>
      <c r="D30" s="45">
        <v>32</v>
      </c>
      <c r="E30" s="45">
        <v>2</v>
      </c>
      <c r="F30" s="45">
        <v>2</v>
      </c>
      <c r="G30" s="45">
        <v>507.26</v>
      </c>
      <c r="H30" s="51">
        <v>3.9249000000000001</v>
      </c>
      <c r="I30" s="17">
        <v>45474</v>
      </c>
      <c r="J30" s="18">
        <v>0.88601851851851854</v>
      </c>
      <c r="K30">
        <v>0</v>
      </c>
      <c r="L30">
        <v>0</v>
      </c>
      <c r="M30">
        <v>0</v>
      </c>
      <c r="N30" s="76"/>
      <c r="P30">
        <v>1</v>
      </c>
      <c r="Q30" t="s">
        <v>7</v>
      </c>
      <c r="R30">
        <v>14400</v>
      </c>
      <c r="S30">
        <v>32</v>
      </c>
      <c r="T30">
        <v>2</v>
      </c>
      <c r="U30">
        <v>2</v>
      </c>
      <c r="V30">
        <v>535.14</v>
      </c>
      <c r="W30" s="21">
        <v>3.7204000000000002</v>
      </c>
      <c r="X30" s="26">
        <v>45474</v>
      </c>
      <c r="Y30" s="27">
        <v>0.97247685185185184</v>
      </c>
      <c r="Z30">
        <v>0</v>
      </c>
      <c r="AA30">
        <v>0</v>
      </c>
      <c r="AB30">
        <v>0</v>
      </c>
      <c r="AC30" s="77"/>
    </row>
    <row r="31" spans="1:29" x14ac:dyDescent="0.25">
      <c r="A31" s="44">
        <v>2</v>
      </c>
      <c r="B31" s="44" t="s">
        <v>7</v>
      </c>
      <c r="C31" s="46">
        <v>14400</v>
      </c>
      <c r="D31" s="46">
        <v>32</v>
      </c>
      <c r="E31" s="46">
        <v>2</v>
      </c>
      <c r="F31" s="46">
        <v>2</v>
      </c>
      <c r="G31" s="47">
        <v>506.91</v>
      </c>
      <c r="H31" s="51">
        <v>3.9276</v>
      </c>
      <c r="I31" s="17">
        <v>45475</v>
      </c>
      <c r="J31" s="18">
        <v>0.11967592592592592</v>
      </c>
      <c r="K31">
        <v>0</v>
      </c>
      <c r="L31">
        <v>0</v>
      </c>
      <c r="M31">
        <v>0</v>
      </c>
      <c r="N31" s="76"/>
      <c r="P31">
        <v>2</v>
      </c>
      <c r="Q31" t="s">
        <v>7</v>
      </c>
      <c r="R31">
        <v>14400</v>
      </c>
      <c r="S31">
        <v>32</v>
      </c>
      <c r="T31">
        <v>2</v>
      </c>
      <c r="U31">
        <v>2</v>
      </c>
      <c r="V31">
        <v>536.6</v>
      </c>
      <c r="W31" s="21">
        <v>3.7103000000000002</v>
      </c>
      <c r="X31" s="26">
        <v>45475</v>
      </c>
      <c r="Y31" s="27">
        <v>0.25633101851851853</v>
      </c>
      <c r="Z31">
        <v>0</v>
      </c>
      <c r="AA31">
        <v>0</v>
      </c>
      <c r="AB31">
        <v>0</v>
      </c>
      <c r="AC31" s="77"/>
    </row>
    <row r="32" spans="1:29" x14ac:dyDescent="0.25">
      <c r="A32" s="44">
        <v>3</v>
      </c>
      <c r="B32" s="44" t="s">
        <v>7</v>
      </c>
      <c r="C32" s="46">
        <v>14400</v>
      </c>
      <c r="D32" s="46">
        <v>32</v>
      </c>
      <c r="E32" s="46">
        <v>2</v>
      </c>
      <c r="F32" s="46">
        <v>2</v>
      </c>
      <c r="G32" s="47">
        <v>507.17</v>
      </c>
      <c r="H32" s="51">
        <v>3.9257</v>
      </c>
      <c r="I32" s="17">
        <v>45475</v>
      </c>
      <c r="J32" s="18">
        <v>0.35320601851851852</v>
      </c>
      <c r="K32">
        <v>0</v>
      </c>
      <c r="L32">
        <v>0</v>
      </c>
      <c r="M32">
        <v>0</v>
      </c>
      <c r="N32" s="76"/>
      <c r="P32">
        <v>3</v>
      </c>
      <c r="Q32" t="s">
        <v>7</v>
      </c>
      <c r="R32">
        <v>14400</v>
      </c>
      <c r="S32">
        <v>32</v>
      </c>
      <c r="T32">
        <v>2</v>
      </c>
      <c r="U32">
        <v>2</v>
      </c>
      <c r="V32">
        <v>534.45000000000005</v>
      </c>
      <c r="W32" s="21">
        <v>3.7252000000000001</v>
      </c>
      <c r="X32" s="26">
        <v>45475</v>
      </c>
      <c r="Y32" s="27">
        <v>0.53990740740740739</v>
      </c>
      <c r="Z32">
        <v>0</v>
      </c>
      <c r="AA32">
        <v>0</v>
      </c>
      <c r="AB32">
        <v>0</v>
      </c>
      <c r="AC32" s="77"/>
    </row>
    <row r="33" spans="1:29" x14ac:dyDescent="0.25">
      <c r="A33" s="42">
        <v>4</v>
      </c>
      <c r="B33" s="42" t="s">
        <v>7</v>
      </c>
      <c r="C33" s="43">
        <v>14400</v>
      </c>
      <c r="D33" s="43">
        <v>32</v>
      </c>
      <c r="E33" s="43">
        <v>2</v>
      </c>
      <c r="F33" s="43">
        <v>2</v>
      </c>
      <c r="G33" s="43">
        <v>506.05</v>
      </c>
      <c r="H33" s="50">
        <v>3.9344000000000001</v>
      </c>
      <c r="I33" s="23">
        <v>45475</v>
      </c>
      <c r="J33" s="24">
        <v>0.58663194444444444</v>
      </c>
      <c r="K33" s="22">
        <v>0</v>
      </c>
      <c r="L33" s="22">
        <v>0</v>
      </c>
      <c r="M33" s="22">
        <v>0</v>
      </c>
      <c r="N33" s="76"/>
      <c r="P33">
        <v>4</v>
      </c>
      <c r="Q33" t="s">
        <v>7</v>
      </c>
      <c r="R33">
        <v>14400</v>
      </c>
      <c r="S33">
        <v>32</v>
      </c>
      <c r="T33">
        <v>2</v>
      </c>
      <c r="U33">
        <v>2</v>
      </c>
      <c r="V33">
        <v>536.11</v>
      </c>
      <c r="W33" s="21">
        <v>3.7136999999999998</v>
      </c>
      <c r="X33" s="26">
        <v>45475</v>
      </c>
      <c r="Y33" s="27">
        <v>0.82322916666666668</v>
      </c>
      <c r="Z33">
        <v>0</v>
      </c>
      <c r="AA33">
        <v>0</v>
      </c>
      <c r="AB33">
        <v>0</v>
      </c>
      <c r="AC33" s="77"/>
    </row>
    <row r="34" spans="1:29" x14ac:dyDescent="0.25">
      <c r="A34" s="44">
        <v>0</v>
      </c>
      <c r="B34" s="44" t="s">
        <v>7</v>
      </c>
      <c r="C34" s="46">
        <v>12864</v>
      </c>
      <c r="D34" s="46">
        <v>64</v>
      </c>
      <c r="E34" s="46">
        <v>1</v>
      </c>
      <c r="F34" s="46">
        <v>4</v>
      </c>
      <c r="G34" s="47">
        <v>330.64</v>
      </c>
      <c r="H34" s="51">
        <v>4.2929000000000004</v>
      </c>
      <c r="I34" s="17">
        <v>45474</v>
      </c>
      <c r="J34" s="18">
        <v>0.50983796296296291</v>
      </c>
      <c r="K34">
        <v>0</v>
      </c>
      <c r="L34">
        <v>0</v>
      </c>
      <c r="M34">
        <v>0</v>
      </c>
      <c r="N34" s="76">
        <f>AVERAGE(H34:H38)</f>
        <v>4.3121799999999997</v>
      </c>
      <c r="P34">
        <v>0</v>
      </c>
      <c r="Q34" t="s">
        <v>7</v>
      </c>
      <c r="R34">
        <v>12864</v>
      </c>
      <c r="S34">
        <v>64</v>
      </c>
      <c r="T34">
        <v>1</v>
      </c>
      <c r="U34">
        <v>4</v>
      </c>
      <c r="V34">
        <v>357.3</v>
      </c>
      <c r="W34" s="21">
        <v>3.9725999999999999</v>
      </c>
      <c r="X34" s="26">
        <v>45474</v>
      </c>
      <c r="Y34" s="27">
        <v>0.51355324074074071</v>
      </c>
      <c r="Z34">
        <v>0</v>
      </c>
      <c r="AA34">
        <v>0</v>
      </c>
      <c r="AB34">
        <v>0</v>
      </c>
      <c r="AC34" s="77">
        <f t="shared" ref="AC34" si="5">AVERAGE(W34:W38)</f>
        <v>3.9990999999999999</v>
      </c>
    </row>
    <row r="35" spans="1:29" x14ac:dyDescent="0.25">
      <c r="A35" s="42">
        <v>1</v>
      </c>
      <c r="B35" s="42" t="s">
        <v>7</v>
      </c>
      <c r="C35" s="43">
        <v>12864</v>
      </c>
      <c r="D35" s="43">
        <v>64</v>
      </c>
      <c r="E35" s="43">
        <v>1</v>
      </c>
      <c r="F35" s="43">
        <v>4</v>
      </c>
      <c r="G35" s="43">
        <v>330.44</v>
      </c>
      <c r="H35" s="50">
        <v>4.2954999999999997</v>
      </c>
      <c r="I35" s="23">
        <v>45474</v>
      </c>
      <c r="J35" s="24">
        <v>0.74373842592592587</v>
      </c>
      <c r="K35" s="22">
        <v>0</v>
      </c>
      <c r="L35" s="22">
        <v>0</v>
      </c>
      <c r="M35" s="22">
        <v>0</v>
      </c>
      <c r="N35" s="76"/>
      <c r="P35">
        <v>1</v>
      </c>
      <c r="Q35" t="s">
        <v>7</v>
      </c>
      <c r="R35">
        <v>12864</v>
      </c>
      <c r="S35">
        <v>64</v>
      </c>
      <c r="T35">
        <v>1</v>
      </c>
      <c r="U35">
        <v>4</v>
      </c>
      <c r="V35">
        <v>355.83</v>
      </c>
      <c r="W35" s="21">
        <v>3.9891000000000001</v>
      </c>
      <c r="X35" s="26">
        <v>45474</v>
      </c>
      <c r="Y35" s="27">
        <v>0.79833333333333334</v>
      </c>
      <c r="Z35">
        <v>0</v>
      </c>
      <c r="AA35">
        <v>0</v>
      </c>
      <c r="AB35">
        <v>0</v>
      </c>
      <c r="AC35" s="77"/>
    </row>
    <row r="36" spans="1:29" x14ac:dyDescent="0.25">
      <c r="A36" s="44">
        <v>2</v>
      </c>
      <c r="B36" s="44" t="s">
        <v>7</v>
      </c>
      <c r="C36" s="46">
        <v>12864</v>
      </c>
      <c r="D36" s="46">
        <v>64</v>
      </c>
      <c r="E36" s="46">
        <v>1</v>
      </c>
      <c r="F36" s="46">
        <v>4</v>
      </c>
      <c r="G36" s="47">
        <v>328.25</v>
      </c>
      <c r="H36" s="51">
        <v>4.3242000000000003</v>
      </c>
      <c r="I36" s="17">
        <v>45474</v>
      </c>
      <c r="J36" s="18">
        <v>0.97747685185185185</v>
      </c>
      <c r="K36">
        <v>0</v>
      </c>
      <c r="L36">
        <v>0</v>
      </c>
      <c r="M36">
        <v>0</v>
      </c>
      <c r="N36" s="76"/>
      <c r="P36">
        <v>2</v>
      </c>
      <c r="Q36" t="s">
        <v>7</v>
      </c>
      <c r="R36">
        <v>12864</v>
      </c>
      <c r="S36">
        <v>64</v>
      </c>
      <c r="T36">
        <v>1</v>
      </c>
      <c r="U36">
        <v>4</v>
      </c>
      <c r="V36">
        <v>353.61</v>
      </c>
      <c r="W36" s="21">
        <v>4.0141</v>
      </c>
      <c r="X36" s="26">
        <v>45475</v>
      </c>
      <c r="Y36" s="27">
        <v>8.2314814814814813E-2</v>
      </c>
      <c r="Z36">
        <v>0</v>
      </c>
      <c r="AA36">
        <v>0</v>
      </c>
      <c r="AB36">
        <v>0</v>
      </c>
      <c r="AC36" s="77"/>
    </row>
    <row r="37" spans="1:29" x14ac:dyDescent="0.25">
      <c r="A37" s="44">
        <v>3</v>
      </c>
      <c r="B37" s="44" t="s">
        <v>7</v>
      </c>
      <c r="C37" s="45">
        <v>12864</v>
      </c>
      <c r="D37" s="45">
        <v>64</v>
      </c>
      <c r="E37" s="45">
        <v>1</v>
      </c>
      <c r="F37" s="45">
        <v>4</v>
      </c>
      <c r="G37" s="45">
        <v>327.76</v>
      </c>
      <c r="H37" s="51">
        <v>4.3307000000000002</v>
      </c>
      <c r="I37" s="17">
        <v>45475</v>
      </c>
      <c r="J37" s="18">
        <v>0.21106481481481482</v>
      </c>
      <c r="K37">
        <v>0</v>
      </c>
      <c r="L37">
        <v>0</v>
      </c>
      <c r="M37">
        <v>0</v>
      </c>
      <c r="N37" s="76"/>
      <c r="P37">
        <v>3</v>
      </c>
      <c r="Q37" t="s">
        <v>7</v>
      </c>
      <c r="R37">
        <v>12864</v>
      </c>
      <c r="S37">
        <v>64</v>
      </c>
      <c r="T37">
        <v>1</v>
      </c>
      <c r="U37">
        <v>4</v>
      </c>
      <c r="V37">
        <v>353.8</v>
      </c>
      <c r="W37" s="21">
        <v>4.0119999999999996</v>
      </c>
      <c r="X37" s="26">
        <v>45475</v>
      </c>
      <c r="Y37" s="27">
        <v>0.36603009259259262</v>
      </c>
      <c r="Z37">
        <v>0</v>
      </c>
      <c r="AA37">
        <v>0</v>
      </c>
      <c r="AB37">
        <v>0</v>
      </c>
      <c r="AC37" s="77"/>
    </row>
    <row r="38" spans="1:29" x14ac:dyDescent="0.25">
      <c r="A38" s="44">
        <v>4</v>
      </c>
      <c r="B38" s="44" t="s">
        <v>7</v>
      </c>
      <c r="C38" s="46">
        <v>12864</v>
      </c>
      <c r="D38" s="46">
        <v>64</v>
      </c>
      <c r="E38" s="46">
        <v>1</v>
      </c>
      <c r="F38" s="46">
        <v>4</v>
      </c>
      <c r="G38" s="47">
        <v>328.76</v>
      </c>
      <c r="H38" s="51">
        <v>4.3175999999999997</v>
      </c>
      <c r="I38" s="17">
        <v>45475</v>
      </c>
      <c r="J38" s="18">
        <v>0.4445601851851852</v>
      </c>
      <c r="K38">
        <v>0</v>
      </c>
      <c r="L38">
        <v>0</v>
      </c>
      <c r="M38">
        <v>0</v>
      </c>
      <c r="N38" s="76"/>
      <c r="P38">
        <v>4</v>
      </c>
      <c r="Q38" t="s">
        <v>7</v>
      </c>
      <c r="R38">
        <v>12864</v>
      </c>
      <c r="S38">
        <v>64</v>
      </c>
      <c r="T38">
        <v>1</v>
      </c>
      <c r="U38">
        <v>4</v>
      </c>
      <c r="V38">
        <v>354.17</v>
      </c>
      <c r="W38" s="21">
        <v>4.0076999999999998</v>
      </c>
      <c r="X38" s="26">
        <v>45475</v>
      </c>
      <c r="Y38" s="27">
        <v>0.6497222222222222</v>
      </c>
      <c r="Z38">
        <v>0</v>
      </c>
      <c r="AA38">
        <v>0</v>
      </c>
      <c r="AB38">
        <v>0</v>
      </c>
      <c r="AC38" s="77"/>
    </row>
    <row r="39" spans="1:29" x14ac:dyDescent="0.25">
      <c r="A39" s="44">
        <v>0</v>
      </c>
      <c r="B39" s="44" t="s">
        <v>7</v>
      </c>
      <c r="C39" s="46">
        <v>13632</v>
      </c>
      <c r="D39" s="46">
        <v>64</v>
      </c>
      <c r="E39" s="46">
        <v>1</v>
      </c>
      <c r="F39" s="46">
        <v>4</v>
      </c>
      <c r="G39" s="47">
        <v>402.16</v>
      </c>
      <c r="H39" s="51">
        <v>4.2000999999999999</v>
      </c>
      <c r="I39" s="17">
        <v>45474</v>
      </c>
      <c r="J39" s="18">
        <v>0.57776620370370368</v>
      </c>
      <c r="K39">
        <v>0</v>
      </c>
      <c r="L39">
        <v>0</v>
      </c>
      <c r="M39">
        <v>0</v>
      </c>
      <c r="N39" s="76">
        <f>AVERAGE(H39:H43)</f>
        <v>4.2312600000000007</v>
      </c>
      <c r="P39">
        <v>0</v>
      </c>
      <c r="Q39" t="s">
        <v>7</v>
      </c>
      <c r="R39">
        <v>13632</v>
      </c>
      <c r="S39">
        <v>64</v>
      </c>
      <c r="T39">
        <v>1</v>
      </c>
      <c r="U39">
        <v>4</v>
      </c>
      <c r="V39">
        <v>416.04</v>
      </c>
      <c r="W39" s="21">
        <v>4.0599999999999996</v>
      </c>
      <c r="X39" s="26">
        <v>45474</v>
      </c>
      <c r="Y39" s="27">
        <v>0.59773148148148147</v>
      </c>
      <c r="Z39">
        <v>0</v>
      </c>
      <c r="AA39">
        <v>0</v>
      </c>
      <c r="AB39">
        <v>0</v>
      </c>
      <c r="AC39" s="77">
        <f t="shared" ref="AC39" si="6">AVERAGE(W39:W43)</f>
        <v>4.0679800000000004</v>
      </c>
    </row>
    <row r="40" spans="1:29" x14ac:dyDescent="0.25">
      <c r="A40" s="44">
        <v>1</v>
      </c>
      <c r="B40" s="44" t="s">
        <v>7</v>
      </c>
      <c r="C40" s="45">
        <v>13632</v>
      </c>
      <c r="D40" s="45">
        <v>64</v>
      </c>
      <c r="E40" s="45">
        <v>1</v>
      </c>
      <c r="F40" s="45">
        <v>4</v>
      </c>
      <c r="G40" s="45">
        <v>399.81</v>
      </c>
      <c r="H40" s="51">
        <v>4.2248000000000001</v>
      </c>
      <c r="I40" s="17">
        <v>45474</v>
      </c>
      <c r="J40" s="18">
        <v>0.81152777777777774</v>
      </c>
      <c r="K40">
        <v>0</v>
      </c>
      <c r="L40">
        <v>0</v>
      </c>
      <c r="M40">
        <v>0</v>
      </c>
      <c r="N40" s="76"/>
      <c r="P40">
        <v>1</v>
      </c>
      <c r="Q40" t="s">
        <v>7</v>
      </c>
      <c r="R40">
        <v>13632</v>
      </c>
      <c r="S40">
        <v>64</v>
      </c>
      <c r="T40">
        <v>1</v>
      </c>
      <c r="U40">
        <v>4</v>
      </c>
      <c r="V40">
        <v>414.04</v>
      </c>
      <c r="W40" s="21">
        <v>4.0796000000000001</v>
      </c>
      <c r="X40" s="26">
        <v>45474</v>
      </c>
      <c r="Y40" s="27">
        <v>0.88240740740740742</v>
      </c>
      <c r="Z40">
        <v>0</v>
      </c>
      <c r="AA40">
        <v>0</v>
      </c>
      <c r="AB40">
        <v>0</v>
      </c>
      <c r="AC40" s="77"/>
    </row>
    <row r="41" spans="1:29" x14ac:dyDescent="0.25">
      <c r="A41" s="44">
        <v>2</v>
      </c>
      <c r="B41" s="44" t="s">
        <v>7</v>
      </c>
      <c r="C41" s="46">
        <v>13632</v>
      </c>
      <c r="D41" s="46">
        <v>64</v>
      </c>
      <c r="E41" s="46">
        <v>1</v>
      </c>
      <c r="F41" s="46">
        <v>4</v>
      </c>
      <c r="G41" s="47">
        <v>397.88</v>
      </c>
      <c r="H41" s="51">
        <v>4.2453000000000003</v>
      </c>
      <c r="I41" s="17">
        <v>45475</v>
      </c>
      <c r="J41" s="18">
        <v>4.5231481481481484E-2</v>
      </c>
      <c r="K41">
        <v>0</v>
      </c>
      <c r="L41">
        <v>0</v>
      </c>
      <c r="M41">
        <v>0</v>
      </c>
      <c r="N41" s="76"/>
      <c r="P41">
        <v>2</v>
      </c>
      <c r="Q41" t="s">
        <v>7</v>
      </c>
      <c r="R41">
        <v>13632</v>
      </c>
      <c r="S41">
        <v>64</v>
      </c>
      <c r="T41">
        <v>1</v>
      </c>
      <c r="U41">
        <v>4</v>
      </c>
      <c r="V41">
        <v>416.74</v>
      </c>
      <c r="W41" s="21">
        <v>4.0532000000000004</v>
      </c>
      <c r="X41" s="26">
        <v>45475</v>
      </c>
      <c r="Y41" s="27">
        <v>0.16625000000000001</v>
      </c>
      <c r="Z41">
        <v>0</v>
      </c>
      <c r="AA41">
        <v>0</v>
      </c>
      <c r="AB41">
        <v>0</v>
      </c>
      <c r="AC41" s="77"/>
    </row>
    <row r="42" spans="1:29" x14ac:dyDescent="0.25">
      <c r="A42" s="44">
        <v>3</v>
      </c>
      <c r="B42" s="44" t="s">
        <v>7</v>
      </c>
      <c r="C42" s="46">
        <v>13632</v>
      </c>
      <c r="D42" s="46">
        <v>64</v>
      </c>
      <c r="E42" s="46">
        <v>1</v>
      </c>
      <c r="F42" s="46">
        <v>4</v>
      </c>
      <c r="G42" s="47">
        <v>398.68</v>
      </c>
      <c r="H42" s="51">
        <v>4.2367999999999997</v>
      </c>
      <c r="I42" s="17">
        <v>45475</v>
      </c>
      <c r="J42" s="18">
        <v>0.27875</v>
      </c>
      <c r="K42">
        <v>0</v>
      </c>
      <c r="L42">
        <v>0</v>
      </c>
      <c r="M42">
        <v>0</v>
      </c>
      <c r="N42" s="76"/>
      <c r="P42">
        <v>3</v>
      </c>
      <c r="Q42" t="s">
        <v>7</v>
      </c>
      <c r="R42">
        <v>13632</v>
      </c>
      <c r="S42">
        <v>64</v>
      </c>
      <c r="T42">
        <v>1</v>
      </c>
      <c r="U42">
        <v>4</v>
      </c>
      <c r="V42">
        <v>414.32</v>
      </c>
      <c r="W42" s="21">
        <v>4.0769000000000002</v>
      </c>
      <c r="X42" s="26">
        <v>45475</v>
      </c>
      <c r="Y42" s="27">
        <v>0.45003472222222224</v>
      </c>
      <c r="Z42">
        <v>0</v>
      </c>
      <c r="AA42">
        <v>0</v>
      </c>
      <c r="AB42">
        <v>0</v>
      </c>
      <c r="AC42" s="77"/>
    </row>
    <row r="43" spans="1:29" x14ac:dyDescent="0.25">
      <c r="A43" s="42">
        <v>4</v>
      </c>
      <c r="B43" s="42" t="s">
        <v>7</v>
      </c>
      <c r="C43" s="43">
        <v>13632</v>
      </c>
      <c r="D43" s="43">
        <v>64</v>
      </c>
      <c r="E43" s="43">
        <v>1</v>
      </c>
      <c r="F43" s="43">
        <v>4</v>
      </c>
      <c r="G43" s="43">
        <v>397.5</v>
      </c>
      <c r="H43" s="50">
        <v>4.2492999999999999</v>
      </c>
      <c r="I43" s="23">
        <v>45475</v>
      </c>
      <c r="J43" s="24">
        <v>0.51224537037037032</v>
      </c>
      <c r="K43" s="22">
        <v>0</v>
      </c>
      <c r="L43" s="22">
        <v>0</v>
      </c>
      <c r="M43" s="22">
        <v>0</v>
      </c>
      <c r="N43" s="76"/>
      <c r="P43">
        <v>4</v>
      </c>
      <c r="Q43" t="s">
        <v>7</v>
      </c>
      <c r="R43">
        <v>13632</v>
      </c>
      <c r="S43">
        <v>64</v>
      </c>
      <c r="T43">
        <v>1</v>
      </c>
      <c r="U43">
        <v>4</v>
      </c>
      <c r="V43">
        <v>415</v>
      </c>
      <c r="W43" s="21">
        <v>4.0701999999999998</v>
      </c>
      <c r="X43" s="26">
        <v>45475</v>
      </c>
      <c r="Y43" s="27">
        <v>0.73373842592592597</v>
      </c>
      <c r="Z43">
        <v>0</v>
      </c>
      <c r="AA43">
        <v>0</v>
      </c>
      <c r="AB43">
        <v>0</v>
      </c>
      <c r="AC43" s="77"/>
    </row>
    <row r="44" spans="1:29" x14ac:dyDescent="0.25">
      <c r="A44" s="44">
        <v>0</v>
      </c>
      <c r="B44" s="44" t="s">
        <v>7</v>
      </c>
      <c r="C44" s="46">
        <v>14400</v>
      </c>
      <c r="D44" s="46">
        <v>64</v>
      </c>
      <c r="E44" s="46">
        <v>1</v>
      </c>
      <c r="F44" s="46">
        <v>4</v>
      </c>
      <c r="G44" s="47">
        <v>456.68</v>
      </c>
      <c r="H44" s="51">
        <v>4.3596000000000004</v>
      </c>
      <c r="I44" s="17">
        <v>45474</v>
      </c>
      <c r="J44" s="18">
        <v>0.65782407407407406</v>
      </c>
      <c r="K44">
        <v>0</v>
      </c>
      <c r="L44">
        <v>0</v>
      </c>
      <c r="M44">
        <v>0</v>
      </c>
      <c r="N44" s="76">
        <f>AVERAGE(H44:H48)</f>
        <v>4.3398200000000005</v>
      </c>
      <c r="P44">
        <v>0</v>
      </c>
      <c r="Q44" t="s">
        <v>7</v>
      </c>
      <c r="R44">
        <v>14400</v>
      </c>
      <c r="S44">
        <v>64</v>
      </c>
      <c r="T44">
        <v>1</v>
      </c>
      <c r="U44">
        <v>4</v>
      </c>
      <c r="V44">
        <v>476.99</v>
      </c>
      <c r="W44" s="21">
        <v>4.1741000000000001</v>
      </c>
      <c r="X44" s="26">
        <v>45474</v>
      </c>
      <c r="Y44" s="27">
        <v>0.69480324074074074</v>
      </c>
      <c r="Z44">
        <v>0</v>
      </c>
      <c r="AA44">
        <v>0</v>
      </c>
      <c r="AB44">
        <v>0</v>
      </c>
      <c r="AC44" s="77">
        <f t="shared" ref="AC44" si="7">AVERAGE(W44:W48)</f>
        <v>4.1592000000000002</v>
      </c>
    </row>
    <row r="45" spans="1:29" x14ac:dyDescent="0.25">
      <c r="A45" s="44">
        <v>1</v>
      </c>
      <c r="B45" s="44" t="s">
        <v>7</v>
      </c>
      <c r="C45" s="46">
        <v>14400</v>
      </c>
      <c r="D45" s="46">
        <v>64</v>
      </c>
      <c r="E45" s="46">
        <v>1</v>
      </c>
      <c r="F45" s="46">
        <v>4</v>
      </c>
      <c r="G45" s="47">
        <v>459.59</v>
      </c>
      <c r="H45" s="51">
        <v>4.3320999999999996</v>
      </c>
      <c r="I45" s="17">
        <v>45474</v>
      </c>
      <c r="J45" s="18">
        <v>0.89158564814814811</v>
      </c>
      <c r="K45">
        <v>0</v>
      </c>
      <c r="L45">
        <v>0</v>
      </c>
      <c r="M45">
        <v>0</v>
      </c>
      <c r="N45" s="76"/>
      <c r="P45">
        <v>1</v>
      </c>
      <c r="Q45" t="s">
        <v>7</v>
      </c>
      <c r="R45">
        <v>14400</v>
      </c>
      <c r="S45">
        <v>64</v>
      </c>
      <c r="T45">
        <v>1</v>
      </c>
      <c r="U45">
        <v>4</v>
      </c>
      <c r="V45">
        <v>477.03</v>
      </c>
      <c r="W45" s="21">
        <v>4.1737000000000002</v>
      </c>
      <c r="X45" s="26">
        <v>45474</v>
      </c>
      <c r="Y45" s="27">
        <v>0.97925925925925927</v>
      </c>
      <c r="Z45">
        <v>0</v>
      </c>
      <c r="AA45">
        <v>0</v>
      </c>
      <c r="AB45">
        <v>0</v>
      </c>
      <c r="AC45" s="77"/>
    </row>
    <row r="46" spans="1:29" x14ac:dyDescent="0.25">
      <c r="A46" s="42">
        <v>2</v>
      </c>
      <c r="B46" s="42" t="s">
        <v>7</v>
      </c>
      <c r="C46" s="43">
        <v>14400</v>
      </c>
      <c r="D46" s="43">
        <v>64</v>
      </c>
      <c r="E46" s="43">
        <v>1</v>
      </c>
      <c r="F46" s="43">
        <v>4</v>
      </c>
      <c r="G46" s="43">
        <v>459.68</v>
      </c>
      <c r="H46" s="50">
        <v>4.3311999999999999</v>
      </c>
      <c r="I46" s="23">
        <v>45475</v>
      </c>
      <c r="J46" s="24">
        <v>0.12524305555555557</v>
      </c>
      <c r="K46" s="22">
        <v>0</v>
      </c>
      <c r="L46" s="22">
        <v>0</v>
      </c>
      <c r="M46" s="22">
        <v>0</v>
      </c>
      <c r="N46" s="76"/>
      <c r="P46">
        <v>2</v>
      </c>
      <c r="Q46" t="s">
        <v>7</v>
      </c>
      <c r="R46">
        <v>14400</v>
      </c>
      <c r="S46">
        <v>64</v>
      </c>
      <c r="T46">
        <v>1</v>
      </c>
      <c r="U46">
        <v>4</v>
      </c>
      <c r="V46">
        <v>484.33</v>
      </c>
      <c r="W46" s="21">
        <v>4.1108000000000002</v>
      </c>
      <c r="X46" s="26">
        <v>45475</v>
      </c>
      <c r="Y46" s="27">
        <v>0.26319444444444445</v>
      </c>
      <c r="Z46">
        <v>0</v>
      </c>
      <c r="AA46">
        <v>0</v>
      </c>
      <c r="AB46">
        <v>0</v>
      </c>
      <c r="AC46" s="77"/>
    </row>
    <row r="47" spans="1:29" x14ac:dyDescent="0.25">
      <c r="A47" s="44">
        <v>3</v>
      </c>
      <c r="B47" s="44" t="s">
        <v>7</v>
      </c>
      <c r="C47" s="46">
        <v>14400</v>
      </c>
      <c r="D47" s="46">
        <v>64</v>
      </c>
      <c r="E47" s="46">
        <v>1</v>
      </c>
      <c r="F47" s="46">
        <v>4</v>
      </c>
      <c r="G47" s="47">
        <v>458.5</v>
      </c>
      <c r="H47" s="51">
        <v>4.3422999999999998</v>
      </c>
      <c r="I47" s="17">
        <v>45475</v>
      </c>
      <c r="J47" s="18">
        <v>0.35875000000000001</v>
      </c>
      <c r="K47">
        <v>0</v>
      </c>
      <c r="L47">
        <v>0</v>
      </c>
      <c r="M47">
        <v>0</v>
      </c>
      <c r="N47" s="76"/>
      <c r="P47">
        <v>3</v>
      </c>
      <c r="Q47" t="s">
        <v>7</v>
      </c>
      <c r="R47">
        <v>14400</v>
      </c>
      <c r="S47">
        <v>64</v>
      </c>
      <c r="T47">
        <v>1</v>
      </c>
      <c r="U47">
        <v>4</v>
      </c>
      <c r="V47">
        <v>477.71</v>
      </c>
      <c r="W47" s="21">
        <v>4.1677999999999997</v>
      </c>
      <c r="X47" s="26">
        <v>45475</v>
      </c>
      <c r="Y47" s="27">
        <v>0.54670138888888886</v>
      </c>
      <c r="Z47">
        <v>0</v>
      </c>
      <c r="AA47">
        <v>0</v>
      </c>
      <c r="AB47">
        <v>0</v>
      </c>
      <c r="AC47" s="77"/>
    </row>
    <row r="48" spans="1:29" x14ac:dyDescent="0.25">
      <c r="A48" s="44">
        <v>4</v>
      </c>
      <c r="B48" s="44" t="s">
        <v>7</v>
      </c>
      <c r="C48" s="45">
        <v>14400</v>
      </c>
      <c r="D48" s="45">
        <v>64</v>
      </c>
      <c r="E48" s="45">
        <v>1</v>
      </c>
      <c r="F48" s="45">
        <v>4</v>
      </c>
      <c r="G48" s="45">
        <v>459.4</v>
      </c>
      <c r="H48" s="51">
        <v>4.3338999999999999</v>
      </c>
      <c r="I48" s="17">
        <v>45475</v>
      </c>
      <c r="J48" s="18">
        <v>0.59217592592592594</v>
      </c>
      <c r="K48">
        <v>0</v>
      </c>
      <c r="L48">
        <v>0</v>
      </c>
      <c r="M48">
        <v>0</v>
      </c>
      <c r="N48" s="76"/>
      <c r="P48">
        <v>4</v>
      </c>
      <c r="Q48" t="s">
        <v>7</v>
      </c>
      <c r="R48">
        <v>14400</v>
      </c>
      <c r="S48">
        <v>64</v>
      </c>
      <c r="T48">
        <v>1</v>
      </c>
      <c r="U48">
        <v>4</v>
      </c>
      <c r="V48">
        <v>477.49</v>
      </c>
      <c r="W48" s="21">
        <v>4.1696</v>
      </c>
      <c r="X48" s="26">
        <v>45475</v>
      </c>
      <c r="Y48" s="27">
        <v>0.82997685185185188</v>
      </c>
      <c r="Z48">
        <v>0</v>
      </c>
      <c r="AA48">
        <v>0</v>
      </c>
      <c r="AB48">
        <v>0</v>
      </c>
      <c r="AC48" s="77"/>
    </row>
    <row r="49" spans="1:29" x14ac:dyDescent="0.25">
      <c r="A49" s="44">
        <v>0</v>
      </c>
      <c r="B49" s="44" t="s">
        <v>7</v>
      </c>
      <c r="C49" s="46">
        <v>12864</v>
      </c>
      <c r="D49" s="46">
        <v>64</v>
      </c>
      <c r="E49" s="46">
        <v>2</v>
      </c>
      <c r="F49" s="46">
        <v>2</v>
      </c>
      <c r="G49" s="47">
        <v>329.85</v>
      </c>
      <c r="H49" s="51">
        <v>4.3033000000000001</v>
      </c>
      <c r="I49" s="17">
        <v>45474</v>
      </c>
      <c r="J49" s="18">
        <v>0.51383101851851853</v>
      </c>
      <c r="K49">
        <v>0</v>
      </c>
      <c r="L49">
        <v>0</v>
      </c>
      <c r="M49">
        <v>0</v>
      </c>
      <c r="N49" s="76">
        <f>AVERAGE(H49:H53)</f>
        <v>4.3160800000000004</v>
      </c>
      <c r="P49">
        <v>0</v>
      </c>
      <c r="Q49" t="s">
        <v>7</v>
      </c>
      <c r="R49">
        <v>12864</v>
      </c>
      <c r="S49">
        <v>64</v>
      </c>
      <c r="T49">
        <v>2</v>
      </c>
      <c r="U49">
        <v>2</v>
      </c>
      <c r="V49">
        <v>365.15</v>
      </c>
      <c r="W49" s="21">
        <v>3.8872</v>
      </c>
      <c r="X49" s="26">
        <v>45474</v>
      </c>
      <c r="Y49" s="27">
        <v>0.51877314814814812</v>
      </c>
      <c r="Z49">
        <v>0</v>
      </c>
      <c r="AA49">
        <v>0</v>
      </c>
      <c r="AB49">
        <v>0</v>
      </c>
      <c r="AC49" s="77">
        <f t="shared" ref="AC49" si="8">AVERAGE(W49:W53)</f>
        <v>3.9026199999999998</v>
      </c>
    </row>
    <row r="50" spans="1:29" x14ac:dyDescent="0.25">
      <c r="A50" s="44">
        <v>1</v>
      </c>
      <c r="B50" s="44" t="s">
        <v>7</v>
      </c>
      <c r="C50" s="45">
        <v>12864</v>
      </c>
      <c r="D50" s="45">
        <v>64</v>
      </c>
      <c r="E50" s="45">
        <v>2</v>
      </c>
      <c r="F50" s="45">
        <v>2</v>
      </c>
      <c r="G50" s="45">
        <v>328.13</v>
      </c>
      <c r="H50" s="51">
        <v>4.3258000000000001</v>
      </c>
      <c r="I50" s="17">
        <v>45474</v>
      </c>
      <c r="J50" s="18">
        <v>0.74770833333333331</v>
      </c>
      <c r="K50">
        <v>0</v>
      </c>
      <c r="L50">
        <v>0</v>
      </c>
      <c r="M50">
        <v>0</v>
      </c>
      <c r="N50" s="76"/>
      <c r="P50">
        <v>1</v>
      </c>
      <c r="Q50" t="s">
        <v>7</v>
      </c>
      <c r="R50">
        <v>12864</v>
      </c>
      <c r="S50">
        <v>64</v>
      </c>
      <c r="T50">
        <v>2</v>
      </c>
      <c r="U50">
        <v>2</v>
      </c>
      <c r="V50">
        <v>362.94</v>
      </c>
      <c r="W50" s="21">
        <v>3.911</v>
      </c>
      <c r="X50" s="26">
        <v>45474</v>
      </c>
      <c r="Y50" s="27">
        <v>0.80354166666666671</v>
      </c>
      <c r="Z50">
        <v>0</v>
      </c>
      <c r="AA50">
        <v>0</v>
      </c>
      <c r="AB50">
        <v>0</v>
      </c>
      <c r="AC50" s="77"/>
    </row>
    <row r="51" spans="1:29" x14ac:dyDescent="0.25">
      <c r="A51" s="44">
        <v>2</v>
      </c>
      <c r="B51" s="44" t="s">
        <v>7</v>
      </c>
      <c r="C51" s="46">
        <v>12864</v>
      </c>
      <c r="D51" s="46">
        <v>64</v>
      </c>
      <c r="E51" s="46">
        <v>2</v>
      </c>
      <c r="F51" s="46">
        <v>2</v>
      </c>
      <c r="G51" s="47">
        <v>328.98</v>
      </c>
      <c r="H51" s="51">
        <v>4.3146000000000004</v>
      </c>
      <c r="I51" s="17">
        <v>45474</v>
      </c>
      <c r="J51" s="18">
        <v>0.98146990740740736</v>
      </c>
      <c r="K51">
        <v>0</v>
      </c>
      <c r="L51">
        <v>0</v>
      </c>
      <c r="M51">
        <v>0</v>
      </c>
      <c r="N51" s="76"/>
      <c r="P51">
        <v>2</v>
      </c>
      <c r="Q51" t="s">
        <v>7</v>
      </c>
      <c r="R51">
        <v>12864</v>
      </c>
      <c r="S51">
        <v>64</v>
      </c>
      <c r="T51">
        <v>2</v>
      </c>
      <c r="U51">
        <v>2</v>
      </c>
      <c r="V51">
        <v>364.09</v>
      </c>
      <c r="W51" s="21">
        <v>3.8984999999999999</v>
      </c>
      <c r="X51" s="26">
        <v>45475</v>
      </c>
      <c r="Y51" s="27">
        <v>8.7534722222222222E-2</v>
      </c>
      <c r="Z51">
        <v>0</v>
      </c>
      <c r="AA51">
        <v>0</v>
      </c>
      <c r="AB51">
        <v>0</v>
      </c>
      <c r="AC51" s="77"/>
    </row>
    <row r="52" spans="1:29" x14ac:dyDescent="0.25">
      <c r="A52" s="44">
        <v>3</v>
      </c>
      <c r="B52" s="44" t="s">
        <v>7</v>
      </c>
      <c r="C52" s="46">
        <v>12864</v>
      </c>
      <c r="D52" s="46">
        <v>64</v>
      </c>
      <c r="E52" s="46">
        <v>2</v>
      </c>
      <c r="F52" s="46">
        <v>2</v>
      </c>
      <c r="G52" s="47">
        <v>329.26</v>
      </c>
      <c r="H52" s="51">
        <v>4.3109999999999999</v>
      </c>
      <c r="I52" s="17">
        <v>45475</v>
      </c>
      <c r="J52" s="18">
        <v>0.21505787037037036</v>
      </c>
      <c r="K52">
        <v>0</v>
      </c>
      <c r="L52">
        <v>0</v>
      </c>
      <c r="M52">
        <v>0</v>
      </c>
      <c r="N52" s="76"/>
      <c r="P52">
        <v>3</v>
      </c>
      <c r="Q52" t="s">
        <v>7</v>
      </c>
      <c r="R52">
        <v>12864</v>
      </c>
      <c r="S52">
        <v>64</v>
      </c>
      <c r="T52">
        <v>2</v>
      </c>
      <c r="U52">
        <v>2</v>
      </c>
      <c r="V52">
        <v>362.72</v>
      </c>
      <c r="W52" s="21">
        <v>3.9133</v>
      </c>
      <c r="X52" s="26">
        <v>45475</v>
      </c>
      <c r="Y52" s="27">
        <v>0.37123842592592593</v>
      </c>
      <c r="Z52">
        <v>0</v>
      </c>
      <c r="AA52">
        <v>0</v>
      </c>
      <c r="AB52">
        <v>0</v>
      </c>
      <c r="AC52" s="77"/>
    </row>
    <row r="53" spans="1:29" x14ac:dyDescent="0.25">
      <c r="A53" s="42">
        <v>4</v>
      </c>
      <c r="B53" s="42" t="s">
        <v>7</v>
      </c>
      <c r="C53" s="43">
        <v>12864</v>
      </c>
      <c r="D53" s="43">
        <v>64</v>
      </c>
      <c r="E53" s="43">
        <v>2</v>
      </c>
      <c r="F53" s="43">
        <v>2</v>
      </c>
      <c r="G53" s="43">
        <v>328.14</v>
      </c>
      <c r="H53" s="50">
        <v>4.3257000000000003</v>
      </c>
      <c r="I53" s="23">
        <v>45475</v>
      </c>
      <c r="J53" s="24">
        <v>0.44854166666666667</v>
      </c>
      <c r="K53" s="22">
        <v>0</v>
      </c>
      <c r="L53" s="22">
        <v>0</v>
      </c>
      <c r="M53" s="22">
        <v>0</v>
      </c>
      <c r="N53" s="76"/>
      <c r="P53">
        <v>4</v>
      </c>
      <c r="Q53" t="s">
        <v>7</v>
      </c>
      <c r="R53">
        <v>12864</v>
      </c>
      <c r="S53">
        <v>64</v>
      </c>
      <c r="T53">
        <v>2</v>
      </c>
      <c r="U53">
        <v>2</v>
      </c>
      <c r="V53">
        <v>363.66</v>
      </c>
      <c r="W53" s="21">
        <v>3.9030999999999998</v>
      </c>
      <c r="X53" s="26">
        <v>45475</v>
      </c>
      <c r="Y53" s="27">
        <v>0.65494212962962961</v>
      </c>
      <c r="Z53">
        <v>0</v>
      </c>
      <c r="AA53">
        <v>0</v>
      </c>
      <c r="AB53">
        <v>0</v>
      </c>
      <c r="AC53" s="77"/>
    </row>
    <row r="54" spans="1:29" x14ac:dyDescent="0.25">
      <c r="A54" s="44">
        <v>0</v>
      </c>
      <c r="B54" s="44" t="s">
        <v>7</v>
      </c>
      <c r="C54" s="46">
        <v>13632</v>
      </c>
      <c r="D54" s="46">
        <v>64</v>
      </c>
      <c r="E54" s="46">
        <v>2</v>
      </c>
      <c r="F54" s="46">
        <v>2</v>
      </c>
      <c r="G54" s="47">
        <v>393.99</v>
      </c>
      <c r="H54" s="51">
        <v>4.2872000000000003</v>
      </c>
      <c r="I54" s="17">
        <v>45474</v>
      </c>
      <c r="J54" s="18">
        <v>0.58253472222222225</v>
      </c>
      <c r="K54">
        <v>0</v>
      </c>
      <c r="L54">
        <v>0</v>
      </c>
      <c r="M54">
        <v>0</v>
      </c>
      <c r="N54" s="76">
        <f>AVERAGE(H54:H58)</f>
        <v>4.29148</v>
      </c>
      <c r="P54">
        <v>0</v>
      </c>
      <c r="Q54" t="s">
        <v>7</v>
      </c>
      <c r="R54">
        <v>13632</v>
      </c>
      <c r="S54">
        <v>64</v>
      </c>
      <c r="T54">
        <v>2</v>
      </c>
      <c r="U54">
        <v>2</v>
      </c>
      <c r="V54">
        <v>424.75</v>
      </c>
      <c r="W54" s="21">
        <v>3.9767000000000001</v>
      </c>
      <c r="X54" s="26">
        <v>45474</v>
      </c>
      <c r="Y54" s="27">
        <v>0.6037731481481482</v>
      </c>
      <c r="Z54">
        <v>0</v>
      </c>
      <c r="AA54">
        <v>0</v>
      </c>
      <c r="AB54">
        <v>0</v>
      </c>
      <c r="AC54" s="77">
        <f t="shared" ref="AC54" si="9">AVERAGE(W54:W58)</f>
        <v>3.9962399999999993</v>
      </c>
    </row>
    <row r="55" spans="1:29" x14ac:dyDescent="0.25">
      <c r="A55" s="44">
        <v>1</v>
      </c>
      <c r="B55" s="44" t="s">
        <v>7</v>
      </c>
      <c r="C55" s="46">
        <v>13632</v>
      </c>
      <c r="D55" s="46">
        <v>64</v>
      </c>
      <c r="E55" s="46">
        <v>2</v>
      </c>
      <c r="F55" s="46">
        <v>2</v>
      </c>
      <c r="G55" s="47">
        <v>392.35</v>
      </c>
      <c r="H55" s="51">
        <v>4.3052000000000001</v>
      </c>
      <c r="I55" s="17">
        <v>45474</v>
      </c>
      <c r="J55" s="18">
        <v>0.81627314814814811</v>
      </c>
      <c r="K55">
        <v>0</v>
      </c>
      <c r="L55">
        <v>0</v>
      </c>
      <c r="M55">
        <v>0</v>
      </c>
      <c r="N55" s="76"/>
      <c r="P55">
        <v>1</v>
      </c>
      <c r="Q55" t="s">
        <v>7</v>
      </c>
      <c r="R55">
        <v>13632</v>
      </c>
      <c r="S55">
        <v>64</v>
      </c>
      <c r="T55">
        <v>2</v>
      </c>
      <c r="U55">
        <v>2</v>
      </c>
      <c r="V55">
        <v>422.61</v>
      </c>
      <c r="W55" s="21">
        <v>3.9969000000000001</v>
      </c>
      <c r="X55" s="26">
        <v>45474</v>
      </c>
      <c r="Y55" s="27">
        <v>0.8884143518518518</v>
      </c>
      <c r="Z55">
        <v>0</v>
      </c>
      <c r="AA55">
        <v>0</v>
      </c>
      <c r="AB55">
        <v>0</v>
      </c>
      <c r="AC55" s="77"/>
    </row>
    <row r="56" spans="1:29" x14ac:dyDescent="0.25">
      <c r="A56" s="42">
        <v>2</v>
      </c>
      <c r="B56" s="42" t="s">
        <v>7</v>
      </c>
      <c r="C56" s="43">
        <v>13632</v>
      </c>
      <c r="D56" s="43">
        <v>64</v>
      </c>
      <c r="E56" s="43">
        <v>2</v>
      </c>
      <c r="F56" s="43">
        <v>2</v>
      </c>
      <c r="G56" s="43">
        <v>392.41</v>
      </c>
      <c r="H56" s="50">
        <v>4.3045</v>
      </c>
      <c r="I56" s="23">
        <v>45475</v>
      </c>
      <c r="J56" s="24">
        <v>4.9976851851851849E-2</v>
      </c>
      <c r="K56" s="22">
        <v>0</v>
      </c>
      <c r="L56" s="22">
        <v>0</v>
      </c>
      <c r="M56" s="22">
        <v>0</v>
      </c>
      <c r="N56" s="76"/>
      <c r="P56">
        <v>2</v>
      </c>
      <c r="Q56" t="s">
        <v>7</v>
      </c>
      <c r="R56">
        <v>13632</v>
      </c>
      <c r="S56">
        <v>64</v>
      </c>
      <c r="T56">
        <v>2</v>
      </c>
      <c r="U56">
        <v>2</v>
      </c>
      <c r="V56">
        <v>421.7</v>
      </c>
      <c r="W56" s="21">
        <v>4.0054999999999996</v>
      </c>
      <c r="X56" s="26">
        <v>45475</v>
      </c>
      <c r="Y56" s="27">
        <v>0.17225694444444445</v>
      </c>
      <c r="Z56">
        <v>0</v>
      </c>
      <c r="AA56">
        <v>0</v>
      </c>
      <c r="AB56">
        <v>0</v>
      </c>
      <c r="AC56" s="77"/>
    </row>
    <row r="57" spans="1:29" x14ac:dyDescent="0.25">
      <c r="A57" s="44">
        <v>3</v>
      </c>
      <c r="B57" s="44" t="s">
        <v>7</v>
      </c>
      <c r="C57" s="46">
        <v>13632</v>
      </c>
      <c r="D57" s="46">
        <v>64</v>
      </c>
      <c r="E57" s="46">
        <v>2</v>
      </c>
      <c r="F57" s="46">
        <v>2</v>
      </c>
      <c r="G57" s="47">
        <v>397.41</v>
      </c>
      <c r="H57" s="51">
        <v>4.2503000000000002</v>
      </c>
      <c r="I57" s="17">
        <v>45475</v>
      </c>
      <c r="J57" s="18">
        <v>0.28355324074074073</v>
      </c>
      <c r="K57">
        <v>0</v>
      </c>
      <c r="L57">
        <v>0</v>
      </c>
      <c r="M57">
        <v>0</v>
      </c>
      <c r="N57" s="76"/>
      <c r="P57">
        <v>3</v>
      </c>
      <c r="Q57" t="s">
        <v>7</v>
      </c>
      <c r="R57">
        <v>13632</v>
      </c>
      <c r="S57">
        <v>64</v>
      </c>
      <c r="T57">
        <v>2</v>
      </c>
      <c r="U57">
        <v>2</v>
      </c>
      <c r="V57">
        <v>421.72</v>
      </c>
      <c r="W57" s="21">
        <v>4.0053000000000001</v>
      </c>
      <c r="X57" s="26">
        <v>45475</v>
      </c>
      <c r="Y57" s="27">
        <v>0.45604166666666668</v>
      </c>
      <c r="Z57">
        <v>0</v>
      </c>
      <c r="AA57">
        <v>0</v>
      </c>
      <c r="AB57">
        <v>0</v>
      </c>
      <c r="AC57" s="77"/>
    </row>
    <row r="58" spans="1:29" x14ac:dyDescent="0.25">
      <c r="A58" s="44">
        <v>4</v>
      </c>
      <c r="B58" s="44" t="s">
        <v>7</v>
      </c>
      <c r="C58" s="45">
        <v>13632</v>
      </c>
      <c r="D58" s="45">
        <v>64</v>
      </c>
      <c r="E58" s="45">
        <v>2</v>
      </c>
      <c r="F58" s="45">
        <v>2</v>
      </c>
      <c r="G58" s="45">
        <v>391.89</v>
      </c>
      <c r="H58" s="51">
        <v>4.3102</v>
      </c>
      <c r="I58" s="17">
        <v>45475</v>
      </c>
      <c r="J58" s="18">
        <v>0.51697916666666666</v>
      </c>
      <c r="K58">
        <v>0</v>
      </c>
      <c r="L58">
        <v>0</v>
      </c>
      <c r="M58">
        <v>0</v>
      </c>
      <c r="N58" s="76"/>
      <c r="P58">
        <v>4</v>
      </c>
      <c r="Q58" t="s">
        <v>7</v>
      </c>
      <c r="R58">
        <v>13632</v>
      </c>
      <c r="S58">
        <v>64</v>
      </c>
      <c r="T58">
        <v>2</v>
      </c>
      <c r="U58">
        <v>2</v>
      </c>
      <c r="V58">
        <v>422.62</v>
      </c>
      <c r="W58" s="21">
        <v>3.9967999999999999</v>
      </c>
      <c r="X58" s="26">
        <v>45475</v>
      </c>
      <c r="Y58" s="27">
        <v>0.73972222222222217</v>
      </c>
      <c r="Z58">
        <v>0</v>
      </c>
      <c r="AA58">
        <v>0</v>
      </c>
      <c r="AB58">
        <v>0</v>
      </c>
      <c r="AC58" s="77"/>
    </row>
    <row r="59" spans="1:29" x14ac:dyDescent="0.25">
      <c r="A59" s="42">
        <v>0</v>
      </c>
      <c r="B59" s="42" t="s">
        <v>7</v>
      </c>
      <c r="C59" s="43">
        <v>14400</v>
      </c>
      <c r="D59" s="43">
        <v>64</v>
      </c>
      <c r="E59" s="43">
        <v>2</v>
      </c>
      <c r="F59" s="43">
        <v>2</v>
      </c>
      <c r="G59" s="43">
        <v>462.28</v>
      </c>
      <c r="H59" s="50">
        <v>4.3068999999999997</v>
      </c>
      <c r="I59" s="23">
        <v>45474</v>
      </c>
      <c r="J59" s="24">
        <v>0.66340277777777779</v>
      </c>
      <c r="K59" s="22">
        <v>0</v>
      </c>
      <c r="L59" s="22">
        <v>0</v>
      </c>
      <c r="M59" s="22">
        <v>0</v>
      </c>
      <c r="N59" s="76">
        <f>AVERAGE(H59:H63)</f>
        <v>4.3010399999999995</v>
      </c>
      <c r="P59">
        <v>0</v>
      </c>
      <c r="Q59" t="s">
        <v>7</v>
      </c>
      <c r="R59">
        <v>14400</v>
      </c>
      <c r="S59">
        <v>64</v>
      </c>
      <c r="T59">
        <v>2</v>
      </c>
      <c r="U59">
        <v>2</v>
      </c>
      <c r="V59">
        <v>488.33</v>
      </c>
      <c r="W59" s="21">
        <v>4.0770999999999997</v>
      </c>
      <c r="X59" s="26">
        <v>45474</v>
      </c>
      <c r="Y59" s="27">
        <v>0.70170138888888889</v>
      </c>
      <c r="Z59">
        <v>0</v>
      </c>
      <c r="AA59">
        <v>0</v>
      </c>
      <c r="AB59">
        <v>0</v>
      </c>
      <c r="AC59" s="77">
        <f t="shared" ref="AC59" si="10">AVERAGE(W59:W63)</f>
        <v>4.0763000000000007</v>
      </c>
    </row>
    <row r="60" spans="1:29" x14ac:dyDescent="0.25">
      <c r="A60" s="44">
        <v>1</v>
      </c>
      <c r="B60" s="44" t="s">
        <v>7</v>
      </c>
      <c r="C60" s="46">
        <v>14400</v>
      </c>
      <c r="D60" s="46">
        <v>64</v>
      </c>
      <c r="E60" s="46">
        <v>2</v>
      </c>
      <c r="F60" s="46">
        <v>2</v>
      </c>
      <c r="G60" s="47">
        <v>462.65</v>
      </c>
      <c r="H60" s="51">
        <v>4.3033999999999999</v>
      </c>
      <c r="I60" s="17">
        <v>45474</v>
      </c>
      <c r="J60" s="18">
        <v>0.89716435185185184</v>
      </c>
      <c r="K60">
        <v>0</v>
      </c>
      <c r="L60">
        <v>0</v>
      </c>
      <c r="M60">
        <v>0</v>
      </c>
      <c r="N60" s="76"/>
      <c r="P60">
        <v>1</v>
      </c>
      <c r="Q60" t="s">
        <v>7</v>
      </c>
      <c r="R60">
        <v>14400</v>
      </c>
      <c r="S60">
        <v>64</v>
      </c>
      <c r="T60">
        <v>2</v>
      </c>
      <c r="U60">
        <v>2</v>
      </c>
      <c r="V60">
        <v>489.61</v>
      </c>
      <c r="W60" s="21">
        <v>4.0663999999999998</v>
      </c>
      <c r="X60" s="26">
        <v>45474</v>
      </c>
      <c r="Y60" s="27">
        <v>0.98616898148148147</v>
      </c>
      <c r="Z60">
        <v>0</v>
      </c>
      <c r="AA60">
        <v>0</v>
      </c>
      <c r="AB60">
        <v>0</v>
      </c>
      <c r="AC60" s="77"/>
    </row>
    <row r="61" spans="1:29" x14ac:dyDescent="0.25">
      <c r="A61" s="44">
        <v>2</v>
      </c>
      <c r="B61" s="44" t="s">
        <v>7</v>
      </c>
      <c r="C61" s="45">
        <v>14400</v>
      </c>
      <c r="D61" s="45">
        <v>64</v>
      </c>
      <c r="E61" s="45">
        <v>2</v>
      </c>
      <c r="F61" s="45">
        <v>2</v>
      </c>
      <c r="G61" s="45">
        <v>463.09</v>
      </c>
      <c r="H61" s="51">
        <v>4.2992999999999997</v>
      </c>
      <c r="I61" s="17">
        <v>45475</v>
      </c>
      <c r="J61" s="18">
        <v>0.13082175925925926</v>
      </c>
      <c r="K61">
        <v>0</v>
      </c>
      <c r="L61">
        <v>0</v>
      </c>
      <c r="M61">
        <v>0</v>
      </c>
      <c r="N61" s="76"/>
      <c r="P61">
        <v>2</v>
      </c>
      <c r="Q61" t="s">
        <v>7</v>
      </c>
      <c r="R61">
        <v>14400</v>
      </c>
      <c r="S61">
        <v>64</v>
      </c>
      <c r="T61">
        <v>2</v>
      </c>
      <c r="U61">
        <v>2</v>
      </c>
      <c r="V61">
        <v>487.4</v>
      </c>
      <c r="W61" s="21">
        <v>4.0848000000000004</v>
      </c>
      <c r="X61" s="26">
        <v>45475</v>
      </c>
      <c r="Y61" s="27">
        <v>0.27008101851851851</v>
      </c>
      <c r="Z61">
        <v>0</v>
      </c>
      <c r="AA61">
        <v>0</v>
      </c>
      <c r="AB61">
        <v>0</v>
      </c>
      <c r="AC61" s="77"/>
    </row>
    <row r="62" spans="1:29" x14ac:dyDescent="0.25">
      <c r="A62" s="44">
        <v>3</v>
      </c>
      <c r="B62" s="44" t="s">
        <v>7</v>
      </c>
      <c r="C62" s="46">
        <v>14400</v>
      </c>
      <c r="D62" s="46">
        <v>64</v>
      </c>
      <c r="E62" s="46">
        <v>2</v>
      </c>
      <c r="F62" s="46">
        <v>2</v>
      </c>
      <c r="G62" s="47">
        <v>463.18</v>
      </c>
      <c r="H62" s="51">
        <v>4.2984</v>
      </c>
      <c r="I62" s="17">
        <v>45475</v>
      </c>
      <c r="J62" s="18">
        <v>0.36432870370370368</v>
      </c>
      <c r="K62">
        <v>0</v>
      </c>
      <c r="L62">
        <v>0</v>
      </c>
      <c r="M62">
        <v>0</v>
      </c>
      <c r="N62" s="76"/>
      <c r="P62">
        <v>3</v>
      </c>
      <c r="Q62" t="s">
        <v>7</v>
      </c>
      <c r="R62">
        <v>14400</v>
      </c>
      <c r="S62">
        <v>64</v>
      </c>
      <c r="T62">
        <v>2</v>
      </c>
      <c r="U62">
        <v>2</v>
      </c>
      <c r="V62">
        <v>486.81</v>
      </c>
      <c r="W62" s="21">
        <v>4.0898000000000003</v>
      </c>
      <c r="X62" s="26">
        <v>45475</v>
      </c>
      <c r="Y62" s="27">
        <v>0.55357638888888894</v>
      </c>
      <c r="Z62">
        <v>0</v>
      </c>
      <c r="AA62">
        <v>0</v>
      </c>
      <c r="AB62">
        <v>0</v>
      </c>
      <c r="AC62" s="77"/>
    </row>
    <row r="63" spans="1:29" x14ac:dyDescent="0.25">
      <c r="A63" s="44">
        <v>4</v>
      </c>
      <c r="B63" s="44" t="s">
        <v>7</v>
      </c>
      <c r="C63" s="46">
        <v>14400</v>
      </c>
      <c r="D63" s="46">
        <v>64</v>
      </c>
      <c r="E63" s="46">
        <v>2</v>
      </c>
      <c r="F63" s="46">
        <v>2</v>
      </c>
      <c r="G63" s="47">
        <v>463.32</v>
      </c>
      <c r="H63" s="51">
        <v>4.2972000000000001</v>
      </c>
      <c r="I63" s="17">
        <v>45475</v>
      </c>
      <c r="J63" s="18">
        <v>0.5977662037037037</v>
      </c>
      <c r="K63">
        <v>0</v>
      </c>
      <c r="L63">
        <v>0</v>
      </c>
      <c r="M63">
        <v>0</v>
      </c>
      <c r="N63" s="76"/>
      <c r="P63">
        <v>4</v>
      </c>
      <c r="Q63" t="s">
        <v>7</v>
      </c>
      <c r="R63">
        <v>14400</v>
      </c>
      <c r="S63">
        <v>64</v>
      </c>
      <c r="T63">
        <v>2</v>
      </c>
      <c r="U63">
        <v>2</v>
      </c>
      <c r="V63">
        <v>489.97</v>
      </c>
      <c r="W63" s="21">
        <v>4.0633999999999997</v>
      </c>
      <c r="X63" s="26">
        <v>45475</v>
      </c>
      <c r="Y63" s="27">
        <v>0.83687500000000004</v>
      </c>
      <c r="Z63">
        <v>0</v>
      </c>
      <c r="AA63">
        <v>0</v>
      </c>
      <c r="AB63">
        <v>0</v>
      </c>
      <c r="AC63" s="77"/>
    </row>
    <row r="64" spans="1:29" x14ac:dyDescent="0.25">
      <c r="A64" s="44">
        <v>0</v>
      </c>
      <c r="B64" s="44" t="s">
        <v>7</v>
      </c>
      <c r="C64" s="46">
        <v>12864</v>
      </c>
      <c r="D64" s="46">
        <v>96</v>
      </c>
      <c r="E64" s="46">
        <v>1</v>
      </c>
      <c r="F64" s="46">
        <v>4</v>
      </c>
      <c r="G64" s="47">
        <v>321.18</v>
      </c>
      <c r="H64" s="51">
        <v>4.4195000000000002</v>
      </c>
      <c r="I64" s="17">
        <v>45474</v>
      </c>
      <c r="J64" s="18">
        <v>0.51774305555555555</v>
      </c>
      <c r="K64">
        <v>0</v>
      </c>
      <c r="L64">
        <v>0</v>
      </c>
      <c r="M64">
        <v>0</v>
      </c>
      <c r="N64" s="76">
        <f>AVERAGE(H64:H68)</f>
        <v>4.4285800000000002</v>
      </c>
      <c r="P64">
        <v>0</v>
      </c>
      <c r="Q64" t="s">
        <v>7</v>
      </c>
      <c r="R64">
        <v>12864</v>
      </c>
      <c r="S64">
        <v>96</v>
      </c>
      <c r="T64">
        <v>1</v>
      </c>
      <c r="U64">
        <v>4</v>
      </c>
      <c r="V64">
        <v>344.43</v>
      </c>
      <c r="W64" s="21">
        <v>4.1211000000000002</v>
      </c>
      <c r="X64" s="26">
        <v>45474</v>
      </c>
      <c r="Y64" s="27">
        <v>0.52377314814814813</v>
      </c>
      <c r="Z64">
        <v>0</v>
      </c>
      <c r="AA64">
        <v>0</v>
      </c>
      <c r="AB64">
        <v>0</v>
      </c>
      <c r="AC64" s="77">
        <f t="shared" ref="AC64" si="11">AVERAGE(W64:W68)</f>
        <v>4.1486800000000006</v>
      </c>
    </row>
    <row r="65" spans="1:29" x14ac:dyDescent="0.25">
      <c r="A65" s="44">
        <v>1</v>
      </c>
      <c r="B65" s="44" t="s">
        <v>7</v>
      </c>
      <c r="C65" s="46">
        <v>12864</v>
      </c>
      <c r="D65" s="46">
        <v>96</v>
      </c>
      <c r="E65" s="46">
        <v>1</v>
      </c>
      <c r="F65" s="46">
        <v>4</v>
      </c>
      <c r="G65" s="47">
        <v>321.52999999999997</v>
      </c>
      <c r="H65" s="51">
        <v>4.4145000000000003</v>
      </c>
      <c r="I65" s="17">
        <v>45474</v>
      </c>
      <c r="J65" s="18">
        <v>0.75162037037037033</v>
      </c>
      <c r="K65">
        <v>0</v>
      </c>
      <c r="L65">
        <v>0</v>
      </c>
      <c r="M65">
        <v>0</v>
      </c>
      <c r="N65" s="76"/>
      <c r="P65">
        <v>1</v>
      </c>
      <c r="Q65" t="s">
        <v>7</v>
      </c>
      <c r="R65">
        <v>12864</v>
      </c>
      <c r="S65">
        <v>96</v>
      </c>
      <c r="T65">
        <v>1</v>
      </c>
      <c r="U65">
        <v>4</v>
      </c>
      <c r="V65">
        <v>340.68</v>
      </c>
      <c r="W65" s="21">
        <v>4.1665000000000001</v>
      </c>
      <c r="X65" s="26">
        <v>45474</v>
      </c>
      <c r="Y65" s="27">
        <v>0.8084837962962963</v>
      </c>
      <c r="Z65">
        <v>0</v>
      </c>
      <c r="AA65">
        <v>0</v>
      </c>
      <c r="AB65">
        <v>0</v>
      </c>
      <c r="AC65" s="77"/>
    </row>
    <row r="66" spans="1:29" x14ac:dyDescent="0.25">
      <c r="A66" s="42">
        <v>2</v>
      </c>
      <c r="B66" s="42" t="s">
        <v>7</v>
      </c>
      <c r="C66" s="43">
        <v>12864</v>
      </c>
      <c r="D66" s="43">
        <v>96</v>
      </c>
      <c r="E66" s="43">
        <v>1</v>
      </c>
      <c r="F66" s="43">
        <v>4</v>
      </c>
      <c r="G66" s="43">
        <v>320.25</v>
      </c>
      <c r="H66" s="50">
        <v>4.4322999999999997</v>
      </c>
      <c r="I66" s="23">
        <v>45474</v>
      </c>
      <c r="J66" s="24">
        <v>0.9853587962962963</v>
      </c>
      <c r="K66" s="22">
        <v>0</v>
      </c>
      <c r="L66" s="22">
        <v>0</v>
      </c>
      <c r="M66" s="22">
        <v>0</v>
      </c>
      <c r="N66" s="76"/>
      <c r="P66">
        <v>2</v>
      </c>
      <c r="Q66" t="s">
        <v>7</v>
      </c>
      <c r="R66">
        <v>12864</v>
      </c>
      <c r="S66">
        <v>96</v>
      </c>
      <c r="T66">
        <v>1</v>
      </c>
      <c r="U66">
        <v>4</v>
      </c>
      <c r="V66">
        <v>340.81</v>
      </c>
      <c r="W66" s="21">
        <v>4.1649000000000003</v>
      </c>
      <c r="X66" s="26">
        <v>45475</v>
      </c>
      <c r="Y66" s="27">
        <v>9.2488425925925932E-2</v>
      </c>
      <c r="Z66">
        <v>0</v>
      </c>
      <c r="AA66">
        <v>0</v>
      </c>
      <c r="AB66">
        <v>0</v>
      </c>
      <c r="AC66" s="77"/>
    </row>
    <row r="67" spans="1:29" x14ac:dyDescent="0.25">
      <c r="A67" s="44">
        <v>3</v>
      </c>
      <c r="B67" s="44" t="s">
        <v>7</v>
      </c>
      <c r="C67" s="46">
        <v>12864</v>
      </c>
      <c r="D67" s="46">
        <v>96</v>
      </c>
      <c r="E67" s="46">
        <v>1</v>
      </c>
      <c r="F67" s="46">
        <v>4</v>
      </c>
      <c r="G67" s="47">
        <v>319.41000000000003</v>
      </c>
      <c r="H67" s="51">
        <v>4.4438000000000004</v>
      </c>
      <c r="I67" s="17">
        <v>45475</v>
      </c>
      <c r="J67" s="18">
        <v>0.21894675925925927</v>
      </c>
      <c r="K67">
        <v>0</v>
      </c>
      <c r="L67">
        <v>0</v>
      </c>
      <c r="M67">
        <v>0</v>
      </c>
      <c r="N67" s="76"/>
      <c r="P67">
        <v>3</v>
      </c>
      <c r="Q67" t="s">
        <v>7</v>
      </c>
      <c r="R67">
        <v>12864</v>
      </c>
      <c r="S67">
        <v>96</v>
      </c>
      <c r="T67">
        <v>1</v>
      </c>
      <c r="U67">
        <v>4</v>
      </c>
      <c r="V67">
        <v>342.13</v>
      </c>
      <c r="W67" s="21">
        <v>4.1487999999999996</v>
      </c>
      <c r="X67" s="26">
        <v>45475</v>
      </c>
      <c r="Y67" s="27">
        <v>0.37620370370370371</v>
      </c>
      <c r="Z67">
        <v>0</v>
      </c>
      <c r="AA67">
        <v>0</v>
      </c>
      <c r="AB67">
        <v>0</v>
      </c>
      <c r="AC67" s="77"/>
    </row>
    <row r="68" spans="1:29" x14ac:dyDescent="0.25">
      <c r="A68" s="44">
        <v>4</v>
      </c>
      <c r="B68" s="44" t="s">
        <v>7</v>
      </c>
      <c r="C68" s="45">
        <v>12864</v>
      </c>
      <c r="D68" s="45">
        <v>96</v>
      </c>
      <c r="E68" s="45">
        <v>1</v>
      </c>
      <c r="F68" s="45">
        <v>4</v>
      </c>
      <c r="G68" s="45">
        <v>320.20999999999998</v>
      </c>
      <c r="H68" s="51">
        <v>4.4328000000000003</v>
      </c>
      <c r="I68" s="17">
        <v>45475</v>
      </c>
      <c r="J68" s="18">
        <v>0.45244212962962965</v>
      </c>
      <c r="K68">
        <v>0</v>
      </c>
      <c r="L68">
        <v>0</v>
      </c>
      <c r="M68">
        <v>0</v>
      </c>
      <c r="N68" s="76"/>
      <c r="P68">
        <v>4</v>
      </c>
      <c r="Q68" t="s">
        <v>7</v>
      </c>
      <c r="R68">
        <v>12864</v>
      </c>
      <c r="S68">
        <v>96</v>
      </c>
      <c r="T68">
        <v>1</v>
      </c>
      <c r="U68">
        <v>4</v>
      </c>
      <c r="V68">
        <v>342.68</v>
      </c>
      <c r="W68" s="21">
        <v>4.1421000000000001</v>
      </c>
      <c r="X68" s="26">
        <v>45475</v>
      </c>
      <c r="Y68" s="27">
        <v>0.65991898148148154</v>
      </c>
      <c r="Z68">
        <v>0</v>
      </c>
      <c r="AA68">
        <v>0</v>
      </c>
      <c r="AB68">
        <v>0</v>
      </c>
      <c r="AC68" s="77"/>
    </row>
    <row r="69" spans="1:29" x14ac:dyDescent="0.25">
      <c r="A69" s="42">
        <v>0</v>
      </c>
      <c r="B69" s="42" t="s">
        <v>7</v>
      </c>
      <c r="C69" s="43">
        <v>13632</v>
      </c>
      <c r="D69" s="43">
        <v>96</v>
      </c>
      <c r="E69" s="43">
        <v>1</v>
      </c>
      <c r="F69" s="43">
        <v>4</v>
      </c>
      <c r="G69" s="43">
        <v>386.36</v>
      </c>
      <c r="H69" s="50">
        <v>4.3718000000000004</v>
      </c>
      <c r="I69" s="23">
        <v>45474</v>
      </c>
      <c r="J69" s="24">
        <v>0.58721064814814816</v>
      </c>
      <c r="K69" s="22">
        <v>0</v>
      </c>
      <c r="L69" s="22">
        <v>0</v>
      </c>
      <c r="M69" s="22">
        <v>0</v>
      </c>
      <c r="N69" s="76">
        <f>AVERAGE(H69:H73)</f>
        <v>4.38828</v>
      </c>
      <c r="P69">
        <v>0</v>
      </c>
      <c r="Q69" t="s">
        <v>7</v>
      </c>
      <c r="R69">
        <v>13632</v>
      </c>
      <c r="S69">
        <v>96</v>
      </c>
      <c r="T69">
        <v>1</v>
      </c>
      <c r="U69">
        <v>4</v>
      </c>
      <c r="V69">
        <v>399.04</v>
      </c>
      <c r="W69" s="21">
        <v>4.2328999999999999</v>
      </c>
      <c r="X69" s="26">
        <v>45474</v>
      </c>
      <c r="Y69" s="27">
        <v>0.60951388888888891</v>
      </c>
      <c r="Z69">
        <v>0</v>
      </c>
      <c r="AA69">
        <v>0</v>
      </c>
      <c r="AB69">
        <v>0</v>
      </c>
      <c r="AC69" s="77">
        <f t="shared" ref="AC69" si="12">AVERAGE(W69:W73)</f>
        <v>4.2507199999999994</v>
      </c>
    </row>
    <row r="70" spans="1:29" x14ac:dyDescent="0.25">
      <c r="A70" s="44">
        <v>1</v>
      </c>
      <c r="B70" s="44" t="s">
        <v>7</v>
      </c>
      <c r="C70" s="46">
        <v>13632</v>
      </c>
      <c r="D70" s="46">
        <v>96</v>
      </c>
      <c r="E70" s="46">
        <v>1</v>
      </c>
      <c r="F70" s="46">
        <v>4</v>
      </c>
      <c r="G70" s="47">
        <v>385.45</v>
      </c>
      <c r="H70" s="51">
        <v>4.3822000000000001</v>
      </c>
      <c r="I70" s="17">
        <v>45474</v>
      </c>
      <c r="J70" s="18">
        <v>0.82094907407407403</v>
      </c>
      <c r="K70">
        <v>0</v>
      </c>
      <c r="L70">
        <v>0</v>
      </c>
      <c r="M70">
        <v>0</v>
      </c>
      <c r="N70" s="76"/>
      <c r="P70">
        <v>1</v>
      </c>
      <c r="Q70" t="s">
        <v>7</v>
      </c>
      <c r="R70">
        <v>13632</v>
      </c>
      <c r="S70">
        <v>96</v>
      </c>
      <c r="T70">
        <v>1</v>
      </c>
      <c r="U70">
        <v>4</v>
      </c>
      <c r="V70">
        <v>397.61</v>
      </c>
      <c r="W70" s="21">
        <v>4.2481</v>
      </c>
      <c r="X70" s="26">
        <v>45474</v>
      </c>
      <c r="Y70" s="27">
        <v>0.89414351851851848</v>
      </c>
      <c r="Z70">
        <v>0</v>
      </c>
      <c r="AA70">
        <v>0</v>
      </c>
      <c r="AB70">
        <v>0</v>
      </c>
      <c r="AC70" s="77"/>
    </row>
    <row r="71" spans="1:29" x14ac:dyDescent="0.25">
      <c r="A71" s="44">
        <v>2</v>
      </c>
      <c r="B71" s="44" t="s">
        <v>7</v>
      </c>
      <c r="C71" s="45">
        <v>13632</v>
      </c>
      <c r="D71" s="45">
        <v>96</v>
      </c>
      <c r="E71" s="45">
        <v>1</v>
      </c>
      <c r="F71" s="45">
        <v>4</v>
      </c>
      <c r="G71" s="45">
        <v>385.24</v>
      </c>
      <c r="H71" s="51">
        <v>4.3845000000000001</v>
      </c>
      <c r="I71" s="17">
        <v>45475</v>
      </c>
      <c r="J71" s="18">
        <v>5.4652777777777779E-2</v>
      </c>
      <c r="K71">
        <v>0</v>
      </c>
      <c r="L71">
        <v>0</v>
      </c>
      <c r="M71">
        <v>0</v>
      </c>
      <c r="N71" s="76"/>
      <c r="P71">
        <v>2</v>
      </c>
      <c r="Q71" t="s">
        <v>7</v>
      </c>
      <c r="R71">
        <v>13632</v>
      </c>
      <c r="S71">
        <v>96</v>
      </c>
      <c r="T71">
        <v>1</v>
      </c>
      <c r="U71">
        <v>4</v>
      </c>
      <c r="V71">
        <v>395.22</v>
      </c>
      <c r="W71" s="21">
        <v>4.2739000000000003</v>
      </c>
      <c r="X71" s="26">
        <v>45475</v>
      </c>
      <c r="Y71" s="27">
        <v>0.1779513888888889</v>
      </c>
      <c r="Z71">
        <v>0</v>
      </c>
      <c r="AA71">
        <v>0</v>
      </c>
      <c r="AB71">
        <v>0</v>
      </c>
      <c r="AC71" s="77"/>
    </row>
    <row r="72" spans="1:29" x14ac:dyDescent="0.25">
      <c r="A72" s="44">
        <v>3</v>
      </c>
      <c r="B72" s="44" t="s">
        <v>7</v>
      </c>
      <c r="C72" s="46">
        <v>13632</v>
      </c>
      <c r="D72" s="46">
        <v>96</v>
      </c>
      <c r="E72" s="46">
        <v>1</v>
      </c>
      <c r="F72" s="46">
        <v>4</v>
      </c>
      <c r="G72" s="47">
        <v>383.92</v>
      </c>
      <c r="H72" s="51">
        <v>4.3997000000000002</v>
      </c>
      <c r="I72" s="17">
        <v>45475</v>
      </c>
      <c r="J72" s="18">
        <v>0.28820601851851851</v>
      </c>
      <c r="K72">
        <v>0</v>
      </c>
      <c r="L72">
        <v>0</v>
      </c>
      <c r="M72">
        <v>0</v>
      </c>
      <c r="N72" s="76"/>
      <c r="P72">
        <v>3</v>
      </c>
      <c r="Q72" t="s">
        <v>7</v>
      </c>
      <c r="R72">
        <v>13632</v>
      </c>
      <c r="S72">
        <v>96</v>
      </c>
      <c r="T72">
        <v>1</v>
      </c>
      <c r="U72">
        <v>4</v>
      </c>
      <c r="V72">
        <v>396.84</v>
      </c>
      <c r="W72" s="21">
        <v>4.2564000000000002</v>
      </c>
      <c r="X72" s="26">
        <v>45475</v>
      </c>
      <c r="Y72" s="27">
        <v>0.46175925925925926</v>
      </c>
      <c r="Z72">
        <v>0</v>
      </c>
      <c r="AA72">
        <v>0</v>
      </c>
      <c r="AB72">
        <v>0</v>
      </c>
      <c r="AC72" s="77"/>
    </row>
    <row r="73" spans="1:29" x14ac:dyDescent="0.25">
      <c r="A73" s="44">
        <v>4</v>
      </c>
      <c r="B73" s="44" t="s">
        <v>7</v>
      </c>
      <c r="C73" s="46">
        <v>13632</v>
      </c>
      <c r="D73" s="46">
        <v>96</v>
      </c>
      <c r="E73" s="46">
        <v>1</v>
      </c>
      <c r="F73" s="46">
        <v>4</v>
      </c>
      <c r="G73" s="47">
        <v>383.61</v>
      </c>
      <c r="H73" s="51">
        <v>4.4032</v>
      </c>
      <c r="I73" s="17">
        <v>45475</v>
      </c>
      <c r="J73" s="18">
        <v>0.5216319444444445</v>
      </c>
      <c r="K73">
        <v>0</v>
      </c>
      <c r="L73">
        <v>0</v>
      </c>
      <c r="M73">
        <v>0</v>
      </c>
      <c r="N73" s="76"/>
      <c r="P73">
        <v>4</v>
      </c>
      <c r="Q73" t="s">
        <v>7</v>
      </c>
      <c r="R73">
        <v>13632</v>
      </c>
      <c r="S73">
        <v>96</v>
      </c>
      <c r="T73">
        <v>1</v>
      </c>
      <c r="U73">
        <v>4</v>
      </c>
      <c r="V73">
        <v>398.16</v>
      </c>
      <c r="W73" s="21">
        <v>4.2423000000000002</v>
      </c>
      <c r="X73" s="26">
        <v>45475</v>
      </c>
      <c r="Y73" s="27">
        <v>0.74542824074074077</v>
      </c>
      <c r="Z73">
        <v>0</v>
      </c>
      <c r="AA73">
        <v>0</v>
      </c>
      <c r="AB73">
        <v>0</v>
      </c>
      <c r="AC73" s="77"/>
    </row>
    <row r="74" spans="1:29" x14ac:dyDescent="0.25">
      <c r="A74" s="44">
        <v>0</v>
      </c>
      <c r="B74" s="44" t="s">
        <v>7</v>
      </c>
      <c r="C74" s="45">
        <v>14400</v>
      </c>
      <c r="D74" s="45">
        <v>96</v>
      </c>
      <c r="E74" s="45">
        <v>1</v>
      </c>
      <c r="F74" s="45">
        <v>4</v>
      </c>
      <c r="G74" s="45">
        <v>446.42</v>
      </c>
      <c r="H74" s="51">
        <v>4.4598000000000004</v>
      </c>
      <c r="I74" s="17">
        <v>45474</v>
      </c>
      <c r="J74" s="18">
        <v>0.66880787037037037</v>
      </c>
      <c r="K74">
        <v>0</v>
      </c>
      <c r="L74">
        <v>0</v>
      </c>
      <c r="M74">
        <v>0</v>
      </c>
      <c r="N74" s="76">
        <f>AVERAGE(H74:H78)</f>
        <v>4.4596399999999994</v>
      </c>
      <c r="P74">
        <v>0</v>
      </c>
      <c r="Q74" t="s">
        <v>7</v>
      </c>
      <c r="R74">
        <v>14400</v>
      </c>
      <c r="S74">
        <v>96</v>
      </c>
      <c r="T74">
        <v>1</v>
      </c>
      <c r="U74">
        <v>4</v>
      </c>
      <c r="V74">
        <v>473.31</v>
      </c>
      <c r="W74" s="21">
        <v>4.2065000000000001</v>
      </c>
      <c r="X74" s="26">
        <v>45474</v>
      </c>
      <c r="Y74" s="27">
        <v>0.7084259259259259</v>
      </c>
      <c r="Z74">
        <v>0</v>
      </c>
      <c r="AA74">
        <v>0</v>
      </c>
      <c r="AB74">
        <v>0</v>
      </c>
      <c r="AC74" s="77">
        <f t="shared" ref="AC74" si="13">AVERAGE(W74:W78)</f>
        <v>4.2878600000000002</v>
      </c>
    </row>
    <row r="75" spans="1:29" x14ac:dyDescent="0.25">
      <c r="A75" s="44">
        <v>1</v>
      </c>
      <c r="B75" s="44" t="s">
        <v>7</v>
      </c>
      <c r="C75" s="46">
        <v>14400</v>
      </c>
      <c r="D75" s="46">
        <v>96</v>
      </c>
      <c r="E75" s="46">
        <v>1</v>
      </c>
      <c r="F75" s="46">
        <v>4</v>
      </c>
      <c r="G75" s="47">
        <v>447.68</v>
      </c>
      <c r="H75" s="51">
        <v>4.4473000000000003</v>
      </c>
      <c r="I75" s="17">
        <v>45474</v>
      </c>
      <c r="J75" s="18">
        <v>0.90258101851851846</v>
      </c>
      <c r="K75">
        <v>0</v>
      </c>
      <c r="L75">
        <v>0</v>
      </c>
      <c r="M75">
        <v>0</v>
      </c>
      <c r="N75" s="76"/>
      <c r="P75">
        <v>1</v>
      </c>
      <c r="Q75" t="s">
        <v>7</v>
      </c>
      <c r="R75">
        <v>14400</v>
      </c>
      <c r="S75">
        <v>96</v>
      </c>
      <c r="T75">
        <v>1</v>
      </c>
      <c r="U75">
        <v>4</v>
      </c>
      <c r="V75">
        <v>467.99</v>
      </c>
      <c r="W75" s="21">
        <v>4.2542999999999997</v>
      </c>
      <c r="X75" s="26">
        <v>45474</v>
      </c>
      <c r="Y75" s="27">
        <v>0.99282407407407403</v>
      </c>
      <c r="Z75">
        <v>0</v>
      </c>
      <c r="AA75">
        <v>0</v>
      </c>
      <c r="AB75">
        <v>0</v>
      </c>
      <c r="AC75" s="77"/>
    </row>
    <row r="76" spans="1:29" x14ac:dyDescent="0.25">
      <c r="A76" s="44">
        <v>2</v>
      </c>
      <c r="B76" s="44" t="s">
        <v>7</v>
      </c>
      <c r="C76" s="46">
        <v>14400</v>
      </c>
      <c r="D76" s="46">
        <v>96</v>
      </c>
      <c r="E76" s="46">
        <v>1</v>
      </c>
      <c r="F76" s="46">
        <v>4</v>
      </c>
      <c r="G76" s="47">
        <v>445.68</v>
      </c>
      <c r="H76" s="51">
        <v>4.4672999999999998</v>
      </c>
      <c r="I76" s="17">
        <v>45475</v>
      </c>
      <c r="J76" s="18">
        <v>0.13621527777777778</v>
      </c>
      <c r="K76">
        <v>0</v>
      </c>
      <c r="L76">
        <v>0</v>
      </c>
      <c r="M76">
        <v>0</v>
      </c>
      <c r="N76" s="76"/>
      <c r="P76">
        <v>2</v>
      </c>
      <c r="Q76" t="s">
        <v>7</v>
      </c>
      <c r="R76">
        <v>14400</v>
      </c>
      <c r="S76">
        <v>96</v>
      </c>
      <c r="T76">
        <v>1</v>
      </c>
      <c r="U76">
        <v>4</v>
      </c>
      <c r="V76">
        <v>460.08</v>
      </c>
      <c r="W76" s="21">
        <v>4.3273999999999999</v>
      </c>
      <c r="X76" s="26">
        <v>45475</v>
      </c>
      <c r="Y76" s="27">
        <v>0.27665509259259258</v>
      </c>
      <c r="Z76">
        <v>0</v>
      </c>
      <c r="AA76">
        <v>0</v>
      </c>
      <c r="AB76">
        <v>0</v>
      </c>
      <c r="AC76" s="77"/>
    </row>
    <row r="77" spans="1:29" x14ac:dyDescent="0.25">
      <c r="A77" s="42">
        <v>3</v>
      </c>
      <c r="B77" s="42" t="s">
        <v>7</v>
      </c>
      <c r="C77" s="43">
        <v>14400</v>
      </c>
      <c r="D77" s="43">
        <v>96</v>
      </c>
      <c r="E77" s="43">
        <v>1</v>
      </c>
      <c r="F77" s="43">
        <v>4</v>
      </c>
      <c r="G77" s="43">
        <v>446.21</v>
      </c>
      <c r="H77" s="50">
        <v>4.4619999999999997</v>
      </c>
      <c r="I77" s="23">
        <v>45475</v>
      </c>
      <c r="J77" s="24">
        <v>0.36973379629629627</v>
      </c>
      <c r="K77" s="22">
        <v>0</v>
      </c>
      <c r="L77" s="22">
        <v>0</v>
      </c>
      <c r="M77" s="22">
        <v>0</v>
      </c>
      <c r="N77" s="76"/>
      <c r="P77">
        <v>3</v>
      </c>
      <c r="Q77" t="s">
        <v>7</v>
      </c>
      <c r="R77">
        <v>14400</v>
      </c>
      <c r="S77">
        <v>96</v>
      </c>
      <c r="T77">
        <v>1</v>
      </c>
      <c r="U77">
        <v>4</v>
      </c>
      <c r="V77">
        <v>460.28</v>
      </c>
      <c r="W77" s="21">
        <v>4.3254999999999999</v>
      </c>
      <c r="X77" s="26">
        <v>45475</v>
      </c>
      <c r="Y77" s="27">
        <v>0.56016203703703704</v>
      </c>
      <c r="Z77">
        <v>0</v>
      </c>
      <c r="AA77">
        <v>0</v>
      </c>
      <c r="AB77">
        <v>0</v>
      </c>
      <c r="AC77" s="77"/>
    </row>
    <row r="78" spans="1:29" x14ac:dyDescent="0.25">
      <c r="A78" s="44">
        <v>4</v>
      </c>
      <c r="B78" s="44" t="s">
        <v>7</v>
      </c>
      <c r="C78" s="46">
        <v>14400</v>
      </c>
      <c r="D78" s="46">
        <v>96</v>
      </c>
      <c r="E78" s="46">
        <v>1</v>
      </c>
      <c r="F78" s="46">
        <v>4</v>
      </c>
      <c r="G78" s="47">
        <v>446.22</v>
      </c>
      <c r="H78" s="51">
        <v>4.4618000000000002</v>
      </c>
      <c r="I78" s="17">
        <v>45475</v>
      </c>
      <c r="J78" s="18">
        <v>0.60317129629629629</v>
      </c>
      <c r="K78">
        <v>0</v>
      </c>
      <c r="L78">
        <v>0</v>
      </c>
      <c r="M78">
        <v>0</v>
      </c>
      <c r="N78" s="76"/>
      <c r="P78">
        <v>4</v>
      </c>
      <c r="Q78" t="s">
        <v>7</v>
      </c>
      <c r="R78">
        <v>14400</v>
      </c>
      <c r="S78">
        <v>96</v>
      </c>
      <c r="T78">
        <v>1</v>
      </c>
      <c r="U78">
        <v>4</v>
      </c>
      <c r="V78">
        <v>460.27</v>
      </c>
      <c r="W78" s="21">
        <v>4.3255999999999997</v>
      </c>
      <c r="X78" s="26">
        <v>45475</v>
      </c>
      <c r="Y78" s="27">
        <v>0.84341435185185187</v>
      </c>
      <c r="Z78">
        <v>0</v>
      </c>
      <c r="AA78">
        <v>0</v>
      </c>
      <c r="AB78">
        <v>0</v>
      </c>
      <c r="AC78" s="77"/>
    </row>
    <row r="79" spans="1:29" x14ac:dyDescent="0.25">
      <c r="A79" s="42">
        <v>0</v>
      </c>
      <c r="B79" s="42" t="s">
        <v>7</v>
      </c>
      <c r="C79" s="43">
        <v>12864</v>
      </c>
      <c r="D79" s="43">
        <v>96</v>
      </c>
      <c r="E79" s="43">
        <v>2</v>
      </c>
      <c r="F79" s="43">
        <v>2</v>
      </c>
      <c r="G79" s="43">
        <v>319.18</v>
      </c>
      <c r="H79" s="50">
        <v>4.4470000000000001</v>
      </c>
      <c r="I79" s="23">
        <v>45474</v>
      </c>
      <c r="J79" s="24">
        <v>0.52160879629629631</v>
      </c>
      <c r="K79" s="22">
        <v>0</v>
      </c>
      <c r="L79" s="22">
        <v>0</v>
      </c>
      <c r="M79" s="22">
        <v>0</v>
      </c>
      <c r="N79" s="76">
        <f>AVERAGE(H79:H83)</f>
        <v>4.4529000000000005</v>
      </c>
      <c r="P79">
        <v>0</v>
      </c>
      <c r="Q79" t="s">
        <v>7</v>
      </c>
      <c r="R79">
        <v>12864</v>
      </c>
      <c r="S79">
        <v>96</v>
      </c>
      <c r="T79">
        <v>2</v>
      </c>
      <c r="U79">
        <v>2</v>
      </c>
      <c r="V79">
        <v>357.44</v>
      </c>
      <c r="W79" s="21">
        <v>3.9710999999999999</v>
      </c>
      <c r="X79" s="26">
        <v>45474</v>
      </c>
      <c r="Y79" s="27">
        <v>0.528900462962963</v>
      </c>
      <c r="Z79">
        <v>0</v>
      </c>
      <c r="AA79">
        <v>0</v>
      </c>
      <c r="AB79">
        <v>0</v>
      </c>
      <c r="AC79" s="77">
        <f t="shared" ref="AC79" si="14">AVERAGE(W79:W83)</f>
        <v>3.9684799999999996</v>
      </c>
    </row>
    <row r="80" spans="1:29" x14ac:dyDescent="0.25">
      <c r="A80" s="44">
        <v>1</v>
      </c>
      <c r="B80" s="44" t="s">
        <v>7</v>
      </c>
      <c r="C80" s="46">
        <v>12864</v>
      </c>
      <c r="D80" s="46">
        <v>96</v>
      </c>
      <c r="E80" s="46">
        <v>2</v>
      </c>
      <c r="F80" s="46">
        <v>2</v>
      </c>
      <c r="G80" s="47">
        <v>318.33999999999997</v>
      </c>
      <c r="H80" s="51">
        <v>4.4588000000000001</v>
      </c>
      <c r="I80" s="17">
        <v>45474</v>
      </c>
      <c r="J80" s="18">
        <v>0.75549768518518523</v>
      </c>
      <c r="K80">
        <v>0</v>
      </c>
      <c r="L80">
        <v>0</v>
      </c>
      <c r="M80">
        <v>0</v>
      </c>
      <c r="N80" s="76"/>
      <c r="P80">
        <v>1</v>
      </c>
      <c r="Q80" t="s">
        <v>7</v>
      </c>
      <c r="R80">
        <v>12864</v>
      </c>
      <c r="S80">
        <v>96</v>
      </c>
      <c r="T80">
        <v>2</v>
      </c>
      <c r="U80">
        <v>2</v>
      </c>
      <c r="V80">
        <v>356.86</v>
      </c>
      <c r="W80" s="21">
        <v>3.9775</v>
      </c>
      <c r="X80" s="26">
        <v>45474</v>
      </c>
      <c r="Y80" s="27">
        <v>0.81361111111111106</v>
      </c>
      <c r="Z80">
        <v>0</v>
      </c>
      <c r="AA80">
        <v>0</v>
      </c>
      <c r="AB80">
        <v>0</v>
      </c>
      <c r="AC80" s="77"/>
    </row>
    <row r="81" spans="1:29" x14ac:dyDescent="0.25">
      <c r="A81" s="44">
        <v>2</v>
      </c>
      <c r="B81" s="44" t="s">
        <v>7</v>
      </c>
      <c r="C81" s="45">
        <v>12864</v>
      </c>
      <c r="D81" s="45">
        <v>96</v>
      </c>
      <c r="E81" s="45">
        <v>2</v>
      </c>
      <c r="F81" s="45">
        <v>2</v>
      </c>
      <c r="G81" s="45">
        <v>319.52999999999997</v>
      </c>
      <c r="H81" s="51">
        <v>4.4421999999999997</v>
      </c>
      <c r="I81" s="17">
        <v>45474</v>
      </c>
      <c r="J81" s="18">
        <v>0.98923611111111109</v>
      </c>
      <c r="K81">
        <v>0</v>
      </c>
      <c r="L81">
        <v>0</v>
      </c>
      <c r="M81">
        <v>0</v>
      </c>
      <c r="N81" s="76"/>
      <c r="P81">
        <v>2</v>
      </c>
      <c r="Q81" t="s">
        <v>7</v>
      </c>
      <c r="R81">
        <v>12864</v>
      </c>
      <c r="S81">
        <v>96</v>
      </c>
      <c r="T81">
        <v>2</v>
      </c>
      <c r="U81">
        <v>2</v>
      </c>
      <c r="V81">
        <v>356.76</v>
      </c>
      <c r="W81" s="21">
        <v>3.9786999999999999</v>
      </c>
      <c r="X81" s="26">
        <v>45475</v>
      </c>
      <c r="Y81" s="27">
        <v>9.7615740740740739E-2</v>
      </c>
      <c r="Z81">
        <v>0</v>
      </c>
      <c r="AA81">
        <v>0</v>
      </c>
      <c r="AB81">
        <v>0</v>
      </c>
      <c r="AC81" s="77"/>
    </row>
    <row r="82" spans="1:29" x14ac:dyDescent="0.25">
      <c r="A82" s="44">
        <v>3</v>
      </c>
      <c r="B82" s="44" t="s">
        <v>7</v>
      </c>
      <c r="C82" s="46">
        <v>12864</v>
      </c>
      <c r="D82" s="46">
        <v>96</v>
      </c>
      <c r="E82" s="46">
        <v>2</v>
      </c>
      <c r="F82" s="46">
        <v>2</v>
      </c>
      <c r="G82" s="47">
        <v>318.18</v>
      </c>
      <c r="H82" s="51">
        <v>4.4611000000000001</v>
      </c>
      <c r="I82" s="17">
        <v>45475</v>
      </c>
      <c r="J82" s="18">
        <v>0.2228125</v>
      </c>
      <c r="K82">
        <v>0</v>
      </c>
      <c r="L82">
        <v>0</v>
      </c>
      <c r="M82">
        <v>0</v>
      </c>
      <c r="N82" s="76"/>
      <c r="P82">
        <v>3</v>
      </c>
      <c r="Q82" t="s">
        <v>7</v>
      </c>
      <c r="R82">
        <v>12864</v>
      </c>
      <c r="S82">
        <v>96</v>
      </c>
      <c r="T82">
        <v>2</v>
      </c>
      <c r="U82">
        <v>2</v>
      </c>
      <c r="V82">
        <v>360.48</v>
      </c>
      <c r="W82" s="21">
        <v>3.9376000000000002</v>
      </c>
      <c r="X82" s="26">
        <v>45475</v>
      </c>
      <c r="Y82" s="27">
        <v>0.38137731481481479</v>
      </c>
      <c r="Z82">
        <v>0</v>
      </c>
      <c r="AA82">
        <v>0</v>
      </c>
      <c r="AB82">
        <v>0</v>
      </c>
      <c r="AC82" s="77"/>
    </row>
    <row r="83" spans="1:29" x14ac:dyDescent="0.25">
      <c r="A83" s="44">
        <v>4</v>
      </c>
      <c r="B83" s="44" t="s">
        <v>7</v>
      </c>
      <c r="C83" s="46">
        <v>12864</v>
      </c>
      <c r="D83" s="46">
        <v>96</v>
      </c>
      <c r="E83" s="46">
        <v>2</v>
      </c>
      <c r="F83" s="46">
        <v>2</v>
      </c>
      <c r="G83" s="47">
        <v>318.58999999999997</v>
      </c>
      <c r="H83" s="51">
        <v>4.4554</v>
      </c>
      <c r="I83" s="17">
        <v>45475</v>
      </c>
      <c r="J83" s="18">
        <v>0.45630787037037035</v>
      </c>
      <c r="K83">
        <v>0</v>
      </c>
      <c r="L83">
        <v>0</v>
      </c>
      <c r="M83">
        <v>0</v>
      </c>
      <c r="N83" s="76"/>
      <c r="P83">
        <v>4</v>
      </c>
      <c r="Q83" t="s">
        <v>7</v>
      </c>
      <c r="R83">
        <v>12864</v>
      </c>
      <c r="S83">
        <v>96</v>
      </c>
      <c r="T83">
        <v>2</v>
      </c>
      <c r="U83">
        <v>2</v>
      </c>
      <c r="V83">
        <v>356.86</v>
      </c>
      <c r="W83" s="21">
        <v>3.9775</v>
      </c>
      <c r="X83" s="26">
        <v>45475</v>
      </c>
      <c r="Y83" s="27">
        <v>0.6650462962962963</v>
      </c>
      <c r="Z83">
        <v>0</v>
      </c>
      <c r="AA83">
        <v>0</v>
      </c>
      <c r="AB83">
        <v>0</v>
      </c>
      <c r="AC83" s="77"/>
    </row>
    <row r="84" spans="1:29" x14ac:dyDescent="0.25">
      <c r="A84" s="44">
        <v>0</v>
      </c>
      <c r="B84" s="44" t="s">
        <v>7</v>
      </c>
      <c r="C84" s="45">
        <v>13632</v>
      </c>
      <c r="D84" s="45">
        <v>96</v>
      </c>
      <c r="E84" s="45">
        <v>2</v>
      </c>
      <c r="F84" s="45">
        <v>2</v>
      </c>
      <c r="G84" s="45">
        <v>381.39</v>
      </c>
      <c r="H84" s="51">
        <v>4.4288999999999996</v>
      </c>
      <c r="I84" s="17">
        <v>45474</v>
      </c>
      <c r="J84" s="18">
        <v>0.59184027777777781</v>
      </c>
      <c r="K84">
        <v>0</v>
      </c>
      <c r="L84">
        <v>0</v>
      </c>
      <c r="M84">
        <v>0</v>
      </c>
      <c r="N84" s="76">
        <f>AVERAGE(H84:H88)</f>
        <v>4.4370399999999997</v>
      </c>
      <c r="P84">
        <v>0</v>
      </c>
      <c r="Q84" t="s">
        <v>7</v>
      </c>
      <c r="R84">
        <v>13632</v>
      </c>
      <c r="S84">
        <v>96</v>
      </c>
      <c r="T84">
        <v>2</v>
      </c>
      <c r="U84">
        <v>2</v>
      </c>
      <c r="V84">
        <v>415.14</v>
      </c>
      <c r="W84" s="21">
        <v>4.0688000000000004</v>
      </c>
      <c r="X84" s="26">
        <v>45474</v>
      </c>
      <c r="Y84" s="27">
        <v>0.6154398148148148</v>
      </c>
      <c r="Z84">
        <v>0</v>
      </c>
      <c r="AA84">
        <v>0</v>
      </c>
      <c r="AB84">
        <v>0</v>
      </c>
      <c r="AC84" s="77">
        <f t="shared" ref="AC84" si="15">AVERAGE(W84:W88)</f>
        <v>4.0605799999999999</v>
      </c>
    </row>
    <row r="85" spans="1:29" x14ac:dyDescent="0.25">
      <c r="A85" s="44">
        <v>1</v>
      </c>
      <c r="B85" s="44" t="s">
        <v>7</v>
      </c>
      <c r="C85" s="46">
        <v>13632</v>
      </c>
      <c r="D85" s="46">
        <v>96</v>
      </c>
      <c r="E85" s="46">
        <v>2</v>
      </c>
      <c r="F85" s="46">
        <v>2</v>
      </c>
      <c r="G85" s="47">
        <v>381.39</v>
      </c>
      <c r="H85" s="51">
        <v>4.4288999999999996</v>
      </c>
      <c r="I85" s="17">
        <v>45474</v>
      </c>
      <c r="J85" s="18">
        <v>0.8255555555555556</v>
      </c>
      <c r="K85">
        <v>0</v>
      </c>
      <c r="L85">
        <v>0</v>
      </c>
      <c r="M85">
        <v>0</v>
      </c>
      <c r="N85" s="76"/>
      <c r="P85">
        <v>1</v>
      </c>
      <c r="Q85" t="s">
        <v>7</v>
      </c>
      <c r="R85">
        <v>13632</v>
      </c>
      <c r="S85">
        <v>96</v>
      </c>
      <c r="T85">
        <v>2</v>
      </c>
      <c r="U85">
        <v>2</v>
      </c>
      <c r="V85">
        <v>414.88</v>
      </c>
      <c r="W85" s="21">
        <v>4.0712999999999999</v>
      </c>
      <c r="X85" s="26">
        <v>45474</v>
      </c>
      <c r="Y85" s="27">
        <v>0.90005787037037033</v>
      </c>
      <c r="Z85">
        <v>0</v>
      </c>
      <c r="AA85">
        <v>0</v>
      </c>
      <c r="AB85">
        <v>0</v>
      </c>
      <c r="AC85" s="77"/>
    </row>
    <row r="86" spans="1:29" x14ac:dyDescent="0.25">
      <c r="A86" s="44">
        <v>2</v>
      </c>
      <c r="B86" s="44" t="s">
        <v>7</v>
      </c>
      <c r="C86" s="46">
        <v>13632</v>
      </c>
      <c r="D86" s="46">
        <v>96</v>
      </c>
      <c r="E86" s="46">
        <v>2</v>
      </c>
      <c r="F86" s="46">
        <v>2</v>
      </c>
      <c r="G86" s="47">
        <v>379.81</v>
      </c>
      <c r="H86" s="51">
        <v>4.4473000000000003</v>
      </c>
      <c r="I86" s="17">
        <v>45475</v>
      </c>
      <c r="J86" s="18">
        <v>5.9247685185185188E-2</v>
      </c>
      <c r="K86">
        <v>0</v>
      </c>
      <c r="L86">
        <v>0</v>
      </c>
      <c r="M86">
        <v>0</v>
      </c>
      <c r="N86" s="76"/>
      <c r="P86">
        <v>2</v>
      </c>
      <c r="Q86" t="s">
        <v>7</v>
      </c>
      <c r="R86">
        <v>13632</v>
      </c>
      <c r="S86">
        <v>96</v>
      </c>
      <c r="T86">
        <v>2</v>
      </c>
      <c r="U86">
        <v>2</v>
      </c>
      <c r="V86">
        <v>417.05</v>
      </c>
      <c r="W86" s="21">
        <v>4.0502000000000002</v>
      </c>
      <c r="X86" s="26">
        <v>45475</v>
      </c>
      <c r="Y86" s="27">
        <v>0.18390046296296297</v>
      </c>
      <c r="Z86">
        <v>0</v>
      </c>
      <c r="AA86">
        <v>0</v>
      </c>
      <c r="AB86">
        <v>0</v>
      </c>
      <c r="AC86" s="77"/>
    </row>
    <row r="87" spans="1:29" x14ac:dyDescent="0.25">
      <c r="A87" s="42">
        <v>3</v>
      </c>
      <c r="B87" s="42" t="s">
        <v>7</v>
      </c>
      <c r="C87" s="43">
        <v>13632</v>
      </c>
      <c r="D87" s="43">
        <v>96</v>
      </c>
      <c r="E87" s="43">
        <v>2</v>
      </c>
      <c r="F87" s="43">
        <v>2</v>
      </c>
      <c r="G87" s="43">
        <v>380.48</v>
      </c>
      <c r="H87" s="50">
        <v>4.4394</v>
      </c>
      <c r="I87" s="23">
        <v>45475</v>
      </c>
      <c r="J87" s="24">
        <v>0.29281249999999998</v>
      </c>
      <c r="K87" s="22">
        <v>0</v>
      </c>
      <c r="L87" s="22">
        <v>0</v>
      </c>
      <c r="M87" s="22">
        <v>0</v>
      </c>
      <c r="N87" s="76"/>
      <c r="P87">
        <v>3</v>
      </c>
      <c r="Q87" t="s">
        <v>7</v>
      </c>
      <c r="R87">
        <v>13632</v>
      </c>
      <c r="S87">
        <v>96</v>
      </c>
      <c r="T87">
        <v>2</v>
      </c>
      <c r="U87">
        <v>2</v>
      </c>
      <c r="V87">
        <v>417.4</v>
      </c>
      <c r="W87" s="21">
        <v>4.0468000000000002</v>
      </c>
      <c r="X87" s="26">
        <v>45475</v>
      </c>
      <c r="Y87" s="27">
        <v>0.46769675925925924</v>
      </c>
      <c r="Z87">
        <v>0</v>
      </c>
      <c r="AA87">
        <v>0</v>
      </c>
      <c r="AB87">
        <v>0</v>
      </c>
      <c r="AC87" s="77"/>
    </row>
    <row r="88" spans="1:29" x14ac:dyDescent="0.25">
      <c r="A88" s="44">
        <v>4</v>
      </c>
      <c r="B88" s="44" t="s">
        <v>7</v>
      </c>
      <c r="C88" s="46">
        <v>13632</v>
      </c>
      <c r="D88" s="46">
        <v>96</v>
      </c>
      <c r="E88" s="46">
        <v>2</v>
      </c>
      <c r="F88" s="46">
        <v>2</v>
      </c>
      <c r="G88" s="47">
        <v>380.37</v>
      </c>
      <c r="H88" s="51">
        <v>4.4406999999999996</v>
      </c>
      <c r="I88" s="17">
        <v>45475</v>
      </c>
      <c r="J88" s="18">
        <v>0.52623842592592596</v>
      </c>
      <c r="K88">
        <v>0</v>
      </c>
      <c r="L88">
        <v>0</v>
      </c>
      <c r="M88">
        <v>0</v>
      </c>
      <c r="N88" s="76"/>
      <c r="P88">
        <v>4</v>
      </c>
      <c r="Q88" t="s">
        <v>7</v>
      </c>
      <c r="R88">
        <v>13632</v>
      </c>
      <c r="S88">
        <v>96</v>
      </c>
      <c r="T88">
        <v>2</v>
      </c>
      <c r="U88">
        <v>2</v>
      </c>
      <c r="V88">
        <v>415.45</v>
      </c>
      <c r="W88" s="21">
        <v>4.0658000000000003</v>
      </c>
      <c r="X88" s="26">
        <v>45475</v>
      </c>
      <c r="Y88" s="27">
        <v>0.75130787037037039</v>
      </c>
      <c r="Z88">
        <v>0</v>
      </c>
      <c r="AA88">
        <v>0</v>
      </c>
      <c r="AB88">
        <v>0</v>
      </c>
      <c r="AC88" s="77"/>
    </row>
    <row r="89" spans="1:29" x14ac:dyDescent="0.25">
      <c r="A89" s="44">
        <v>0</v>
      </c>
      <c r="B89" s="44" t="s">
        <v>7</v>
      </c>
      <c r="C89" s="46">
        <v>14400</v>
      </c>
      <c r="D89" s="46">
        <v>96</v>
      </c>
      <c r="E89" s="46">
        <v>2</v>
      </c>
      <c r="F89" s="46">
        <v>2</v>
      </c>
      <c r="G89" s="47">
        <v>444.7</v>
      </c>
      <c r="H89" s="51">
        <v>4.4771000000000001</v>
      </c>
      <c r="I89" s="17">
        <v>45474</v>
      </c>
      <c r="J89" s="18">
        <v>0.67416666666666669</v>
      </c>
      <c r="K89">
        <v>0</v>
      </c>
      <c r="L89">
        <v>0</v>
      </c>
      <c r="M89">
        <v>0</v>
      </c>
      <c r="N89" s="76">
        <f>AVERAGE(H89:H93)</f>
        <v>4.4801000000000002</v>
      </c>
      <c r="P89">
        <v>0</v>
      </c>
      <c r="Q89" t="s">
        <v>7</v>
      </c>
      <c r="R89">
        <v>14400</v>
      </c>
      <c r="S89">
        <v>96</v>
      </c>
      <c r="T89">
        <v>2</v>
      </c>
      <c r="U89">
        <v>2</v>
      </c>
      <c r="V89">
        <v>483.34</v>
      </c>
      <c r="W89" s="21">
        <v>4.1192000000000002</v>
      </c>
      <c r="X89" s="26">
        <v>45474</v>
      </c>
      <c r="Y89" s="27">
        <v>0.71524305555555556</v>
      </c>
      <c r="Z89">
        <v>0</v>
      </c>
      <c r="AA89">
        <v>0</v>
      </c>
      <c r="AB89">
        <v>0</v>
      </c>
      <c r="AC89" s="77">
        <f t="shared" ref="AC89" si="16">AVERAGE(W89:W93)</f>
        <v>4.1349800000000005</v>
      </c>
    </row>
    <row r="90" spans="1:29" x14ac:dyDescent="0.25">
      <c r="A90" s="42">
        <v>1</v>
      </c>
      <c r="B90" s="42" t="s">
        <v>7</v>
      </c>
      <c r="C90" s="43">
        <v>14400</v>
      </c>
      <c r="D90" s="43">
        <v>96</v>
      </c>
      <c r="E90" s="43">
        <v>2</v>
      </c>
      <c r="F90" s="43">
        <v>2</v>
      </c>
      <c r="G90" s="43">
        <v>443.83</v>
      </c>
      <c r="H90" s="50">
        <v>4.4859</v>
      </c>
      <c r="I90" s="23">
        <v>45474</v>
      </c>
      <c r="J90" s="24">
        <v>0.90793981481481478</v>
      </c>
      <c r="K90" s="22">
        <v>0</v>
      </c>
      <c r="L90" s="22">
        <v>0</v>
      </c>
      <c r="M90" s="22">
        <v>0</v>
      </c>
      <c r="N90" s="76"/>
      <c r="P90">
        <v>1</v>
      </c>
      <c r="Q90" t="s">
        <v>7</v>
      </c>
      <c r="R90">
        <v>14400</v>
      </c>
      <c r="S90">
        <v>96</v>
      </c>
      <c r="T90">
        <v>2</v>
      </c>
      <c r="U90">
        <v>2</v>
      </c>
      <c r="V90">
        <v>481.78</v>
      </c>
      <c r="W90" s="21">
        <v>4.1325000000000003</v>
      </c>
      <c r="X90" s="26">
        <v>45474</v>
      </c>
      <c r="Y90" s="27">
        <v>0.99964120370370368</v>
      </c>
      <c r="Z90">
        <v>0</v>
      </c>
      <c r="AA90">
        <v>0</v>
      </c>
      <c r="AB90">
        <v>0</v>
      </c>
      <c r="AC90" s="77"/>
    </row>
    <row r="91" spans="1:29" x14ac:dyDescent="0.25">
      <c r="A91" s="44">
        <v>2</v>
      </c>
      <c r="B91" s="44" t="s">
        <v>7</v>
      </c>
      <c r="C91" s="46">
        <v>14400</v>
      </c>
      <c r="D91" s="46">
        <v>96</v>
      </c>
      <c r="E91" s="46">
        <v>2</v>
      </c>
      <c r="F91" s="46">
        <v>2</v>
      </c>
      <c r="G91" s="47">
        <v>444.53</v>
      </c>
      <c r="H91" s="51">
        <v>4.4789000000000003</v>
      </c>
      <c r="I91" s="17">
        <v>45475</v>
      </c>
      <c r="J91" s="18">
        <v>0.14158564814814814</v>
      </c>
      <c r="K91">
        <v>0</v>
      </c>
      <c r="L91">
        <v>0</v>
      </c>
      <c r="M91">
        <v>0</v>
      </c>
      <c r="N91" s="76"/>
      <c r="P91">
        <v>2</v>
      </c>
      <c r="Q91" t="s">
        <v>7</v>
      </c>
      <c r="R91">
        <v>14400</v>
      </c>
      <c r="S91">
        <v>96</v>
      </c>
      <c r="T91">
        <v>2</v>
      </c>
      <c r="U91">
        <v>2</v>
      </c>
      <c r="V91">
        <v>482.95</v>
      </c>
      <c r="W91" s="21">
        <v>4.1224999999999996</v>
      </c>
      <c r="X91" s="26">
        <v>45475</v>
      </c>
      <c r="Y91" s="27">
        <v>0.28347222222222224</v>
      </c>
      <c r="Z91">
        <v>0</v>
      </c>
      <c r="AA91">
        <v>0</v>
      </c>
      <c r="AB91">
        <v>0</v>
      </c>
      <c r="AC91" s="77"/>
    </row>
    <row r="92" spans="1:29" x14ac:dyDescent="0.25">
      <c r="A92" s="44">
        <v>3</v>
      </c>
      <c r="B92" s="44" t="s">
        <v>7</v>
      </c>
      <c r="C92" s="45">
        <v>14400</v>
      </c>
      <c r="D92" s="45">
        <v>96</v>
      </c>
      <c r="E92" s="45">
        <v>2</v>
      </c>
      <c r="F92" s="45">
        <v>2</v>
      </c>
      <c r="G92" s="45">
        <v>444.53</v>
      </c>
      <c r="H92" s="51">
        <v>4.4789000000000003</v>
      </c>
      <c r="I92" s="17">
        <v>45475</v>
      </c>
      <c r="J92" s="18">
        <v>0.37509259259259259</v>
      </c>
      <c r="K92">
        <v>0</v>
      </c>
      <c r="L92">
        <v>0</v>
      </c>
      <c r="M92">
        <v>0</v>
      </c>
      <c r="N92" s="76"/>
      <c r="P92">
        <v>3</v>
      </c>
      <c r="Q92" t="s">
        <v>7</v>
      </c>
      <c r="R92">
        <v>14400</v>
      </c>
      <c r="S92">
        <v>96</v>
      </c>
      <c r="T92">
        <v>2</v>
      </c>
      <c r="U92">
        <v>2</v>
      </c>
      <c r="V92">
        <v>479.75</v>
      </c>
      <c r="W92" s="21">
        <v>4.1500000000000004</v>
      </c>
      <c r="X92" s="26">
        <v>45475</v>
      </c>
      <c r="Y92" s="27">
        <v>0.56693287037037032</v>
      </c>
      <c r="Z92">
        <v>0</v>
      </c>
      <c r="AA92">
        <v>0</v>
      </c>
      <c r="AB92">
        <v>0</v>
      </c>
      <c r="AC92" s="77"/>
    </row>
    <row r="93" spans="1:29" x14ac:dyDescent="0.25">
      <c r="A93" s="44">
        <v>4</v>
      </c>
      <c r="B93" s="44" t="s">
        <v>7</v>
      </c>
      <c r="C93" s="46">
        <v>14400</v>
      </c>
      <c r="D93" s="46">
        <v>96</v>
      </c>
      <c r="E93" s="46">
        <v>2</v>
      </c>
      <c r="F93" s="46">
        <v>2</v>
      </c>
      <c r="G93" s="47">
        <v>444.44</v>
      </c>
      <c r="H93" s="51">
        <v>4.4797000000000002</v>
      </c>
      <c r="I93" s="17">
        <v>45475</v>
      </c>
      <c r="J93" s="18">
        <v>0.60853009259259261</v>
      </c>
      <c r="K93">
        <v>0</v>
      </c>
      <c r="L93">
        <v>0</v>
      </c>
      <c r="M93">
        <v>0</v>
      </c>
      <c r="N93" s="76"/>
      <c r="P93">
        <v>4</v>
      </c>
      <c r="Q93" t="s">
        <v>7</v>
      </c>
      <c r="R93">
        <v>14400</v>
      </c>
      <c r="S93">
        <v>96</v>
      </c>
      <c r="T93">
        <v>2</v>
      </c>
      <c r="U93">
        <v>2</v>
      </c>
      <c r="V93">
        <v>479.67</v>
      </c>
      <c r="W93" s="21">
        <v>4.1506999999999996</v>
      </c>
      <c r="X93" s="26">
        <v>45475</v>
      </c>
      <c r="Y93" s="27">
        <v>0.85017361111111112</v>
      </c>
      <c r="Z93">
        <v>0</v>
      </c>
      <c r="AA93">
        <v>0</v>
      </c>
      <c r="AB93">
        <v>0</v>
      </c>
      <c r="AC93" s="77"/>
    </row>
    <row r="94" spans="1:29" x14ac:dyDescent="0.25">
      <c r="A94" s="44">
        <v>0</v>
      </c>
      <c r="B94" s="44" t="s">
        <v>7</v>
      </c>
      <c r="C94" s="45">
        <v>12800</v>
      </c>
      <c r="D94" s="45">
        <v>128</v>
      </c>
      <c r="E94" s="45">
        <v>1</v>
      </c>
      <c r="F94" s="45">
        <v>4</v>
      </c>
      <c r="G94" s="45">
        <v>333.15</v>
      </c>
      <c r="H94" s="51">
        <v>4.1974</v>
      </c>
      <c r="I94" s="17">
        <v>45474</v>
      </c>
      <c r="J94" s="18">
        <v>0.52565972222222224</v>
      </c>
      <c r="K94">
        <v>0</v>
      </c>
      <c r="L94">
        <v>0</v>
      </c>
      <c r="M94">
        <v>0</v>
      </c>
      <c r="N94" s="76">
        <f>AVERAGE(H94:H98)</f>
        <v>4.2024200000000009</v>
      </c>
      <c r="P94">
        <v>0</v>
      </c>
      <c r="Q94" t="s">
        <v>7</v>
      </c>
      <c r="R94">
        <v>12800</v>
      </c>
      <c r="S94">
        <v>128</v>
      </c>
      <c r="T94">
        <v>1</v>
      </c>
      <c r="U94">
        <v>4</v>
      </c>
      <c r="V94">
        <v>339.96</v>
      </c>
      <c r="W94" s="21">
        <v>4.1132</v>
      </c>
      <c r="X94" s="26">
        <v>45474</v>
      </c>
      <c r="Y94" s="27">
        <v>0.5338194444444444</v>
      </c>
      <c r="Z94">
        <v>0</v>
      </c>
      <c r="AA94">
        <v>0</v>
      </c>
      <c r="AB94">
        <v>0</v>
      </c>
      <c r="AC94" s="77">
        <f t="shared" ref="AC94" si="17">AVERAGE(W94:W98)</f>
        <v>4.1307399999999994</v>
      </c>
    </row>
    <row r="95" spans="1:29" x14ac:dyDescent="0.25">
      <c r="A95" s="44">
        <v>1</v>
      </c>
      <c r="B95" s="44" t="s">
        <v>7</v>
      </c>
      <c r="C95" s="46">
        <v>12800</v>
      </c>
      <c r="D95" s="46">
        <v>128</v>
      </c>
      <c r="E95" s="46">
        <v>1</v>
      </c>
      <c r="F95" s="46">
        <v>4</v>
      </c>
      <c r="G95" s="47">
        <v>332.21</v>
      </c>
      <c r="H95" s="51">
        <v>4.2092000000000001</v>
      </c>
      <c r="I95" s="17">
        <v>45474</v>
      </c>
      <c r="J95" s="18">
        <v>0.75952546296296297</v>
      </c>
      <c r="K95">
        <v>0</v>
      </c>
      <c r="L95">
        <v>0</v>
      </c>
      <c r="M95">
        <v>0</v>
      </c>
      <c r="N95" s="76"/>
      <c r="P95">
        <v>1</v>
      </c>
      <c r="Q95" t="s">
        <v>7</v>
      </c>
      <c r="R95">
        <v>12800</v>
      </c>
      <c r="S95">
        <v>128</v>
      </c>
      <c r="T95">
        <v>1</v>
      </c>
      <c r="U95">
        <v>4</v>
      </c>
      <c r="V95">
        <v>337.86</v>
      </c>
      <c r="W95" s="21">
        <v>4.1387999999999998</v>
      </c>
      <c r="X95" s="26">
        <v>45474</v>
      </c>
      <c r="Y95" s="27">
        <v>0.8185069444444445</v>
      </c>
      <c r="Z95">
        <v>0</v>
      </c>
      <c r="AA95">
        <v>0</v>
      </c>
      <c r="AB95">
        <v>0</v>
      </c>
      <c r="AC95" s="77"/>
    </row>
    <row r="96" spans="1:29" x14ac:dyDescent="0.25">
      <c r="A96" s="44">
        <v>2</v>
      </c>
      <c r="B96" s="44" t="s">
        <v>7</v>
      </c>
      <c r="C96" s="46">
        <v>12800</v>
      </c>
      <c r="D96" s="46">
        <v>128</v>
      </c>
      <c r="E96" s="46">
        <v>1</v>
      </c>
      <c r="F96" s="46">
        <v>4</v>
      </c>
      <c r="G96" s="47">
        <v>333.24</v>
      </c>
      <c r="H96" s="51">
        <v>4.1962000000000002</v>
      </c>
      <c r="I96" s="17">
        <v>45474</v>
      </c>
      <c r="J96" s="18">
        <v>0.99328703703703702</v>
      </c>
      <c r="K96">
        <v>0</v>
      </c>
      <c r="L96">
        <v>0</v>
      </c>
      <c r="M96">
        <v>0</v>
      </c>
      <c r="N96" s="76"/>
      <c r="P96">
        <v>2</v>
      </c>
      <c r="Q96" t="s">
        <v>7</v>
      </c>
      <c r="R96">
        <v>12800</v>
      </c>
      <c r="S96">
        <v>128</v>
      </c>
      <c r="T96">
        <v>1</v>
      </c>
      <c r="U96">
        <v>4</v>
      </c>
      <c r="V96">
        <v>337.5</v>
      </c>
      <c r="W96" s="21">
        <v>4.1433</v>
      </c>
      <c r="X96" s="26">
        <v>45475</v>
      </c>
      <c r="Y96" s="27">
        <v>0.10249999999999999</v>
      </c>
      <c r="Z96">
        <v>0</v>
      </c>
      <c r="AA96">
        <v>0</v>
      </c>
      <c r="AB96">
        <v>0</v>
      </c>
      <c r="AC96" s="77"/>
    </row>
    <row r="97" spans="1:29" x14ac:dyDescent="0.25">
      <c r="A97" s="42">
        <v>3</v>
      </c>
      <c r="B97" s="42" t="s">
        <v>7</v>
      </c>
      <c r="C97" s="43">
        <v>12800</v>
      </c>
      <c r="D97" s="43">
        <v>128</v>
      </c>
      <c r="E97" s="43">
        <v>1</v>
      </c>
      <c r="F97" s="43">
        <v>4</v>
      </c>
      <c r="G97" s="43">
        <v>332.49</v>
      </c>
      <c r="H97" s="50">
        <v>4.2057000000000002</v>
      </c>
      <c r="I97" s="23">
        <v>45475</v>
      </c>
      <c r="J97" s="24">
        <v>0.22685185185185186</v>
      </c>
      <c r="K97" s="22">
        <v>0</v>
      </c>
      <c r="L97" s="22">
        <v>0</v>
      </c>
      <c r="M97" s="22">
        <v>0</v>
      </c>
      <c r="N97" s="76"/>
      <c r="P97">
        <v>3</v>
      </c>
      <c r="Q97" t="s">
        <v>7</v>
      </c>
      <c r="R97">
        <v>12800</v>
      </c>
      <c r="S97">
        <v>128</v>
      </c>
      <c r="T97">
        <v>1</v>
      </c>
      <c r="U97">
        <v>4</v>
      </c>
      <c r="V97">
        <v>338.95</v>
      </c>
      <c r="W97" s="21">
        <v>4.1256000000000004</v>
      </c>
      <c r="X97" s="26">
        <v>45475</v>
      </c>
      <c r="Y97" s="27">
        <v>0.38627314814814817</v>
      </c>
      <c r="Z97">
        <v>0</v>
      </c>
      <c r="AA97">
        <v>0</v>
      </c>
      <c r="AB97">
        <v>0</v>
      </c>
      <c r="AC97" s="77"/>
    </row>
    <row r="98" spans="1:29" x14ac:dyDescent="0.25">
      <c r="A98" s="44">
        <v>4</v>
      </c>
      <c r="B98" s="44" t="s">
        <v>7</v>
      </c>
      <c r="C98" s="46">
        <v>12800</v>
      </c>
      <c r="D98" s="46">
        <v>128</v>
      </c>
      <c r="E98" s="46">
        <v>1</v>
      </c>
      <c r="F98" s="46">
        <v>4</v>
      </c>
      <c r="G98" s="47">
        <v>332.65</v>
      </c>
      <c r="H98" s="51">
        <v>4.2035999999999998</v>
      </c>
      <c r="I98" s="17">
        <v>45475</v>
      </c>
      <c r="J98" s="18">
        <v>0.46034722222222224</v>
      </c>
      <c r="K98">
        <v>0</v>
      </c>
      <c r="L98">
        <v>0</v>
      </c>
      <c r="M98">
        <v>0</v>
      </c>
      <c r="N98" s="76"/>
      <c r="P98">
        <v>4</v>
      </c>
      <c r="Q98" t="s">
        <v>7</v>
      </c>
      <c r="R98">
        <v>12800</v>
      </c>
      <c r="S98">
        <v>128</v>
      </c>
      <c r="T98">
        <v>1</v>
      </c>
      <c r="U98">
        <v>4</v>
      </c>
      <c r="V98">
        <v>338.36</v>
      </c>
      <c r="W98" s="21">
        <v>4.1327999999999996</v>
      </c>
      <c r="X98" s="26">
        <v>45475</v>
      </c>
      <c r="Y98" s="27">
        <v>0.66991898148148143</v>
      </c>
      <c r="Z98">
        <v>0</v>
      </c>
      <c r="AA98">
        <v>0</v>
      </c>
      <c r="AB98">
        <v>0</v>
      </c>
      <c r="AC98" s="77"/>
    </row>
    <row r="99" spans="1:29" x14ac:dyDescent="0.25">
      <c r="A99" s="44">
        <v>0</v>
      </c>
      <c r="B99" s="44" t="s">
        <v>7</v>
      </c>
      <c r="C99" s="46">
        <v>13568</v>
      </c>
      <c r="D99" s="46">
        <v>128</v>
      </c>
      <c r="E99" s="46">
        <v>1</v>
      </c>
      <c r="F99" s="46">
        <v>4</v>
      </c>
      <c r="G99" s="47">
        <v>401.5</v>
      </c>
      <c r="H99" s="51">
        <v>4.1479999999999997</v>
      </c>
      <c r="I99" s="17">
        <v>45474</v>
      </c>
      <c r="J99" s="18">
        <v>0.59668981481481487</v>
      </c>
      <c r="K99">
        <v>0</v>
      </c>
      <c r="L99">
        <v>0</v>
      </c>
      <c r="M99">
        <v>0</v>
      </c>
      <c r="N99" s="76">
        <f>AVERAGE(H99:H103)</f>
        <v>4.1646000000000001</v>
      </c>
      <c r="P99">
        <v>0</v>
      </c>
      <c r="Q99" t="s">
        <v>7</v>
      </c>
      <c r="R99">
        <v>13568</v>
      </c>
      <c r="S99">
        <v>128</v>
      </c>
      <c r="T99">
        <v>1</v>
      </c>
      <c r="U99">
        <v>4</v>
      </c>
      <c r="V99">
        <v>395.25</v>
      </c>
      <c r="W99" s="21">
        <v>4.2135999999999996</v>
      </c>
      <c r="X99" s="26">
        <v>45474</v>
      </c>
      <c r="Y99" s="27">
        <v>0.62113425925925925</v>
      </c>
      <c r="Z99">
        <v>0</v>
      </c>
      <c r="AA99">
        <v>0</v>
      </c>
      <c r="AB99">
        <v>0</v>
      </c>
      <c r="AC99" s="77">
        <f t="shared" ref="AC99" si="18">AVERAGE(W99:W103)</f>
        <v>4.2298600000000004</v>
      </c>
    </row>
    <row r="100" spans="1:29" x14ac:dyDescent="0.25">
      <c r="A100" s="42">
        <v>1</v>
      </c>
      <c r="B100" s="42" t="s">
        <v>7</v>
      </c>
      <c r="C100" s="43">
        <v>13568</v>
      </c>
      <c r="D100" s="43">
        <v>128</v>
      </c>
      <c r="E100" s="43">
        <v>1</v>
      </c>
      <c r="F100" s="43">
        <v>4</v>
      </c>
      <c r="G100" s="43">
        <v>400.16</v>
      </c>
      <c r="H100" s="50">
        <v>4.1619000000000002</v>
      </c>
      <c r="I100" s="23">
        <v>45474</v>
      </c>
      <c r="J100" s="24">
        <v>0.83040509259259254</v>
      </c>
      <c r="K100" s="22">
        <v>0</v>
      </c>
      <c r="L100" s="22">
        <v>0</v>
      </c>
      <c r="M100" s="22">
        <v>0</v>
      </c>
      <c r="N100" s="76"/>
      <c r="P100">
        <v>1</v>
      </c>
      <c r="Q100" t="s">
        <v>7</v>
      </c>
      <c r="R100">
        <v>13568</v>
      </c>
      <c r="S100">
        <v>128</v>
      </c>
      <c r="T100">
        <v>1</v>
      </c>
      <c r="U100">
        <v>4</v>
      </c>
      <c r="V100">
        <v>393.72</v>
      </c>
      <c r="W100" s="21">
        <v>4.2300000000000004</v>
      </c>
      <c r="X100" s="26">
        <v>45474</v>
      </c>
      <c r="Y100" s="27">
        <v>0.9057291666666667</v>
      </c>
      <c r="Z100">
        <v>0</v>
      </c>
      <c r="AA100">
        <v>0</v>
      </c>
      <c r="AB100">
        <v>0</v>
      </c>
      <c r="AC100" s="77"/>
    </row>
    <row r="101" spans="1:29" x14ac:dyDescent="0.25">
      <c r="A101" s="44">
        <v>2</v>
      </c>
      <c r="B101" s="44" t="s">
        <v>7</v>
      </c>
      <c r="C101" s="46">
        <v>13568</v>
      </c>
      <c r="D101" s="46">
        <v>128</v>
      </c>
      <c r="E101" s="46">
        <v>1</v>
      </c>
      <c r="F101" s="46">
        <v>4</v>
      </c>
      <c r="G101" s="47">
        <v>399.53</v>
      </c>
      <c r="H101" s="51">
        <v>4.1684999999999999</v>
      </c>
      <c r="I101" s="17">
        <v>45475</v>
      </c>
      <c r="J101" s="18">
        <v>6.4085648148148142E-2</v>
      </c>
      <c r="K101">
        <v>0</v>
      </c>
      <c r="L101">
        <v>0</v>
      </c>
      <c r="M101">
        <v>0</v>
      </c>
      <c r="N101" s="76"/>
      <c r="P101">
        <v>2</v>
      </c>
      <c r="Q101" t="s">
        <v>7</v>
      </c>
      <c r="R101">
        <v>13568</v>
      </c>
      <c r="S101">
        <v>128</v>
      </c>
      <c r="T101">
        <v>1</v>
      </c>
      <c r="U101">
        <v>4</v>
      </c>
      <c r="V101">
        <v>394.58</v>
      </c>
      <c r="W101" s="21">
        <v>4.2206999999999999</v>
      </c>
      <c r="X101" s="26">
        <v>45475</v>
      </c>
      <c r="Y101" s="27">
        <v>0.18958333333333333</v>
      </c>
      <c r="Z101">
        <v>0</v>
      </c>
      <c r="AA101">
        <v>0</v>
      </c>
      <c r="AB101">
        <v>0</v>
      </c>
      <c r="AC101" s="77"/>
    </row>
    <row r="102" spans="1:29" x14ac:dyDescent="0.25">
      <c r="A102" s="44">
        <v>3</v>
      </c>
      <c r="B102" s="44" t="s">
        <v>7</v>
      </c>
      <c r="C102" s="45">
        <v>13568</v>
      </c>
      <c r="D102" s="45">
        <v>128</v>
      </c>
      <c r="E102" s="45">
        <v>1</v>
      </c>
      <c r="F102" s="45">
        <v>4</v>
      </c>
      <c r="G102" s="45">
        <v>400</v>
      </c>
      <c r="H102" s="51">
        <v>4.1635999999999997</v>
      </c>
      <c r="I102" s="17">
        <v>45475</v>
      </c>
      <c r="J102" s="18">
        <v>0.29765046296296294</v>
      </c>
      <c r="K102">
        <v>0</v>
      </c>
      <c r="L102">
        <v>0</v>
      </c>
      <c r="M102">
        <v>0</v>
      </c>
      <c r="N102" s="76"/>
      <c r="P102">
        <v>3</v>
      </c>
      <c r="Q102" t="s">
        <v>7</v>
      </c>
      <c r="R102">
        <v>13568</v>
      </c>
      <c r="S102">
        <v>128</v>
      </c>
      <c r="T102">
        <v>1</v>
      </c>
      <c r="U102">
        <v>4</v>
      </c>
      <c r="V102">
        <v>392.2</v>
      </c>
      <c r="W102" s="21">
        <v>4.2464000000000004</v>
      </c>
      <c r="X102" s="26">
        <v>45475</v>
      </c>
      <c r="Y102" s="27">
        <v>0.47335648148148146</v>
      </c>
      <c r="Z102">
        <v>0</v>
      </c>
      <c r="AA102">
        <v>0</v>
      </c>
      <c r="AB102">
        <v>0</v>
      </c>
      <c r="AC102" s="77"/>
    </row>
    <row r="103" spans="1:29" x14ac:dyDescent="0.25">
      <c r="A103" s="44">
        <v>4</v>
      </c>
      <c r="B103" s="44" t="s">
        <v>7</v>
      </c>
      <c r="C103" s="46">
        <v>13568</v>
      </c>
      <c r="D103" s="46">
        <v>128</v>
      </c>
      <c r="E103" s="46">
        <v>1</v>
      </c>
      <c r="F103" s="46">
        <v>4</v>
      </c>
      <c r="G103" s="47">
        <v>398.33</v>
      </c>
      <c r="H103" s="51">
        <v>4.181</v>
      </c>
      <c r="I103" s="17">
        <v>45475</v>
      </c>
      <c r="J103" s="18">
        <v>0.53105324074074078</v>
      </c>
      <c r="K103">
        <v>0</v>
      </c>
      <c r="L103">
        <v>0</v>
      </c>
      <c r="M103">
        <v>0</v>
      </c>
      <c r="N103" s="76"/>
      <c r="P103">
        <v>4</v>
      </c>
      <c r="Q103" t="s">
        <v>7</v>
      </c>
      <c r="R103">
        <v>13568</v>
      </c>
      <c r="S103">
        <v>128</v>
      </c>
      <c r="T103">
        <v>1</v>
      </c>
      <c r="U103">
        <v>4</v>
      </c>
      <c r="V103">
        <v>392.92</v>
      </c>
      <c r="W103" s="21">
        <v>4.2385999999999999</v>
      </c>
      <c r="X103" s="26">
        <v>45475</v>
      </c>
      <c r="Y103" s="27">
        <v>0.75694444444444442</v>
      </c>
      <c r="Z103">
        <v>0</v>
      </c>
      <c r="AA103">
        <v>0</v>
      </c>
      <c r="AB103">
        <v>0</v>
      </c>
      <c r="AC103" s="77"/>
    </row>
    <row r="104" spans="1:29" x14ac:dyDescent="0.25">
      <c r="A104" s="44">
        <v>0</v>
      </c>
      <c r="B104" s="44" t="s">
        <v>7</v>
      </c>
      <c r="C104" s="46">
        <v>14336</v>
      </c>
      <c r="D104" s="46">
        <v>128</v>
      </c>
      <c r="E104" s="46">
        <v>1</v>
      </c>
      <c r="F104" s="46">
        <v>4</v>
      </c>
      <c r="G104" s="47">
        <v>464.81</v>
      </c>
      <c r="H104" s="51">
        <v>4.2266000000000004</v>
      </c>
      <c r="I104" s="17">
        <v>45474</v>
      </c>
      <c r="J104" s="18">
        <v>0.67978009259259264</v>
      </c>
      <c r="K104">
        <v>0</v>
      </c>
      <c r="L104">
        <v>0</v>
      </c>
      <c r="M104">
        <v>0</v>
      </c>
      <c r="N104" s="76">
        <f>AVERAGE(H104:H108)</f>
        <v>4.2236799999999999</v>
      </c>
      <c r="P104">
        <v>0</v>
      </c>
      <c r="Q104" t="s">
        <v>7</v>
      </c>
      <c r="R104">
        <v>14336</v>
      </c>
      <c r="S104">
        <v>128</v>
      </c>
      <c r="T104">
        <v>1</v>
      </c>
      <c r="U104">
        <v>4</v>
      </c>
      <c r="V104">
        <v>469.3</v>
      </c>
      <c r="W104" s="21">
        <v>4.1860999999999997</v>
      </c>
      <c r="X104" s="26">
        <v>45474</v>
      </c>
      <c r="Y104" s="27">
        <v>0.72188657407407408</v>
      </c>
      <c r="Z104">
        <v>0</v>
      </c>
      <c r="AA104">
        <v>0</v>
      </c>
      <c r="AB104">
        <v>0</v>
      </c>
      <c r="AC104" s="77">
        <f t="shared" ref="AC104" si="19">AVERAGE(W104:W108)</f>
        <v>4.28024</v>
      </c>
    </row>
    <row r="105" spans="1:29" x14ac:dyDescent="0.25">
      <c r="A105" s="44">
        <v>1</v>
      </c>
      <c r="B105" s="44" t="s">
        <v>7</v>
      </c>
      <c r="C105" s="45">
        <v>14336</v>
      </c>
      <c r="D105" s="45">
        <v>128</v>
      </c>
      <c r="E105" s="45">
        <v>1</v>
      </c>
      <c r="F105" s="45">
        <v>4</v>
      </c>
      <c r="G105" s="45">
        <v>465.25</v>
      </c>
      <c r="H105" s="51">
        <v>4.2225000000000001</v>
      </c>
      <c r="I105" s="17">
        <v>45474</v>
      </c>
      <c r="J105" s="18">
        <v>0.91356481481481477</v>
      </c>
      <c r="K105">
        <v>0</v>
      </c>
      <c r="L105">
        <v>0</v>
      </c>
      <c r="M105">
        <v>0</v>
      </c>
      <c r="N105" s="76"/>
      <c r="P105">
        <v>1</v>
      </c>
      <c r="Q105" t="s">
        <v>7</v>
      </c>
      <c r="R105">
        <v>14336</v>
      </c>
      <c r="S105">
        <v>128</v>
      </c>
      <c r="T105">
        <v>1</v>
      </c>
      <c r="U105">
        <v>4</v>
      </c>
      <c r="V105">
        <v>457.48</v>
      </c>
      <c r="W105" s="21">
        <v>4.2942999999999998</v>
      </c>
      <c r="X105" s="26">
        <v>45475</v>
      </c>
      <c r="Y105" s="27">
        <v>6.1574074074074074E-3</v>
      </c>
      <c r="Z105">
        <v>0</v>
      </c>
      <c r="AA105">
        <v>0</v>
      </c>
      <c r="AB105">
        <v>0</v>
      </c>
      <c r="AC105" s="77"/>
    </row>
    <row r="106" spans="1:29" x14ac:dyDescent="0.25">
      <c r="A106" s="44">
        <v>2</v>
      </c>
      <c r="B106" s="44" t="s">
        <v>7</v>
      </c>
      <c r="C106" s="46">
        <v>14336</v>
      </c>
      <c r="D106" s="46">
        <v>128</v>
      </c>
      <c r="E106" s="46">
        <v>1</v>
      </c>
      <c r="F106" s="46">
        <v>4</v>
      </c>
      <c r="G106" s="47">
        <v>465.04</v>
      </c>
      <c r="H106" s="51">
        <v>4.2244000000000002</v>
      </c>
      <c r="I106" s="17">
        <v>45475</v>
      </c>
      <c r="J106" s="18">
        <v>0.14719907407407407</v>
      </c>
      <c r="K106">
        <v>0</v>
      </c>
      <c r="L106">
        <v>0</v>
      </c>
      <c r="M106">
        <v>0</v>
      </c>
      <c r="N106" s="76"/>
      <c r="P106">
        <v>2</v>
      </c>
      <c r="Q106" t="s">
        <v>7</v>
      </c>
      <c r="R106">
        <v>14336</v>
      </c>
      <c r="S106">
        <v>128</v>
      </c>
      <c r="T106">
        <v>1</v>
      </c>
      <c r="U106">
        <v>4</v>
      </c>
      <c r="V106">
        <v>455.88</v>
      </c>
      <c r="W106" s="21">
        <v>4.3093000000000004</v>
      </c>
      <c r="X106" s="26">
        <v>45475</v>
      </c>
      <c r="Y106" s="27">
        <v>0.28997685185185185</v>
      </c>
      <c r="Z106">
        <v>0</v>
      </c>
      <c r="AA106">
        <v>0</v>
      </c>
      <c r="AB106">
        <v>0</v>
      </c>
      <c r="AC106" s="77"/>
    </row>
    <row r="107" spans="1:29" x14ac:dyDescent="0.25">
      <c r="A107" s="44">
        <v>3</v>
      </c>
      <c r="B107" s="44" t="s">
        <v>7</v>
      </c>
      <c r="C107" s="46">
        <v>14336</v>
      </c>
      <c r="D107" s="46">
        <v>128</v>
      </c>
      <c r="E107" s="46">
        <v>1</v>
      </c>
      <c r="F107" s="46">
        <v>4</v>
      </c>
      <c r="G107" s="47">
        <v>465.53</v>
      </c>
      <c r="H107" s="51">
        <v>4.22</v>
      </c>
      <c r="I107" s="17">
        <v>45475</v>
      </c>
      <c r="J107" s="18">
        <v>0.38071759259259258</v>
      </c>
      <c r="K107">
        <v>0</v>
      </c>
      <c r="L107">
        <v>0</v>
      </c>
      <c r="M107">
        <v>0</v>
      </c>
      <c r="N107" s="76"/>
      <c r="P107">
        <v>3</v>
      </c>
      <c r="Q107" t="s">
        <v>7</v>
      </c>
      <c r="R107">
        <v>14336</v>
      </c>
      <c r="S107">
        <v>128</v>
      </c>
      <c r="T107">
        <v>1</v>
      </c>
      <c r="U107">
        <v>4</v>
      </c>
      <c r="V107">
        <v>456.61</v>
      </c>
      <c r="W107" s="21">
        <v>4.3025000000000002</v>
      </c>
      <c r="X107" s="26">
        <v>45475</v>
      </c>
      <c r="Y107" s="27">
        <v>0.57343750000000004</v>
      </c>
      <c r="Z107">
        <v>0</v>
      </c>
      <c r="AA107">
        <v>0</v>
      </c>
      <c r="AB107">
        <v>0</v>
      </c>
      <c r="AC107" s="77"/>
    </row>
    <row r="108" spans="1:29" x14ac:dyDescent="0.25">
      <c r="A108" s="42">
        <v>4</v>
      </c>
      <c r="B108" s="42" t="s">
        <v>7</v>
      </c>
      <c r="C108" s="43">
        <v>14336</v>
      </c>
      <c r="D108" s="43">
        <v>128</v>
      </c>
      <c r="E108" s="43">
        <v>1</v>
      </c>
      <c r="F108" s="43">
        <v>4</v>
      </c>
      <c r="G108" s="43">
        <v>464.99</v>
      </c>
      <c r="H108" s="50">
        <v>4.2248999999999999</v>
      </c>
      <c r="I108" s="23">
        <v>45475</v>
      </c>
      <c r="J108" s="24">
        <v>0.61414351851851856</v>
      </c>
      <c r="K108" s="22">
        <v>0</v>
      </c>
      <c r="L108" s="22">
        <v>0</v>
      </c>
      <c r="M108" s="22">
        <v>0</v>
      </c>
      <c r="N108" s="76"/>
      <c r="P108">
        <v>4</v>
      </c>
      <c r="Q108" t="s">
        <v>7</v>
      </c>
      <c r="R108">
        <v>14336</v>
      </c>
      <c r="S108">
        <v>128</v>
      </c>
      <c r="T108">
        <v>1</v>
      </c>
      <c r="U108">
        <v>4</v>
      </c>
      <c r="V108">
        <v>455.91</v>
      </c>
      <c r="W108" s="21">
        <v>4.3090000000000002</v>
      </c>
      <c r="X108" s="26">
        <v>45475</v>
      </c>
      <c r="Y108" s="27">
        <v>0.8566435185185185</v>
      </c>
      <c r="Z108">
        <v>0</v>
      </c>
      <c r="AA108">
        <v>0</v>
      </c>
      <c r="AB108">
        <v>0</v>
      </c>
      <c r="AC108" s="77"/>
    </row>
    <row r="109" spans="1:29" x14ac:dyDescent="0.25">
      <c r="A109" s="44">
        <v>0</v>
      </c>
      <c r="B109" s="44" t="s">
        <v>7</v>
      </c>
      <c r="C109" s="46">
        <v>12800</v>
      </c>
      <c r="D109" s="46">
        <v>128</v>
      </c>
      <c r="E109" s="46">
        <v>2</v>
      </c>
      <c r="F109" s="46">
        <v>2</v>
      </c>
      <c r="G109" s="47">
        <v>321.39999999999998</v>
      </c>
      <c r="H109" s="51">
        <v>4.3507999999999996</v>
      </c>
      <c r="I109" s="17">
        <v>45474</v>
      </c>
      <c r="J109" s="18">
        <v>0.52954861111111107</v>
      </c>
      <c r="K109">
        <v>0</v>
      </c>
      <c r="L109">
        <v>0</v>
      </c>
      <c r="M109">
        <v>0</v>
      </c>
      <c r="N109" s="76">
        <f>AVERAGE(H109:H113)</f>
        <v>4.3564999999999996</v>
      </c>
      <c r="P109">
        <v>0</v>
      </c>
      <c r="Q109" t="s">
        <v>7</v>
      </c>
      <c r="R109">
        <v>12800</v>
      </c>
      <c r="S109">
        <v>128</v>
      </c>
      <c r="T109">
        <v>2</v>
      </c>
      <c r="U109">
        <v>2</v>
      </c>
      <c r="V109">
        <v>355.7</v>
      </c>
      <c r="W109" s="21">
        <v>3.9312999999999998</v>
      </c>
      <c r="X109" s="26">
        <v>45474</v>
      </c>
      <c r="Y109" s="27">
        <v>0.53890046296296301</v>
      </c>
      <c r="Z109">
        <v>0</v>
      </c>
      <c r="AA109">
        <v>0</v>
      </c>
      <c r="AB109">
        <v>0</v>
      </c>
      <c r="AC109" s="77">
        <f t="shared" ref="AC109" si="20">AVERAGE(W109:W113)</f>
        <v>3.9404599999999994</v>
      </c>
    </row>
    <row r="110" spans="1:29" x14ac:dyDescent="0.25">
      <c r="A110" s="42">
        <v>1</v>
      </c>
      <c r="B110" s="42" t="s">
        <v>7</v>
      </c>
      <c r="C110" s="43">
        <v>12800</v>
      </c>
      <c r="D110" s="43">
        <v>128</v>
      </c>
      <c r="E110" s="43">
        <v>2</v>
      </c>
      <c r="F110" s="43">
        <v>2</v>
      </c>
      <c r="G110" s="43">
        <v>320.85000000000002</v>
      </c>
      <c r="H110" s="50">
        <v>4.3582999999999998</v>
      </c>
      <c r="I110" s="23">
        <v>45474</v>
      </c>
      <c r="J110" s="24">
        <v>0.76342592592592595</v>
      </c>
      <c r="K110" s="22">
        <v>0</v>
      </c>
      <c r="L110" s="22">
        <v>0</v>
      </c>
      <c r="M110" s="22">
        <v>0</v>
      </c>
      <c r="N110" s="76"/>
      <c r="P110">
        <v>1</v>
      </c>
      <c r="Q110" t="s">
        <v>7</v>
      </c>
      <c r="R110">
        <v>12800</v>
      </c>
      <c r="S110">
        <v>128</v>
      </c>
      <c r="T110">
        <v>2</v>
      </c>
      <c r="U110">
        <v>2</v>
      </c>
      <c r="V110">
        <v>354.14</v>
      </c>
      <c r="W110" s="21">
        <v>3.9485000000000001</v>
      </c>
      <c r="X110" s="26">
        <v>45474</v>
      </c>
      <c r="Y110" s="27">
        <v>0.82358796296296299</v>
      </c>
      <c r="Z110">
        <v>0</v>
      </c>
      <c r="AA110">
        <v>0</v>
      </c>
      <c r="AB110">
        <v>0</v>
      </c>
      <c r="AC110" s="77"/>
    </row>
    <row r="111" spans="1:29" x14ac:dyDescent="0.25">
      <c r="A111" s="44">
        <v>2</v>
      </c>
      <c r="B111" s="44" t="s">
        <v>7</v>
      </c>
      <c r="C111" s="46">
        <v>12800</v>
      </c>
      <c r="D111" s="46">
        <v>128</v>
      </c>
      <c r="E111" s="46">
        <v>2</v>
      </c>
      <c r="F111" s="46">
        <v>2</v>
      </c>
      <c r="G111" s="47">
        <v>320.05</v>
      </c>
      <c r="H111" s="51">
        <v>4.3691000000000004</v>
      </c>
      <c r="I111" s="17">
        <v>45474</v>
      </c>
      <c r="J111" s="18">
        <v>0.99716435185185182</v>
      </c>
      <c r="K111">
        <v>0</v>
      </c>
      <c r="L111">
        <v>0</v>
      </c>
      <c r="M111">
        <v>0</v>
      </c>
      <c r="N111" s="76"/>
      <c r="P111">
        <v>2</v>
      </c>
      <c r="Q111" t="s">
        <v>7</v>
      </c>
      <c r="R111">
        <v>12800</v>
      </c>
      <c r="S111">
        <v>128</v>
      </c>
      <c r="T111">
        <v>2</v>
      </c>
      <c r="U111">
        <v>2</v>
      </c>
      <c r="V111">
        <v>353.34</v>
      </c>
      <c r="W111" s="21">
        <v>3.9575999999999998</v>
      </c>
      <c r="X111" s="26">
        <v>45475</v>
      </c>
      <c r="Y111" s="27">
        <v>0.10756944444444444</v>
      </c>
      <c r="Z111">
        <v>0</v>
      </c>
      <c r="AA111">
        <v>0</v>
      </c>
      <c r="AB111">
        <v>0</v>
      </c>
      <c r="AC111" s="77"/>
    </row>
    <row r="112" spans="1:29" x14ac:dyDescent="0.25">
      <c r="A112" s="44">
        <v>3</v>
      </c>
      <c r="B112" s="44" t="s">
        <v>7</v>
      </c>
      <c r="C112" s="45">
        <v>12800</v>
      </c>
      <c r="D112" s="45">
        <v>128</v>
      </c>
      <c r="E112" s="45">
        <v>2</v>
      </c>
      <c r="F112" s="45">
        <v>2</v>
      </c>
      <c r="G112" s="45">
        <v>321.31</v>
      </c>
      <c r="H112" s="51">
        <v>4.3521000000000001</v>
      </c>
      <c r="I112" s="17">
        <v>45475</v>
      </c>
      <c r="J112" s="18">
        <v>0.23074074074074075</v>
      </c>
      <c r="K112">
        <v>0</v>
      </c>
      <c r="L112">
        <v>0</v>
      </c>
      <c r="M112">
        <v>0</v>
      </c>
      <c r="N112" s="76"/>
      <c r="P112">
        <v>3</v>
      </c>
      <c r="Q112" t="s">
        <v>7</v>
      </c>
      <c r="R112">
        <v>12800</v>
      </c>
      <c r="S112">
        <v>128</v>
      </c>
      <c r="T112">
        <v>2</v>
      </c>
      <c r="U112">
        <v>2</v>
      </c>
      <c r="V112">
        <v>353.62</v>
      </c>
      <c r="W112" s="21">
        <v>3.9544000000000001</v>
      </c>
      <c r="X112" s="26">
        <v>45475</v>
      </c>
      <c r="Y112" s="27">
        <v>0.39134259259259258</v>
      </c>
      <c r="Z112">
        <v>0</v>
      </c>
      <c r="AA112">
        <v>0</v>
      </c>
      <c r="AB112">
        <v>0</v>
      </c>
      <c r="AC112" s="77"/>
    </row>
    <row r="113" spans="1:29" x14ac:dyDescent="0.25">
      <c r="A113" s="44">
        <v>4</v>
      </c>
      <c r="B113" s="44" t="s">
        <v>7</v>
      </c>
      <c r="C113" s="46">
        <v>12800</v>
      </c>
      <c r="D113" s="46">
        <v>128</v>
      </c>
      <c r="E113" s="46">
        <v>2</v>
      </c>
      <c r="F113" s="46">
        <v>2</v>
      </c>
      <c r="G113" s="47">
        <v>321.3</v>
      </c>
      <c r="H113" s="51">
        <v>4.3521999999999998</v>
      </c>
      <c r="I113" s="17">
        <v>45475</v>
      </c>
      <c r="J113" s="18">
        <v>0.46423611111111113</v>
      </c>
      <c r="K113">
        <v>0</v>
      </c>
      <c r="L113">
        <v>0</v>
      </c>
      <c r="M113">
        <v>0</v>
      </c>
      <c r="N113" s="76"/>
      <c r="P113">
        <v>4</v>
      </c>
      <c r="Q113" t="s">
        <v>7</v>
      </c>
      <c r="R113">
        <v>12800</v>
      </c>
      <c r="S113">
        <v>128</v>
      </c>
      <c r="T113">
        <v>2</v>
      </c>
      <c r="U113">
        <v>2</v>
      </c>
      <c r="V113">
        <v>357.59</v>
      </c>
      <c r="W113" s="21">
        <v>3.9104999999999999</v>
      </c>
      <c r="X113" s="26">
        <v>45475</v>
      </c>
      <c r="Y113" s="27">
        <v>0.67501157407407408</v>
      </c>
      <c r="Z113">
        <v>0</v>
      </c>
      <c r="AA113">
        <v>0</v>
      </c>
      <c r="AB113">
        <v>0</v>
      </c>
      <c r="AC113" s="77"/>
    </row>
    <row r="114" spans="1:29" x14ac:dyDescent="0.25">
      <c r="A114" s="44">
        <v>0</v>
      </c>
      <c r="B114" s="44" t="s">
        <v>7</v>
      </c>
      <c r="C114" s="46">
        <v>13568</v>
      </c>
      <c r="D114" s="46">
        <v>128</v>
      </c>
      <c r="E114" s="46">
        <v>2</v>
      </c>
      <c r="F114" s="46">
        <v>2</v>
      </c>
      <c r="G114" s="47">
        <v>384.28</v>
      </c>
      <c r="H114" s="51">
        <v>4.3338999999999999</v>
      </c>
      <c r="I114" s="17">
        <v>45474</v>
      </c>
      <c r="J114" s="18">
        <v>0.6013425925925926</v>
      </c>
      <c r="K114">
        <v>0</v>
      </c>
      <c r="L114">
        <v>0</v>
      </c>
      <c r="M114">
        <v>0</v>
      </c>
      <c r="N114" s="76">
        <f>AVERAGE(H114:H118)</f>
        <v>4.33866</v>
      </c>
      <c r="P114">
        <v>0</v>
      </c>
      <c r="Q114" t="s">
        <v>7</v>
      </c>
      <c r="R114">
        <v>13568</v>
      </c>
      <c r="S114">
        <v>128</v>
      </c>
      <c r="T114">
        <v>2</v>
      </c>
      <c r="U114">
        <v>2</v>
      </c>
      <c r="V114">
        <v>414.98</v>
      </c>
      <c r="W114" s="21">
        <v>4.0133000000000001</v>
      </c>
      <c r="X114" s="26">
        <v>45474</v>
      </c>
      <c r="Y114" s="27">
        <v>0.62702546296296291</v>
      </c>
      <c r="Z114">
        <v>0</v>
      </c>
      <c r="AA114">
        <v>0</v>
      </c>
      <c r="AB114">
        <v>0</v>
      </c>
      <c r="AC114" s="77">
        <f t="shared" ref="AC114" si="21">AVERAGE(W114:W118)</f>
        <v>4.0388999999999999</v>
      </c>
    </row>
    <row r="115" spans="1:29" x14ac:dyDescent="0.25">
      <c r="A115" s="44">
        <v>1</v>
      </c>
      <c r="B115" s="44" t="s">
        <v>7</v>
      </c>
      <c r="C115" s="45">
        <v>13568</v>
      </c>
      <c r="D115" s="45">
        <v>128</v>
      </c>
      <c r="E115" s="45">
        <v>2</v>
      </c>
      <c r="F115" s="45">
        <v>2</v>
      </c>
      <c r="G115" s="45">
        <v>384.17</v>
      </c>
      <c r="H115" s="51">
        <v>4.3352000000000004</v>
      </c>
      <c r="I115" s="17">
        <v>45474</v>
      </c>
      <c r="J115" s="18">
        <v>0.83504629629629634</v>
      </c>
      <c r="K115">
        <v>0</v>
      </c>
      <c r="L115">
        <v>0</v>
      </c>
      <c r="M115">
        <v>0</v>
      </c>
      <c r="N115" s="76"/>
      <c r="P115">
        <v>1</v>
      </c>
      <c r="Q115" t="s">
        <v>7</v>
      </c>
      <c r="R115">
        <v>13568</v>
      </c>
      <c r="S115">
        <v>128</v>
      </c>
      <c r="T115">
        <v>2</v>
      </c>
      <c r="U115">
        <v>2</v>
      </c>
      <c r="V115">
        <v>412.63</v>
      </c>
      <c r="W115" s="21">
        <v>4.0361000000000002</v>
      </c>
      <c r="X115" s="26">
        <v>45474</v>
      </c>
      <c r="Y115" s="27">
        <v>0.91159722222222217</v>
      </c>
      <c r="Z115">
        <v>0</v>
      </c>
      <c r="AA115">
        <v>0</v>
      </c>
      <c r="AB115">
        <v>0</v>
      </c>
      <c r="AC115" s="77"/>
    </row>
    <row r="116" spans="1:29" x14ac:dyDescent="0.25">
      <c r="A116" s="44">
        <v>2</v>
      </c>
      <c r="B116" s="44" t="s">
        <v>7</v>
      </c>
      <c r="C116" s="46">
        <v>13568</v>
      </c>
      <c r="D116" s="46">
        <v>128</v>
      </c>
      <c r="E116" s="46">
        <v>2</v>
      </c>
      <c r="F116" s="46">
        <v>2</v>
      </c>
      <c r="G116" s="47">
        <v>383.74</v>
      </c>
      <c r="H116" s="51">
        <v>4.3400999999999996</v>
      </c>
      <c r="I116" s="17">
        <v>45475</v>
      </c>
      <c r="J116" s="18">
        <v>6.8715277777777778E-2</v>
      </c>
      <c r="K116">
        <v>0</v>
      </c>
      <c r="L116">
        <v>0</v>
      </c>
      <c r="M116">
        <v>0</v>
      </c>
      <c r="N116" s="76"/>
      <c r="P116">
        <v>2</v>
      </c>
      <c r="Q116" t="s">
        <v>7</v>
      </c>
      <c r="R116">
        <v>13568</v>
      </c>
      <c r="S116">
        <v>128</v>
      </c>
      <c r="T116">
        <v>2</v>
      </c>
      <c r="U116">
        <v>2</v>
      </c>
      <c r="V116">
        <v>411.37</v>
      </c>
      <c r="W116" s="21">
        <v>4.0484999999999998</v>
      </c>
      <c r="X116" s="26">
        <v>45475</v>
      </c>
      <c r="Y116" s="27">
        <v>0.19543981481481482</v>
      </c>
      <c r="Z116">
        <v>0</v>
      </c>
      <c r="AA116">
        <v>0</v>
      </c>
      <c r="AB116">
        <v>0</v>
      </c>
      <c r="AC116" s="77"/>
    </row>
    <row r="117" spans="1:29" x14ac:dyDescent="0.25">
      <c r="A117" s="44">
        <v>3</v>
      </c>
      <c r="B117" s="44" t="s">
        <v>7</v>
      </c>
      <c r="C117" s="46">
        <v>13568</v>
      </c>
      <c r="D117" s="46">
        <v>128</v>
      </c>
      <c r="E117" s="46">
        <v>2</v>
      </c>
      <c r="F117" s="46">
        <v>2</v>
      </c>
      <c r="G117" s="47">
        <v>383.18</v>
      </c>
      <c r="H117" s="51">
        <v>4.3463000000000003</v>
      </c>
      <c r="I117" s="17">
        <v>45475</v>
      </c>
      <c r="J117" s="18">
        <v>0.30228009259259259</v>
      </c>
      <c r="K117">
        <v>0</v>
      </c>
      <c r="L117">
        <v>0</v>
      </c>
      <c r="M117">
        <v>0</v>
      </c>
      <c r="N117" s="76"/>
      <c r="P117">
        <v>3</v>
      </c>
      <c r="Q117" t="s">
        <v>7</v>
      </c>
      <c r="R117">
        <v>13568</v>
      </c>
      <c r="S117">
        <v>128</v>
      </c>
      <c r="T117">
        <v>2</v>
      </c>
      <c r="U117">
        <v>2</v>
      </c>
      <c r="V117">
        <v>411.99</v>
      </c>
      <c r="W117" s="21">
        <v>4.0425000000000004</v>
      </c>
      <c r="X117" s="26">
        <v>45475</v>
      </c>
      <c r="Y117" s="27">
        <v>0.47922453703703705</v>
      </c>
      <c r="Z117">
        <v>0</v>
      </c>
      <c r="AA117">
        <v>0</v>
      </c>
      <c r="AB117">
        <v>0</v>
      </c>
      <c r="AC117" s="77"/>
    </row>
    <row r="118" spans="1:29" x14ac:dyDescent="0.25">
      <c r="A118" s="42">
        <v>4</v>
      </c>
      <c r="B118" s="42" t="s">
        <v>7</v>
      </c>
      <c r="C118" s="43">
        <v>13568</v>
      </c>
      <c r="D118" s="43">
        <v>128</v>
      </c>
      <c r="E118" s="43">
        <v>2</v>
      </c>
      <c r="F118" s="43">
        <v>2</v>
      </c>
      <c r="G118" s="43">
        <v>383.94</v>
      </c>
      <c r="H118" s="50">
        <v>4.3377999999999997</v>
      </c>
      <c r="I118" s="23">
        <v>45475</v>
      </c>
      <c r="J118" s="24">
        <v>0.53569444444444447</v>
      </c>
      <c r="K118" s="22">
        <v>0</v>
      </c>
      <c r="L118" s="22">
        <v>0</v>
      </c>
      <c r="M118" s="22">
        <v>0</v>
      </c>
      <c r="N118" s="76"/>
      <c r="P118">
        <v>4</v>
      </c>
      <c r="Q118" t="s">
        <v>7</v>
      </c>
      <c r="R118">
        <v>13568</v>
      </c>
      <c r="S118">
        <v>128</v>
      </c>
      <c r="T118">
        <v>2</v>
      </c>
      <c r="U118">
        <v>2</v>
      </c>
      <c r="V118">
        <v>410.81</v>
      </c>
      <c r="W118" s="21">
        <v>4.0541</v>
      </c>
      <c r="X118" s="26">
        <v>45475</v>
      </c>
      <c r="Y118" s="27">
        <v>0.76277777777777778</v>
      </c>
      <c r="Z118">
        <v>0</v>
      </c>
      <c r="AA118">
        <v>0</v>
      </c>
      <c r="AB118">
        <v>0</v>
      </c>
      <c r="AC118" s="77"/>
    </row>
    <row r="119" spans="1:29" x14ac:dyDescent="0.25">
      <c r="A119" s="44">
        <v>0</v>
      </c>
      <c r="B119" s="44" t="s">
        <v>7</v>
      </c>
      <c r="C119" s="46">
        <v>14336</v>
      </c>
      <c r="D119" s="46">
        <v>128</v>
      </c>
      <c r="E119" s="46">
        <v>2</v>
      </c>
      <c r="F119" s="46">
        <v>2</v>
      </c>
      <c r="G119" s="47">
        <v>454.14</v>
      </c>
      <c r="H119" s="51">
        <v>4.3258000000000001</v>
      </c>
      <c r="I119" s="17">
        <v>45474</v>
      </c>
      <c r="J119" s="18">
        <v>0.68525462962962957</v>
      </c>
      <c r="K119">
        <v>0</v>
      </c>
      <c r="L119">
        <v>0</v>
      </c>
      <c r="M119">
        <v>0</v>
      </c>
      <c r="N119" s="76">
        <f>AVERAGE(H119:H123)</f>
        <v>4.3237199999999998</v>
      </c>
      <c r="P119">
        <v>0</v>
      </c>
      <c r="Q119" t="s">
        <v>7</v>
      </c>
      <c r="R119">
        <v>14336</v>
      </c>
      <c r="S119">
        <v>128</v>
      </c>
      <c r="T119">
        <v>2</v>
      </c>
      <c r="U119">
        <v>2</v>
      </c>
      <c r="V119">
        <v>477.64</v>
      </c>
      <c r="W119" s="21">
        <v>4.1130000000000004</v>
      </c>
      <c r="X119" s="26">
        <v>45474</v>
      </c>
      <c r="Y119" s="27">
        <v>0.72862268518518514</v>
      </c>
      <c r="Z119">
        <v>0</v>
      </c>
      <c r="AA119">
        <v>0</v>
      </c>
      <c r="AB119">
        <v>0</v>
      </c>
      <c r="AC119" s="77">
        <f t="shared" ref="AC119" si="22">AVERAGE(W119:W123)</f>
        <v>4.1041000000000007</v>
      </c>
    </row>
    <row r="120" spans="1:29" x14ac:dyDescent="0.25">
      <c r="A120" s="44">
        <v>1</v>
      </c>
      <c r="B120" s="44" t="s">
        <v>7</v>
      </c>
      <c r="C120" s="46">
        <v>14336</v>
      </c>
      <c r="D120" s="46">
        <v>128</v>
      </c>
      <c r="E120" s="46">
        <v>2</v>
      </c>
      <c r="F120" s="46">
        <v>2</v>
      </c>
      <c r="G120" s="47">
        <v>455.71</v>
      </c>
      <c r="H120" s="51">
        <v>4.3109999999999999</v>
      </c>
      <c r="I120" s="17">
        <v>45474</v>
      </c>
      <c r="J120" s="18">
        <v>0.91905092592592597</v>
      </c>
      <c r="K120">
        <v>0</v>
      </c>
      <c r="L120">
        <v>0</v>
      </c>
      <c r="M120">
        <v>0</v>
      </c>
      <c r="N120" s="76"/>
      <c r="P120">
        <v>1</v>
      </c>
      <c r="Q120" t="s">
        <v>7</v>
      </c>
      <c r="R120">
        <v>14336</v>
      </c>
      <c r="S120">
        <v>128</v>
      </c>
      <c r="T120">
        <v>2</v>
      </c>
      <c r="U120">
        <v>2</v>
      </c>
      <c r="V120">
        <v>478.99</v>
      </c>
      <c r="W120" s="21">
        <v>4.1014999999999997</v>
      </c>
      <c r="X120" s="26">
        <v>45475</v>
      </c>
      <c r="Y120" s="27">
        <v>1.292824074074074E-2</v>
      </c>
      <c r="Z120">
        <v>0</v>
      </c>
      <c r="AA120">
        <v>0</v>
      </c>
      <c r="AB120">
        <v>0</v>
      </c>
      <c r="AC120" s="77"/>
    </row>
    <row r="121" spans="1:29" x14ac:dyDescent="0.25">
      <c r="A121" s="42">
        <v>2</v>
      </c>
      <c r="B121" s="42" t="s">
        <v>7</v>
      </c>
      <c r="C121" s="43">
        <v>14336</v>
      </c>
      <c r="D121" s="43">
        <v>128</v>
      </c>
      <c r="E121" s="43">
        <v>2</v>
      </c>
      <c r="F121" s="43">
        <v>2</v>
      </c>
      <c r="G121" s="43">
        <v>454.05</v>
      </c>
      <c r="H121" s="50">
        <v>4.3266999999999998</v>
      </c>
      <c r="I121" s="23">
        <v>45475</v>
      </c>
      <c r="J121" s="24">
        <v>0.15267361111111111</v>
      </c>
      <c r="K121" s="22">
        <v>0</v>
      </c>
      <c r="L121" s="22">
        <v>0</v>
      </c>
      <c r="M121" s="22">
        <v>0</v>
      </c>
      <c r="N121" s="76"/>
      <c r="P121">
        <v>2</v>
      </c>
      <c r="Q121" t="s">
        <v>7</v>
      </c>
      <c r="R121">
        <v>14336</v>
      </c>
      <c r="S121">
        <v>128</v>
      </c>
      <c r="T121">
        <v>2</v>
      </c>
      <c r="U121">
        <v>2</v>
      </c>
      <c r="V121">
        <v>479.12</v>
      </c>
      <c r="W121" s="21">
        <v>4.1002999999999998</v>
      </c>
      <c r="X121" s="26">
        <v>45475</v>
      </c>
      <c r="Y121" s="27">
        <v>0.29673611111111109</v>
      </c>
      <c r="Z121">
        <v>0</v>
      </c>
      <c r="AA121">
        <v>0</v>
      </c>
      <c r="AB121">
        <v>0</v>
      </c>
      <c r="AC121" s="77"/>
    </row>
    <row r="122" spans="1:29" x14ac:dyDescent="0.25">
      <c r="A122" s="44">
        <v>3</v>
      </c>
      <c r="B122" s="44" t="s">
        <v>7</v>
      </c>
      <c r="C122" s="46">
        <v>14336</v>
      </c>
      <c r="D122" s="46">
        <v>128</v>
      </c>
      <c r="E122" s="46">
        <v>2</v>
      </c>
      <c r="F122" s="46">
        <v>2</v>
      </c>
      <c r="G122" s="47">
        <v>453.78</v>
      </c>
      <c r="H122" s="51">
        <v>4.3292999999999999</v>
      </c>
      <c r="I122" s="17">
        <v>45475</v>
      </c>
      <c r="J122" s="18">
        <v>0.38619212962962962</v>
      </c>
      <c r="K122">
        <v>0</v>
      </c>
      <c r="L122">
        <v>0</v>
      </c>
      <c r="M122">
        <v>0</v>
      </c>
      <c r="N122" s="76"/>
      <c r="P122">
        <v>3</v>
      </c>
      <c r="Q122" t="s">
        <v>7</v>
      </c>
      <c r="R122">
        <v>14336</v>
      </c>
      <c r="S122">
        <v>128</v>
      </c>
      <c r="T122">
        <v>2</v>
      </c>
      <c r="U122">
        <v>2</v>
      </c>
      <c r="V122">
        <v>478.75</v>
      </c>
      <c r="W122" s="21">
        <v>4.1035000000000004</v>
      </c>
      <c r="X122" s="26">
        <v>45475</v>
      </c>
      <c r="Y122" s="27">
        <v>0.58018518518518514</v>
      </c>
      <c r="Z122">
        <v>0</v>
      </c>
      <c r="AA122">
        <v>0</v>
      </c>
      <c r="AB122">
        <v>0</v>
      </c>
      <c r="AC122" s="77"/>
    </row>
    <row r="123" spans="1:29" x14ac:dyDescent="0.25">
      <c r="A123" s="44">
        <v>4</v>
      </c>
      <c r="B123" s="44" t="s">
        <v>7</v>
      </c>
      <c r="C123" s="45">
        <v>14336</v>
      </c>
      <c r="D123" s="45">
        <v>128</v>
      </c>
      <c r="E123" s="45">
        <v>2</v>
      </c>
      <c r="F123" s="45">
        <v>2</v>
      </c>
      <c r="G123" s="45">
        <v>454.14</v>
      </c>
      <c r="H123" s="51">
        <v>4.3258000000000001</v>
      </c>
      <c r="I123" s="17">
        <v>45475</v>
      </c>
      <c r="J123" s="18">
        <v>0.6196180555555556</v>
      </c>
      <c r="K123">
        <v>0</v>
      </c>
      <c r="L123">
        <v>0</v>
      </c>
      <c r="M123">
        <v>0</v>
      </c>
      <c r="N123" s="76"/>
      <c r="P123">
        <v>4</v>
      </c>
      <c r="Q123" t="s">
        <v>7</v>
      </c>
      <c r="R123">
        <v>14336</v>
      </c>
      <c r="S123">
        <v>128</v>
      </c>
      <c r="T123">
        <v>2</v>
      </c>
      <c r="U123">
        <v>2</v>
      </c>
      <c r="V123">
        <v>478.9</v>
      </c>
      <c r="W123" s="21">
        <v>4.1021999999999998</v>
      </c>
      <c r="X123" s="26">
        <v>45475</v>
      </c>
      <c r="Y123" s="27">
        <v>0.86337962962962966</v>
      </c>
      <c r="Z123">
        <v>0</v>
      </c>
      <c r="AA123">
        <v>0</v>
      </c>
      <c r="AB123">
        <v>0</v>
      </c>
      <c r="AC123" s="77"/>
    </row>
    <row r="124" spans="1:29" x14ac:dyDescent="0.25">
      <c r="A124" s="44">
        <v>0</v>
      </c>
      <c r="B124" s="44" t="s">
        <v>7</v>
      </c>
      <c r="C124" s="46">
        <v>12800</v>
      </c>
      <c r="D124" s="46">
        <v>160</v>
      </c>
      <c r="E124" s="46">
        <v>1</v>
      </c>
      <c r="F124" s="46">
        <v>4</v>
      </c>
      <c r="G124" s="47">
        <v>352.79</v>
      </c>
      <c r="H124" s="51">
        <v>3.9636999999999998</v>
      </c>
      <c r="I124" s="17">
        <v>45474</v>
      </c>
      <c r="J124" s="18">
        <v>0.53383101851851855</v>
      </c>
      <c r="K124">
        <v>0</v>
      </c>
      <c r="L124">
        <v>0</v>
      </c>
      <c r="M124">
        <v>0</v>
      </c>
      <c r="N124" s="76">
        <f>AVERAGE(H124:H128)</f>
        <v>3.9701599999999999</v>
      </c>
      <c r="P124">
        <v>0</v>
      </c>
      <c r="Q124" t="s">
        <v>7</v>
      </c>
      <c r="R124">
        <v>12800</v>
      </c>
      <c r="S124">
        <v>160</v>
      </c>
      <c r="T124">
        <v>1</v>
      </c>
      <c r="U124">
        <v>4</v>
      </c>
      <c r="V124">
        <v>332.27</v>
      </c>
      <c r="W124" s="21">
        <v>4.2084999999999999</v>
      </c>
      <c r="X124" s="26">
        <v>45474</v>
      </c>
      <c r="Y124" s="27">
        <v>0.54372685185185188</v>
      </c>
      <c r="Z124">
        <v>0</v>
      </c>
      <c r="AA124">
        <v>0</v>
      </c>
      <c r="AB124">
        <v>0</v>
      </c>
      <c r="AC124" s="77">
        <f t="shared" ref="AC124" si="23">AVERAGE(W124:W128)</f>
        <v>4.1875200000000001</v>
      </c>
    </row>
    <row r="125" spans="1:29" x14ac:dyDescent="0.25">
      <c r="A125" s="44">
        <v>1</v>
      </c>
      <c r="B125" s="44" t="s">
        <v>7</v>
      </c>
      <c r="C125" s="45">
        <v>12800</v>
      </c>
      <c r="D125" s="45">
        <v>160</v>
      </c>
      <c r="E125" s="45">
        <v>1</v>
      </c>
      <c r="F125" s="45">
        <v>4</v>
      </c>
      <c r="G125" s="45">
        <v>351.69</v>
      </c>
      <c r="H125" s="51">
        <v>3.976</v>
      </c>
      <c r="I125" s="17">
        <v>45474</v>
      </c>
      <c r="J125" s="18">
        <v>0.76768518518518514</v>
      </c>
      <c r="K125">
        <v>0</v>
      </c>
      <c r="L125">
        <v>0</v>
      </c>
      <c r="M125">
        <v>0</v>
      </c>
      <c r="N125" s="76"/>
      <c r="P125">
        <v>1</v>
      </c>
      <c r="Q125" t="s">
        <v>7</v>
      </c>
      <c r="R125">
        <v>12800</v>
      </c>
      <c r="S125">
        <v>160</v>
      </c>
      <c r="T125">
        <v>1</v>
      </c>
      <c r="U125">
        <v>4</v>
      </c>
      <c r="V125">
        <v>339.66</v>
      </c>
      <c r="W125" s="21">
        <v>4.117</v>
      </c>
      <c r="X125" s="26">
        <v>45474</v>
      </c>
      <c r="Y125" s="27">
        <v>0.82849537037037035</v>
      </c>
      <c r="Z125">
        <v>0</v>
      </c>
      <c r="AA125">
        <v>0</v>
      </c>
      <c r="AB125">
        <v>0</v>
      </c>
      <c r="AC125" s="77"/>
    </row>
    <row r="126" spans="1:29" x14ac:dyDescent="0.25">
      <c r="A126" s="44">
        <v>2</v>
      </c>
      <c r="B126" s="44" t="s">
        <v>7</v>
      </c>
      <c r="C126" s="46">
        <v>12800</v>
      </c>
      <c r="D126" s="46">
        <v>160</v>
      </c>
      <c r="E126" s="46">
        <v>1</v>
      </c>
      <c r="F126" s="46">
        <v>4</v>
      </c>
      <c r="G126" s="47">
        <v>352.7</v>
      </c>
      <c r="H126" s="51">
        <v>3.9647000000000001</v>
      </c>
      <c r="I126" s="17">
        <v>45475</v>
      </c>
      <c r="J126" s="18">
        <v>1.4351851851851852E-3</v>
      </c>
      <c r="K126">
        <v>0</v>
      </c>
      <c r="L126">
        <v>0</v>
      </c>
      <c r="M126">
        <v>0</v>
      </c>
      <c r="N126" s="76"/>
      <c r="P126">
        <v>2</v>
      </c>
      <c r="Q126" t="s">
        <v>7</v>
      </c>
      <c r="R126">
        <v>12800</v>
      </c>
      <c r="S126">
        <v>160</v>
      </c>
      <c r="T126">
        <v>1</v>
      </c>
      <c r="U126">
        <v>4</v>
      </c>
      <c r="V126">
        <v>331.2</v>
      </c>
      <c r="W126" s="21">
        <v>4.2220000000000004</v>
      </c>
      <c r="X126" s="26">
        <v>45475</v>
      </c>
      <c r="Y126" s="27">
        <v>0.11238425925925925</v>
      </c>
      <c r="Z126">
        <v>0</v>
      </c>
      <c r="AA126">
        <v>0</v>
      </c>
      <c r="AB126">
        <v>0</v>
      </c>
      <c r="AC126" s="77"/>
    </row>
    <row r="127" spans="1:29" x14ac:dyDescent="0.25">
      <c r="A127" s="44">
        <v>3</v>
      </c>
      <c r="B127" s="44" t="s">
        <v>7</v>
      </c>
      <c r="C127" s="46">
        <v>12800</v>
      </c>
      <c r="D127" s="46">
        <v>160</v>
      </c>
      <c r="E127" s="46">
        <v>1</v>
      </c>
      <c r="F127" s="46">
        <v>4</v>
      </c>
      <c r="G127" s="47">
        <v>351.94</v>
      </c>
      <c r="H127" s="51">
        <v>3.9733000000000001</v>
      </c>
      <c r="I127" s="17">
        <v>45475</v>
      </c>
      <c r="J127" s="18">
        <v>0.23499999999999999</v>
      </c>
      <c r="K127">
        <v>0</v>
      </c>
      <c r="L127">
        <v>0</v>
      </c>
      <c r="M127">
        <v>0</v>
      </c>
      <c r="N127" s="76"/>
      <c r="P127">
        <v>3</v>
      </c>
      <c r="Q127" t="s">
        <v>7</v>
      </c>
      <c r="R127">
        <v>12800</v>
      </c>
      <c r="S127">
        <v>160</v>
      </c>
      <c r="T127">
        <v>1</v>
      </c>
      <c r="U127">
        <v>4</v>
      </c>
      <c r="V127">
        <v>331.92</v>
      </c>
      <c r="W127" s="21">
        <v>4.2129000000000003</v>
      </c>
      <c r="X127" s="26">
        <v>45475</v>
      </c>
      <c r="Y127" s="27">
        <v>0.3961689814814815</v>
      </c>
      <c r="Z127">
        <v>0</v>
      </c>
      <c r="AA127">
        <v>0</v>
      </c>
      <c r="AB127">
        <v>0</v>
      </c>
      <c r="AC127" s="77"/>
    </row>
    <row r="128" spans="1:29" x14ac:dyDescent="0.25">
      <c r="A128" s="42">
        <v>4</v>
      </c>
      <c r="B128" s="42" t="s">
        <v>7</v>
      </c>
      <c r="C128" s="43">
        <v>12800</v>
      </c>
      <c r="D128" s="43">
        <v>160</v>
      </c>
      <c r="E128" s="43">
        <v>1</v>
      </c>
      <c r="F128" s="43">
        <v>4</v>
      </c>
      <c r="G128" s="43">
        <v>351.95</v>
      </c>
      <c r="H128" s="50">
        <v>3.9731000000000001</v>
      </c>
      <c r="I128" s="23">
        <v>45475</v>
      </c>
      <c r="J128" s="24">
        <v>0.46849537037037037</v>
      </c>
      <c r="K128" s="22">
        <v>0</v>
      </c>
      <c r="L128" s="22">
        <v>0</v>
      </c>
      <c r="M128" s="22">
        <v>0</v>
      </c>
      <c r="N128" s="76"/>
      <c r="P128">
        <v>4</v>
      </c>
      <c r="Q128" t="s">
        <v>7</v>
      </c>
      <c r="R128">
        <v>12800</v>
      </c>
      <c r="S128">
        <v>160</v>
      </c>
      <c r="T128">
        <v>1</v>
      </c>
      <c r="U128">
        <v>4</v>
      </c>
      <c r="V128">
        <v>334.75</v>
      </c>
      <c r="W128" s="21">
        <v>4.1772</v>
      </c>
      <c r="X128" s="26">
        <v>45475</v>
      </c>
      <c r="Y128" s="27">
        <v>0.67983796296296295</v>
      </c>
      <c r="Z128">
        <v>0</v>
      </c>
      <c r="AA128">
        <v>0</v>
      </c>
      <c r="AB128">
        <v>0</v>
      </c>
      <c r="AC128" s="77"/>
    </row>
    <row r="129" spans="1:29" x14ac:dyDescent="0.25">
      <c r="A129" s="44">
        <v>0</v>
      </c>
      <c r="B129" s="44" t="s">
        <v>7</v>
      </c>
      <c r="C129" s="46">
        <v>13600</v>
      </c>
      <c r="D129" s="46">
        <v>160</v>
      </c>
      <c r="E129" s="46">
        <v>1</v>
      </c>
      <c r="F129" s="46">
        <v>4</v>
      </c>
      <c r="G129" s="47">
        <v>423.38</v>
      </c>
      <c r="H129" s="51">
        <v>3.9615999999999998</v>
      </c>
      <c r="I129" s="17">
        <v>45474</v>
      </c>
      <c r="J129" s="18">
        <v>0.60645833333333332</v>
      </c>
      <c r="K129">
        <v>0</v>
      </c>
      <c r="L129">
        <v>0</v>
      </c>
      <c r="M129">
        <v>0</v>
      </c>
      <c r="N129" s="76">
        <f>AVERAGE(H129:H133)</f>
        <v>3.9654799999999994</v>
      </c>
      <c r="P129">
        <v>0</v>
      </c>
      <c r="Q129" t="s">
        <v>7</v>
      </c>
      <c r="R129">
        <v>13600</v>
      </c>
      <c r="S129">
        <v>160</v>
      </c>
      <c r="T129">
        <v>1</v>
      </c>
      <c r="U129">
        <v>4</v>
      </c>
      <c r="V129">
        <v>399.08</v>
      </c>
      <c r="W129" s="21">
        <v>4.2027999999999999</v>
      </c>
      <c r="X129" s="26">
        <v>45474</v>
      </c>
      <c r="Y129" s="27">
        <v>0.63277777777777777</v>
      </c>
      <c r="Z129">
        <v>0</v>
      </c>
      <c r="AA129">
        <v>0</v>
      </c>
      <c r="AB129">
        <v>0</v>
      </c>
      <c r="AC129" s="77">
        <f t="shared" ref="AC129" si="24">AVERAGE(W129:W133)</f>
        <v>4.2817999999999996</v>
      </c>
    </row>
    <row r="130" spans="1:29" x14ac:dyDescent="0.25">
      <c r="A130" s="44">
        <v>1</v>
      </c>
      <c r="B130" s="44" t="s">
        <v>7</v>
      </c>
      <c r="C130" s="46">
        <v>13600</v>
      </c>
      <c r="D130" s="46">
        <v>160</v>
      </c>
      <c r="E130" s="46">
        <v>1</v>
      </c>
      <c r="F130" s="46">
        <v>4</v>
      </c>
      <c r="G130" s="47">
        <v>422.64</v>
      </c>
      <c r="H130" s="51">
        <v>3.9685000000000001</v>
      </c>
      <c r="I130" s="17">
        <v>45474</v>
      </c>
      <c r="J130" s="18">
        <v>0.84015046296296292</v>
      </c>
      <c r="K130">
        <v>0</v>
      </c>
      <c r="L130">
        <v>0</v>
      </c>
      <c r="M130">
        <v>0</v>
      </c>
      <c r="N130" s="76"/>
      <c r="P130">
        <v>1</v>
      </c>
      <c r="Q130" t="s">
        <v>7</v>
      </c>
      <c r="R130">
        <v>13600</v>
      </c>
      <c r="S130">
        <v>160</v>
      </c>
      <c r="T130">
        <v>1</v>
      </c>
      <c r="U130">
        <v>4</v>
      </c>
      <c r="V130">
        <v>394.49</v>
      </c>
      <c r="W130" s="21">
        <v>4.2516999999999996</v>
      </c>
      <c r="X130" s="26">
        <v>45474</v>
      </c>
      <c r="Y130" s="27">
        <v>0.91730324074074077</v>
      </c>
      <c r="Z130">
        <v>0</v>
      </c>
      <c r="AA130">
        <v>0</v>
      </c>
      <c r="AB130">
        <v>0</v>
      </c>
      <c r="AC130" s="77"/>
    </row>
    <row r="131" spans="1:29" x14ac:dyDescent="0.25">
      <c r="A131" s="42">
        <v>2</v>
      </c>
      <c r="B131" s="42" t="s">
        <v>7</v>
      </c>
      <c r="C131" s="43">
        <v>13600</v>
      </c>
      <c r="D131" s="43">
        <v>160</v>
      </c>
      <c r="E131" s="43">
        <v>1</v>
      </c>
      <c r="F131" s="43">
        <v>4</v>
      </c>
      <c r="G131" s="43">
        <v>421.95</v>
      </c>
      <c r="H131" s="50">
        <v>3.9750000000000001</v>
      </c>
      <c r="I131" s="23">
        <v>45475</v>
      </c>
      <c r="J131" s="24">
        <v>7.3819444444444438E-2</v>
      </c>
      <c r="K131" s="22">
        <v>0</v>
      </c>
      <c r="L131" s="22">
        <v>0</v>
      </c>
      <c r="M131" s="22">
        <v>0</v>
      </c>
      <c r="N131" s="76"/>
      <c r="P131">
        <v>2</v>
      </c>
      <c r="Q131" t="s">
        <v>7</v>
      </c>
      <c r="R131">
        <v>13600</v>
      </c>
      <c r="S131">
        <v>160</v>
      </c>
      <c r="T131">
        <v>1</v>
      </c>
      <c r="U131">
        <v>4</v>
      </c>
      <c r="V131">
        <v>388.32</v>
      </c>
      <c r="W131" s="21">
        <v>4.3193000000000001</v>
      </c>
      <c r="X131" s="26">
        <v>45475</v>
      </c>
      <c r="Y131" s="27">
        <v>0.2010763888888889</v>
      </c>
      <c r="Z131">
        <v>0</v>
      </c>
      <c r="AA131">
        <v>0</v>
      </c>
      <c r="AB131">
        <v>0</v>
      </c>
      <c r="AC131" s="77"/>
    </row>
    <row r="132" spans="1:29" x14ac:dyDescent="0.25">
      <c r="A132" s="44">
        <v>3</v>
      </c>
      <c r="B132" s="44" t="s">
        <v>7</v>
      </c>
      <c r="C132" s="46">
        <v>13600</v>
      </c>
      <c r="D132" s="46">
        <v>160</v>
      </c>
      <c r="E132" s="46">
        <v>1</v>
      </c>
      <c r="F132" s="46">
        <v>4</v>
      </c>
      <c r="G132" s="47">
        <v>422.34</v>
      </c>
      <c r="H132" s="51">
        <v>3.9712999999999998</v>
      </c>
      <c r="I132" s="17">
        <v>45475</v>
      </c>
      <c r="J132" s="18">
        <v>0.30738425925925927</v>
      </c>
      <c r="K132">
        <v>0</v>
      </c>
      <c r="L132">
        <v>0</v>
      </c>
      <c r="M132">
        <v>0</v>
      </c>
      <c r="N132" s="76"/>
      <c r="P132">
        <v>3</v>
      </c>
      <c r="Q132" t="s">
        <v>7</v>
      </c>
      <c r="R132">
        <v>13600</v>
      </c>
      <c r="S132">
        <v>160</v>
      </c>
      <c r="T132">
        <v>1</v>
      </c>
      <c r="U132">
        <v>4</v>
      </c>
      <c r="V132">
        <v>388.95</v>
      </c>
      <c r="W132" s="21">
        <v>4.3122999999999996</v>
      </c>
      <c r="X132" s="26">
        <v>45475</v>
      </c>
      <c r="Y132" s="27">
        <v>0.48484953703703704</v>
      </c>
      <c r="Z132">
        <v>0</v>
      </c>
      <c r="AA132">
        <v>0</v>
      </c>
      <c r="AB132">
        <v>0</v>
      </c>
      <c r="AC132" s="77"/>
    </row>
    <row r="133" spans="1:29" x14ac:dyDescent="0.25">
      <c r="A133" s="44">
        <v>4</v>
      </c>
      <c r="B133" s="44" t="s">
        <v>7</v>
      </c>
      <c r="C133" s="45">
        <v>13600</v>
      </c>
      <c r="D133" s="45">
        <v>160</v>
      </c>
      <c r="E133" s="45">
        <v>1</v>
      </c>
      <c r="F133" s="45">
        <v>4</v>
      </c>
      <c r="G133" s="45">
        <v>424.51</v>
      </c>
      <c r="H133" s="51">
        <v>3.9510000000000001</v>
      </c>
      <c r="I133" s="17">
        <v>45475</v>
      </c>
      <c r="J133" s="18">
        <v>0.54082175925925924</v>
      </c>
      <c r="K133">
        <v>0</v>
      </c>
      <c r="L133">
        <v>0</v>
      </c>
      <c r="M133">
        <v>0</v>
      </c>
      <c r="N133" s="76"/>
      <c r="P133">
        <v>4</v>
      </c>
      <c r="Q133" t="s">
        <v>7</v>
      </c>
      <c r="R133">
        <v>13600</v>
      </c>
      <c r="S133">
        <v>160</v>
      </c>
      <c r="T133">
        <v>1</v>
      </c>
      <c r="U133">
        <v>4</v>
      </c>
      <c r="V133">
        <v>387.99</v>
      </c>
      <c r="W133" s="21">
        <v>4.3228999999999997</v>
      </c>
      <c r="X133" s="26">
        <v>45475</v>
      </c>
      <c r="Y133" s="27">
        <v>0.76837962962962958</v>
      </c>
      <c r="Z133">
        <v>0</v>
      </c>
      <c r="AA133">
        <v>0</v>
      </c>
      <c r="AB133">
        <v>0</v>
      </c>
      <c r="AC133" s="77"/>
    </row>
    <row r="134" spans="1:29" x14ac:dyDescent="0.25">
      <c r="A134" s="42">
        <v>0</v>
      </c>
      <c r="B134" s="42" t="s">
        <v>7</v>
      </c>
      <c r="C134" s="43">
        <v>14400</v>
      </c>
      <c r="D134" s="43">
        <v>160</v>
      </c>
      <c r="E134" s="43">
        <v>1</v>
      </c>
      <c r="F134" s="43">
        <v>4</v>
      </c>
      <c r="G134" s="43">
        <v>497.9</v>
      </c>
      <c r="H134" s="50">
        <v>3.9986999999999999</v>
      </c>
      <c r="I134" s="23">
        <v>45474</v>
      </c>
      <c r="J134" s="24">
        <v>0.69126157407407407</v>
      </c>
      <c r="K134" s="22">
        <v>0</v>
      </c>
      <c r="L134" s="22">
        <v>0</v>
      </c>
      <c r="M134" s="22">
        <v>0</v>
      </c>
      <c r="N134" s="76">
        <f>AVERAGE(H134:H138)</f>
        <v>4.0021599999999999</v>
      </c>
      <c r="P134">
        <v>0</v>
      </c>
      <c r="Q134" t="s">
        <v>7</v>
      </c>
      <c r="R134">
        <v>14400</v>
      </c>
      <c r="S134">
        <v>160</v>
      </c>
      <c r="T134">
        <v>1</v>
      </c>
      <c r="U134">
        <v>4</v>
      </c>
      <c r="V134">
        <v>466.05</v>
      </c>
      <c r="W134" s="21">
        <v>4.2720000000000002</v>
      </c>
      <c r="X134" s="26">
        <v>45474</v>
      </c>
      <c r="Y134" s="27">
        <v>0.73526620370370366</v>
      </c>
      <c r="Z134">
        <v>0</v>
      </c>
      <c r="AA134">
        <v>0</v>
      </c>
      <c r="AB134">
        <v>0</v>
      </c>
      <c r="AC134" s="77">
        <f t="shared" ref="AC134" si="25">AVERAGE(W134:W138)</f>
        <v>4.3227600000000006</v>
      </c>
    </row>
    <row r="135" spans="1:29" x14ac:dyDescent="0.25">
      <c r="A135" s="44">
        <v>1</v>
      </c>
      <c r="B135" s="44" t="s">
        <v>7</v>
      </c>
      <c r="C135" s="46">
        <v>14400</v>
      </c>
      <c r="D135" s="46">
        <v>160</v>
      </c>
      <c r="E135" s="46">
        <v>1</v>
      </c>
      <c r="F135" s="46">
        <v>4</v>
      </c>
      <c r="G135" s="47">
        <v>498.08</v>
      </c>
      <c r="H135" s="51">
        <v>3.9973000000000001</v>
      </c>
      <c r="I135" s="17">
        <v>45474</v>
      </c>
      <c r="J135" s="18">
        <v>0.92505787037037035</v>
      </c>
      <c r="K135">
        <v>0</v>
      </c>
      <c r="L135">
        <v>0</v>
      </c>
      <c r="M135">
        <v>0</v>
      </c>
      <c r="N135" s="76"/>
      <c r="P135">
        <v>1</v>
      </c>
      <c r="Q135" t="s">
        <v>7</v>
      </c>
      <c r="R135">
        <v>14400</v>
      </c>
      <c r="S135">
        <v>160</v>
      </c>
      <c r="T135">
        <v>1</v>
      </c>
      <c r="U135">
        <v>4</v>
      </c>
      <c r="V135">
        <v>462.49</v>
      </c>
      <c r="W135" s="21">
        <v>4.3048999999999999</v>
      </c>
      <c r="X135" s="26">
        <v>45475</v>
      </c>
      <c r="Y135" s="27">
        <v>1.9525462962962963E-2</v>
      </c>
      <c r="Z135">
        <v>0</v>
      </c>
      <c r="AA135">
        <v>0</v>
      </c>
      <c r="AB135">
        <v>0</v>
      </c>
      <c r="AC135" s="77"/>
    </row>
    <row r="136" spans="1:29" x14ac:dyDescent="0.25">
      <c r="A136" s="44">
        <v>2</v>
      </c>
      <c r="B136" s="44" t="s">
        <v>7</v>
      </c>
      <c r="C136" s="45">
        <v>14400</v>
      </c>
      <c r="D136" s="45">
        <v>160</v>
      </c>
      <c r="E136" s="45">
        <v>1</v>
      </c>
      <c r="F136" s="45">
        <v>4</v>
      </c>
      <c r="G136" s="45">
        <v>496.98</v>
      </c>
      <c r="H136" s="51">
        <v>4.0061</v>
      </c>
      <c r="I136" s="17">
        <v>45475</v>
      </c>
      <c r="J136" s="18">
        <v>0.15866898148148148</v>
      </c>
      <c r="K136">
        <v>0</v>
      </c>
      <c r="L136">
        <v>0</v>
      </c>
      <c r="M136">
        <v>0</v>
      </c>
      <c r="N136" s="76"/>
      <c r="P136">
        <v>2</v>
      </c>
      <c r="Q136" t="s">
        <v>7</v>
      </c>
      <c r="R136">
        <v>14400</v>
      </c>
      <c r="S136">
        <v>160</v>
      </c>
      <c r="T136">
        <v>1</v>
      </c>
      <c r="U136">
        <v>4</v>
      </c>
      <c r="V136">
        <v>456.46</v>
      </c>
      <c r="W136" s="21">
        <v>4.3616999999999999</v>
      </c>
      <c r="X136" s="26">
        <v>45475</v>
      </c>
      <c r="Y136" s="27">
        <v>0.30327546296296298</v>
      </c>
      <c r="Z136">
        <v>0</v>
      </c>
      <c r="AA136">
        <v>0</v>
      </c>
      <c r="AB136">
        <v>0</v>
      </c>
      <c r="AC136" s="77"/>
    </row>
    <row r="137" spans="1:29" x14ac:dyDescent="0.25">
      <c r="A137" s="44">
        <v>3</v>
      </c>
      <c r="B137" s="44" t="s">
        <v>7</v>
      </c>
      <c r="C137" s="46">
        <v>14400</v>
      </c>
      <c r="D137" s="46">
        <v>160</v>
      </c>
      <c r="E137" s="46">
        <v>1</v>
      </c>
      <c r="F137" s="46">
        <v>4</v>
      </c>
      <c r="G137" s="47">
        <v>497.1</v>
      </c>
      <c r="H137" s="51">
        <v>4.0052000000000003</v>
      </c>
      <c r="I137" s="17">
        <v>45475</v>
      </c>
      <c r="J137" s="18">
        <v>0.39217592592592593</v>
      </c>
      <c r="K137">
        <v>0</v>
      </c>
      <c r="L137">
        <v>0</v>
      </c>
      <c r="M137">
        <v>0</v>
      </c>
      <c r="N137" s="76"/>
      <c r="P137">
        <v>3</v>
      </c>
      <c r="Q137" t="s">
        <v>7</v>
      </c>
      <c r="R137">
        <v>14400</v>
      </c>
      <c r="S137">
        <v>160</v>
      </c>
      <c r="T137">
        <v>1</v>
      </c>
      <c r="U137">
        <v>4</v>
      </c>
      <c r="V137">
        <v>465.82</v>
      </c>
      <c r="W137" s="21">
        <v>4.2740999999999998</v>
      </c>
      <c r="X137" s="26">
        <v>45475</v>
      </c>
      <c r="Y137" s="27">
        <v>0.58684027777777781</v>
      </c>
      <c r="Z137">
        <v>0</v>
      </c>
      <c r="AA137">
        <v>0</v>
      </c>
      <c r="AB137">
        <v>0</v>
      </c>
      <c r="AC137" s="77"/>
    </row>
    <row r="138" spans="1:29" x14ac:dyDescent="0.25">
      <c r="A138" s="44">
        <v>4</v>
      </c>
      <c r="B138" s="44" t="s">
        <v>7</v>
      </c>
      <c r="C138" s="46">
        <v>14400</v>
      </c>
      <c r="D138" s="46">
        <v>160</v>
      </c>
      <c r="E138" s="46">
        <v>1</v>
      </c>
      <c r="F138" s="46">
        <v>4</v>
      </c>
      <c r="G138" s="47">
        <v>497.31</v>
      </c>
      <c r="H138" s="51">
        <v>4.0034999999999998</v>
      </c>
      <c r="I138" s="17">
        <v>45475</v>
      </c>
      <c r="J138" s="18">
        <v>0.62561342592592595</v>
      </c>
      <c r="K138">
        <v>0</v>
      </c>
      <c r="L138">
        <v>0</v>
      </c>
      <c r="M138">
        <v>0</v>
      </c>
      <c r="N138" s="76"/>
      <c r="P138">
        <v>4</v>
      </c>
      <c r="Q138" t="s">
        <v>7</v>
      </c>
      <c r="R138">
        <v>14400</v>
      </c>
      <c r="S138">
        <v>160</v>
      </c>
      <c r="T138">
        <v>1</v>
      </c>
      <c r="U138">
        <v>4</v>
      </c>
      <c r="V138">
        <v>452.38</v>
      </c>
      <c r="W138" s="21">
        <v>4.4010999999999996</v>
      </c>
      <c r="X138" s="26">
        <v>45475</v>
      </c>
      <c r="Y138" s="27">
        <v>0.86983796296296301</v>
      </c>
      <c r="Z138">
        <v>0</v>
      </c>
      <c r="AA138">
        <v>0</v>
      </c>
      <c r="AB138">
        <v>0</v>
      </c>
      <c r="AC138" s="77"/>
    </row>
    <row r="139" spans="1:29" x14ac:dyDescent="0.25">
      <c r="A139" s="44">
        <v>0</v>
      </c>
      <c r="B139" s="44" t="s">
        <v>7</v>
      </c>
      <c r="C139" s="46">
        <v>12800</v>
      </c>
      <c r="D139" s="46">
        <v>160</v>
      </c>
      <c r="E139" s="46">
        <v>2</v>
      </c>
      <c r="F139" s="46">
        <v>2</v>
      </c>
      <c r="G139" s="47">
        <v>334.92</v>
      </c>
      <c r="H139" s="51">
        <v>4.1752000000000002</v>
      </c>
      <c r="I139" s="17">
        <v>45474</v>
      </c>
      <c r="J139" s="18">
        <v>0.53788194444444448</v>
      </c>
      <c r="K139">
        <v>0</v>
      </c>
      <c r="L139">
        <v>0</v>
      </c>
      <c r="M139">
        <v>0</v>
      </c>
      <c r="N139" s="76">
        <f>AVERAGE(H139:H143)</f>
        <v>4.1682999999999995</v>
      </c>
      <c r="P139">
        <v>0</v>
      </c>
      <c r="Q139" t="s">
        <v>7</v>
      </c>
      <c r="R139">
        <v>12800</v>
      </c>
      <c r="S139">
        <v>160</v>
      </c>
      <c r="T139">
        <v>2</v>
      </c>
      <c r="U139">
        <v>2</v>
      </c>
      <c r="V139">
        <v>353.16</v>
      </c>
      <c r="W139" s="21">
        <v>3.9594999999999998</v>
      </c>
      <c r="X139" s="26">
        <v>45474</v>
      </c>
      <c r="Y139" s="27">
        <v>0.54879629629629634</v>
      </c>
      <c r="Z139">
        <v>0</v>
      </c>
      <c r="AA139">
        <v>0</v>
      </c>
      <c r="AB139">
        <v>0</v>
      </c>
      <c r="AC139" s="77">
        <f t="shared" ref="AC139" si="26">AVERAGE(W139:W143)</f>
        <v>3.9776199999999995</v>
      </c>
    </row>
    <row r="140" spans="1:29" x14ac:dyDescent="0.25">
      <c r="A140" s="44">
        <v>1</v>
      </c>
      <c r="B140" s="44" t="s">
        <v>7</v>
      </c>
      <c r="C140" s="46">
        <v>12800</v>
      </c>
      <c r="D140" s="46">
        <v>160</v>
      </c>
      <c r="E140" s="46">
        <v>2</v>
      </c>
      <c r="F140" s="46">
        <v>2</v>
      </c>
      <c r="G140" s="47">
        <v>335.6</v>
      </c>
      <c r="H140" s="51">
        <v>4.1666999999999996</v>
      </c>
      <c r="I140" s="17">
        <v>45474</v>
      </c>
      <c r="J140" s="18">
        <v>0.77173611111111107</v>
      </c>
      <c r="K140">
        <v>0</v>
      </c>
      <c r="L140">
        <v>0</v>
      </c>
      <c r="M140">
        <v>0</v>
      </c>
      <c r="N140" s="76"/>
      <c r="P140">
        <v>1</v>
      </c>
      <c r="Q140" t="s">
        <v>7</v>
      </c>
      <c r="R140">
        <v>12800</v>
      </c>
      <c r="S140">
        <v>160</v>
      </c>
      <c r="T140">
        <v>2</v>
      </c>
      <c r="U140">
        <v>2</v>
      </c>
      <c r="V140">
        <v>350.87</v>
      </c>
      <c r="W140" s="21">
        <v>3.9853000000000001</v>
      </c>
      <c r="X140" s="26">
        <v>45474</v>
      </c>
      <c r="Y140" s="27">
        <v>0.83353009259259259</v>
      </c>
      <c r="Z140">
        <v>0</v>
      </c>
      <c r="AA140">
        <v>0</v>
      </c>
      <c r="AB140">
        <v>0</v>
      </c>
      <c r="AC140" s="77"/>
    </row>
    <row r="141" spans="1:29" x14ac:dyDescent="0.25">
      <c r="A141" s="42">
        <v>2</v>
      </c>
      <c r="B141" s="42" t="s">
        <v>7</v>
      </c>
      <c r="C141" s="43">
        <v>12800</v>
      </c>
      <c r="D141" s="43">
        <v>160</v>
      </c>
      <c r="E141" s="43">
        <v>2</v>
      </c>
      <c r="F141" s="43">
        <v>2</v>
      </c>
      <c r="G141" s="43">
        <v>336.28</v>
      </c>
      <c r="H141" s="50">
        <v>4.1582999999999997</v>
      </c>
      <c r="I141" s="23">
        <v>45475</v>
      </c>
      <c r="J141" s="24">
        <v>5.5092592592592589E-3</v>
      </c>
      <c r="K141" s="22">
        <v>0</v>
      </c>
      <c r="L141" s="22">
        <v>0</v>
      </c>
      <c r="M141" s="22">
        <v>0</v>
      </c>
      <c r="N141" s="76"/>
      <c r="P141">
        <v>2</v>
      </c>
      <c r="Q141" t="s">
        <v>7</v>
      </c>
      <c r="R141">
        <v>12800</v>
      </c>
      <c r="S141">
        <v>160</v>
      </c>
      <c r="T141">
        <v>2</v>
      </c>
      <c r="U141">
        <v>2</v>
      </c>
      <c r="V141">
        <v>351.28</v>
      </c>
      <c r="W141" s="21">
        <v>3.9807999999999999</v>
      </c>
      <c r="X141" s="26">
        <v>45475</v>
      </c>
      <c r="Y141" s="27">
        <v>0.11743055555555555</v>
      </c>
      <c r="Z141">
        <v>0</v>
      </c>
      <c r="AA141">
        <v>0</v>
      </c>
      <c r="AB141">
        <v>0</v>
      </c>
      <c r="AC141" s="77"/>
    </row>
    <row r="142" spans="1:29" x14ac:dyDescent="0.25">
      <c r="A142" s="44">
        <v>3</v>
      </c>
      <c r="B142" s="44" t="s">
        <v>7</v>
      </c>
      <c r="C142" s="46">
        <v>12800</v>
      </c>
      <c r="D142" s="46">
        <v>160</v>
      </c>
      <c r="E142" s="46">
        <v>2</v>
      </c>
      <c r="F142" s="46">
        <v>2</v>
      </c>
      <c r="G142" s="47">
        <v>335.1</v>
      </c>
      <c r="H142" s="51">
        <v>4.1729000000000003</v>
      </c>
      <c r="I142" s="17">
        <v>45475</v>
      </c>
      <c r="J142" s="18">
        <v>0.23906250000000001</v>
      </c>
      <c r="K142">
        <v>0</v>
      </c>
      <c r="L142">
        <v>0</v>
      </c>
      <c r="M142">
        <v>0</v>
      </c>
      <c r="N142" s="76"/>
      <c r="P142">
        <v>3</v>
      </c>
      <c r="Q142" t="s">
        <v>7</v>
      </c>
      <c r="R142">
        <v>12800</v>
      </c>
      <c r="S142">
        <v>160</v>
      </c>
      <c r="T142">
        <v>2</v>
      </c>
      <c r="U142">
        <v>2</v>
      </c>
      <c r="V142">
        <v>351.03</v>
      </c>
      <c r="W142" s="21">
        <v>3.9836</v>
      </c>
      <c r="X142" s="26">
        <v>45475</v>
      </c>
      <c r="Y142" s="27">
        <v>0.40120370370370373</v>
      </c>
      <c r="Z142">
        <v>0</v>
      </c>
      <c r="AA142">
        <v>0</v>
      </c>
      <c r="AB142">
        <v>0</v>
      </c>
      <c r="AC142" s="77"/>
    </row>
    <row r="143" spans="1:29" x14ac:dyDescent="0.25">
      <c r="A143" s="44">
        <v>4</v>
      </c>
      <c r="B143" s="44" t="s">
        <v>7</v>
      </c>
      <c r="C143" s="45">
        <v>12800</v>
      </c>
      <c r="D143" s="45">
        <v>160</v>
      </c>
      <c r="E143" s="45">
        <v>2</v>
      </c>
      <c r="F143" s="45">
        <v>2</v>
      </c>
      <c r="G143" s="45">
        <v>335.46</v>
      </c>
      <c r="H143" s="51">
        <v>4.1684000000000001</v>
      </c>
      <c r="I143" s="17">
        <v>45475</v>
      </c>
      <c r="J143" s="18">
        <v>0.47255787037037039</v>
      </c>
      <c r="K143">
        <v>0</v>
      </c>
      <c r="L143">
        <v>0</v>
      </c>
      <c r="M143">
        <v>0</v>
      </c>
      <c r="N143" s="76"/>
      <c r="P143">
        <v>4</v>
      </c>
      <c r="Q143" t="s">
        <v>7</v>
      </c>
      <c r="R143">
        <v>12800</v>
      </c>
      <c r="S143">
        <v>160</v>
      </c>
      <c r="T143">
        <v>2</v>
      </c>
      <c r="U143">
        <v>2</v>
      </c>
      <c r="V143">
        <v>351.44</v>
      </c>
      <c r="W143" s="21">
        <v>3.9788999999999999</v>
      </c>
      <c r="X143" s="26">
        <v>45475</v>
      </c>
      <c r="Y143" s="27">
        <v>0.68486111111111114</v>
      </c>
      <c r="Z143">
        <v>0</v>
      </c>
      <c r="AA143">
        <v>0</v>
      </c>
      <c r="AB143">
        <v>0</v>
      </c>
      <c r="AC143" s="77"/>
    </row>
    <row r="144" spans="1:29" x14ac:dyDescent="0.25">
      <c r="A144" s="42">
        <v>0</v>
      </c>
      <c r="B144" s="42" t="s">
        <v>7</v>
      </c>
      <c r="C144" s="43">
        <v>13600</v>
      </c>
      <c r="D144" s="43">
        <v>160</v>
      </c>
      <c r="E144" s="43">
        <v>2</v>
      </c>
      <c r="F144" s="43">
        <v>2</v>
      </c>
      <c r="G144" s="43">
        <v>401.73</v>
      </c>
      <c r="H144" s="50">
        <v>4.1750999999999996</v>
      </c>
      <c r="I144" s="23">
        <v>45474</v>
      </c>
      <c r="J144" s="24">
        <v>0.61130787037037038</v>
      </c>
      <c r="K144" s="22">
        <v>0</v>
      </c>
      <c r="L144" s="22">
        <v>0</v>
      </c>
      <c r="M144" s="22">
        <v>0</v>
      </c>
      <c r="N144" s="76">
        <f>AVERAGE(H144:H148)</f>
        <v>4.1798599999999997</v>
      </c>
      <c r="P144">
        <v>0</v>
      </c>
      <c r="Q144" t="s">
        <v>7</v>
      </c>
      <c r="R144">
        <v>13600</v>
      </c>
      <c r="S144">
        <v>160</v>
      </c>
      <c r="T144">
        <v>2</v>
      </c>
      <c r="U144">
        <v>2</v>
      </c>
      <c r="V144">
        <v>411.84</v>
      </c>
      <c r="W144" s="21">
        <v>4.0724999999999998</v>
      </c>
      <c r="X144" s="26">
        <v>45474</v>
      </c>
      <c r="Y144" s="27">
        <v>0.63866898148148143</v>
      </c>
      <c r="Z144">
        <v>0</v>
      </c>
      <c r="AA144">
        <v>0</v>
      </c>
      <c r="AB144">
        <v>0</v>
      </c>
      <c r="AC144" s="77">
        <f t="shared" ref="AC144" si="27">AVERAGE(W144:W148)</f>
        <v>4.0819799999999997</v>
      </c>
    </row>
    <row r="145" spans="1:29" x14ac:dyDescent="0.25">
      <c r="A145" s="44">
        <v>1</v>
      </c>
      <c r="B145" s="44" t="s">
        <v>7</v>
      </c>
      <c r="C145" s="46">
        <v>13600</v>
      </c>
      <c r="D145" s="46">
        <v>160</v>
      </c>
      <c r="E145" s="46">
        <v>2</v>
      </c>
      <c r="F145" s="46">
        <v>2</v>
      </c>
      <c r="G145" s="47">
        <v>401.03</v>
      </c>
      <c r="H145" s="51">
        <v>4.1824000000000003</v>
      </c>
      <c r="I145" s="17">
        <v>45474</v>
      </c>
      <c r="J145" s="18">
        <v>0.84498842592592593</v>
      </c>
      <c r="K145">
        <v>0</v>
      </c>
      <c r="L145">
        <v>0</v>
      </c>
      <c r="M145">
        <v>0</v>
      </c>
      <c r="N145" s="76"/>
      <c r="P145">
        <v>1</v>
      </c>
      <c r="Q145" t="s">
        <v>7</v>
      </c>
      <c r="R145">
        <v>13600</v>
      </c>
      <c r="S145">
        <v>160</v>
      </c>
      <c r="T145">
        <v>2</v>
      </c>
      <c r="U145">
        <v>2</v>
      </c>
      <c r="V145">
        <v>410.68</v>
      </c>
      <c r="W145" s="21">
        <v>4.0841000000000003</v>
      </c>
      <c r="X145" s="26">
        <v>45474</v>
      </c>
      <c r="Y145" s="27">
        <v>0.92318287037037039</v>
      </c>
      <c r="Z145">
        <v>0</v>
      </c>
      <c r="AA145">
        <v>0</v>
      </c>
      <c r="AB145">
        <v>0</v>
      </c>
      <c r="AC145" s="77"/>
    </row>
    <row r="146" spans="1:29" x14ac:dyDescent="0.25">
      <c r="A146" s="44">
        <v>2</v>
      </c>
      <c r="B146" s="44" t="s">
        <v>7</v>
      </c>
      <c r="C146" s="45">
        <v>13600</v>
      </c>
      <c r="D146" s="45">
        <v>160</v>
      </c>
      <c r="E146" s="45">
        <v>2</v>
      </c>
      <c r="F146" s="45">
        <v>2</v>
      </c>
      <c r="G146" s="45">
        <v>401.32</v>
      </c>
      <c r="H146" s="51">
        <v>4.1792999999999996</v>
      </c>
      <c r="I146" s="17">
        <v>45475</v>
      </c>
      <c r="J146" s="18">
        <v>7.8657407407407412E-2</v>
      </c>
      <c r="K146">
        <v>0</v>
      </c>
      <c r="L146">
        <v>0</v>
      </c>
      <c r="M146">
        <v>0</v>
      </c>
      <c r="N146" s="76"/>
      <c r="P146">
        <v>2</v>
      </c>
      <c r="Q146" t="s">
        <v>7</v>
      </c>
      <c r="R146">
        <v>13600</v>
      </c>
      <c r="S146">
        <v>160</v>
      </c>
      <c r="T146">
        <v>2</v>
      </c>
      <c r="U146">
        <v>2</v>
      </c>
      <c r="V146">
        <v>411.69</v>
      </c>
      <c r="W146" s="21">
        <v>4.0740999999999996</v>
      </c>
      <c r="X146" s="26">
        <v>45475</v>
      </c>
      <c r="Y146" s="27">
        <v>0.20695601851851853</v>
      </c>
      <c r="Z146">
        <v>0</v>
      </c>
      <c r="AA146">
        <v>0</v>
      </c>
      <c r="AB146">
        <v>0</v>
      </c>
      <c r="AC146" s="77"/>
    </row>
    <row r="147" spans="1:29" x14ac:dyDescent="0.25">
      <c r="A147" s="44">
        <v>3</v>
      </c>
      <c r="B147" s="44" t="s">
        <v>7</v>
      </c>
      <c r="C147" s="46">
        <v>13600</v>
      </c>
      <c r="D147" s="46">
        <v>160</v>
      </c>
      <c r="E147" s="46">
        <v>2</v>
      </c>
      <c r="F147" s="46">
        <v>2</v>
      </c>
      <c r="G147" s="47">
        <v>401.36</v>
      </c>
      <c r="H147" s="51">
        <v>4.1788999999999996</v>
      </c>
      <c r="I147" s="17">
        <v>45475</v>
      </c>
      <c r="J147" s="18">
        <v>0.31223379629629627</v>
      </c>
      <c r="K147">
        <v>0</v>
      </c>
      <c r="L147">
        <v>0</v>
      </c>
      <c r="M147">
        <v>0</v>
      </c>
      <c r="N147" s="76"/>
      <c r="P147">
        <v>3</v>
      </c>
      <c r="Q147" t="s">
        <v>7</v>
      </c>
      <c r="R147">
        <v>13600</v>
      </c>
      <c r="S147">
        <v>160</v>
      </c>
      <c r="T147">
        <v>2</v>
      </c>
      <c r="U147">
        <v>2</v>
      </c>
      <c r="V147">
        <v>409.76</v>
      </c>
      <c r="W147" s="21">
        <v>4.0933000000000002</v>
      </c>
      <c r="X147" s="26">
        <v>45475</v>
      </c>
      <c r="Y147" s="27">
        <v>0.49070601851851853</v>
      </c>
      <c r="Z147">
        <v>0</v>
      </c>
      <c r="AA147">
        <v>0</v>
      </c>
      <c r="AB147">
        <v>0</v>
      </c>
      <c r="AC147" s="77"/>
    </row>
    <row r="148" spans="1:29" x14ac:dyDescent="0.25">
      <c r="A148" s="44">
        <v>4</v>
      </c>
      <c r="B148" s="44" t="s">
        <v>7</v>
      </c>
      <c r="C148" s="46">
        <v>13600</v>
      </c>
      <c r="D148" s="46">
        <v>160</v>
      </c>
      <c r="E148" s="46">
        <v>2</v>
      </c>
      <c r="F148" s="46">
        <v>2</v>
      </c>
      <c r="G148" s="47">
        <v>400.91</v>
      </c>
      <c r="H148" s="51">
        <v>4.1836000000000002</v>
      </c>
      <c r="I148" s="17">
        <v>45475</v>
      </c>
      <c r="J148" s="18">
        <v>0.54567129629629629</v>
      </c>
      <c r="K148">
        <v>0</v>
      </c>
      <c r="L148">
        <v>0</v>
      </c>
      <c r="M148">
        <v>0</v>
      </c>
      <c r="N148" s="76"/>
      <c r="P148">
        <v>4</v>
      </c>
      <c r="Q148" t="s">
        <v>7</v>
      </c>
      <c r="R148">
        <v>13600</v>
      </c>
      <c r="S148">
        <v>160</v>
      </c>
      <c r="T148">
        <v>2</v>
      </c>
      <c r="U148">
        <v>2</v>
      </c>
      <c r="V148">
        <v>410.5</v>
      </c>
      <c r="W148" s="21">
        <v>4.0858999999999996</v>
      </c>
      <c r="X148" s="26">
        <v>45475</v>
      </c>
      <c r="Y148" s="27">
        <v>0.77422453703703709</v>
      </c>
      <c r="Z148">
        <v>0</v>
      </c>
      <c r="AA148">
        <v>0</v>
      </c>
      <c r="AB148">
        <v>0</v>
      </c>
      <c r="AC148" s="77"/>
    </row>
    <row r="149" spans="1:29" x14ac:dyDescent="0.25">
      <c r="A149" s="44">
        <v>0</v>
      </c>
      <c r="B149" s="44" t="s">
        <v>7</v>
      </c>
      <c r="C149" s="45">
        <v>14400</v>
      </c>
      <c r="D149" s="45">
        <v>160</v>
      </c>
      <c r="E149" s="45">
        <v>2</v>
      </c>
      <c r="F149" s="45">
        <v>2</v>
      </c>
      <c r="G149" s="45">
        <v>473.09</v>
      </c>
      <c r="H149" s="51">
        <v>4.2084999999999999</v>
      </c>
      <c r="I149" s="17">
        <v>45474</v>
      </c>
      <c r="J149" s="18">
        <v>0.69695601851851852</v>
      </c>
      <c r="K149">
        <v>0</v>
      </c>
      <c r="L149">
        <v>0</v>
      </c>
      <c r="M149">
        <v>0</v>
      </c>
      <c r="N149" s="76">
        <f>AVERAGE(H149:H153)</f>
        <v>4.2036199999999999</v>
      </c>
      <c r="P149">
        <v>0</v>
      </c>
      <c r="Q149" t="s">
        <v>7</v>
      </c>
      <c r="R149">
        <v>14400</v>
      </c>
      <c r="S149">
        <v>160</v>
      </c>
      <c r="T149">
        <v>2</v>
      </c>
      <c r="U149">
        <v>2</v>
      </c>
      <c r="V149">
        <v>479.95</v>
      </c>
      <c r="W149" s="21">
        <v>4.1482999999999999</v>
      </c>
      <c r="X149" s="26">
        <v>45474</v>
      </c>
      <c r="Y149" s="27">
        <v>0.74204861111111109</v>
      </c>
      <c r="Z149">
        <v>0</v>
      </c>
      <c r="AA149">
        <v>0</v>
      </c>
      <c r="AB149">
        <v>0</v>
      </c>
      <c r="AC149" s="77">
        <f t="shared" ref="AC149" si="28">AVERAGE(W149:W153)</f>
        <v>4.159460000000001</v>
      </c>
    </row>
    <row r="150" spans="1:29" x14ac:dyDescent="0.25">
      <c r="A150" s="44">
        <v>1</v>
      </c>
      <c r="B150" s="44" t="s">
        <v>7</v>
      </c>
      <c r="C150" s="46">
        <v>14400</v>
      </c>
      <c r="D150" s="46">
        <v>160</v>
      </c>
      <c r="E150" s="46">
        <v>2</v>
      </c>
      <c r="F150" s="46">
        <v>2</v>
      </c>
      <c r="G150" s="47">
        <v>473.57</v>
      </c>
      <c r="H150" s="51">
        <v>4.2042000000000002</v>
      </c>
      <c r="I150" s="17">
        <v>45474</v>
      </c>
      <c r="J150" s="18">
        <v>0.9307523148148148</v>
      </c>
      <c r="K150">
        <v>0</v>
      </c>
      <c r="L150">
        <v>0</v>
      </c>
      <c r="M150">
        <v>0</v>
      </c>
      <c r="N150" s="76"/>
      <c r="P150">
        <v>1</v>
      </c>
      <c r="Q150" t="s">
        <v>7</v>
      </c>
      <c r="R150">
        <v>14400</v>
      </c>
      <c r="S150">
        <v>160</v>
      </c>
      <c r="T150">
        <v>2</v>
      </c>
      <c r="U150">
        <v>2</v>
      </c>
      <c r="V150">
        <v>478.27</v>
      </c>
      <c r="W150" s="21">
        <v>4.1627999999999998</v>
      </c>
      <c r="X150" s="26">
        <v>45475</v>
      </c>
      <c r="Y150" s="27">
        <v>2.6284722222222223E-2</v>
      </c>
      <c r="Z150">
        <v>0</v>
      </c>
      <c r="AA150">
        <v>0</v>
      </c>
      <c r="AB150">
        <v>0</v>
      </c>
      <c r="AC150" s="77"/>
    </row>
    <row r="151" spans="1:29" x14ac:dyDescent="0.25">
      <c r="A151" s="44">
        <v>2</v>
      </c>
      <c r="B151" s="44" t="s">
        <v>7</v>
      </c>
      <c r="C151" s="46">
        <v>14400</v>
      </c>
      <c r="D151" s="46">
        <v>160</v>
      </c>
      <c r="E151" s="46">
        <v>2</v>
      </c>
      <c r="F151" s="46">
        <v>2</v>
      </c>
      <c r="G151" s="47">
        <v>473.33</v>
      </c>
      <c r="H151" s="51">
        <v>4.2062999999999997</v>
      </c>
      <c r="I151" s="17">
        <v>45475</v>
      </c>
      <c r="J151" s="18">
        <v>0.16436342592592593</v>
      </c>
      <c r="K151">
        <v>0</v>
      </c>
      <c r="L151">
        <v>0</v>
      </c>
      <c r="M151">
        <v>0</v>
      </c>
      <c r="N151" s="76"/>
      <c r="P151">
        <v>2</v>
      </c>
      <c r="Q151" t="s">
        <v>7</v>
      </c>
      <c r="R151">
        <v>14400</v>
      </c>
      <c r="S151">
        <v>160</v>
      </c>
      <c r="T151">
        <v>2</v>
      </c>
      <c r="U151">
        <v>2</v>
      </c>
      <c r="V151">
        <v>478.3</v>
      </c>
      <c r="W151" s="21">
        <v>4.1626000000000003</v>
      </c>
      <c r="X151" s="26">
        <v>45475</v>
      </c>
      <c r="Y151" s="27">
        <v>0.31004629629629632</v>
      </c>
      <c r="Z151">
        <v>0</v>
      </c>
      <c r="AA151">
        <v>0</v>
      </c>
      <c r="AB151">
        <v>0</v>
      </c>
      <c r="AC151" s="77"/>
    </row>
    <row r="152" spans="1:29" x14ac:dyDescent="0.25">
      <c r="A152" s="42">
        <v>3</v>
      </c>
      <c r="B152" s="42" t="s">
        <v>7</v>
      </c>
      <c r="C152" s="43">
        <v>14400</v>
      </c>
      <c r="D152" s="43">
        <v>160</v>
      </c>
      <c r="E152" s="43">
        <v>2</v>
      </c>
      <c r="F152" s="43">
        <v>2</v>
      </c>
      <c r="G152" s="43">
        <v>474.11</v>
      </c>
      <c r="H152" s="50">
        <v>4.1993999999999998</v>
      </c>
      <c r="I152" s="23">
        <v>45475</v>
      </c>
      <c r="J152" s="24">
        <v>0.39789351851851851</v>
      </c>
      <c r="K152" s="22">
        <v>0</v>
      </c>
      <c r="L152" s="22">
        <v>0</v>
      </c>
      <c r="M152" s="22">
        <v>0</v>
      </c>
      <c r="N152" s="76"/>
      <c r="P152">
        <v>3</v>
      </c>
      <c r="Q152" t="s">
        <v>7</v>
      </c>
      <c r="R152">
        <v>14400</v>
      </c>
      <c r="S152">
        <v>160</v>
      </c>
      <c r="T152">
        <v>2</v>
      </c>
      <c r="U152">
        <v>2</v>
      </c>
      <c r="V152">
        <v>478.66</v>
      </c>
      <c r="W152" s="21">
        <v>4.1595000000000004</v>
      </c>
      <c r="X152" s="26">
        <v>45475</v>
      </c>
      <c r="Y152" s="27">
        <v>0.59361111111111109</v>
      </c>
      <c r="Z152">
        <v>0</v>
      </c>
      <c r="AA152">
        <v>0</v>
      </c>
      <c r="AB152">
        <v>0</v>
      </c>
      <c r="AC152" s="77"/>
    </row>
    <row r="153" spans="1:29" x14ac:dyDescent="0.25">
      <c r="A153" s="44">
        <v>4</v>
      </c>
      <c r="B153" s="44" t="s">
        <v>7</v>
      </c>
      <c r="C153" s="46">
        <v>14400</v>
      </c>
      <c r="D153" s="46">
        <v>160</v>
      </c>
      <c r="E153" s="46">
        <v>2</v>
      </c>
      <c r="F153" s="46">
        <v>2</v>
      </c>
      <c r="G153" s="47">
        <v>474.08</v>
      </c>
      <c r="H153" s="51">
        <v>4.1997</v>
      </c>
      <c r="I153" s="17">
        <v>45475</v>
      </c>
      <c r="J153" s="18">
        <v>0.63131944444444443</v>
      </c>
      <c r="K153">
        <v>0</v>
      </c>
      <c r="L153">
        <v>0</v>
      </c>
      <c r="M153">
        <v>0</v>
      </c>
      <c r="N153" s="76"/>
      <c r="P153">
        <v>4</v>
      </c>
      <c r="Q153" t="s">
        <v>7</v>
      </c>
      <c r="R153">
        <v>14400</v>
      </c>
      <c r="S153">
        <v>160</v>
      </c>
      <c r="T153">
        <v>2</v>
      </c>
      <c r="U153">
        <v>2</v>
      </c>
      <c r="V153">
        <v>478.13</v>
      </c>
      <c r="W153" s="21">
        <v>4.1641000000000004</v>
      </c>
      <c r="X153" s="26">
        <v>45475</v>
      </c>
      <c r="Y153" s="27">
        <v>0.87657407407407406</v>
      </c>
      <c r="Z153">
        <v>0</v>
      </c>
      <c r="AA153">
        <v>0</v>
      </c>
      <c r="AB153">
        <v>0</v>
      </c>
      <c r="AC153" s="77"/>
    </row>
    <row r="154" spans="1:29" x14ac:dyDescent="0.25">
      <c r="A154" s="42">
        <v>0</v>
      </c>
      <c r="B154" s="42" t="s">
        <v>7</v>
      </c>
      <c r="C154" s="43">
        <v>12864</v>
      </c>
      <c r="D154" s="43">
        <v>192</v>
      </c>
      <c r="E154" s="43">
        <v>1</v>
      </c>
      <c r="F154" s="43">
        <v>4</v>
      </c>
      <c r="G154" s="43">
        <v>345.64</v>
      </c>
      <c r="H154" s="50">
        <v>4.1066000000000003</v>
      </c>
      <c r="I154" s="23">
        <v>45474</v>
      </c>
      <c r="J154" s="24">
        <v>0.54207175925925921</v>
      </c>
      <c r="K154" s="22">
        <v>0</v>
      </c>
      <c r="L154" s="22">
        <v>0</v>
      </c>
      <c r="M154" s="22">
        <v>0</v>
      </c>
      <c r="N154" s="76">
        <f>AVERAGE(H154:H158)</f>
        <v>4.1167800000000003</v>
      </c>
      <c r="P154">
        <v>0</v>
      </c>
      <c r="Q154" t="s">
        <v>7</v>
      </c>
      <c r="R154">
        <v>12864</v>
      </c>
      <c r="S154">
        <v>192</v>
      </c>
      <c r="T154">
        <v>1</v>
      </c>
      <c r="U154">
        <v>4</v>
      </c>
      <c r="V154">
        <v>333.03</v>
      </c>
      <c r="W154" s="21">
        <v>4.2621000000000002</v>
      </c>
      <c r="X154" s="26">
        <v>45474</v>
      </c>
      <c r="Y154" s="27">
        <v>0.55365740740740743</v>
      </c>
      <c r="Z154">
        <v>0</v>
      </c>
      <c r="AA154">
        <v>0</v>
      </c>
      <c r="AB154">
        <v>0</v>
      </c>
      <c r="AC154" s="77">
        <f t="shared" ref="AC154" si="29">AVERAGE(W154:W158)</f>
        <v>4.2587799999999998</v>
      </c>
    </row>
    <row r="155" spans="1:29" x14ac:dyDescent="0.25">
      <c r="A155" s="44">
        <v>1</v>
      </c>
      <c r="B155" s="44" t="s">
        <v>7</v>
      </c>
      <c r="C155" s="46">
        <v>12864</v>
      </c>
      <c r="D155" s="46">
        <v>192</v>
      </c>
      <c r="E155" s="46">
        <v>1</v>
      </c>
      <c r="F155" s="46">
        <v>4</v>
      </c>
      <c r="G155" s="47">
        <v>345.3</v>
      </c>
      <c r="H155" s="51">
        <v>4.1106999999999996</v>
      </c>
      <c r="I155" s="17">
        <v>45474</v>
      </c>
      <c r="J155" s="18">
        <v>0.77592592592592591</v>
      </c>
      <c r="K155">
        <v>0</v>
      </c>
      <c r="L155">
        <v>0</v>
      </c>
      <c r="M155">
        <v>0</v>
      </c>
      <c r="N155" s="76"/>
      <c r="P155">
        <v>1</v>
      </c>
      <c r="Q155" t="s">
        <v>7</v>
      </c>
      <c r="R155">
        <v>12864</v>
      </c>
      <c r="S155">
        <v>192</v>
      </c>
      <c r="T155">
        <v>1</v>
      </c>
      <c r="U155">
        <v>4</v>
      </c>
      <c r="V155">
        <v>339.26</v>
      </c>
      <c r="W155" s="21">
        <v>4.1839000000000004</v>
      </c>
      <c r="X155" s="26">
        <v>45474</v>
      </c>
      <c r="Y155" s="27">
        <v>0.83847222222222217</v>
      </c>
      <c r="Z155">
        <v>0</v>
      </c>
      <c r="AA155">
        <v>0</v>
      </c>
      <c r="AB155">
        <v>0</v>
      </c>
      <c r="AC155" s="77"/>
    </row>
    <row r="156" spans="1:29" x14ac:dyDescent="0.25">
      <c r="A156" s="44">
        <v>2</v>
      </c>
      <c r="B156" s="44" t="s">
        <v>7</v>
      </c>
      <c r="C156" s="45">
        <v>12864</v>
      </c>
      <c r="D156" s="45">
        <v>192</v>
      </c>
      <c r="E156" s="45">
        <v>1</v>
      </c>
      <c r="F156" s="45">
        <v>4</v>
      </c>
      <c r="G156" s="45">
        <v>343.91</v>
      </c>
      <c r="H156" s="51">
        <v>4.1273</v>
      </c>
      <c r="I156" s="17">
        <v>45475</v>
      </c>
      <c r="J156" s="18">
        <v>9.6759259259259264E-3</v>
      </c>
      <c r="K156">
        <v>0</v>
      </c>
      <c r="L156">
        <v>0</v>
      </c>
      <c r="M156">
        <v>0</v>
      </c>
      <c r="N156" s="76"/>
      <c r="P156">
        <v>2</v>
      </c>
      <c r="Q156" t="s">
        <v>7</v>
      </c>
      <c r="R156">
        <v>12864</v>
      </c>
      <c r="S156">
        <v>192</v>
      </c>
      <c r="T156">
        <v>1</v>
      </c>
      <c r="U156">
        <v>4</v>
      </c>
      <c r="V156">
        <v>329.53</v>
      </c>
      <c r="W156" s="21">
        <v>4.3075000000000001</v>
      </c>
      <c r="X156" s="26">
        <v>45475</v>
      </c>
      <c r="Y156" s="27">
        <v>0.12224537037037037</v>
      </c>
      <c r="Z156">
        <v>0</v>
      </c>
      <c r="AA156">
        <v>0</v>
      </c>
      <c r="AB156">
        <v>0</v>
      </c>
      <c r="AC156" s="77"/>
    </row>
    <row r="157" spans="1:29" x14ac:dyDescent="0.25">
      <c r="A157" s="44">
        <v>3</v>
      </c>
      <c r="B157" s="44" t="s">
        <v>7</v>
      </c>
      <c r="C157" s="46">
        <v>12864</v>
      </c>
      <c r="D157" s="46">
        <v>192</v>
      </c>
      <c r="E157" s="46">
        <v>1</v>
      </c>
      <c r="F157" s="46">
        <v>4</v>
      </c>
      <c r="G157" s="47">
        <v>344.67</v>
      </c>
      <c r="H157" s="51">
        <v>4.1181999999999999</v>
      </c>
      <c r="I157" s="17">
        <v>45475</v>
      </c>
      <c r="J157" s="18">
        <v>0.24324074074074073</v>
      </c>
      <c r="K157">
        <v>0</v>
      </c>
      <c r="L157">
        <v>0</v>
      </c>
      <c r="M157">
        <v>0</v>
      </c>
      <c r="N157" s="76"/>
      <c r="P157">
        <v>3</v>
      </c>
      <c r="Q157" t="s">
        <v>7</v>
      </c>
      <c r="R157">
        <v>12864</v>
      </c>
      <c r="S157">
        <v>192</v>
      </c>
      <c r="T157">
        <v>1</v>
      </c>
      <c r="U157">
        <v>4</v>
      </c>
      <c r="V157">
        <v>330.9</v>
      </c>
      <c r="W157" s="21">
        <v>4.2896000000000001</v>
      </c>
      <c r="X157" s="26">
        <v>45475</v>
      </c>
      <c r="Y157" s="27">
        <v>0.40604166666666669</v>
      </c>
      <c r="Z157">
        <v>0</v>
      </c>
      <c r="AA157">
        <v>0</v>
      </c>
      <c r="AB157">
        <v>0</v>
      </c>
      <c r="AC157" s="77"/>
    </row>
    <row r="158" spans="1:29" x14ac:dyDescent="0.25">
      <c r="A158" s="44">
        <v>4</v>
      </c>
      <c r="B158" s="44" t="s">
        <v>7</v>
      </c>
      <c r="C158" s="46">
        <v>12864</v>
      </c>
      <c r="D158" s="46">
        <v>192</v>
      </c>
      <c r="E158" s="46">
        <v>1</v>
      </c>
      <c r="F158" s="46">
        <v>4</v>
      </c>
      <c r="G158" s="47">
        <v>344.43</v>
      </c>
      <c r="H158" s="51">
        <v>4.1211000000000002</v>
      </c>
      <c r="I158" s="17">
        <v>45475</v>
      </c>
      <c r="J158" s="18">
        <v>0.47673611111111114</v>
      </c>
      <c r="K158">
        <v>0</v>
      </c>
      <c r="L158">
        <v>0</v>
      </c>
      <c r="M158">
        <v>0</v>
      </c>
      <c r="N158" s="76"/>
      <c r="P158">
        <v>4</v>
      </c>
      <c r="Q158" t="s">
        <v>7</v>
      </c>
      <c r="R158">
        <v>12864</v>
      </c>
      <c r="S158">
        <v>192</v>
      </c>
      <c r="T158">
        <v>1</v>
      </c>
      <c r="U158">
        <v>4</v>
      </c>
      <c r="V158">
        <v>333.92</v>
      </c>
      <c r="W158" s="21">
        <v>4.2507999999999999</v>
      </c>
      <c r="X158" s="26">
        <v>45475</v>
      </c>
      <c r="Y158" s="27">
        <v>0.6897106481481482</v>
      </c>
      <c r="Z158">
        <v>0</v>
      </c>
      <c r="AA158">
        <v>0</v>
      </c>
      <c r="AB158">
        <v>0</v>
      </c>
      <c r="AC158" s="77"/>
    </row>
    <row r="159" spans="1:29" x14ac:dyDescent="0.25">
      <c r="A159" s="44">
        <v>0</v>
      </c>
      <c r="B159" s="44" t="s">
        <v>7</v>
      </c>
      <c r="C159" s="45">
        <v>13632</v>
      </c>
      <c r="D159" s="45">
        <v>192</v>
      </c>
      <c r="E159" s="45">
        <v>1</v>
      </c>
      <c r="F159" s="45">
        <v>4</v>
      </c>
      <c r="G159" s="45">
        <v>413.83</v>
      </c>
      <c r="H159" s="51">
        <v>4.0815999999999999</v>
      </c>
      <c r="I159" s="17">
        <v>45474</v>
      </c>
      <c r="J159" s="18">
        <v>0.61630787037037038</v>
      </c>
      <c r="K159">
        <v>0</v>
      </c>
      <c r="L159">
        <v>0</v>
      </c>
      <c r="M159">
        <v>0</v>
      </c>
      <c r="N159" s="76">
        <f>AVERAGE(H159:H163)</f>
        <v>4.0930200000000001</v>
      </c>
      <c r="P159">
        <v>0</v>
      </c>
      <c r="Q159" t="s">
        <v>7</v>
      </c>
      <c r="R159">
        <v>13632</v>
      </c>
      <c r="S159">
        <v>192</v>
      </c>
      <c r="T159">
        <v>1</v>
      </c>
      <c r="U159">
        <v>4</v>
      </c>
      <c r="V159">
        <v>397.2</v>
      </c>
      <c r="W159" s="21">
        <v>4.2526000000000002</v>
      </c>
      <c r="X159" s="26">
        <v>45474</v>
      </c>
      <c r="Y159" s="27">
        <v>0.64439814814814811</v>
      </c>
      <c r="Z159">
        <v>0</v>
      </c>
      <c r="AA159">
        <v>0</v>
      </c>
      <c r="AB159">
        <v>0</v>
      </c>
      <c r="AC159" s="77">
        <f t="shared" ref="AC159" si="30">AVERAGE(W159:W163)</f>
        <v>4.3285400000000003</v>
      </c>
    </row>
    <row r="160" spans="1:29" x14ac:dyDescent="0.25">
      <c r="A160" s="44">
        <v>1</v>
      </c>
      <c r="B160" s="44" t="s">
        <v>7</v>
      </c>
      <c r="C160" s="46">
        <v>13632</v>
      </c>
      <c r="D160" s="46">
        <v>192</v>
      </c>
      <c r="E160" s="46">
        <v>1</v>
      </c>
      <c r="F160" s="46">
        <v>4</v>
      </c>
      <c r="G160" s="47">
        <v>413.05</v>
      </c>
      <c r="H160" s="51">
        <v>4.0894000000000004</v>
      </c>
      <c r="I160" s="17">
        <v>45474</v>
      </c>
      <c r="J160" s="18">
        <v>0.8499768518518519</v>
      </c>
      <c r="K160">
        <v>0</v>
      </c>
      <c r="L160">
        <v>0</v>
      </c>
      <c r="M160">
        <v>0</v>
      </c>
      <c r="N160" s="76"/>
      <c r="P160">
        <v>1</v>
      </c>
      <c r="Q160" t="s">
        <v>7</v>
      </c>
      <c r="R160">
        <v>13632</v>
      </c>
      <c r="S160">
        <v>192</v>
      </c>
      <c r="T160">
        <v>1</v>
      </c>
      <c r="U160">
        <v>4</v>
      </c>
      <c r="V160">
        <v>391.79</v>
      </c>
      <c r="W160" s="21">
        <v>4.3112000000000004</v>
      </c>
      <c r="X160" s="26">
        <v>45474</v>
      </c>
      <c r="Y160" s="27">
        <v>0.92884259259259261</v>
      </c>
      <c r="Z160">
        <v>0</v>
      </c>
      <c r="AA160">
        <v>0</v>
      </c>
      <c r="AB160">
        <v>0</v>
      </c>
      <c r="AC160" s="77"/>
    </row>
    <row r="161" spans="1:29" x14ac:dyDescent="0.25">
      <c r="A161" s="44">
        <v>2</v>
      </c>
      <c r="B161" s="44" t="s">
        <v>7</v>
      </c>
      <c r="C161" s="46">
        <v>13632</v>
      </c>
      <c r="D161" s="46">
        <v>192</v>
      </c>
      <c r="E161" s="46">
        <v>1</v>
      </c>
      <c r="F161" s="46">
        <v>4</v>
      </c>
      <c r="G161" s="47">
        <v>412.68</v>
      </c>
      <c r="H161" s="51">
        <v>4.093</v>
      </c>
      <c r="I161" s="17">
        <v>45475</v>
      </c>
      <c r="J161" s="18">
        <v>8.3645833333333336E-2</v>
      </c>
      <c r="K161">
        <v>0</v>
      </c>
      <c r="L161">
        <v>0</v>
      </c>
      <c r="M161">
        <v>0</v>
      </c>
      <c r="N161" s="76"/>
      <c r="P161">
        <v>2</v>
      </c>
      <c r="Q161" t="s">
        <v>7</v>
      </c>
      <c r="R161">
        <v>13632</v>
      </c>
      <c r="S161">
        <v>192</v>
      </c>
      <c r="T161">
        <v>1</v>
      </c>
      <c r="U161">
        <v>4</v>
      </c>
      <c r="V161">
        <v>387.23</v>
      </c>
      <c r="W161" s="21">
        <v>4.3620999999999999</v>
      </c>
      <c r="X161" s="26">
        <v>45475</v>
      </c>
      <c r="Y161" s="27">
        <v>0.21255787037037038</v>
      </c>
      <c r="Z161">
        <v>0</v>
      </c>
      <c r="AA161">
        <v>0</v>
      </c>
      <c r="AB161">
        <v>0</v>
      </c>
      <c r="AC161" s="77"/>
    </row>
    <row r="162" spans="1:29" x14ac:dyDescent="0.25">
      <c r="A162" s="42">
        <v>3</v>
      </c>
      <c r="B162" s="42" t="s">
        <v>7</v>
      </c>
      <c r="C162" s="43">
        <v>13632</v>
      </c>
      <c r="D162" s="43">
        <v>192</v>
      </c>
      <c r="E162" s="43">
        <v>1</v>
      </c>
      <c r="F162" s="43">
        <v>4</v>
      </c>
      <c r="G162" s="43">
        <v>411.9</v>
      </c>
      <c r="H162" s="50">
        <v>4.1007999999999996</v>
      </c>
      <c r="I162" s="23">
        <v>45475</v>
      </c>
      <c r="J162" s="24">
        <v>0.31721064814814814</v>
      </c>
      <c r="K162" s="22">
        <v>0</v>
      </c>
      <c r="L162" s="22">
        <v>0</v>
      </c>
      <c r="M162" s="22">
        <v>0</v>
      </c>
      <c r="N162" s="76"/>
      <c r="P162">
        <v>3</v>
      </c>
      <c r="Q162" t="s">
        <v>7</v>
      </c>
      <c r="R162">
        <v>13632</v>
      </c>
      <c r="S162">
        <v>192</v>
      </c>
      <c r="T162">
        <v>1</v>
      </c>
      <c r="U162">
        <v>4</v>
      </c>
      <c r="V162">
        <v>388.24</v>
      </c>
      <c r="W162" s="21">
        <v>4.3506999999999998</v>
      </c>
      <c r="X162" s="26">
        <v>45475</v>
      </c>
      <c r="Y162" s="27">
        <v>0.49631944444444442</v>
      </c>
      <c r="Z162">
        <v>0</v>
      </c>
      <c r="AA162">
        <v>0</v>
      </c>
      <c r="AB162">
        <v>0</v>
      </c>
      <c r="AC162" s="77"/>
    </row>
    <row r="163" spans="1:29" x14ac:dyDescent="0.25">
      <c r="A163" s="44">
        <v>4</v>
      </c>
      <c r="B163" s="44" t="s">
        <v>7</v>
      </c>
      <c r="C163" s="46">
        <v>13632</v>
      </c>
      <c r="D163" s="46">
        <v>192</v>
      </c>
      <c r="E163" s="46">
        <v>1</v>
      </c>
      <c r="F163" s="46">
        <v>4</v>
      </c>
      <c r="G163" s="47">
        <v>411.95</v>
      </c>
      <c r="H163" s="51">
        <v>4.1002999999999998</v>
      </c>
      <c r="I163" s="17">
        <v>45475</v>
      </c>
      <c r="J163" s="18">
        <v>0.55064814814814811</v>
      </c>
      <c r="K163">
        <v>0</v>
      </c>
      <c r="L163">
        <v>0</v>
      </c>
      <c r="M163">
        <v>0</v>
      </c>
      <c r="N163" s="76"/>
      <c r="P163">
        <v>4</v>
      </c>
      <c r="Q163" t="s">
        <v>7</v>
      </c>
      <c r="R163">
        <v>13632</v>
      </c>
      <c r="S163">
        <v>192</v>
      </c>
      <c r="T163">
        <v>1</v>
      </c>
      <c r="U163">
        <v>4</v>
      </c>
      <c r="V163">
        <v>386.87</v>
      </c>
      <c r="W163" s="21">
        <v>4.3661000000000003</v>
      </c>
      <c r="X163" s="26">
        <v>45475</v>
      </c>
      <c r="Y163" s="27">
        <v>0.7798032407407407</v>
      </c>
      <c r="Z163">
        <v>0</v>
      </c>
      <c r="AA163">
        <v>0</v>
      </c>
      <c r="AB163">
        <v>0</v>
      </c>
      <c r="AC163" s="77"/>
    </row>
    <row r="164" spans="1:29" x14ac:dyDescent="0.25">
      <c r="A164" s="44">
        <v>0</v>
      </c>
      <c r="B164" s="44" t="s">
        <v>7</v>
      </c>
      <c r="C164" s="46">
        <v>14400</v>
      </c>
      <c r="D164" s="46">
        <v>192</v>
      </c>
      <c r="E164" s="46">
        <v>1</v>
      </c>
      <c r="F164" s="46">
        <v>4</v>
      </c>
      <c r="G164" s="47">
        <v>478.33</v>
      </c>
      <c r="H164" s="51">
        <v>4.1623000000000001</v>
      </c>
      <c r="I164" s="17">
        <v>45474</v>
      </c>
      <c r="J164" s="18">
        <v>0.70271990740740742</v>
      </c>
      <c r="K164">
        <v>0</v>
      </c>
      <c r="L164">
        <v>0</v>
      </c>
      <c r="M164">
        <v>0</v>
      </c>
      <c r="N164" s="76">
        <f>AVERAGE(H164:H168)</f>
        <v>4.1676799999999998</v>
      </c>
      <c r="P164">
        <v>0</v>
      </c>
      <c r="Q164" t="s">
        <v>7</v>
      </c>
      <c r="R164">
        <v>14400</v>
      </c>
      <c r="S164">
        <v>192</v>
      </c>
      <c r="T164">
        <v>1</v>
      </c>
      <c r="U164">
        <v>4</v>
      </c>
      <c r="V164">
        <v>461.28</v>
      </c>
      <c r="W164" s="21">
        <v>4.3160999999999996</v>
      </c>
      <c r="X164" s="26">
        <v>45474</v>
      </c>
      <c r="Y164" s="27">
        <v>0.7486342592592593</v>
      </c>
      <c r="Z164">
        <v>0</v>
      </c>
      <c r="AA164">
        <v>0</v>
      </c>
      <c r="AB164">
        <v>0</v>
      </c>
      <c r="AC164" s="77">
        <f t="shared" ref="AC164" si="31">AVERAGE(W164:W168)</f>
        <v>4.4016999999999999</v>
      </c>
    </row>
    <row r="165" spans="1:29" x14ac:dyDescent="0.25">
      <c r="A165" s="42">
        <v>1</v>
      </c>
      <c r="B165" s="42" t="s">
        <v>7</v>
      </c>
      <c r="C165" s="43">
        <v>14400</v>
      </c>
      <c r="D165" s="43">
        <v>192</v>
      </c>
      <c r="E165" s="43">
        <v>1</v>
      </c>
      <c r="F165" s="43">
        <v>4</v>
      </c>
      <c r="G165" s="43">
        <v>477.92</v>
      </c>
      <c r="H165" s="50">
        <v>4.1658999999999997</v>
      </c>
      <c r="I165" s="23">
        <v>45474</v>
      </c>
      <c r="J165" s="24">
        <v>0.93652777777777774</v>
      </c>
      <c r="K165" s="22">
        <v>0</v>
      </c>
      <c r="L165" s="22">
        <v>0</v>
      </c>
      <c r="M165" s="22">
        <v>0</v>
      </c>
      <c r="N165" s="76"/>
      <c r="P165">
        <v>1</v>
      </c>
      <c r="Q165" t="s">
        <v>7</v>
      </c>
      <c r="R165">
        <v>14400</v>
      </c>
      <c r="S165">
        <v>192</v>
      </c>
      <c r="T165">
        <v>1</v>
      </c>
      <c r="U165">
        <v>4</v>
      </c>
      <c r="V165">
        <v>451.32</v>
      </c>
      <c r="W165" s="21">
        <v>4.4114000000000004</v>
      </c>
      <c r="X165" s="26">
        <v>45475</v>
      </c>
      <c r="Y165" s="27">
        <v>3.2766203703703707E-2</v>
      </c>
      <c r="Z165">
        <v>0</v>
      </c>
      <c r="AA165">
        <v>0</v>
      </c>
      <c r="AB165">
        <v>0</v>
      </c>
      <c r="AC165" s="77"/>
    </row>
    <row r="166" spans="1:29" x14ac:dyDescent="0.25">
      <c r="A166" s="44">
        <v>2</v>
      </c>
      <c r="B166" s="44" t="s">
        <v>7</v>
      </c>
      <c r="C166" s="46">
        <v>14400</v>
      </c>
      <c r="D166" s="46">
        <v>192</v>
      </c>
      <c r="E166" s="46">
        <v>1</v>
      </c>
      <c r="F166" s="46">
        <v>4</v>
      </c>
      <c r="G166" s="47">
        <v>477.81</v>
      </c>
      <c r="H166" s="51">
        <v>4.1668000000000003</v>
      </c>
      <c r="I166" s="17">
        <v>45475</v>
      </c>
      <c r="J166" s="18">
        <v>0.17012731481481483</v>
      </c>
      <c r="K166">
        <v>0</v>
      </c>
      <c r="L166">
        <v>0</v>
      </c>
      <c r="M166">
        <v>0</v>
      </c>
      <c r="N166" s="76"/>
      <c r="P166">
        <v>2</v>
      </c>
      <c r="Q166" t="s">
        <v>7</v>
      </c>
      <c r="R166">
        <v>14400</v>
      </c>
      <c r="S166">
        <v>192</v>
      </c>
      <c r="T166">
        <v>1</v>
      </c>
      <c r="U166">
        <v>4</v>
      </c>
      <c r="V166">
        <v>447.77</v>
      </c>
      <c r="W166" s="21">
        <v>4.4463999999999997</v>
      </c>
      <c r="X166" s="26">
        <v>45475</v>
      </c>
      <c r="Y166" s="27">
        <v>0.31648148148148147</v>
      </c>
      <c r="Z166">
        <v>0</v>
      </c>
      <c r="AA166">
        <v>0</v>
      </c>
      <c r="AB166">
        <v>0</v>
      </c>
      <c r="AC166" s="77"/>
    </row>
    <row r="167" spans="1:29" x14ac:dyDescent="0.25">
      <c r="A167" s="44">
        <v>3</v>
      </c>
      <c r="B167" s="44" t="s">
        <v>7</v>
      </c>
      <c r="C167" s="45">
        <v>14400</v>
      </c>
      <c r="D167" s="45">
        <v>192</v>
      </c>
      <c r="E167" s="45">
        <v>1</v>
      </c>
      <c r="F167" s="45">
        <v>4</v>
      </c>
      <c r="G167" s="45">
        <v>477.63</v>
      </c>
      <c r="H167" s="51">
        <v>4.1684000000000001</v>
      </c>
      <c r="I167" s="17">
        <v>45475</v>
      </c>
      <c r="J167" s="18">
        <v>0.40364583333333331</v>
      </c>
      <c r="K167">
        <v>0</v>
      </c>
      <c r="L167">
        <v>0</v>
      </c>
      <c r="M167">
        <v>0</v>
      </c>
      <c r="N167" s="76"/>
      <c r="P167">
        <v>3</v>
      </c>
      <c r="Q167" t="s">
        <v>7</v>
      </c>
      <c r="R167">
        <v>14400</v>
      </c>
      <c r="S167">
        <v>192</v>
      </c>
      <c r="T167">
        <v>1</v>
      </c>
      <c r="U167">
        <v>4</v>
      </c>
      <c r="V167">
        <v>452.89</v>
      </c>
      <c r="W167" s="21">
        <v>4.3960999999999997</v>
      </c>
      <c r="X167" s="26">
        <v>45475</v>
      </c>
      <c r="Y167" s="27">
        <v>0.60009259259259262</v>
      </c>
      <c r="Z167">
        <v>0</v>
      </c>
      <c r="AA167">
        <v>0</v>
      </c>
      <c r="AB167">
        <v>0</v>
      </c>
      <c r="AC167" s="77"/>
    </row>
    <row r="168" spans="1:29" x14ac:dyDescent="0.25">
      <c r="A168" s="44">
        <v>4</v>
      </c>
      <c r="B168" s="44" t="s">
        <v>7</v>
      </c>
      <c r="C168" s="46">
        <v>14400</v>
      </c>
      <c r="D168" s="46">
        <v>192</v>
      </c>
      <c r="E168" s="46">
        <v>1</v>
      </c>
      <c r="F168" s="46">
        <v>4</v>
      </c>
      <c r="G168" s="47">
        <v>476.88</v>
      </c>
      <c r="H168" s="51">
        <v>4.1749999999999998</v>
      </c>
      <c r="I168" s="17">
        <v>45475</v>
      </c>
      <c r="J168" s="18">
        <v>0.63708333333333333</v>
      </c>
      <c r="K168">
        <v>0</v>
      </c>
      <c r="L168">
        <v>0</v>
      </c>
      <c r="M168">
        <v>0</v>
      </c>
      <c r="N168" s="76"/>
      <c r="P168">
        <v>4</v>
      </c>
      <c r="Q168" t="s">
        <v>7</v>
      </c>
      <c r="R168">
        <v>14400</v>
      </c>
      <c r="S168">
        <v>192</v>
      </c>
      <c r="T168">
        <v>1</v>
      </c>
      <c r="U168">
        <v>4</v>
      </c>
      <c r="V168">
        <v>448.57</v>
      </c>
      <c r="W168" s="21">
        <v>4.4385000000000003</v>
      </c>
      <c r="X168" s="26">
        <v>45475</v>
      </c>
      <c r="Y168" s="27">
        <v>0.88297453703703699</v>
      </c>
      <c r="Z168">
        <v>0</v>
      </c>
      <c r="AA168">
        <v>0</v>
      </c>
      <c r="AB168">
        <v>0</v>
      </c>
      <c r="AC168" s="77"/>
    </row>
    <row r="169" spans="1:29" x14ac:dyDescent="0.25">
      <c r="A169" s="44">
        <v>0</v>
      </c>
      <c r="B169" s="44" t="s">
        <v>7</v>
      </c>
      <c r="C169" s="45">
        <v>12864</v>
      </c>
      <c r="D169" s="45">
        <v>192</v>
      </c>
      <c r="E169" s="45">
        <v>2</v>
      </c>
      <c r="F169" s="45">
        <v>2</v>
      </c>
      <c r="G169" s="45">
        <v>330.27</v>
      </c>
      <c r="H169" s="51">
        <v>4.2977999999999996</v>
      </c>
      <c r="I169" s="17">
        <v>45474</v>
      </c>
      <c r="J169" s="18">
        <v>0.54607638888888888</v>
      </c>
      <c r="K169">
        <v>0</v>
      </c>
      <c r="L169">
        <v>0</v>
      </c>
      <c r="M169">
        <v>0</v>
      </c>
      <c r="N169" s="76">
        <f>AVERAGE(H169:H173)</f>
        <v>4.2934600000000005</v>
      </c>
      <c r="P169">
        <v>0</v>
      </c>
      <c r="Q169" t="s">
        <v>7</v>
      </c>
      <c r="R169">
        <v>12864</v>
      </c>
      <c r="S169">
        <v>192</v>
      </c>
      <c r="T169">
        <v>2</v>
      </c>
      <c r="U169">
        <v>2</v>
      </c>
      <c r="V169">
        <v>357.32</v>
      </c>
      <c r="W169" s="21">
        <v>3.9723999999999999</v>
      </c>
      <c r="X169" s="26">
        <v>45474</v>
      </c>
      <c r="Y169" s="27">
        <v>0.55880787037037039</v>
      </c>
      <c r="Z169">
        <v>0</v>
      </c>
      <c r="AA169">
        <v>0</v>
      </c>
      <c r="AB169">
        <v>0</v>
      </c>
      <c r="AC169" s="77">
        <f t="shared" ref="AC169" si="32">AVERAGE(W169:W173)</f>
        <v>3.9741399999999998</v>
      </c>
    </row>
    <row r="170" spans="1:29" x14ac:dyDescent="0.25">
      <c r="A170" s="44">
        <v>1</v>
      </c>
      <c r="B170" s="44" t="s">
        <v>7</v>
      </c>
      <c r="C170" s="46">
        <v>12864</v>
      </c>
      <c r="D170" s="46">
        <v>192</v>
      </c>
      <c r="E170" s="46">
        <v>2</v>
      </c>
      <c r="F170" s="46">
        <v>2</v>
      </c>
      <c r="G170" s="47">
        <v>330.49</v>
      </c>
      <c r="H170" s="51">
        <v>4.2949000000000002</v>
      </c>
      <c r="I170" s="17">
        <v>45474</v>
      </c>
      <c r="J170" s="18">
        <v>0.77993055555555557</v>
      </c>
      <c r="K170">
        <v>0</v>
      </c>
      <c r="L170">
        <v>0</v>
      </c>
      <c r="M170">
        <v>0</v>
      </c>
      <c r="N170" s="76"/>
      <c r="P170">
        <v>1</v>
      </c>
      <c r="Q170" t="s">
        <v>7</v>
      </c>
      <c r="R170">
        <v>12864</v>
      </c>
      <c r="S170">
        <v>192</v>
      </c>
      <c r="T170">
        <v>2</v>
      </c>
      <c r="U170">
        <v>2</v>
      </c>
      <c r="V170">
        <v>355.47</v>
      </c>
      <c r="W170" s="21">
        <v>3.9931000000000001</v>
      </c>
      <c r="X170" s="26">
        <v>45474</v>
      </c>
      <c r="Y170" s="27">
        <v>0.84359953703703705</v>
      </c>
      <c r="Z170">
        <v>0</v>
      </c>
      <c r="AA170">
        <v>0</v>
      </c>
      <c r="AB170">
        <v>0</v>
      </c>
      <c r="AC170" s="77"/>
    </row>
    <row r="171" spans="1:29" x14ac:dyDescent="0.25">
      <c r="A171" s="44">
        <v>2</v>
      </c>
      <c r="B171" s="44" t="s">
        <v>7</v>
      </c>
      <c r="C171" s="46">
        <v>12864</v>
      </c>
      <c r="D171" s="46">
        <v>192</v>
      </c>
      <c r="E171" s="46">
        <v>2</v>
      </c>
      <c r="F171" s="46">
        <v>2</v>
      </c>
      <c r="G171" s="47">
        <v>331.29</v>
      </c>
      <c r="H171" s="51">
        <v>4.2845000000000004</v>
      </c>
      <c r="I171" s="17">
        <v>45475</v>
      </c>
      <c r="J171" s="18">
        <v>1.369212962962963E-2</v>
      </c>
      <c r="K171">
        <v>0</v>
      </c>
      <c r="L171">
        <v>0</v>
      </c>
      <c r="M171">
        <v>0</v>
      </c>
      <c r="N171" s="76"/>
      <c r="P171">
        <v>2</v>
      </c>
      <c r="Q171" t="s">
        <v>7</v>
      </c>
      <c r="R171">
        <v>12864</v>
      </c>
      <c r="S171">
        <v>192</v>
      </c>
      <c r="T171">
        <v>2</v>
      </c>
      <c r="U171">
        <v>2</v>
      </c>
      <c r="V171">
        <v>354.76</v>
      </c>
      <c r="W171" s="21">
        <v>4.0010000000000003</v>
      </c>
      <c r="X171" s="26">
        <v>45475</v>
      </c>
      <c r="Y171" s="27">
        <v>0.12736111111111112</v>
      </c>
      <c r="Z171">
        <v>0</v>
      </c>
      <c r="AA171">
        <v>0</v>
      </c>
      <c r="AB171">
        <v>0</v>
      </c>
      <c r="AC171" s="77"/>
    </row>
    <row r="172" spans="1:29" x14ac:dyDescent="0.25">
      <c r="A172" s="42">
        <v>3</v>
      </c>
      <c r="B172" s="42" t="s">
        <v>7</v>
      </c>
      <c r="C172" s="43">
        <v>12864</v>
      </c>
      <c r="D172" s="43">
        <v>192</v>
      </c>
      <c r="E172" s="43">
        <v>2</v>
      </c>
      <c r="F172" s="43">
        <v>2</v>
      </c>
      <c r="G172" s="43">
        <v>329.88</v>
      </c>
      <c r="H172" s="50">
        <v>4.3029000000000002</v>
      </c>
      <c r="I172" s="23">
        <v>45475</v>
      </c>
      <c r="J172" s="24">
        <v>0.2472337962962963</v>
      </c>
      <c r="K172" s="22">
        <v>0</v>
      </c>
      <c r="L172" s="22">
        <v>0</v>
      </c>
      <c r="M172" s="22">
        <v>0</v>
      </c>
      <c r="N172" s="76"/>
      <c r="P172">
        <v>3</v>
      </c>
      <c r="Q172" t="s">
        <v>7</v>
      </c>
      <c r="R172">
        <v>12864</v>
      </c>
      <c r="S172">
        <v>192</v>
      </c>
      <c r="T172">
        <v>2</v>
      </c>
      <c r="U172">
        <v>2</v>
      </c>
      <c r="V172">
        <v>358.14</v>
      </c>
      <c r="W172" s="21">
        <v>3.9632999999999998</v>
      </c>
      <c r="X172" s="26">
        <v>45475</v>
      </c>
      <c r="Y172" s="27">
        <v>0.41120370370370368</v>
      </c>
      <c r="Z172">
        <v>0</v>
      </c>
      <c r="AA172">
        <v>0</v>
      </c>
      <c r="AB172">
        <v>0</v>
      </c>
      <c r="AC172" s="77"/>
    </row>
    <row r="173" spans="1:29" x14ac:dyDescent="0.25">
      <c r="A173" s="44">
        <v>4</v>
      </c>
      <c r="B173" s="44" t="s">
        <v>7</v>
      </c>
      <c r="C173" s="46">
        <v>12864</v>
      </c>
      <c r="D173" s="46">
        <v>192</v>
      </c>
      <c r="E173" s="46">
        <v>2</v>
      </c>
      <c r="F173" s="46">
        <v>2</v>
      </c>
      <c r="G173" s="47">
        <v>331.09</v>
      </c>
      <c r="H173" s="51">
        <v>4.2872000000000003</v>
      </c>
      <c r="I173" s="17">
        <v>45475</v>
      </c>
      <c r="J173" s="18">
        <v>0.48075231481481484</v>
      </c>
      <c r="K173">
        <v>0</v>
      </c>
      <c r="L173">
        <v>0</v>
      </c>
      <c r="M173">
        <v>0</v>
      </c>
      <c r="N173" s="76"/>
      <c r="P173">
        <v>4</v>
      </c>
      <c r="Q173" t="s">
        <v>7</v>
      </c>
      <c r="R173">
        <v>12864</v>
      </c>
      <c r="S173">
        <v>192</v>
      </c>
      <c r="T173">
        <v>2</v>
      </c>
      <c r="U173">
        <v>2</v>
      </c>
      <c r="V173">
        <v>360.18</v>
      </c>
      <c r="W173" s="21">
        <v>3.9409000000000001</v>
      </c>
      <c r="X173" s="26">
        <v>45475</v>
      </c>
      <c r="Y173" s="27">
        <v>0.69486111111111115</v>
      </c>
      <c r="Z173">
        <v>0</v>
      </c>
      <c r="AA173">
        <v>0</v>
      </c>
      <c r="AB173">
        <v>0</v>
      </c>
      <c r="AC173" s="77"/>
    </row>
    <row r="174" spans="1:29" x14ac:dyDescent="0.25">
      <c r="A174" s="44">
        <v>0</v>
      </c>
      <c r="B174" s="44" t="s">
        <v>7</v>
      </c>
      <c r="C174" s="46">
        <v>13632</v>
      </c>
      <c r="D174" s="46">
        <v>192</v>
      </c>
      <c r="E174" s="46">
        <v>2</v>
      </c>
      <c r="F174" s="46">
        <v>2</v>
      </c>
      <c r="G174" s="47">
        <v>392.86</v>
      </c>
      <c r="H174" s="51">
        <v>4.2995000000000001</v>
      </c>
      <c r="I174" s="17">
        <v>45474</v>
      </c>
      <c r="J174" s="18">
        <v>0.62105324074074075</v>
      </c>
      <c r="K174">
        <v>0</v>
      </c>
      <c r="L174">
        <v>0</v>
      </c>
      <c r="M174">
        <v>0</v>
      </c>
      <c r="N174" s="76">
        <f>AVERAGE(H174:H178)</f>
        <v>4.298</v>
      </c>
      <c r="P174">
        <v>0</v>
      </c>
      <c r="Q174" t="s">
        <v>7</v>
      </c>
      <c r="R174">
        <v>13632</v>
      </c>
      <c r="S174">
        <v>192</v>
      </c>
      <c r="T174">
        <v>2</v>
      </c>
      <c r="U174">
        <v>2</v>
      </c>
      <c r="V174">
        <v>414.97</v>
      </c>
      <c r="W174" s="21">
        <v>4.0704000000000002</v>
      </c>
      <c r="X174" s="26">
        <v>45474</v>
      </c>
      <c r="Y174" s="27">
        <v>0.65033564814814815</v>
      </c>
      <c r="Z174">
        <v>0</v>
      </c>
      <c r="AA174">
        <v>0</v>
      </c>
      <c r="AB174">
        <v>0</v>
      </c>
      <c r="AC174" s="77">
        <f t="shared" ref="AC174" si="33">AVERAGE(W174:W178)</f>
        <v>4.07064</v>
      </c>
    </row>
    <row r="175" spans="1:29" x14ac:dyDescent="0.25">
      <c r="A175" s="42">
        <v>1</v>
      </c>
      <c r="B175" s="42" t="s">
        <v>7</v>
      </c>
      <c r="C175" s="43">
        <v>13632</v>
      </c>
      <c r="D175" s="43">
        <v>192</v>
      </c>
      <c r="E175" s="43">
        <v>2</v>
      </c>
      <c r="F175" s="43">
        <v>2</v>
      </c>
      <c r="G175" s="43">
        <v>393.46</v>
      </c>
      <c r="H175" s="50">
        <v>4.2930000000000001</v>
      </c>
      <c r="I175" s="23">
        <v>45474</v>
      </c>
      <c r="J175" s="24">
        <v>0.85473379629629631</v>
      </c>
      <c r="K175" s="22">
        <v>0</v>
      </c>
      <c r="L175" s="22">
        <v>0</v>
      </c>
      <c r="M175" s="22">
        <v>0</v>
      </c>
      <c r="N175" s="76"/>
      <c r="P175">
        <v>1</v>
      </c>
      <c r="Q175" t="s">
        <v>7</v>
      </c>
      <c r="R175">
        <v>13632</v>
      </c>
      <c r="S175">
        <v>192</v>
      </c>
      <c r="T175">
        <v>2</v>
      </c>
      <c r="U175">
        <v>2</v>
      </c>
      <c r="V175">
        <v>414.74</v>
      </c>
      <c r="W175" s="21">
        <v>4.0727000000000002</v>
      </c>
      <c r="X175" s="26">
        <v>45474</v>
      </c>
      <c r="Y175" s="27">
        <v>0.93478009259259254</v>
      </c>
      <c r="Z175">
        <v>0</v>
      </c>
      <c r="AA175">
        <v>0</v>
      </c>
      <c r="AB175">
        <v>0</v>
      </c>
      <c r="AC175" s="77"/>
    </row>
    <row r="176" spans="1:29" x14ac:dyDescent="0.25">
      <c r="A176" s="44">
        <v>2</v>
      </c>
      <c r="B176" s="44" t="s">
        <v>7</v>
      </c>
      <c r="C176" s="46">
        <v>13632</v>
      </c>
      <c r="D176" s="46">
        <v>192</v>
      </c>
      <c r="E176" s="46">
        <v>2</v>
      </c>
      <c r="F176" s="46">
        <v>2</v>
      </c>
      <c r="G176" s="47">
        <v>392.93</v>
      </c>
      <c r="H176" s="51">
        <v>4.2988</v>
      </c>
      <c r="I176" s="17">
        <v>45475</v>
      </c>
      <c r="J176" s="18">
        <v>8.8402777777777775E-2</v>
      </c>
      <c r="K176">
        <v>0</v>
      </c>
      <c r="L176">
        <v>0</v>
      </c>
      <c r="M176">
        <v>0</v>
      </c>
      <c r="N176" s="76"/>
      <c r="P176">
        <v>2</v>
      </c>
      <c r="Q176" t="s">
        <v>7</v>
      </c>
      <c r="R176">
        <v>13632</v>
      </c>
      <c r="S176">
        <v>192</v>
      </c>
      <c r="T176">
        <v>2</v>
      </c>
      <c r="U176">
        <v>2</v>
      </c>
      <c r="V176">
        <v>415.14</v>
      </c>
      <c r="W176" s="21">
        <v>4.0688000000000004</v>
      </c>
      <c r="X176" s="26">
        <v>45475</v>
      </c>
      <c r="Y176" s="27">
        <v>0.2184837962962963</v>
      </c>
      <c r="Z176">
        <v>0</v>
      </c>
      <c r="AA176">
        <v>0</v>
      </c>
      <c r="AB176">
        <v>0</v>
      </c>
      <c r="AC176" s="77"/>
    </row>
    <row r="177" spans="1:29" x14ac:dyDescent="0.25">
      <c r="A177" s="44">
        <v>3</v>
      </c>
      <c r="B177" s="44" t="s">
        <v>7</v>
      </c>
      <c r="C177" s="45">
        <v>13632</v>
      </c>
      <c r="D177" s="45">
        <v>192</v>
      </c>
      <c r="E177" s="45">
        <v>2</v>
      </c>
      <c r="F177" s="45">
        <v>2</v>
      </c>
      <c r="G177" s="45">
        <v>392.57</v>
      </c>
      <c r="H177" s="51">
        <v>4.3026999999999997</v>
      </c>
      <c r="I177" s="17">
        <v>45475</v>
      </c>
      <c r="J177" s="18">
        <v>0.32195601851851852</v>
      </c>
      <c r="K177">
        <v>0</v>
      </c>
      <c r="L177">
        <v>0</v>
      </c>
      <c r="M177">
        <v>0</v>
      </c>
      <c r="N177" s="76"/>
      <c r="P177">
        <v>3</v>
      </c>
      <c r="Q177" t="s">
        <v>7</v>
      </c>
      <c r="R177">
        <v>13632</v>
      </c>
      <c r="S177">
        <v>192</v>
      </c>
      <c r="T177">
        <v>2</v>
      </c>
      <c r="U177">
        <v>2</v>
      </c>
      <c r="V177">
        <v>414.04</v>
      </c>
      <c r="W177" s="21">
        <v>4.0795000000000003</v>
      </c>
      <c r="X177" s="26">
        <v>45475</v>
      </c>
      <c r="Y177" s="27">
        <v>0.50222222222222224</v>
      </c>
      <c r="Z177">
        <v>0</v>
      </c>
      <c r="AA177">
        <v>0</v>
      </c>
      <c r="AB177">
        <v>0</v>
      </c>
      <c r="AC177" s="77"/>
    </row>
    <row r="178" spans="1:29" x14ac:dyDescent="0.25">
      <c r="A178" s="44">
        <v>4</v>
      </c>
      <c r="B178" s="44" t="s">
        <v>7</v>
      </c>
      <c r="C178" s="46">
        <v>13632</v>
      </c>
      <c r="D178" s="46">
        <v>192</v>
      </c>
      <c r="E178" s="46">
        <v>2</v>
      </c>
      <c r="F178" s="46">
        <v>2</v>
      </c>
      <c r="G178" s="47">
        <v>393.19</v>
      </c>
      <c r="H178" s="51">
        <v>4.2960000000000003</v>
      </c>
      <c r="I178" s="17">
        <v>45475</v>
      </c>
      <c r="J178" s="18">
        <v>0.55539351851851848</v>
      </c>
      <c r="K178">
        <v>0</v>
      </c>
      <c r="L178">
        <v>0</v>
      </c>
      <c r="M178">
        <v>0</v>
      </c>
      <c r="N178" s="76"/>
      <c r="P178">
        <v>4</v>
      </c>
      <c r="Q178" t="s">
        <v>7</v>
      </c>
      <c r="R178">
        <v>13632</v>
      </c>
      <c r="S178">
        <v>192</v>
      </c>
      <c r="T178">
        <v>2</v>
      </c>
      <c r="U178">
        <v>2</v>
      </c>
      <c r="V178">
        <v>415.85</v>
      </c>
      <c r="W178" s="21">
        <v>4.0617999999999999</v>
      </c>
      <c r="X178" s="26">
        <v>45475</v>
      </c>
      <c r="Y178" s="27">
        <v>0.7857291666666667</v>
      </c>
      <c r="Z178">
        <v>0</v>
      </c>
      <c r="AA178">
        <v>0</v>
      </c>
      <c r="AB178">
        <v>0</v>
      </c>
      <c r="AC178" s="77"/>
    </row>
    <row r="179" spans="1:29" x14ac:dyDescent="0.25">
      <c r="A179" s="44">
        <v>0</v>
      </c>
      <c r="B179" s="44" t="s">
        <v>7</v>
      </c>
      <c r="C179" s="46">
        <v>14400</v>
      </c>
      <c r="D179" s="46">
        <v>192</v>
      </c>
      <c r="E179" s="46">
        <v>2</v>
      </c>
      <c r="F179" s="46">
        <v>2</v>
      </c>
      <c r="G179" s="47">
        <v>459.31</v>
      </c>
      <c r="H179" s="51">
        <v>4.3346999999999998</v>
      </c>
      <c r="I179" s="17">
        <v>45474</v>
      </c>
      <c r="J179" s="18">
        <v>0.70826388888888892</v>
      </c>
      <c r="K179">
        <v>0</v>
      </c>
      <c r="L179">
        <v>0</v>
      </c>
      <c r="M179">
        <v>0</v>
      </c>
      <c r="N179" s="76">
        <f>AVERAGE(H179:H183)</f>
        <v>4.3334600000000005</v>
      </c>
      <c r="P179">
        <v>0</v>
      </c>
      <c r="Q179" t="s">
        <v>7</v>
      </c>
      <c r="R179">
        <v>14400</v>
      </c>
      <c r="S179">
        <v>192</v>
      </c>
      <c r="T179">
        <v>2</v>
      </c>
      <c r="U179">
        <v>2</v>
      </c>
      <c r="V179">
        <v>482.13</v>
      </c>
      <c r="W179" s="21">
        <v>4.1295000000000002</v>
      </c>
      <c r="X179" s="26">
        <v>45474</v>
      </c>
      <c r="Y179" s="27">
        <v>0.755462962962963</v>
      </c>
      <c r="Z179">
        <v>0</v>
      </c>
      <c r="AA179">
        <v>0</v>
      </c>
      <c r="AB179">
        <v>0</v>
      </c>
      <c r="AC179" s="77">
        <f t="shared" ref="AC179" si="34">AVERAGE(W179:W183)</f>
        <v>4.1398799999999998</v>
      </c>
    </row>
    <row r="180" spans="1:29" x14ac:dyDescent="0.25">
      <c r="A180" s="44">
        <v>1</v>
      </c>
      <c r="B180" s="44" t="s">
        <v>7</v>
      </c>
      <c r="C180" s="45">
        <v>14400</v>
      </c>
      <c r="D180" s="45">
        <v>192</v>
      </c>
      <c r="E180" s="45">
        <v>2</v>
      </c>
      <c r="F180" s="45">
        <v>2</v>
      </c>
      <c r="G180" s="45">
        <v>459.34</v>
      </c>
      <c r="H180" s="51">
        <v>4.3343999999999996</v>
      </c>
      <c r="I180" s="17">
        <v>45474</v>
      </c>
      <c r="J180" s="18">
        <v>0.94206018518518519</v>
      </c>
      <c r="K180">
        <v>0</v>
      </c>
      <c r="L180">
        <v>0</v>
      </c>
      <c r="M180">
        <v>0</v>
      </c>
      <c r="N180" s="76"/>
      <c r="P180">
        <v>1</v>
      </c>
      <c r="Q180" t="s">
        <v>7</v>
      </c>
      <c r="R180">
        <v>14400</v>
      </c>
      <c r="S180">
        <v>192</v>
      </c>
      <c r="T180">
        <v>2</v>
      </c>
      <c r="U180">
        <v>2</v>
      </c>
      <c r="V180">
        <v>479.78</v>
      </c>
      <c r="W180" s="21">
        <v>4.1497000000000002</v>
      </c>
      <c r="X180" s="26">
        <v>45475</v>
      </c>
      <c r="Y180" s="27">
        <v>3.9571759259259258E-2</v>
      </c>
      <c r="Z180">
        <v>0</v>
      </c>
      <c r="AA180">
        <v>0</v>
      </c>
      <c r="AB180">
        <v>0</v>
      </c>
      <c r="AC180" s="77"/>
    </row>
    <row r="181" spans="1:29" x14ac:dyDescent="0.25">
      <c r="A181" s="44">
        <v>2</v>
      </c>
      <c r="B181" s="44" t="s">
        <v>7</v>
      </c>
      <c r="C181" s="46">
        <v>14400</v>
      </c>
      <c r="D181" s="46">
        <v>192</v>
      </c>
      <c r="E181" s="46">
        <v>2</v>
      </c>
      <c r="F181" s="46">
        <v>2</v>
      </c>
      <c r="G181" s="47">
        <v>459.52</v>
      </c>
      <c r="H181" s="51">
        <v>4.3327</v>
      </c>
      <c r="I181" s="17">
        <v>45475</v>
      </c>
      <c r="J181" s="18">
        <v>0.1756712962962963</v>
      </c>
      <c r="K181">
        <v>0</v>
      </c>
      <c r="L181">
        <v>0</v>
      </c>
      <c r="M181">
        <v>0</v>
      </c>
      <c r="N181" s="76"/>
      <c r="P181">
        <v>2</v>
      </c>
      <c r="Q181" t="s">
        <v>7</v>
      </c>
      <c r="R181">
        <v>14400</v>
      </c>
      <c r="S181">
        <v>192</v>
      </c>
      <c r="T181">
        <v>2</v>
      </c>
      <c r="U181">
        <v>2</v>
      </c>
      <c r="V181">
        <v>480.89</v>
      </c>
      <c r="W181" s="21">
        <v>4.1402000000000001</v>
      </c>
      <c r="X181" s="26">
        <v>45475</v>
      </c>
      <c r="Y181" s="27">
        <v>0.32329861111111113</v>
      </c>
      <c r="Z181">
        <v>0</v>
      </c>
      <c r="AA181">
        <v>0</v>
      </c>
      <c r="AB181">
        <v>0</v>
      </c>
      <c r="AC181" s="77"/>
    </row>
    <row r="182" spans="1:29" x14ac:dyDescent="0.25">
      <c r="A182" s="44">
        <v>3</v>
      </c>
      <c r="B182" s="44" t="s">
        <v>7</v>
      </c>
      <c r="C182" s="46">
        <v>14400</v>
      </c>
      <c r="D182" s="46">
        <v>192</v>
      </c>
      <c r="E182" s="46">
        <v>2</v>
      </c>
      <c r="F182" s="46">
        <v>2</v>
      </c>
      <c r="G182" s="47">
        <v>459.27</v>
      </c>
      <c r="H182" s="51">
        <v>4.3350999999999997</v>
      </c>
      <c r="I182" s="17">
        <v>45475</v>
      </c>
      <c r="J182" s="18">
        <v>0.40918981481481481</v>
      </c>
      <c r="K182">
        <v>0</v>
      </c>
      <c r="L182">
        <v>0</v>
      </c>
      <c r="M182">
        <v>0</v>
      </c>
      <c r="N182" s="76"/>
      <c r="P182">
        <v>3</v>
      </c>
      <c r="Q182" t="s">
        <v>7</v>
      </c>
      <c r="R182">
        <v>14400</v>
      </c>
      <c r="S182">
        <v>192</v>
      </c>
      <c r="T182">
        <v>2</v>
      </c>
      <c r="U182">
        <v>2</v>
      </c>
      <c r="V182">
        <v>480.85</v>
      </c>
      <c r="W182" s="21">
        <v>4.1405000000000003</v>
      </c>
      <c r="X182" s="26">
        <v>45475</v>
      </c>
      <c r="Y182" s="27">
        <v>0.60692129629629632</v>
      </c>
      <c r="Z182">
        <v>0</v>
      </c>
      <c r="AA182">
        <v>0</v>
      </c>
      <c r="AB182">
        <v>0</v>
      </c>
      <c r="AC182" s="77"/>
    </row>
    <row r="183" spans="1:29" x14ac:dyDescent="0.25">
      <c r="A183" s="42">
        <v>4</v>
      </c>
      <c r="B183" s="42" t="s">
        <v>7</v>
      </c>
      <c r="C183" s="43">
        <v>14400</v>
      </c>
      <c r="D183" s="43">
        <v>192</v>
      </c>
      <c r="E183" s="43">
        <v>2</v>
      </c>
      <c r="F183" s="43">
        <v>2</v>
      </c>
      <c r="G183" s="43">
        <v>459.77</v>
      </c>
      <c r="H183" s="50">
        <v>4.3304</v>
      </c>
      <c r="I183" s="23">
        <v>45475</v>
      </c>
      <c r="J183" s="24">
        <v>0.64262731481481483</v>
      </c>
      <c r="K183" s="22">
        <v>0</v>
      </c>
      <c r="L183" s="22">
        <v>0</v>
      </c>
      <c r="M183" s="22">
        <v>0</v>
      </c>
      <c r="N183" s="76"/>
      <c r="P183">
        <v>4</v>
      </c>
      <c r="Q183" t="s">
        <v>7</v>
      </c>
      <c r="R183">
        <v>14400</v>
      </c>
      <c r="S183">
        <v>192</v>
      </c>
      <c r="T183">
        <v>2</v>
      </c>
      <c r="U183">
        <v>2</v>
      </c>
      <c r="V183">
        <v>480.97</v>
      </c>
      <c r="W183" s="21">
        <v>4.1395</v>
      </c>
      <c r="X183" s="26">
        <v>45475</v>
      </c>
      <c r="Y183" s="27">
        <v>0.88976851851851857</v>
      </c>
      <c r="Z183">
        <v>0</v>
      </c>
      <c r="AA183">
        <v>0</v>
      </c>
      <c r="AB183">
        <v>0</v>
      </c>
      <c r="AC183" s="77"/>
    </row>
    <row r="184" spans="1:29" x14ac:dyDescent="0.25">
      <c r="A184" s="44">
        <v>0</v>
      </c>
      <c r="B184" s="44" t="s">
        <v>7</v>
      </c>
      <c r="C184" s="46">
        <v>12768</v>
      </c>
      <c r="D184" s="46">
        <v>224</v>
      </c>
      <c r="E184" s="46">
        <v>1</v>
      </c>
      <c r="F184" s="46">
        <v>4</v>
      </c>
      <c r="G184" s="47">
        <v>339.61</v>
      </c>
      <c r="H184" s="51">
        <v>4.0867000000000004</v>
      </c>
      <c r="I184" s="17">
        <v>45474</v>
      </c>
      <c r="J184" s="18">
        <v>0.55019675925925926</v>
      </c>
      <c r="K184">
        <v>0</v>
      </c>
      <c r="L184">
        <v>0</v>
      </c>
      <c r="M184">
        <v>0</v>
      </c>
      <c r="N184" s="76">
        <f>AVERAGE(H184:H188)</f>
        <v>4.09856</v>
      </c>
      <c r="P184">
        <v>0</v>
      </c>
      <c r="Q184" t="s">
        <v>7</v>
      </c>
      <c r="R184">
        <v>12768</v>
      </c>
      <c r="S184">
        <v>224</v>
      </c>
      <c r="T184">
        <v>1</v>
      </c>
      <c r="U184">
        <v>4</v>
      </c>
      <c r="V184">
        <v>328.45</v>
      </c>
      <c r="W184" s="21">
        <v>4.2255000000000003</v>
      </c>
      <c r="X184" s="26">
        <v>45474</v>
      </c>
      <c r="Y184" s="27">
        <v>0.56363425925925925</v>
      </c>
      <c r="Z184">
        <v>0</v>
      </c>
      <c r="AA184">
        <v>0</v>
      </c>
      <c r="AB184">
        <v>0</v>
      </c>
      <c r="AC184" s="77">
        <f t="shared" ref="AC184" si="35">AVERAGE(W184:W188)</f>
        <v>4.2297400000000005</v>
      </c>
    </row>
    <row r="185" spans="1:29" x14ac:dyDescent="0.25">
      <c r="A185" s="42">
        <v>1</v>
      </c>
      <c r="B185" s="42" t="s">
        <v>7</v>
      </c>
      <c r="C185" s="43">
        <v>12768</v>
      </c>
      <c r="D185" s="43">
        <v>224</v>
      </c>
      <c r="E185" s="43">
        <v>1</v>
      </c>
      <c r="F185" s="43">
        <v>4</v>
      </c>
      <c r="G185" s="43">
        <v>339.02</v>
      </c>
      <c r="H185" s="50">
        <v>4.0937999999999999</v>
      </c>
      <c r="I185" s="23">
        <v>45474</v>
      </c>
      <c r="J185" s="24">
        <v>0.78405092592592596</v>
      </c>
      <c r="K185" s="22">
        <v>0</v>
      </c>
      <c r="L185" s="22">
        <v>0</v>
      </c>
      <c r="M185" s="22">
        <v>0</v>
      </c>
      <c r="N185" s="76"/>
      <c r="P185">
        <v>1</v>
      </c>
      <c r="Q185" t="s">
        <v>7</v>
      </c>
      <c r="R185">
        <v>12768</v>
      </c>
      <c r="S185">
        <v>224</v>
      </c>
      <c r="T185">
        <v>1</v>
      </c>
      <c r="U185">
        <v>4</v>
      </c>
      <c r="V185">
        <v>325.89</v>
      </c>
      <c r="W185" s="21">
        <v>4.2587999999999999</v>
      </c>
      <c r="X185" s="26">
        <v>45474</v>
      </c>
      <c r="Y185" s="27">
        <v>0.84839120370370369</v>
      </c>
      <c r="Z185">
        <v>0</v>
      </c>
      <c r="AA185">
        <v>0</v>
      </c>
      <c r="AB185">
        <v>0</v>
      </c>
      <c r="AC185" s="77"/>
    </row>
    <row r="186" spans="1:29" x14ac:dyDescent="0.25">
      <c r="A186" s="44">
        <v>2</v>
      </c>
      <c r="B186" s="44" t="s">
        <v>7</v>
      </c>
      <c r="C186" s="46">
        <v>12768</v>
      </c>
      <c r="D186" s="46">
        <v>224</v>
      </c>
      <c r="E186" s="46">
        <v>1</v>
      </c>
      <c r="F186" s="46">
        <v>4</v>
      </c>
      <c r="G186" s="47">
        <v>337.58</v>
      </c>
      <c r="H186" s="51">
        <v>4.1113</v>
      </c>
      <c r="I186" s="17">
        <v>45475</v>
      </c>
      <c r="J186" s="18">
        <v>1.7789351851851851E-2</v>
      </c>
      <c r="K186">
        <v>0</v>
      </c>
      <c r="L186">
        <v>0</v>
      </c>
      <c r="M186">
        <v>0</v>
      </c>
      <c r="N186" s="76"/>
      <c r="P186">
        <v>2</v>
      </c>
      <c r="Q186" t="s">
        <v>7</v>
      </c>
      <c r="R186">
        <v>12768</v>
      </c>
      <c r="S186">
        <v>224</v>
      </c>
      <c r="T186">
        <v>1</v>
      </c>
      <c r="U186">
        <v>4</v>
      </c>
      <c r="V186">
        <v>327.39</v>
      </c>
      <c r="W186" s="21">
        <v>4.2392000000000003</v>
      </c>
      <c r="X186" s="26">
        <v>45475</v>
      </c>
      <c r="Y186" s="27">
        <v>0.13218750000000001</v>
      </c>
      <c r="Z186">
        <v>0</v>
      </c>
      <c r="AA186">
        <v>0</v>
      </c>
      <c r="AB186">
        <v>0</v>
      </c>
      <c r="AC186" s="77"/>
    </row>
    <row r="187" spans="1:29" x14ac:dyDescent="0.25">
      <c r="A187" s="44">
        <v>3</v>
      </c>
      <c r="B187" s="44" t="s">
        <v>7</v>
      </c>
      <c r="C187" s="45">
        <v>12768</v>
      </c>
      <c r="D187" s="45">
        <v>224</v>
      </c>
      <c r="E187" s="45">
        <v>1</v>
      </c>
      <c r="F187" s="45">
        <v>4</v>
      </c>
      <c r="G187" s="45">
        <v>338.65</v>
      </c>
      <c r="H187" s="51">
        <v>4.0983000000000001</v>
      </c>
      <c r="I187" s="17">
        <v>45475</v>
      </c>
      <c r="J187" s="18">
        <v>0.25134259259259262</v>
      </c>
      <c r="K187">
        <v>0</v>
      </c>
      <c r="L187">
        <v>0</v>
      </c>
      <c r="M187">
        <v>0</v>
      </c>
      <c r="N187" s="76"/>
      <c r="P187">
        <v>3</v>
      </c>
      <c r="Q187" t="s">
        <v>7</v>
      </c>
      <c r="R187">
        <v>12768</v>
      </c>
      <c r="S187">
        <v>224</v>
      </c>
      <c r="T187">
        <v>1</v>
      </c>
      <c r="U187">
        <v>4</v>
      </c>
      <c r="V187">
        <v>326.38</v>
      </c>
      <c r="W187" s="21">
        <v>4.2523999999999997</v>
      </c>
      <c r="X187" s="26">
        <v>45475</v>
      </c>
      <c r="Y187" s="27">
        <v>0.41600694444444447</v>
      </c>
      <c r="Z187">
        <v>0</v>
      </c>
      <c r="AA187">
        <v>0</v>
      </c>
      <c r="AB187">
        <v>0</v>
      </c>
      <c r="AC187" s="77"/>
    </row>
    <row r="188" spans="1:29" x14ac:dyDescent="0.25">
      <c r="A188" s="44">
        <v>4</v>
      </c>
      <c r="B188" s="44" t="s">
        <v>7</v>
      </c>
      <c r="C188" s="46">
        <v>12768</v>
      </c>
      <c r="D188" s="46">
        <v>224</v>
      </c>
      <c r="E188" s="46">
        <v>1</v>
      </c>
      <c r="F188" s="46">
        <v>4</v>
      </c>
      <c r="G188" s="47">
        <v>338.29</v>
      </c>
      <c r="H188" s="51">
        <v>4.1026999999999996</v>
      </c>
      <c r="I188" s="17">
        <v>45475</v>
      </c>
      <c r="J188" s="18">
        <v>0.48486111111111113</v>
      </c>
      <c r="K188">
        <v>0</v>
      </c>
      <c r="L188">
        <v>0</v>
      </c>
      <c r="M188">
        <v>0</v>
      </c>
      <c r="N188" s="76"/>
      <c r="P188">
        <v>4</v>
      </c>
      <c r="Q188" t="s">
        <v>7</v>
      </c>
      <c r="R188">
        <v>12768</v>
      </c>
      <c r="S188">
        <v>224</v>
      </c>
      <c r="T188">
        <v>1</v>
      </c>
      <c r="U188">
        <v>4</v>
      </c>
      <c r="V188">
        <v>332.6</v>
      </c>
      <c r="W188" s="21">
        <v>4.1727999999999996</v>
      </c>
      <c r="X188" s="26">
        <v>45475</v>
      </c>
      <c r="Y188" s="27">
        <v>0.6997106481481481</v>
      </c>
      <c r="Z188">
        <v>0</v>
      </c>
      <c r="AA188">
        <v>0</v>
      </c>
      <c r="AB188">
        <v>0</v>
      </c>
      <c r="AC188" s="77"/>
    </row>
    <row r="189" spans="1:29" x14ac:dyDescent="0.25">
      <c r="A189" s="44">
        <v>0</v>
      </c>
      <c r="B189" s="44" t="s">
        <v>7</v>
      </c>
      <c r="C189" s="46">
        <v>13440</v>
      </c>
      <c r="D189" s="46">
        <v>224</v>
      </c>
      <c r="E189" s="46">
        <v>1</v>
      </c>
      <c r="F189" s="46">
        <v>4</v>
      </c>
      <c r="G189" s="47">
        <v>396.05</v>
      </c>
      <c r="H189" s="51">
        <v>4.0872999999999999</v>
      </c>
      <c r="I189" s="17">
        <v>45474</v>
      </c>
      <c r="J189" s="18">
        <v>0.62584490740740739</v>
      </c>
      <c r="K189">
        <v>0</v>
      </c>
      <c r="L189">
        <v>0</v>
      </c>
      <c r="M189">
        <v>0</v>
      </c>
      <c r="N189" s="76">
        <f>AVERAGE(H189:H193)</f>
        <v>4.0970199999999997</v>
      </c>
      <c r="P189">
        <v>0</v>
      </c>
      <c r="Q189" t="s">
        <v>7</v>
      </c>
      <c r="R189">
        <v>13440</v>
      </c>
      <c r="S189">
        <v>224</v>
      </c>
      <c r="T189">
        <v>1</v>
      </c>
      <c r="U189">
        <v>4</v>
      </c>
      <c r="V189">
        <v>376.6</v>
      </c>
      <c r="W189" s="21">
        <v>4.2984</v>
      </c>
      <c r="X189" s="26">
        <v>45474</v>
      </c>
      <c r="Y189" s="27">
        <v>0.65576388888888892</v>
      </c>
      <c r="Z189">
        <v>0</v>
      </c>
      <c r="AA189">
        <v>0</v>
      </c>
      <c r="AB189">
        <v>0</v>
      </c>
      <c r="AC189" s="77">
        <f t="shared" ref="AC189" si="36">AVERAGE(W189:W193)</f>
        <v>4.3135400000000006</v>
      </c>
    </row>
    <row r="190" spans="1:29" x14ac:dyDescent="0.25">
      <c r="A190" s="44">
        <v>1</v>
      </c>
      <c r="B190" s="44" t="s">
        <v>7</v>
      </c>
      <c r="C190" s="45">
        <v>13440</v>
      </c>
      <c r="D190" s="45">
        <v>224</v>
      </c>
      <c r="E190" s="45">
        <v>1</v>
      </c>
      <c r="F190" s="45">
        <v>4</v>
      </c>
      <c r="G190" s="45">
        <v>395.23</v>
      </c>
      <c r="H190" s="51">
        <v>4.0956999999999999</v>
      </c>
      <c r="I190" s="17">
        <v>45474</v>
      </c>
      <c r="J190" s="18">
        <v>0.85951388888888891</v>
      </c>
      <c r="K190">
        <v>0</v>
      </c>
      <c r="L190">
        <v>0</v>
      </c>
      <c r="M190">
        <v>0</v>
      </c>
      <c r="N190" s="76"/>
      <c r="P190">
        <v>1</v>
      </c>
      <c r="Q190" t="s">
        <v>7</v>
      </c>
      <c r="R190">
        <v>13440</v>
      </c>
      <c r="S190">
        <v>224</v>
      </c>
      <c r="T190">
        <v>1</v>
      </c>
      <c r="U190">
        <v>4</v>
      </c>
      <c r="V190">
        <v>374.58</v>
      </c>
      <c r="W190" s="21">
        <v>4.3215000000000003</v>
      </c>
      <c r="X190" s="26">
        <v>45474</v>
      </c>
      <c r="Y190" s="27">
        <v>0.94019675925925927</v>
      </c>
      <c r="Z190">
        <v>0</v>
      </c>
      <c r="AA190">
        <v>0</v>
      </c>
      <c r="AB190">
        <v>0</v>
      </c>
      <c r="AC190" s="77"/>
    </row>
    <row r="191" spans="1:29" x14ac:dyDescent="0.25">
      <c r="A191" s="44">
        <v>2</v>
      </c>
      <c r="B191" s="44" t="s">
        <v>7</v>
      </c>
      <c r="C191" s="46">
        <v>13440</v>
      </c>
      <c r="D191" s="46">
        <v>224</v>
      </c>
      <c r="E191" s="46">
        <v>1</v>
      </c>
      <c r="F191" s="46">
        <v>4</v>
      </c>
      <c r="G191" s="47">
        <v>395.12</v>
      </c>
      <c r="H191" s="51">
        <v>4.0968999999999998</v>
      </c>
      <c r="I191" s="17">
        <v>45475</v>
      </c>
      <c r="J191" s="18">
        <v>9.3171296296296294E-2</v>
      </c>
      <c r="K191">
        <v>0</v>
      </c>
      <c r="L191">
        <v>0</v>
      </c>
      <c r="M191">
        <v>0</v>
      </c>
      <c r="N191" s="76"/>
      <c r="P191">
        <v>2</v>
      </c>
      <c r="Q191" t="s">
        <v>7</v>
      </c>
      <c r="R191">
        <v>13440</v>
      </c>
      <c r="S191">
        <v>224</v>
      </c>
      <c r="T191">
        <v>1</v>
      </c>
      <c r="U191">
        <v>4</v>
      </c>
      <c r="V191">
        <v>375.28</v>
      </c>
      <c r="W191" s="21">
        <v>4.3135000000000003</v>
      </c>
      <c r="X191" s="26">
        <v>45475</v>
      </c>
      <c r="Y191" s="27">
        <v>0.22390046296296295</v>
      </c>
      <c r="Z191">
        <v>0</v>
      </c>
      <c r="AA191">
        <v>0</v>
      </c>
      <c r="AB191">
        <v>0</v>
      </c>
      <c r="AC191" s="77"/>
    </row>
    <row r="192" spans="1:29" x14ac:dyDescent="0.25">
      <c r="A192" s="44">
        <v>3</v>
      </c>
      <c r="B192" s="44" t="s">
        <v>7</v>
      </c>
      <c r="C192" s="46">
        <v>13440</v>
      </c>
      <c r="D192" s="46">
        <v>224</v>
      </c>
      <c r="E192" s="46">
        <v>1</v>
      </c>
      <c r="F192" s="46">
        <v>4</v>
      </c>
      <c r="G192" s="47">
        <v>394.98</v>
      </c>
      <c r="H192" s="51">
        <v>4.0983000000000001</v>
      </c>
      <c r="I192" s="17">
        <v>45475</v>
      </c>
      <c r="J192" s="18">
        <v>0.32672453703703702</v>
      </c>
      <c r="K192">
        <v>0</v>
      </c>
      <c r="L192">
        <v>0</v>
      </c>
      <c r="M192">
        <v>0</v>
      </c>
      <c r="N192" s="76"/>
      <c r="P192">
        <v>3</v>
      </c>
      <c r="Q192" t="s">
        <v>7</v>
      </c>
      <c r="R192">
        <v>13440</v>
      </c>
      <c r="S192">
        <v>224</v>
      </c>
      <c r="T192">
        <v>1</v>
      </c>
      <c r="U192">
        <v>4</v>
      </c>
      <c r="V192">
        <v>375.4</v>
      </c>
      <c r="W192" s="21">
        <v>4.3121</v>
      </c>
      <c r="X192" s="26">
        <v>45475</v>
      </c>
      <c r="Y192" s="27">
        <v>0.50762731481481482</v>
      </c>
      <c r="Z192">
        <v>0</v>
      </c>
      <c r="AA192">
        <v>0</v>
      </c>
      <c r="AB192">
        <v>0</v>
      </c>
      <c r="AC192" s="77"/>
    </row>
    <row r="193" spans="1:29" x14ac:dyDescent="0.25">
      <c r="A193" s="42">
        <v>4</v>
      </c>
      <c r="B193" s="42" t="s">
        <v>7</v>
      </c>
      <c r="C193" s="43">
        <v>13440</v>
      </c>
      <c r="D193" s="43">
        <v>224</v>
      </c>
      <c r="E193" s="43">
        <v>1</v>
      </c>
      <c r="F193" s="43">
        <v>4</v>
      </c>
      <c r="G193" s="43">
        <v>394.16</v>
      </c>
      <c r="H193" s="50">
        <v>4.1069000000000004</v>
      </c>
      <c r="I193" s="23">
        <v>45475</v>
      </c>
      <c r="J193" s="24">
        <v>0.56016203703703704</v>
      </c>
      <c r="K193" s="22">
        <v>0</v>
      </c>
      <c r="L193" s="22">
        <v>0</v>
      </c>
      <c r="M193" s="22">
        <v>0</v>
      </c>
      <c r="N193" s="76"/>
      <c r="P193">
        <v>4</v>
      </c>
      <c r="Q193" t="s">
        <v>7</v>
      </c>
      <c r="R193">
        <v>13440</v>
      </c>
      <c r="S193">
        <v>224</v>
      </c>
      <c r="T193">
        <v>1</v>
      </c>
      <c r="U193">
        <v>4</v>
      </c>
      <c r="V193">
        <v>374.52</v>
      </c>
      <c r="W193" s="21">
        <v>4.3221999999999996</v>
      </c>
      <c r="X193" s="26">
        <v>45475</v>
      </c>
      <c r="Y193" s="27">
        <v>0.7911111111111111</v>
      </c>
      <c r="Z193">
        <v>0</v>
      </c>
      <c r="AA193">
        <v>0</v>
      </c>
      <c r="AB193">
        <v>0</v>
      </c>
      <c r="AC193" s="77"/>
    </row>
    <row r="194" spans="1:29" x14ac:dyDescent="0.25">
      <c r="A194" s="44">
        <v>0</v>
      </c>
      <c r="B194" s="44" t="s">
        <v>7</v>
      </c>
      <c r="C194" s="46">
        <v>14336</v>
      </c>
      <c r="D194" s="46">
        <v>224</v>
      </c>
      <c r="E194" s="46">
        <v>1</v>
      </c>
      <c r="F194" s="46">
        <v>4</v>
      </c>
      <c r="G194" s="47">
        <v>478.14</v>
      </c>
      <c r="H194" s="51">
        <v>4.1086999999999998</v>
      </c>
      <c r="I194" s="17">
        <v>45474</v>
      </c>
      <c r="J194" s="18">
        <v>0.71402777777777782</v>
      </c>
      <c r="K194">
        <v>0</v>
      </c>
      <c r="L194">
        <v>0</v>
      </c>
      <c r="M194">
        <v>0</v>
      </c>
      <c r="N194" s="76">
        <f>AVERAGE(H194:H198)</f>
        <v>4.1102599999999994</v>
      </c>
      <c r="P194">
        <v>0</v>
      </c>
      <c r="Q194" t="s">
        <v>7</v>
      </c>
      <c r="R194">
        <v>14336</v>
      </c>
      <c r="S194">
        <v>224</v>
      </c>
      <c r="T194">
        <v>1</v>
      </c>
      <c r="U194">
        <v>4</v>
      </c>
      <c r="V194">
        <v>450.04</v>
      </c>
      <c r="W194" s="21">
        <v>4.3653000000000004</v>
      </c>
      <c r="X194" s="26">
        <v>45474</v>
      </c>
      <c r="Y194" s="27">
        <v>0.76189814814814816</v>
      </c>
      <c r="Z194">
        <v>0</v>
      </c>
      <c r="AA194">
        <v>0</v>
      </c>
      <c r="AB194">
        <v>0</v>
      </c>
      <c r="AC194" s="77">
        <f t="shared" ref="AC194" si="37">AVERAGE(W194:W198)</f>
        <v>4.3789999999999996</v>
      </c>
    </row>
    <row r="195" spans="1:29" x14ac:dyDescent="0.25">
      <c r="A195" s="44">
        <v>1</v>
      </c>
      <c r="B195" s="44" t="s">
        <v>7</v>
      </c>
      <c r="C195" s="46">
        <v>14336</v>
      </c>
      <c r="D195" s="46">
        <v>224</v>
      </c>
      <c r="E195" s="46">
        <v>1</v>
      </c>
      <c r="F195" s="46">
        <v>4</v>
      </c>
      <c r="G195" s="47">
        <v>477.7</v>
      </c>
      <c r="H195" s="51">
        <v>4.1124999999999998</v>
      </c>
      <c r="I195" s="17">
        <v>45474</v>
      </c>
      <c r="J195" s="18">
        <v>0.9478240740740741</v>
      </c>
      <c r="K195">
        <v>0</v>
      </c>
      <c r="L195">
        <v>0</v>
      </c>
      <c r="M195">
        <v>0</v>
      </c>
      <c r="N195" s="76"/>
      <c r="P195">
        <v>1</v>
      </c>
      <c r="Q195" t="s">
        <v>7</v>
      </c>
      <c r="R195">
        <v>14336</v>
      </c>
      <c r="S195">
        <v>224</v>
      </c>
      <c r="T195">
        <v>1</v>
      </c>
      <c r="U195">
        <v>4</v>
      </c>
      <c r="V195">
        <v>446.46</v>
      </c>
      <c r="W195" s="21">
        <v>4.4001999999999999</v>
      </c>
      <c r="X195" s="26">
        <v>45475</v>
      </c>
      <c r="Y195" s="27">
        <v>4.5949074074074073E-2</v>
      </c>
      <c r="Z195">
        <v>0</v>
      </c>
      <c r="AA195">
        <v>0</v>
      </c>
      <c r="AB195">
        <v>0</v>
      </c>
      <c r="AC195" s="77"/>
    </row>
    <row r="196" spans="1:29" x14ac:dyDescent="0.25">
      <c r="A196" s="42">
        <v>2</v>
      </c>
      <c r="B196" s="42" t="s">
        <v>7</v>
      </c>
      <c r="C196" s="43">
        <v>14336</v>
      </c>
      <c r="D196" s="43">
        <v>224</v>
      </c>
      <c r="E196" s="43">
        <v>1</v>
      </c>
      <c r="F196" s="43">
        <v>4</v>
      </c>
      <c r="G196" s="43">
        <v>478.24</v>
      </c>
      <c r="H196" s="50">
        <v>4.1078999999999999</v>
      </c>
      <c r="I196" s="23">
        <v>45475</v>
      </c>
      <c r="J196" s="24">
        <v>0.18143518518518517</v>
      </c>
      <c r="K196" s="22">
        <v>0</v>
      </c>
      <c r="L196" s="22">
        <v>0</v>
      </c>
      <c r="M196" s="22">
        <v>0</v>
      </c>
      <c r="N196" s="76"/>
      <c r="P196">
        <v>2</v>
      </c>
      <c r="Q196" t="s">
        <v>7</v>
      </c>
      <c r="R196">
        <v>14336</v>
      </c>
      <c r="S196">
        <v>224</v>
      </c>
      <c r="T196">
        <v>1</v>
      </c>
      <c r="U196">
        <v>4</v>
      </c>
      <c r="V196">
        <v>448.87</v>
      </c>
      <c r="W196" s="21">
        <v>4.3765999999999998</v>
      </c>
      <c r="X196" s="26">
        <v>45475</v>
      </c>
      <c r="Y196" s="27">
        <v>0.32971064814814816</v>
      </c>
      <c r="Z196">
        <v>0</v>
      </c>
      <c r="AA196">
        <v>0</v>
      </c>
      <c r="AB196">
        <v>0</v>
      </c>
      <c r="AC196" s="77"/>
    </row>
    <row r="197" spans="1:29" x14ac:dyDescent="0.25">
      <c r="A197" s="44">
        <v>3</v>
      </c>
      <c r="B197" s="44" t="s">
        <v>7</v>
      </c>
      <c r="C197" s="46">
        <v>14336</v>
      </c>
      <c r="D197" s="46">
        <v>224</v>
      </c>
      <c r="E197" s="46">
        <v>1</v>
      </c>
      <c r="F197" s="46">
        <v>4</v>
      </c>
      <c r="G197" s="47">
        <v>477.46</v>
      </c>
      <c r="H197" s="51">
        <v>4.1146000000000003</v>
      </c>
      <c r="I197" s="17">
        <v>45475</v>
      </c>
      <c r="J197" s="18">
        <v>0.41494212962962962</v>
      </c>
      <c r="K197">
        <v>0</v>
      </c>
      <c r="L197">
        <v>0</v>
      </c>
      <c r="M197">
        <v>0</v>
      </c>
      <c r="N197" s="76"/>
      <c r="P197">
        <v>3</v>
      </c>
      <c r="Q197" t="s">
        <v>7</v>
      </c>
      <c r="R197">
        <v>14336</v>
      </c>
      <c r="S197">
        <v>224</v>
      </c>
      <c r="T197">
        <v>1</v>
      </c>
      <c r="U197">
        <v>4</v>
      </c>
      <c r="V197">
        <v>449.64</v>
      </c>
      <c r="W197" s="21">
        <v>4.3691000000000004</v>
      </c>
      <c r="X197" s="26">
        <v>45475</v>
      </c>
      <c r="Y197" s="27">
        <v>0.61333333333333329</v>
      </c>
      <c r="Z197">
        <v>0</v>
      </c>
      <c r="AA197">
        <v>0</v>
      </c>
      <c r="AB197">
        <v>0</v>
      </c>
      <c r="AC197" s="77"/>
    </row>
    <row r="198" spans="1:29" x14ac:dyDescent="0.25">
      <c r="A198" s="44">
        <v>4</v>
      </c>
      <c r="B198" s="44" t="s">
        <v>7</v>
      </c>
      <c r="C198" s="46">
        <v>14336</v>
      </c>
      <c r="D198" s="46">
        <v>224</v>
      </c>
      <c r="E198" s="46">
        <v>1</v>
      </c>
      <c r="F198" s="46">
        <v>4</v>
      </c>
      <c r="G198" s="47">
        <v>478.27</v>
      </c>
      <c r="H198" s="51">
        <v>4.1075999999999997</v>
      </c>
      <c r="I198" s="17">
        <v>45475</v>
      </c>
      <c r="J198" s="18">
        <v>0.64839120370370373</v>
      </c>
      <c r="K198">
        <v>0</v>
      </c>
      <c r="L198">
        <v>0</v>
      </c>
      <c r="M198">
        <v>0</v>
      </c>
      <c r="N198" s="76"/>
      <c r="P198">
        <v>4</v>
      </c>
      <c r="Q198" t="s">
        <v>7</v>
      </c>
      <c r="R198">
        <v>14336</v>
      </c>
      <c r="S198">
        <v>224</v>
      </c>
      <c r="T198">
        <v>1</v>
      </c>
      <c r="U198">
        <v>4</v>
      </c>
      <c r="V198">
        <v>448.13</v>
      </c>
      <c r="W198" s="21">
        <v>4.3837999999999999</v>
      </c>
      <c r="X198" s="26">
        <v>45475</v>
      </c>
      <c r="Y198" s="27">
        <v>0.89614583333333331</v>
      </c>
      <c r="Z198">
        <v>0</v>
      </c>
      <c r="AA198">
        <v>0</v>
      </c>
      <c r="AB198">
        <v>0</v>
      </c>
      <c r="AC198" s="77"/>
    </row>
    <row r="199" spans="1:29" x14ac:dyDescent="0.25">
      <c r="A199" s="44">
        <v>0</v>
      </c>
      <c r="B199" s="44" t="s">
        <v>7</v>
      </c>
      <c r="C199" s="46">
        <v>12768</v>
      </c>
      <c r="D199" s="46">
        <v>224</v>
      </c>
      <c r="E199" s="46">
        <v>2</v>
      </c>
      <c r="F199" s="46">
        <v>2</v>
      </c>
      <c r="G199" s="47">
        <v>325.45999999999998</v>
      </c>
      <c r="H199" s="51">
        <v>4.2643000000000004</v>
      </c>
      <c r="I199" s="17">
        <v>45474</v>
      </c>
      <c r="J199" s="18">
        <v>0.55414351851851851</v>
      </c>
      <c r="K199">
        <v>0</v>
      </c>
      <c r="L199">
        <v>0</v>
      </c>
      <c r="M199">
        <v>0</v>
      </c>
      <c r="N199" s="76">
        <f>AVERAGE(H199:H203)</f>
        <v>4.2693599999999998</v>
      </c>
      <c r="P199">
        <v>0</v>
      </c>
      <c r="Q199" t="s">
        <v>7</v>
      </c>
      <c r="R199">
        <v>12768</v>
      </c>
      <c r="S199">
        <v>224</v>
      </c>
      <c r="T199">
        <v>2</v>
      </c>
      <c r="U199">
        <v>2</v>
      </c>
      <c r="V199">
        <v>353.08</v>
      </c>
      <c r="W199" s="21">
        <v>3.9308000000000001</v>
      </c>
      <c r="X199" s="26">
        <v>45474</v>
      </c>
      <c r="Y199" s="27">
        <v>0.56871527777777775</v>
      </c>
      <c r="Z199">
        <v>0</v>
      </c>
      <c r="AA199">
        <v>0</v>
      </c>
      <c r="AB199">
        <v>0</v>
      </c>
      <c r="AC199" s="77">
        <f t="shared" ref="AC199" si="38">AVERAGE(W199:W203)</f>
        <v>3.9180000000000001</v>
      </c>
    </row>
    <row r="200" spans="1:29" x14ac:dyDescent="0.25">
      <c r="A200" s="44">
        <v>1</v>
      </c>
      <c r="B200" s="44" t="s">
        <v>7</v>
      </c>
      <c r="C200" s="45">
        <v>12768</v>
      </c>
      <c r="D200" s="45">
        <v>224</v>
      </c>
      <c r="E200" s="45">
        <v>2</v>
      </c>
      <c r="F200" s="45">
        <v>2</v>
      </c>
      <c r="G200" s="45">
        <v>325.32</v>
      </c>
      <c r="H200" s="51">
        <v>4.2663000000000002</v>
      </c>
      <c r="I200" s="17">
        <v>45474</v>
      </c>
      <c r="J200" s="18">
        <v>0.78798611111111116</v>
      </c>
      <c r="K200">
        <v>0</v>
      </c>
      <c r="L200">
        <v>0</v>
      </c>
      <c r="M200">
        <v>0</v>
      </c>
      <c r="N200" s="76"/>
      <c r="P200">
        <v>1</v>
      </c>
      <c r="Q200" t="s">
        <v>7</v>
      </c>
      <c r="R200">
        <v>12768</v>
      </c>
      <c r="S200">
        <v>224</v>
      </c>
      <c r="T200">
        <v>2</v>
      </c>
      <c r="U200">
        <v>2</v>
      </c>
      <c r="V200">
        <v>353.01</v>
      </c>
      <c r="W200" s="21">
        <v>3.9315000000000002</v>
      </c>
      <c r="X200" s="26">
        <v>45474</v>
      </c>
      <c r="Y200" s="27">
        <v>0.85346064814814815</v>
      </c>
      <c r="Z200">
        <v>0</v>
      </c>
      <c r="AA200">
        <v>0</v>
      </c>
      <c r="AB200">
        <v>0</v>
      </c>
      <c r="AC200" s="77"/>
    </row>
    <row r="201" spans="1:29" x14ac:dyDescent="0.25">
      <c r="A201" s="44">
        <v>2</v>
      </c>
      <c r="B201" s="44" t="s">
        <v>7</v>
      </c>
      <c r="C201" s="46">
        <v>12768</v>
      </c>
      <c r="D201" s="46">
        <v>224</v>
      </c>
      <c r="E201" s="46">
        <v>2</v>
      </c>
      <c r="F201" s="46">
        <v>2</v>
      </c>
      <c r="G201" s="47">
        <v>325.56</v>
      </c>
      <c r="H201" s="51">
        <v>4.2630999999999997</v>
      </c>
      <c r="I201" s="17">
        <v>45475</v>
      </c>
      <c r="J201" s="18">
        <v>2.1736111111111112E-2</v>
      </c>
      <c r="K201">
        <v>0</v>
      </c>
      <c r="L201">
        <v>0</v>
      </c>
      <c r="M201">
        <v>0</v>
      </c>
      <c r="N201" s="76"/>
      <c r="P201">
        <v>2</v>
      </c>
      <c r="Q201" t="s">
        <v>7</v>
      </c>
      <c r="R201">
        <v>12768</v>
      </c>
      <c r="S201">
        <v>224</v>
      </c>
      <c r="T201">
        <v>2</v>
      </c>
      <c r="U201">
        <v>2</v>
      </c>
      <c r="V201">
        <v>351.2</v>
      </c>
      <c r="W201" s="21">
        <v>3.9518</v>
      </c>
      <c r="X201" s="26">
        <v>45475</v>
      </c>
      <c r="Y201" s="27">
        <v>0.13725694444444445</v>
      </c>
      <c r="Z201">
        <v>0</v>
      </c>
      <c r="AA201">
        <v>0</v>
      </c>
      <c r="AB201">
        <v>0</v>
      </c>
      <c r="AC201" s="77"/>
    </row>
    <row r="202" spans="1:29" x14ac:dyDescent="0.25">
      <c r="A202" s="44">
        <v>3</v>
      </c>
      <c r="B202" s="44" t="s">
        <v>7</v>
      </c>
      <c r="C202" s="46">
        <v>12768</v>
      </c>
      <c r="D202" s="46">
        <v>224</v>
      </c>
      <c r="E202" s="46">
        <v>2</v>
      </c>
      <c r="F202" s="46">
        <v>2</v>
      </c>
      <c r="G202" s="47">
        <v>324.62</v>
      </c>
      <c r="H202" s="51">
        <v>4.2755000000000001</v>
      </c>
      <c r="I202" s="17">
        <v>45475</v>
      </c>
      <c r="J202" s="18">
        <v>0.25528935185185186</v>
      </c>
      <c r="K202">
        <v>0</v>
      </c>
      <c r="L202">
        <v>0</v>
      </c>
      <c r="M202">
        <v>0</v>
      </c>
      <c r="N202" s="76"/>
      <c r="P202">
        <v>3</v>
      </c>
      <c r="Q202" t="s">
        <v>7</v>
      </c>
      <c r="R202">
        <v>12768</v>
      </c>
      <c r="S202">
        <v>224</v>
      </c>
      <c r="T202">
        <v>2</v>
      </c>
      <c r="U202">
        <v>2</v>
      </c>
      <c r="V202">
        <v>354.26</v>
      </c>
      <c r="W202" s="21">
        <v>3.9178000000000002</v>
      </c>
      <c r="X202" s="26">
        <v>45475</v>
      </c>
      <c r="Y202" s="27">
        <v>0.4211111111111111</v>
      </c>
      <c r="Z202">
        <v>0</v>
      </c>
      <c r="AA202">
        <v>0</v>
      </c>
      <c r="AB202">
        <v>0</v>
      </c>
      <c r="AC202" s="77"/>
    </row>
    <row r="203" spans="1:29" x14ac:dyDescent="0.25">
      <c r="A203" s="42">
        <v>4</v>
      </c>
      <c r="B203" s="42" t="s">
        <v>7</v>
      </c>
      <c r="C203" s="43">
        <v>12768</v>
      </c>
      <c r="D203" s="43">
        <v>224</v>
      </c>
      <c r="E203" s="43">
        <v>2</v>
      </c>
      <c r="F203" s="43">
        <v>2</v>
      </c>
      <c r="G203" s="43">
        <v>324.45999999999998</v>
      </c>
      <c r="H203" s="50">
        <v>4.2775999999999996</v>
      </c>
      <c r="I203" s="23">
        <v>45475</v>
      </c>
      <c r="J203" s="24">
        <v>0.48879629629629628</v>
      </c>
      <c r="K203" s="22">
        <v>0</v>
      </c>
      <c r="L203" s="22">
        <v>0</v>
      </c>
      <c r="M203" s="22">
        <v>0</v>
      </c>
      <c r="N203" s="76"/>
      <c r="P203">
        <v>4</v>
      </c>
      <c r="Q203" t="s">
        <v>7</v>
      </c>
      <c r="R203">
        <v>12768</v>
      </c>
      <c r="S203">
        <v>224</v>
      </c>
      <c r="T203">
        <v>2</v>
      </c>
      <c r="U203">
        <v>2</v>
      </c>
      <c r="V203">
        <v>359.73</v>
      </c>
      <c r="W203" s="21">
        <v>3.8580999999999999</v>
      </c>
      <c r="X203" s="26">
        <v>45475</v>
      </c>
      <c r="Y203" s="27">
        <v>0.70484953703703701</v>
      </c>
      <c r="Z203">
        <v>0</v>
      </c>
      <c r="AA203">
        <v>0</v>
      </c>
      <c r="AB203">
        <v>0</v>
      </c>
      <c r="AC203" s="77"/>
    </row>
    <row r="204" spans="1:29" x14ac:dyDescent="0.25">
      <c r="A204" s="44">
        <v>0</v>
      </c>
      <c r="B204" s="44" t="s">
        <v>7</v>
      </c>
      <c r="C204" s="46">
        <v>13440</v>
      </c>
      <c r="D204" s="46">
        <v>224</v>
      </c>
      <c r="E204" s="46">
        <v>2</v>
      </c>
      <c r="F204" s="46">
        <v>2</v>
      </c>
      <c r="G204" s="47">
        <v>380.75</v>
      </c>
      <c r="H204" s="51">
        <v>4.2515000000000001</v>
      </c>
      <c r="I204" s="17">
        <v>45474</v>
      </c>
      <c r="J204" s="18">
        <v>0.63045138888888885</v>
      </c>
      <c r="K204">
        <v>0</v>
      </c>
      <c r="L204">
        <v>0</v>
      </c>
      <c r="M204">
        <v>0</v>
      </c>
      <c r="N204" s="76">
        <f>AVERAGE(H204:H208)</f>
        <v>4.2614400000000003</v>
      </c>
      <c r="P204">
        <v>0</v>
      </c>
      <c r="Q204" t="s">
        <v>7</v>
      </c>
      <c r="R204">
        <v>13440</v>
      </c>
      <c r="S204">
        <v>224</v>
      </c>
      <c r="T204">
        <v>2</v>
      </c>
      <c r="U204">
        <v>2</v>
      </c>
      <c r="V204">
        <v>403.3</v>
      </c>
      <c r="W204" s="21">
        <v>4.0137</v>
      </c>
      <c r="X204" s="26">
        <v>45474</v>
      </c>
      <c r="Y204" s="27">
        <v>0.66151620370370368</v>
      </c>
      <c r="Z204">
        <v>0</v>
      </c>
      <c r="AA204">
        <v>0</v>
      </c>
      <c r="AB204">
        <v>0</v>
      </c>
      <c r="AC204" s="77">
        <f t="shared" ref="AC204" si="39">AVERAGE(W204:W208)</f>
        <v>3.9842199999999997</v>
      </c>
    </row>
    <row r="205" spans="1:29" x14ac:dyDescent="0.25">
      <c r="A205" s="44">
        <v>1</v>
      </c>
      <c r="B205" s="44" t="s">
        <v>7</v>
      </c>
      <c r="C205" s="46">
        <v>13440</v>
      </c>
      <c r="D205" s="46">
        <v>224</v>
      </c>
      <c r="E205" s="46">
        <v>2</v>
      </c>
      <c r="F205" s="46">
        <v>2</v>
      </c>
      <c r="G205" s="47">
        <v>379.56</v>
      </c>
      <c r="H205" s="51">
        <v>4.2648000000000001</v>
      </c>
      <c r="I205" s="17">
        <v>45474</v>
      </c>
      <c r="J205" s="18">
        <v>0.86410879629629633</v>
      </c>
      <c r="K205">
        <v>0</v>
      </c>
      <c r="L205">
        <v>0</v>
      </c>
      <c r="M205">
        <v>0</v>
      </c>
      <c r="N205" s="76"/>
      <c r="P205">
        <v>1</v>
      </c>
      <c r="Q205" t="s">
        <v>7</v>
      </c>
      <c r="R205">
        <v>13440</v>
      </c>
      <c r="S205">
        <v>224</v>
      </c>
      <c r="T205">
        <v>2</v>
      </c>
      <c r="U205">
        <v>2</v>
      </c>
      <c r="V205">
        <v>403.24</v>
      </c>
      <c r="W205" s="21">
        <v>4.0144000000000002</v>
      </c>
      <c r="X205" s="26">
        <v>45474</v>
      </c>
      <c r="Y205" s="27">
        <v>0.94592592592592595</v>
      </c>
      <c r="Z205">
        <v>0</v>
      </c>
      <c r="AA205">
        <v>0</v>
      </c>
      <c r="AB205">
        <v>0</v>
      </c>
      <c r="AC205" s="77"/>
    </row>
    <row r="206" spans="1:29" x14ac:dyDescent="0.25">
      <c r="A206" s="42">
        <v>2</v>
      </c>
      <c r="B206" s="42" t="s">
        <v>7</v>
      </c>
      <c r="C206" s="43">
        <v>13440</v>
      </c>
      <c r="D206" s="43">
        <v>224</v>
      </c>
      <c r="E206" s="43">
        <v>2</v>
      </c>
      <c r="F206" s="43">
        <v>2</v>
      </c>
      <c r="G206" s="43">
        <v>380.34</v>
      </c>
      <c r="H206" s="50">
        <v>4.2560000000000002</v>
      </c>
      <c r="I206" s="23">
        <v>45475</v>
      </c>
      <c r="J206" s="24">
        <v>9.7777777777777783E-2</v>
      </c>
      <c r="K206" s="22">
        <v>0</v>
      </c>
      <c r="L206" s="22">
        <v>0</v>
      </c>
      <c r="M206" s="22">
        <v>0</v>
      </c>
      <c r="N206" s="76"/>
      <c r="P206">
        <v>2</v>
      </c>
      <c r="Q206" t="s">
        <v>7</v>
      </c>
      <c r="R206">
        <v>13440</v>
      </c>
      <c r="S206">
        <v>224</v>
      </c>
      <c r="T206">
        <v>2</v>
      </c>
      <c r="U206">
        <v>2</v>
      </c>
      <c r="V206">
        <v>415.85</v>
      </c>
      <c r="W206" s="21">
        <v>3.8925999999999998</v>
      </c>
      <c r="X206" s="26">
        <v>45475</v>
      </c>
      <c r="Y206" s="27">
        <v>0.22979166666666667</v>
      </c>
      <c r="Z206">
        <v>0</v>
      </c>
      <c r="AA206">
        <v>0</v>
      </c>
      <c r="AB206">
        <v>0</v>
      </c>
      <c r="AC206" s="77"/>
    </row>
    <row r="207" spans="1:29" x14ac:dyDescent="0.25">
      <c r="A207" s="44">
        <v>3</v>
      </c>
      <c r="B207" s="44" t="s">
        <v>7</v>
      </c>
      <c r="C207" s="46">
        <v>13440</v>
      </c>
      <c r="D207" s="46">
        <v>224</v>
      </c>
      <c r="E207" s="46">
        <v>2</v>
      </c>
      <c r="F207" s="46">
        <v>2</v>
      </c>
      <c r="G207" s="47">
        <v>379.27</v>
      </c>
      <c r="H207" s="51">
        <v>4.2680999999999996</v>
      </c>
      <c r="I207" s="17">
        <v>45475</v>
      </c>
      <c r="J207" s="18">
        <v>0.33130787037037035</v>
      </c>
      <c r="K207">
        <v>0</v>
      </c>
      <c r="L207">
        <v>0</v>
      </c>
      <c r="M207">
        <v>0</v>
      </c>
      <c r="N207" s="76"/>
      <c r="P207">
        <v>3</v>
      </c>
      <c r="Q207" t="s">
        <v>7</v>
      </c>
      <c r="R207">
        <v>13440</v>
      </c>
      <c r="S207">
        <v>224</v>
      </c>
      <c r="T207">
        <v>2</v>
      </c>
      <c r="U207">
        <v>2</v>
      </c>
      <c r="V207">
        <v>406.45</v>
      </c>
      <c r="W207" s="21">
        <v>3.9826000000000001</v>
      </c>
      <c r="X207" s="26">
        <v>45475</v>
      </c>
      <c r="Y207" s="27">
        <v>0.5134143518518518</v>
      </c>
      <c r="Z207">
        <v>0</v>
      </c>
      <c r="AA207">
        <v>0</v>
      </c>
      <c r="AB207">
        <v>0</v>
      </c>
      <c r="AC207" s="77"/>
    </row>
    <row r="208" spans="1:29" x14ac:dyDescent="0.25">
      <c r="A208" s="44">
        <v>4</v>
      </c>
      <c r="B208" s="44" t="s">
        <v>7</v>
      </c>
      <c r="C208" s="46">
        <v>13440</v>
      </c>
      <c r="D208" s="46">
        <v>224</v>
      </c>
      <c r="E208" s="46">
        <v>2</v>
      </c>
      <c r="F208" s="46">
        <v>2</v>
      </c>
      <c r="G208" s="47">
        <v>379.38</v>
      </c>
      <c r="H208" s="51">
        <v>4.2667999999999999</v>
      </c>
      <c r="I208" s="17">
        <v>45475</v>
      </c>
      <c r="J208" s="18">
        <v>0.56475694444444446</v>
      </c>
      <c r="K208">
        <v>0</v>
      </c>
      <c r="L208">
        <v>0</v>
      </c>
      <c r="M208">
        <v>0</v>
      </c>
      <c r="N208" s="76"/>
      <c r="P208">
        <v>4</v>
      </c>
      <c r="Q208" t="s">
        <v>7</v>
      </c>
      <c r="R208">
        <v>13440</v>
      </c>
      <c r="S208">
        <v>224</v>
      </c>
      <c r="T208">
        <v>2</v>
      </c>
      <c r="U208">
        <v>2</v>
      </c>
      <c r="V208">
        <v>402.9</v>
      </c>
      <c r="W208" s="21">
        <v>4.0178000000000003</v>
      </c>
      <c r="X208" s="26">
        <v>45475</v>
      </c>
      <c r="Y208" s="27">
        <v>0.79681712962962958</v>
      </c>
      <c r="Z208">
        <v>0</v>
      </c>
      <c r="AA208">
        <v>0</v>
      </c>
      <c r="AB208">
        <v>0</v>
      </c>
      <c r="AC208" s="77"/>
    </row>
    <row r="209" spans="1:29" x14ac:dyDescent="0.25">
      <c r="A209" s="42">
        <v>0</v>
      </c>
      <c r="B209" s="42" t="s">
        <v>7</v>
      </c>
      <c r="C209" s="43">
        <v>14336</v>
      </c>
      <c r="D209" s="43">
        <v>224</v>
      </c>
      <c r="E209" s="43">
        <v>2</v>
      </c>
      <c r="F209" s="43">
        <v>2</v>
      </c>
      <c r="G209" s="43">
        <v>460.51</v>
      </c>
      <c r="H209" s="50">
        <v>4.266</v>
      </c>
      <c r="I209" s="23">
        <v>45474</v>
      </c>
      <c r="J209" s="24">
        <v>0.71958333333333335</v>
      </c>
      <c r="K209" s="22">
        <v>0</v>
      </c>
      <c r="L209" s="22">
        <v>0</v>
      </c>
      <c r="M209" s="22">
        <v>0</v>
      </c>
      <c r="N209" s="76">
        <f>AVERAGE(H209:H213)</f>
        <v>4.25624</v>
      </c>
      <c r="P209">
        <v>0</v>
      </c>
      <c r="Q209" t="s">
        <v>7</v>
      </c>
      <c r="R209">
        <v>14336</v>
      </c>
      <c r="S209">
        <v>224</v>
      </c>
      <c r="T209">
        <v>2</v>
      </c>
      <c r="U209">
        <v>2</v>
      </c>
      <c r="V209">
        <v>481.37</v>
      </c>
      <c r="W209" s="21">
        <v>4.0811999999999999</v>
      </c>
      <c r="X209" s="26">
        <v>45474</v>
      </c>
      <c r="Y209" s="29">
        <v>0.76868055555555559</v>
      </c>
      <c r="Z209">
        <v>0</v>
      </c>
      <c r="AA209">
        <v>0</v>
      </c>
      <c r="AB209">
        <v>0</v>
      </c>
      <c r="AC209" s="77">
        <f t="shared" ref="AC209" si="40">AVERAGE(W209:W213)</f>
        <v>4.0967199999999995</v>
      </c>
    </row>
    <row r="210" spans="1:29" x14ac:dyDescent="0.25">
      <c r="A210" s="44">
        <v>1</v>
      </c>
      <c r="B210" s="44" t="s">
        <v>7</v>
      </c>
      <c r="C210" s="46">
        <v>14336</v>
      </c>
      <c r="D210" s="46">
        <v>224</v>
      </c>
      <c r="E210" s="46">
        <v>2</v>
      </c>
      <c r="F210" s="46">
        <v>2</v>
      </c>
      <c r="G210" s="47">
        <v>461.56</v>
      </c>
      <c r="H210" s="51">
        <v>4.2563000000000004</v>
      </c>
      <c r="I210" s="17">
        <v>45474</v>
      </c>
      <c r="J210" s="18">
        <v>0.95337962962962963</v>
      </c>
      <c r="K210">
        <v>0</v>
      </c>
      <c r="L210">
        <v>0</v>
      </c>
      <c r="M210">
        <v>0</v>
      </c>
      <c r="N210" s="76"/>
      <c r="P210">
        <v>1</v>
      </c>
      <c r="Q210" t="s">
        <v>7</v>
      </c>
      <c r="R210">
        <v>14336</v>
      </c>
      <c r="S210">
        <v>224</v>
      </c>
      <c r="T210">
        <v>2</v>
      </c>
      <c r="U210">
        <v>2</v>
      </c>
      <c r="V210">
        <v>479.24</v>
      </c>
      <c r="W210" s="21">
        <v>4.0993000000000004</v>
      </c>
      <c r="X210" s="26">
        <v>45475</v>
      </c>
      <c r="Y210" s="27">
        <v>5.2708333333333336E-2</v>
      </c>
      <c r="Z210">
        <v>0</v>
      </c>
      <c r="AA210">
        <v>0</v>
      </c>
      <c r="AB210">
        <v>0</v>
      </c>
      <c r="AC210" s="77"/>
    </row>
    <row r="211" spans="1:29" x14ac:dyDescent="0.25">
      <c r="A211" s="44">
        <v>2</v>
      </c>
      <c r="B211" s="44" t="s">
        <v>7</v>
      </c>
      <c r="C211" s="45">
        <v>14336</v>
      </c>
      <c r="D211" s="45">
        <v>224</v>
      </c>
      <c r="E211" s="45">
        <v>2</v>
      </c>
      <c r="F211" s="45">
        <v>2</v>
      </c>
      <c r="G211" s="45">
        <v>462.09</v>
      </c>
      <c r="H211" s="51">
        <v>4.2514000000000003</v>
      </c>
      <c r="I211" s="17">
        <v>45475</v>
      </c>
      <c r="J211" s="18">
        <v>0.1870023148148148</v>
      </c>
      <c r="K211">
        <v>0</v>
      </c>
      <c r="L211">
        <v>0</v>
      </c>
      <c r="M211">
        <v>0</v>
      </c>
      <c r="N211" s="76"/>
      <c r="P211">
        <v>2</v>
      </c>
      <c r="Q211" t="s">
        <v>7</v>
      </c>
      <c r="R211">
        <v>14336</v>
      </c>
      <c r="S211">
        <v>224</v>
      </c>
      <c r="T211">
        <v>2</v>
      </c>
      <c r="U211">
        <v>2</v>
      </c>
      <c r="V211">
        <v>477.95</v>
      </c>
      <c r="W211" s="21">
        <v>4.1102999999999996</v>
      </c>
      <c r="X211" s="26">
        <v>45475</v>
      </c>
      <c r="Y211" s="27">
        <v>0.33644675925925926</v>
      </c>
      <c r="Z211">
        <v>0</v>
      </c>
      <c r="AA211">
        <v>0</v>
      </c>
      <c r="AB211">
        <v>0</v>
      </c>
      <c r="AC211" s="77"/>
    </row>
    <row r="212" spans="1:29" x14ac:dyDescent="0.25">
      <c r="A212" s="44">
        <v>3</v>
      </c>
      <c r="B212" s="44" t="s">
        <v>7</v>
      </c>
      <c r="C212" s="46">
        <v>14336</v>
      </c>
      <c r="D212" s="46">
        <v>224</v>
      </c>
      <c r="E212" s="46">
        <v>2</v>
      </c>
      <c r="F212" s="46">
        <v>2</v>
      </c>
      <c r="G212" s="47">
        <v>461.78</v>
      </c>
      <c r="H212" s="51">
        <v>4.2542999999999997</v>
      </c>
      <c r="I212" s="17">
        <v>45475</v>
      </c>
      <c r="J212" s="18">
        <v>0.42050925925925925</v>
      </c>
      <c r="K212">
        <v>0</v>
      </c>
      <c r="L212">
        <v>0</v>
      </c>
      <c r="M212">
        <v>0</v>
      </c>
      <c r="N212" s="76"/>
      <c r="P212">
        <v>3</v>
      </c>
      <c r="Q212" t="s">
        <v>7</v>
      </c>
      <c r="R212">
        <v>14336</v>
      </c>
      <c r="S212">
        <v>224</v>
      </c>
      <c r="T212">
        <v>2</v>
      </c>
      <c r="U212">
        <v>2</v>
      </c>
      <c r="V212">
        <v>479.07</v>
      </c>
      <c r="W212" s="21">
        <v>4.1007999999999996</v>
      </c>
      <c r="X212" s="26">
        <v>45475</v>
      </c>
      <c r="Y212" s="27">
        <v>0.62009259259259264</v>
      </c>
      <c r="Z212">
        <v>0</v>
      </c>
      <c r="AA212">
        <v>0</v>
      </c>
      <c r="AB212">
        <v>0</v>
      </c>
      <c r="AC212" s="77"/>
    </row>
    <row r="213" spans="1:29" x14ac:dyDescent="0.25">
      <c r="A213" s="44">
        <v>4</v>
      </c>
      <c r="B213" s="44" t="s">
        <v>7</v>
      </c>
      <c r="C213" s="46">
        <v>14336</v>
      </c>
      <c r="D213" s="46">
        <v>224</v>
      </c>
      <c r="E213" s="46">
        <v>2</v>
      </c>
      <c r="F213" s="46">
        <v>2</v>
      </c>
      <c r="G213" s="47">
        <v>461.9</v>
      </c>
      <c r="H213" s="51">
        <v>4.2531999999999996</v>
      </c>
      <c r="I213" s="17">
        <v>45475</v>
      </c>
      <c r="J213" s="18">
        <v>0.65395833333333331</v>
      </c>
      <c r="K213">
        <v>0</v>
      </c>
      <c r="L213">
        <v>0</v>
      </c>
      <c r="M213">
        <v>0</v>
      </c>
      <c r="N213" s="76"/>
      <c r="P213">
        <v>4</v>
      </c>
      <c r="Q213" t="s">
        <v>7</v>
      </c>
      <c r="R213">
        <v>14336</v>
      </c>
      <c r="S213">
        <v>224</v>
      </c>
      <c r="T213">
        <v>2</v>
      </c>
      <c r="U213">
        <v>2</v>
      </c>
      <c r="V213">
        <v>480.09</v>
      </c>
      <c r="W213" s="21">
        <v>4.0919999999999996</v>
      </c>
      <c r="X213" s="26">
        <v>45475</v>
      </c>
      <c r="Y213" s="27">
        <v>0.90289351851851851</v>
      </c>
      <c r="Z213">
        <v>0</v>
      </c>
      <c r="AA213">
        <v>0</v>
      </c>
      <c r="AB213">
        <v>0</v>
      </c>
      <c r="AC213" s="77"/>
    </row>
    <row r="214" spans="1:29" x14ac:dyDescent="0.25">
      <c r="A214" s="44">
        <v>0</v>
      </c>
      <c r="B214" s="44" t="s">
        <v>7</v>
      </c>
      <c r="C214" s="46">
        <v>12800</v>
      </c>
      <c r="D214" s="46">
        <v>256</v>
      </c>
      <c r="E214" s="46">
        <v>1</v>
      </c>
      <c r="F214" s="46">
        <v>4</v>
      </c>
      <c r="G214" s="47">
        <v>345.37</v>
      </c>
      <c r="H214" s="51">
        <v>4.0488</v>
      </c>
      <c r="I214" s="17">
        <v>45474</v>
      </c>
      <c r="J214" s="18">
        <v>0.55833333333333335</v>
      </c>
      <c r="K214">
        <v>0</v>
      </c>
      <c r="L214">
        <v>0</v>
      </c>
      <c r="M214">
        <v>0</v>
      </c>
      <c r="N214" s="76">
        <f>AVERAGE(H214:H218)</f>
        <v>4.0521600000000007</v>
      </c>
      <c r="P214">
        <v>0</v>
      </c>
      <c r="Q214" t="s">
        <v>7</v>
      </c>
      <c r="R214">
        <v>12800</v>
      </c>
      <c r="S214">
        <v>256</v>
      </c>
      <c r="T214">
        <v>1</v>
      </c>
      <c r="U214">
        <v>4</v>
      </c>
      <c r="V214">
        <v>334</v>
      </c>
      <c r="W214" s="21">
        <v>4.1866000000000003</v>
      </c>
      <c r="X214" s="26">
        <v>45474</v>
      </c>
      <c r="Y214" s="27">
        <v>0.57359953703703703</v>
      </c>
      <c r="Z214">
        <v>0</v>
      </c>
      <c r="AA214">
        <v>0</v>
      </c>
      <c r="AB214">
        <v>0</v>
      </c>
      <c r="AC214" s="77">
        <f t="shared" ref="AC214" si="41">AVERAGE(W214:W218)</f>
        <v>4.204559999999999</v>
      </c>
    </row>
    <row r="215" spans="1:29" x14ac:dyDescent="0.25">
      <c r="A215" s="44">
        <v>1</v>
      </c>
      <c r="B215" s="44" t="s">
        <v>7</v>
      </c>
      <c r="C215" s="46">
        <v>12800</v>
      </c>
      <c r="D215" s="46">
        <v>256</v>
      </c>
      <c r="E215" s="46">
        <v>1</v>
      </c>
      <c r="F215" s="46">
        <v>4</v>
      </c>
      <c r="G215" s="47">
        <v>345.24</v>
      </c>
      <c r="H215" s="51">
        <v>4.0503999999999998</v>
      </c>
      <c r="I215" s="17">
        <v>45474</v>
      </c>
      <c r="J215" s="18">
        <v>0.79217592592592589</v>
      </c>
      <c r="K215">
        <v>0</v>
      </c>
      <c r="L215">
        <v>0</v>
      </c>
      <c r="M215">
        <v>0</v>
      </c>
      <c r="N215" s="76"/>
      <c r="P215">
        <v>1</v>
      </c>
      <c r="Q215" t="s">
        <v>7</v>
      </c>
      <c r="R215">
        <v>12800</v>
      </c>
      <c r="S215">
        <v>256</v>
      </c>
      <c r="T215">
        <v>1</v>
      </c>
      <c r="U215">
        <v>4</v>
      </c>
      <c r="V215">
        <v>333.72</v>
      </c>
      <c r="W215" s="21">
        <v>4.1901999999999999</v>
      </c>
      <c r="X215" s="26">
        <v>45474</v>
      </c>
      <c r="Y215" s="27">
        <v>0.85834490740740743</v>
      </c>
      <c r="Z215">
        <v>0</v>
      </c>
      <c r="AA215">
        <v>0</v>
      </c>
      <c r="AB215">
        <v>0</v>
      </c>
      <c r="AC215" s="77"/>
    </row>
    <row r="216" spans="1:29" x14ac:dyDescent="0.25">
      <c r="A216" s="42">
        <v>2</v>
      </c>
      <c r="B216" s="42" t="s">
        <v>7</v>
      </c>
      <c r="C216" s="43">
        <v>12800</v>
      </c>
      <c r="D216" s="43">
        <v>256</v>
      </c>
      <c r="E216" s="43">
        <v>1</v>
      </c>
      <c r="F216" s="43">
        <v>4</v>
      </c>
      <c r="G216" s="43">
        <v>344.5</v>
      </c>
      <c r="H216" s="50">
        <v>4.0590999999999999</v>
      </c>
      <c r="I216" s="23">
        <v>45475</v>
      </c>
      <c r="J216" s="24">
        <v>2.5914351851851852E-2</v>
      </c>
      <c r="K216" s="22">
        <v>0</v>
      </c>
      <c r="L216" s="22">
        <v>0</v>
      </c>
      <c r="M216" s="22">
        <v>0</v>
      </c>
      <c r="N216" s="76"/>
      <c r="P216">
        <v>2</v>
      </c>
      <c r="Q216" t="s">
        <v>7</v>
      </c>
      <c r="R216">
        <v>12800</v>
      </c>
      <c r="S216">
        <v>256</v>
      </c>
      <c r="T216">
        <v>1</v>
      </c>
      <c r="U216">
        <v>4</v>
      </c>
      <c r="V216">
        <v>330.65</v>
      </c>
      <c r="W216" s="21">
        <v>4.2290999999999999</v>
      </c>
      <c r="X216" s="26">
        <v>45475</v>
      </c>
      <c r="Y216" s="27">
        <v>0.14210648148148147</v>
      </c>
      <c r="Z216">
        <v>0</v>
      </c>
      <c r="AA216">
        <v>0</v>
      </c>
      <c r="AB216">
        <v>0</v>
      </c>
      <c r="AC216" s="77"/>
    </row>
    <row r="217" spans="1:29" x14ac:dyDescent="0.25">
      <c r="A217" s="44">
        <v>3</v>
      </c>
      <c r="B217" s="44" t="s">
        <v>7</v>
      </c>
      <c r="C217" s="46">
        <v>12800</v>
      </c>
      <c r="D217" s="46">
        <v>256</v>
      </c>
      <c r="E217" s="46">
        <v>1</v>
      </c>
      <c r="F217" s="46">
        <v>4</v>
      </c>
      <c r="G217" s="47">
        <v>345.03</v>
      </c>
      <c r="H217" s="51">
        <v>4.0528000000000004</v>
      </c>
      <c r="I217" s="17">
        <v>45475</v>
      </c>
      <c r="J217" s="18">
        <v>0.25946759259259261</v>
      </c>
      <c r="K217">
        <v>0</v>
      </c>
      <c r="L217">
        <v>0</v>
      </c>
      <c r="M217">
        <v>0</v>
      </c>
      <c r="N217" s="76"/>
      <c r="P217">
        <v>3</v>
      </c>
      <c r="Q217" t="s">
        <v>7</v>
      </c>
      <c r="R217">
        <v>12800</v>
      </c>
      <c r="S217">
        <v>256</v>
      </c>
      <c r="T217">
        <v>1</v>
      </c>
      <c r="U217">
        <v>4</v>
      </c>
      <c r="V217">
        <v>330.15</v>
      </c>
      <c r="W217" s="21">
        <v>4.2354000000000003</v>
      </c>
      <c r="X217" s="26">
        <v>45475</v>
      </c>
      <c r="Y217" s="27">
        <v>0.42594907407407406</v>
      </c>
      <c r="Z217">
        <v>0</v>
      </c>
      <c r="AA217">
        <v>0</v>
      </c>
      <c r="AB217">
        <v>0</v>
      </c>
      <c r="AC217" s="77"/>
    </row>
    <row r="218" spans="1:29" x14ac:dyDescent="0.25">
      <c r="A218" s="44">
        <v>4</v>
      </c>
      <c r="B218" s="44" t="s">
        <v>7</v>
      </c>
      <c r="C218" s="45">
        <v>12800</v>
      </c>
      <c r="D218" s="45">
        <v>256</v>
      </c>
      <c r="E218" s="45">
        <v>1</v>
      </c>
      <c r="F218" s="45">
        <v>4</v>
      </c>
      <c r="G218" s="45">
        <v>345.29</v>
      </c>
      <c r="H218" s="51">
        <v>4.0496999999999996</v>
      </c>
      <c r="I218" s="17">
        <v>45475</v>
      </c>
      <c r="J218" s="18">
        <v>0.49297453703703703</v>
      </c>
      <c r="K218">
        <v>0</v>
      </c>
      <c r="L218">
        <v>0</v>
      </c>
      <c r="M218">
        <v>0</v>
      </c>
      <c r="N218" s="76"/>
      <c r="P218">
        <v>4</v>
      </c>
      <c r="Q218" t="s">
        <v>7</v>
      </c>
      <c r="R218">
        <v>12800</v>
      </c>
      <c r="S218">
        <v>256</v>
      </c>
      <c r="T218">
        <v>1</v>
      </c>
      <c r="U218">
        <v>4</v>
      </c>
      <c r="V218">
        <v>334.41</v>
      </c>
      <c r="W218" s="21">
        <v>4.1814999999999998</v>
      </c>
      <c r="X218" s="26">
        <v>45475</v>
      </c>
      <c r="Y218" s="27">
        <v>0.70969907407407407</v>
      </c>
      <c r="Z218">
        <v>0</v>
      </c>
      <c r="AA218">
        <v>0</v>
      </c>
      <c r="AB218">
        <v>0</v>
      </c>
      <c r="AC218" s="77"/>
    </row>
    <row r="219" spans="1:29" x14ac:dyDescent="0.25">
      <c r="A219" s="42">
        <v>0</v>
      </c>
      <c r="B219" s="42" t="s">
        <v>7</v>
      </c>
      <c r="C219" s="43">
        <v>13568</v>
      </c>
      <c r="D219" s="43">
        <v>256</v>
      </c>
      <c r="E219" s="43">
        <v>1</v>
      </c>
      <c r="F219" s="43">
        <v>4</v>
      </c>
      <c r="G219" s="43">
        <v>413.86</v>
      </c>
      <c r="H219" s="50">
        <v>4.0242000000000004</v>
      </c>
      <c r="I219" s="23">
        <v>45474</v>
      </c>
      <c r="J219" s="24">
        <v>0.63545138888888886</v>
      </c>
      <c r="K219" s="22">
        <v>0</v>
      </c>
      <c r="L219" s="22">
        <v>0</v>
      </c>
      <c r="M219" s="22">
        <v>0</v>
      </c>
      <c r="N219" s="76">
        <f>AVERAGE(H219:H223)</f>
        <v>4.0421199999999997</v>
      </c>
      <c r="P219">
        <v>0</v>
      </c>
      <c r="Q219" t="s">
        <v>7</v>
      </c>
      <c r="R219">
        <v>13568</v>
      </c>
      <c r="S219">
        <v>256</v>
      </c>
      <c r="T219">
        <v>1</v>
      </c>
      <c r="U219">
        <v>4</v>
      </c>
      <c r="V219">
        <v>389.52</v>
      </c>
      <c r="W219" s="21">
        <v>4.2756999999999996</v>
      </c>
      <c r="X219" s="26">
        <v>45474</v>
      </c>
      <c r="Y219" s="27">
        <v>0.66716435185185186</v>
      </c>
      <c r="Z219">
        <v>0</v>
      </c>
      <c r="AA219">
        <v>0</v>
      </c>
      <c r="AB219">
        <v>0</v>
      </c>
      <c r="AC219" s="77">
        <f t="shared" ref="AC219" si="42">AVERAGE(W219:W223)</f>
        <v>4.2875399999999999</v>
      </c>
    </row>
    <row r="220" spans="1:29" x14ac:dyDescent="0.25">
      <c r="A220" s="44">
        <v>1</v>
      </c>
      <c r="B220" s="44" t="s">
        <v>7</v>
      </c>
      <c r="C220" s="46">
        <v>13568</v>
      </c>
      <c r="D220" s="46">
        <v>256</v>
      </c>
      <c r="E220" s="46">
        <v>1</v>
      </c>
      <c r="F220" s="46">
        <v>4</v>
      </c>
      <c r="G220" s="47">
        <v>412.07</v>
      </c>
      <c r="H220" s="51">
        <v>4.0415999999999999</v>
      </c>
      <c r="I220" s="17">
        <v>45474</v>
      </c>
      <c r="J220" s="18">
        <v>0.86908564814814815</v>
      </c>
      <c r="K220">
        <v>0</v>
      </c>
      <c r="L220">
        <v>0</v>
      </c>
      <c r="M220">
        <v>0</v>
      </c>
      <c r="N220" s="76"/>
      <c r="P220">
        <v>1</v>
      </c>
      <c r="Q220" t="s">
        <v>7</v>
      </c>
      <c r="R220">
        <v>13568</v>
      </c>
      <c r="S220">
        <v>256</v>
      </c>
      <c r="T220">
        <v>1</v>
      </c>
      <c r="U220">
        <v>4</v>
      </c>
      <c r="V220">
        <v>390.92</v>
      </c>
      <c r="W220" s="21">
        <v>4.2603</v>
      </c>
      <c r="X220" s="26">
        <v>45474</v>
      </c>
      <c r="Y220" s="27">
        <v>0.95160879629629624</v>
      </c>
      <c r="Z220">
        <v>0</v>
      </c>
      <c r="AA220">
        <v>0</v>
      </c>
      <c r="AB220">
        <v>0</v>
      </c>
      <c r="AC220" s="77"/>
    </row>
    <row r="221" spans="1:29" x14ac:dyDescent="0.25">
      <c r="A221" s="44">
        <v>2</v>
      </c>
      <c r="B221" s="44" t="s">
        <v>7</v>
      </c>
      <c r="C221" s="45">
        <v>13568</v>
      </c>
      <c r="D221" s="45">
        <v>256</v>
      </c>
      <c r="E221" s="45">
        <v>1</v>
      </c>
      <c r="F221" s="45">
        <v>4</v>
      </c>
      <c r="G221" s="45">
        <v>411.73</v>
      </c>
      <c r="H221" s="51">
        <v>4.0449000000000002</v>
      </c>
      <c r="I221" s="17">
        <v>45475</v>
      </c>
      <c r="J221" s="18">
        <v>0.10275462962962963</v>
      </c>
      <c r="K221">
        <v>0</v>
      </c>
      <c r="L221">
        <v>0</v>
      </c>
      <c r="M221">
        <v>0</v>
      </c>
      <c r="N221" s="76"/>
      <c r="P221">
        <v>2</v>
      </c>
      <c r="Q221" t="s">
        <v>7</v>
      </c>
      <c r="R221">
        <v>13568</v>
      </c>
      <c r="S221">
        <v>256</v>
      </c>
      <c r="T221">
        <v>1</v>
      </c>
      <c r="U221">
        <v>4</v>
      </c>
      <c r="V221">
        <v>388.57</v>
      </c>
      <c r="W221" s="21">
        <v>4.2861000000000002</v>
      </c>
      <c r="X221" s="26">
        <v>45475</v>
      </c>
      <c r="Y221" s="27">
        <v>0.23543981481481482</v>
      </c>
      <c r="Z221">
        <v>0</v>
      </c>
      <c r="AA221">
        <v>0</v>
      </c>
      <c r="AB221">
        <v>0</v>
      </c>
      <c r="AC221" s="77"/>
    </row>
    <row r="222" spans="1:29" x14ac:dyDescent="0.25">
      <c r="A222" s="44">
        <v>3</v>
      </c>
      <c r="B222" s="44" t="s">
        <v>7</v>
      </c>
      <c r="C222" s="46">
        <v>13568</v>
      </c>
      <c r="D222" s="46">
        <v>256</v>
      </c>
      <c r="E222" s="46">
        <v>1</v>
      </c>
      <c r="F222" s="46">
        <v>4</v>
      </c>
      <c r="G222" s="47">
        <v>411.22</v>
      </c>
      <c r="H222" s="51">
        <v>4.05</v>
      </c>
      <c r="I222" s="17">
        <v>45475</v>
      </c>
      <c r="J222" s="18">
        <v>0.33628472222222222</v>
      </c>
      <c r="K222">
        <v>0</v>
      </c>
      <c r="L222">
        <v>0</v>
      </c>
      <c r="M222">
        <v>0</v>
      </c>
      <c r="N222" s="76"/>
      <c r="P222">
        <v>3</v>
      </c>
      <c r="Q222" t="s">
        <v>7</v>
      </c>
      <c r="R222">
        <v>13568</v>
      </c>
      <c r="S222">
        <v>256</v>
      </c>
      <c r="T222">
        <v>1</v>
      </c>
      <c r="U222">
        <v>4</v>
      </c>
      <c r="V222">
        <v>387.52</v>
      </c>
      <c r="W222" s="21">
        <v>4.2976999999999999</v>
      </c>
      <c r="X222" s="26">
        <v>45475</v>
      </c>
      <c r="Y222" s="27">
        <v>0.5190393518518519</v>
      </c>
      <c r="Z222">
        <v>0</v>
      </c>
      <c r="AA222">
        <v>0</v>
      </c>
      <c r="AB222">
        <v>0</v>
      </c>
      <c r="AC222" s="77"/>
    </row>
    <row r="223" spans="1:29" x14ac:dyDescent="0.25">
      <c r="A223" s="44">
        <v>4</v>
      </c>
      <c r="B223" s="44" t="s">
        <v>7</v>
      </c>
      <c r="C223" s="46">
        <v>13568</v>
      </c>
      <c r="D223" s="46">
        <v>256</v>
      </c>
      <c r="E223" s="46">
        <v>1</v>
      </c>
      <c r="F223" s="46">
        <v>4</v>
      </c>
      <c r="G223" s="47">
        <v>411.23</v>
      </c>
      <c r="H223" s="51">
        <v>4.0499000000000001</v>
      </c>
      <c r="I223" s="17">
        <v>45475</v>
      </c>
      <c r="J223" s="18">
        <v>0.56972222222222224</v>
      </c>
      <c r="K223">
        <v>0</v>
      </c>
      <c r="L223">
        <v>0</v>
      </c>
      <c r="M223">
        <v>0</v>
      </c>
      <c r="N223" s="76"/>
      <c r="P223">
        <v>4</v>
      </c>
      <c r="Q223" t="s">
        <v>7</v>
      </c>
      <c r="R223">
        <v>13568</v>
      </c>
      <c r="S223">
        <v>256</v>
      </c>
      <c r="T223">
        <v>1</v>
      </c>
      <c r="U223">
        <v>4</v>
      </c>
      <c r="V223">
        <v>385.71</v>
      </c>
      <c r="W223" s="21">
        <v>4.3178999999999998</v>
      </c>
      <c r="X223" s="26">
        <v>45475</v>
      </c>
      <c r="Y223" s="27">
        <v>0.80240740740740746</v>
      </c>
      <c r="Z223">
        <v>0</v>
      </c>
      <c r="AA223">
        <v>0</v>
      </c>
      <c r="AB223">
        <v>0</v>
      </c>
      <c r="AC223" s="77"/>
    </row>
    <row r="224" spans="1:29" x14ac:dyDescent="0.25">
      <c r="A224" s="44">
        <v>0</v>
      </c>
      <c r="B224" s="44" t="s">
        <v>7</v>
      </c>
      <c r="C224" s="45">
        <v>14336</v>
      </c>
      <c r="D224" s="45">
        <v>256</v>
      </c>
      <c r="E224" s="45">
        <v>1</v>
      </c>
      <c r="F224" s="45">
        <v>4</v>
      </c>
      <c r="G224" s="45">
        <v>480.89</v>
      </c>
      <c r="H224" s="51">
        <v>4.0852000000000004</v>
      </c>
      <c r="I224" s="17">
        <v>45474</v>
      </c>
      <c r="J224" s="18">
        <v>0.72538194444444448</v>
      </c>
      <c r="K224">
        <v>0</v>
      </c>
      <c r="L224">
        <v>0</v>
      </c>
      <c r="M224">
        <v>0</v>
      </c>
      <c r="N224" s="76">
        <f>AVERAGE(H224:H228)</f>
        <v>4.0876000000000001</v>
      </c>
      <c r="P224">
        <v>0</v>
      </c>
      <c r="Q224" t="s">
        <v>7</v>
      </c>
      <c r="R224">
        <v>14336</v>
      </c>
      <c r="S224">
        <v>256</v>
      </c>
      <c r="T224">
        <v>1</v>
      </c>
      <c r="U224">
        <v>4</v>
      </c>
      <c r="V224">
        <v>452.97</v>
      </c>
      <c r="W224" s="21">
        <v>4.3369999999999997</v>
      </c>
      <c r="X224" s="26">
        <v>45474</v>
      </c>
      <c r="Y224" s="27">
        <v>0.77513888888888893</v>
      </c>
      <c r="Z224">
        <v>0</v>
      </c>
      <c r="AA224">
        <v>0</v>
      </c>
      <c r="AB224">
        <v>0</v>
      </c>
      <c r="AC224" s="77">
        <f t="shared" ref="AC224" si="43">AVERAGE(W224:W228)</f>
        <v>4.3410599999999997</v>
      </c>
    </row>
    <row r="225" spans="1:29" x14ac:dyDescent="0.25">
      <c r="A225" s="44">
        <v>1</v>
      </c>
      <c r="B225" s="44" t="s">
        <v>7</v>
      </c>
      <c r="C225" s="46">
        <v>14336</v>
      </c>
      <c r="D225" s="46">
        <v>256</v>
      </c>
      <c r="E225" s="46">
        <v>1</v>
      </c>
      <c r="F225" s="46">
        <v>4</v>
      </c>
      <c r="G225" s="47">
        <v>480.86</v>
      </c>
      <c r="H225" s="51">
        <v>4.0854999999999997</v>
      </c>
      <c r="I225" s="17">
        <v>45474</v>
      </c>
      <c r="J225" s="18">
        <v>0.95917824074074076</v>
      </c>
      <c r="K225">
        <v>0</v>
      </c>
      <c r="L225">
        <v>0</v>
      </c>
      <c r="M225">
        <v>0</v>
      </c>
      <c r="N225" s="76"/>
      <c r="P225">
        <v>1</v>
      </c>
      <c r="Q225" t="s">
        <v>7</v>
      </c>
      <c r="R225">
        <v>14336</v>
      </c>
      <c r="S225">
        <v>256</v>
      </c>
      <c r="T225">
        <v>1</v>
      </c>
      <c r="U225">
        <v>4</v>
      </c>
      <c r="V225">
        <v>452.49</v>
      </c>
      <c r="W225" s="21">
        <v>4.3417000000000003</v>
      </c>
      <c r="X225" s="26">
        <v>45475</v>
      </c>
      <c r="Y225" s="27">
        <v>5.9166666666666666E-2</v>
      </c>
      <c r="Z225">
        <v>0</v>
      </c>
      <c r="AA225">
        <v>0</v>
      </c>
      <c r="AB225">
        <v>0</v>
      </c>
      <c r="AC225" s="77"/>
    </row>
    <row r="226" spans="1:29" x14ac:dyDescent="0.25">
      <c r="A226" s="44">
        <v>2</v>
      </c>
      <c r="B226" s="44" t="s">
        <v>7</v>
      </c>
      <c r="C226" s="46">
        <v>14336</v>
      </c>
      <c r="D226" s="46">
        <v>256</v>
      </c>
      <c r="E226" s="46">
        <v>1</v>
      </c>
      <c r="F226" s="46">
        <v>4</v>
      </c>
      <c r="G226" s="47">
        <v>480.1</v>
      </c>
      <c r="H226" s="51">
        <v>4.0919999999999996</v>
      </c>
      <c r="I226" s="17">
        <v>45475</v>
      </c>
      <c r="J226" s="18">
        <v>0.19278935185185186</v>
      </c>
      <c r="K226">
        <v>0</v>
      </c>
      <c r="L226">
        <v>0</v>
      </c>
      <c r="M226">
        <v>0</v>
      </c>
      <c r="N226" s="76"/>
      <c r="P226">
        <v>2</v>
      </c>
      <c r="Q226" t="s">
        <v>7</v>
      </c>
      <c r="R226">
        <v>14336</v>
      </c>
      <c r="S226">
        <v>256</v>
      </c>
      <c r="T226">
        <v>1</v>
      </c>
      <c r="U226">
        <v>4</v>
      </c>
      <c r="V226">
        <v>452.79</v>
      </c>
      <c r="W226" s="21">
        <v>4.3387000000000002</v>
      </c>
      <c r="X226" s="26">
        <v>45475</v>
      </c>
      <c r="Y226" s="27">
        <v>0.34290509259259261</v>
      </c>
      <c r="Z226">
        <v>0</v>
      </c>
      <c r="AA226">
        <v>0</v>
      </c>
      <c r="AB226">
        <v>0</v>
      </c>
      <c r="AC226" s="77"/>
    </row>
    <row r="227" spans="1:29" x14ac:dyDescent="0.25">
      <c r="A227" s="42">
        <v>3</v>
      </c>
      <c r="B227" s="42" t="s">
        <v>7</v>
      </c>
      <c r="C227" s="43">
        <v>14336</v>
      </c>
      <c r="D227" s="43">
        <v>256</v>
      </c>
      <c r="E227" s="43">
        <v>1</v>
      </c>
      <c r="F227" s="43">
        <v>4</v>
      </c>
      <c r="G227" s="43">
        <v>480.63</v>
      </c>
      <c r="H227" s="50">
        <v>4.0875000000000004</v>
      </c>
      <c r="I227" s="23">
        <v>45475</v>
      </c>
      <c r="J227" s="24">
        <v>0.42630787037037038</v>
      </c>
      <c r="K227" s="22">
        <v>0</v>
      </c>
      <c r="L227" s="22">
        <v>0</v>
      </c>
      <c r="M227" s="22">
        <v>0</v>
      </c>
      <c r="N227" s="76"/>
      <c r="P227">
        <v>3</v>
      </c>
      <c r="Q227" t="s">
        <v>7</v>
      </c>
      <c r="R227">
        <v>14336</v>
      </c>
      <c r="S227">
        <v>256</v>
      </c>
      <c r="T227">
        <v>1</v>
      </c>
      <c r="U227">
        <v>4</v>
      </c>
      <c r="V227">
        <v>453.92</v>
      </c>
      <c r="W227" s="21">
        <v>4.3278999999999996</v>
      </c>
      <c r="X227" s="26">
        <v>45475</v>
      </c>
      <c r="Y227" s="27">
        <v>0.62656250000000002</v>
      </c>
      <c r="Z227">
        <v>0</v>
      </c>
      <c r="AA227">
        <v>0</v>
      </c>
      <c r="AB227">
        <v>0</v>
      </c>
      <c r="AC227" s="77"/>
    </row>
    <row r="228" spans="1:29" x14ac:dyDescent="0.25">
      <c r="A228" s="44">
        <v>4</v>
      </c>
      <c r="B228" s="44" t="s">
        <v>7</v>
      </c>
      <c r="C228" s="46">
        <v>14336</v>
      </c>
      <c r="D228" s="46">
        <v>256</v>
      </c>
      <c r="E228" s="46">
        <v>1</v>
      </c>
      <c r="F228" s="46">
        <v>4</v>
      </c>
      <c r="G228" s="47">
        <v>480.58</v>
      </c>
      <c r="H228" s="51">
        <v>4.0877999999999997</v>
      </c>
      <c r="I228" s="17">
        <v>45475</v>
      </c>
      <c r="J228" s="18">
        <v>0.6597453703703704</v>
      </c>
      <c r="K228">
        <v>0</v>
      </c>
      <c r="L228">
        <v>0</v>
      </c>
      <c r="M228">
        <v>0</v>
      </c>
      <c r="N228" s="76"/>
      <c r="P228">
        <v>4</v>
      </c>
      <c r="Q228" t="s">
        <v>7</v>
      </c>
      <c r="R228">
        <v>14336</v>
      </c>
      <c r="S228">
        <v>256</v>
      </c>
      <c r="T228">
        <v>1</v>
      </c>
      <c r="U228">
        <v>4</v>
      </c>
      <c r="V228">
        <v>450.58</v>
      </c>
      <c r="W228" s="21">
        <v>4.3600000000000003</v>
      </c>
      <c r="X228" s="26">
        <v>45475</v>
      </c>
      <c r="Y228" s="27">
        <v>0.90929398148148144</v>
      </c>
      <c r="Z228">
        <v>0</v>
      </c>
      <c r="AA228">
        <v>0</v>
      </c>
      <c r="AB228">
        <v>0</v>
      </c>
      <c r="AC228" s="77"/>
    </row>
    <row r="229" spans="1:29" x14ac:dyDescent="0.25">
      <c r="A229" s="42">
        <v>0</v>
      </c>
      <c r="B229" s="42" t="s">
        <v>7</v>
      </c>
      <c r="C229" s="43">
        <v>12800</v>
      </c>
      <c r="D229" s="43">
        <v>256</v>
      </c>
      <c r="E229" s="43">
        <v>2</v>
      </c>
      <c r="F229" s="43">
        <v>2</v>
      </c>
      <c r="G229" s="43">
        <v>330.05</v>
      </c>
      <c r="H229" s="50">
        <v>4.2367999999999997</v>
      </c>
      <c r="I229" s="23">
        <v>45474</v>
      </c>
      <c r="J229" s="24">
        <v>0.56232638888888886</v>
      </c>
      <c r="K229" s="22">
        <v>0</v>
      </c>
      <c r="L229" s="22">
        <v>0</v>
      </c>
      <c r="M229" s="22">
        <v>0</v>
      </c>
      <c r="N229" s="76">
        <f>AVERAGE(H229:H233)</f>
        <v>4.2355999999999998</v>
      </c>
      <c r="P229">
        <v>0</v>
      </c>
      <c r="Q229" t="s">
        <v>7</v>
      </c>
      <c r="R229">
        <v>12800</v>
      </c>
      <c r="S229">
        <v>256</v>
      </c>
      <c r="T229">
        <v>2</v>
      </c>
      <c r="U229">
        <v>2</v>
      </c>
      <c r="V229">
        <v>360.45</v>
      </c>
      <c r="W229" s="21">
        <v>3.8794</v>
      </c>
      <c r="X229" s="26">
        <v>45474</v>
      </c>
      <c r="Y229" s="28">
        <v>0.57874999999999999</v>
      </c>
      <c r="Z229">
        <v>0</v>
      </c>
      <c r="AA229">
        <v>0</v>
      </c>
      <c r="AB229">
        <v>0</v>
      </c>
      <c r="AC229" s="77">
        <f t="shared" ref="AC229" si="44">AVERAGE(W229:W233)</f>
        <v>3.8787600000000007</v>
      </c>
    </row>
    <row r="230" spans="1:29" x14ac:dyDescent="0.25">
      <c r="A230" s="44">
        <v>1</v>
      </c>
      <c r="B230" s="44" t="s">
        <v>7</v>
      </c>
      <c r="C230" s="46">
        <v>12800</v>
      </c>
      <c r="D230" s="46">
        <v>256</v>
      </c>
      <c r="E230" s="46">
        <v>2</v>
      </c>
      <c r="F230" s="46">
        <v>2</v>
      </c>
      <c r="G230" s="47">
        <v>330.03</v>
      </c>
      <c r="H230" s="51">
        <v>4.2370999999999999</v>
      </c>
      <c r="I230" s="17">
        <v>45474</v>
      </c>
      <c r="J230" s="18">
        <v>0.79616898148148152</v>
      </c>
      <c r="K230">
        <v>0</v>
      </c>
      <c r="L230">
        <v>0</v>
      </c>
      <c r="M230">
        <v>0</v>
      </c>
      <c r="N230" s="76"/>
      <c r="P230">
        <v>1</v>
      </c>
      <c r="Q230" t="s">
        <v>7</v>
      </c>
      <c r="R230">
        <v>12800</v>
      </c>
      <c r="S230">
        <v>256</v>
      </c>
      <c r="T230">
        <v>2</v>
      </c>
      <c r="U230">
        <v>2</v>
      </c>
      <c r="V230">
        <v>359.65</v>
      </c>
      <c r="W230" s="21">
        <v>3.8879999999999999</v>
      </c>
      <c r="X230" s="26">
        <v>45474</v>
      </c>
      <c r="Y230" s="27">
        <v>0.86348379629629635</v>
      </c>
      <c r="Z230">
        <v>0</v>
      </c>
      <c r="AA230">
        <v>0</v>
      </c>
      <c r="AB230">
        <v>0</v>
      </c>
      <c r="AC230" s="77"/>
    </row>
    <row r="231" spans="1:29" x14ac:dyDescent="0.25">
      <c r="A231" s="44">
        <v>2</v>
      </c>
      <c r="B231" s="44" t="s">
        <v>7</v>
      </c>
      <c r="C231" s="45">
        <v>12800</v>
      </c>
      <c r="D231" s="45">
        <v>256</v>
      </c>
      <c r="E231" s="45">
        <v>2</v>
      </c>
      <c r="F231" s="45">
        <v>2</v>
      </c>
      <c r="G231" s="45">
        <v>330.21</v>
      </c>
      <c r="H231" s="51">
        <v>4.2347000000000001</v>
      </c>
      <c r="I231" s="17">
        <v>45475</v>
      </c>
      <c r="J231" s="18">
        <v>2.991898148148148E-2</v>
      </c>
      <c r="K231">
        <v>0</v>
      </c>
      <c r="L231">
        <v>0</v>
      </c>
      <c r="M231">
        <v>0</v>
      </c>
      <c r="N231" s="76"/>
      <c r="P231">
        <v>2</v>
      </c>
      <c r="Q231" t="s">
        <v>7</v>
      </c>
      <c r="R231">
        <v>12800</v>
      </c>
      <c r="S231">
        <v>256</v>
      </c>
      <c r="T231">
        <v>2</v>
      </c>
      <c r="U231">
        <v>2</v>
      </c>
      <c r="V231">
        <v>359.03</v>
      </c>
      <c r="W231" s="21">
        <v>3.8948</v>
      </c>
      <c r="X231" s="26">
        <v>45475</v>
      </c>
      <c r="Y231" s="27">
        <v>0.14723379629629629</v>
      </c>
      <c r="Z231">
        <v>0</v>
      </c>
      <c r="AA231">
        <v>0</v>
      </c>
      <c r="AB231">
        <v>0</v>
      </c>
      <c r="AC231" s="77"/>
    </row>
    <row r="232" spans="1:29" x14ac:dyDescent="0.25">
      <c r="A232" s="44">
        <v>3</v>
      </c>
      <c r="B232" s="44" t="s">
        <v>7</v>
      </c>
      <c r="C232" s="46">
        <v>12800</v>
      </c>
      <c r="D232" s="46">
        <v>256</v>
      </c>
      <c r="E232" s="46">
        <v>2</v>
      </c>
      <c r="F232" s="46">
        <v>2</v>
      </c>
      <c r="G232" s="47">
        <v>330.33</v>
      </c>
      <c r="H232" s="51">
        <v>4.2332000000000001</v>
      </c>
      <c r="I232" s="17">
        <v>45475</v>
      </c>
      <c r="J232" s="18">
        <v>0.26347222222222222</v>
      </c>
      <c r="K232">
        <v>0</v>
      </c>
      <c r="L232">
        <v>0</v>
      </c>
      <c r="M232">
        <v>0</v>
      </c>
      <c r="N232" s="76"/>
      <c r="P232">
        <v>3</v>
      </c>
      <c r="Q232" t="s">
        <v>7</v>
      </c>
      <c r="R232">
        <v>12800</v>
      </c>
      <c r="S232">
        <v>256</v>
      </c>
      <c r="T232">
        <v>2</v>
      </c>
      <c r="U232">
        <v>2</v>
      </c>
      <c r="V232">
        <v>359.98</v>
      </c>
      <c r="W232" s="21">
        <v>3.8845000000000001</v>
      </c>
      <c r="X232" s="26">
        <v>45475</v>
      </c>
      <c r="Y232" s="27">
        <v>0.43108796296296298</v>
      </c>
      <c r="Z232">
        <v>0</v>
      </c>
      <c r="AA232">
        <v>0</v>
      </c>
      <c r="AB232">
        <v>0</v>
      </c>
      <c r="AC232" s="77"/>
    </row>
    <row r="233" spans="1:29" x14ac:dyDescent="0.25">
      <c r="A233" s="44">
        <v>4</v>
      </c>
      <c r="B233" s="44" t="s">
        <v>7</v>
      </c>
      <c r="C233" s="46">
        <v>12800</v>
      </c>
      <c r="D233" s="46">
        <v>256</v>
      </c>
      <c r="E233" s="46">
        <v>2</v>
      </c>
      <c r="F233" s="46">
        <v>2</v>
      </c>
      <c r="G233" s="47">
        <v>330.09</v>
      </c>
      <c r="H233" s="51">
        <v>4.2362000000000002</v>
      </c>
      <c r="I233" s="17">
        <v>45475</v>
      </c>
      <c r="J233" s="18">
        <v>0.49697916666666669</v>
      </c>
      <c r="K233">
        <v>0</v>
      </c>
      <c r="L233">
        <v>0</v>
      </c>
      <c r="M233">
        <v>0</v>
      </c>
      <c r="N233" s="76"/>
      <c r="P233">
        <v>4</v>
      </c>
      <c r="Q233" t="s">
        <v>7</v>
      </c>
      <c r="R233">
        <v>12800</v>
      </c>
      <c r="S233">
        <v>256</v>
      </c>
      <c r="T233">
        <v>2</v>
      </c>
      <c r="U233">
        <v>2</v>
      </c>
      <c r="V233">
        <v>363.48</v>
      </c>
      <c r="W233" s="21">
        <v>3.8471000000000002</v>
      </c>
      <c r="X233" s="26">
        <v>45475</v>
      </c>
      <c r="Y233" s="27">
        <v>0.71486111111111106</v>
      </c>
      <c r="Z233">
        <v>0</v>
      </c>
      <c r="AA233">
        <v>0</v>
      </c>
      <c r="AB233">
        <v>0</v>
      </c>
      <c r="AC233" s="77"/>
    </row>
    <row r="234" spans="1:29" x14ac:dyDescent="0.25">
      <c r="A234" s="44">
        <v>0</v>
      </c>
      <c r="B234" s="44" t="s">
        <v>7</v>
      </c>
      <c r="C234" s="45">
        <v>13568</v>
      </c>
      <c r="D234" s="45">
        <v>256</v>
      </c>
      <c r="E234" s="45">
        <v>2</v>
      </c>
      <c r="F234" s="45">
        <v>2</v>
      </c>
      <c r="G234" s="45">
        <v>393.39</v>
      </c>
      <c r="H234" s="51">
        <v>4.2335000000000003</v>
      </c>
      <c r="I234" s="17">
        <v>45474</v>
      </c>
      <c r="J234" s="18">
        <v>0.64019675925925923</v>
      </c>
      <c r="K234">
        <v>0</v>
      </c>
      <c r="L234">
        <v>0</v>
      </c>
      <c r="M234">
        <v>0</v>
      </c>
      <c r="N234" s="76">
        <f>AVERAGE(H234:H238)</f>
        <v>4.2350000000000003</v>
      </c>
      <c r="P234">
        <v>0</v>
      </c>
      <c r="Q234" t="s">
        <v>7</v>
      </c>
      <c r="R234">
        <v>13568</v>
      </c>
      <c r="S234">
        <v>256</v>
      </c>
      <c r="T234">
        <v>2</v>
      </c>
      <c r="U234">
        <v>2</v>
      </c>
      <c r="V234">
        <v>420.41</v>
      </c>
      <c r="W234" s="21">
        <v>3.9613999999999998</v>
      </c>
      <c r="X234" s="26">
        <v>45474</v>
      </c>
      <c r="Y234" s="27">
        <v>0.6731597222222222</v>
      </c>
      <c r="Z234">
        <v>0</v>
      </c>
      <c r="AA234">
        <v>0</v>
      </c>
      <c r="AB234">
        <v>0</v>
      </c>
      <c r="AC234" s="77">
        <f t="shared" ref="AC234" si="45">AVERAGE(W234:W238)</f>
        <v>3.9777399999999998</v>
      </c>
    </row>
    <row r="235" spans="1:29" x14ac:dyDescent="0.25">
      <c r="A235" s="44">
        <v>1</v>
      </c>
      <c r="B235" s="44" t="s">
        <v>7</v>
      </c>
      <c r="C235" s="46">
        <v>13568</v>
      </c>
      <c r="D235" s="46">
        <v>256</v>
      </c>
      <c r="E235" s="46">
        <v>2</v>
      </c>
      <c r="F235" s="46">
        <v>2</v>
      </c>
      <c r="G235" s="47">
        <v>393.39</v>
      </c>
      <c r="H235" s="51">
        <v>4.2335000000000003</v>
      </c>
      <c r="I235" s="17">
        <v>45474</v>
      </c>
      <c r="J235" s="18">
        <v>0.87384259259259256</v>
      </c>
      <c r="K235">
        <v>0</v>
      </c>
      <c r="L235">
        <v>0</v>
      </c>
      <c r="M235">
        <v>0</v>
      </c>
      <c r="N235" s="76"/>
      <c r="P235">
        <v>1</v>
      </c>
      <c r="Q235" t="s">
        <v>7</v>
      </c>
      <c r="R235">
        <v>13568</v>
      </c>
      <c r="S235">
        <v>256</v>
      </c>
      <c r="T235">
        <v>2</v>
      </c>
      <c r="U235">
        <v>2</v>
      </c>
      <c r="V235">
        <v>418.38</v>
      </c>
      <c r="W235" s="21">
        <v>3.9807000000000001</v>
      </c>
      <c r="X235" s="26">
        <v>45474</v>
      </c>
      <c r="Y235" s="27">
        <v>0.95758101851851851</v>
      </c>
      <c r="Z235">
        <v>0</v>
      </c>
      <c r="AA235">
        <v>0</v>
      </c>
      <c r="AB235">
        <v>0</v>
      </c>
      <c r="AC235" s="77"/>
    </row>
    <row r="236" spans="1:29" x14ac:dyDescent="0.25">
      <c r="A236" s="44">
        <v>2</v>
      </c>
      <c r="B236" s="44" t="s">
        <v>7</v>
      </c>
      <c r="C236" s="46">
        <v>13568</v>
      </c>
      <c r="D236" s="46">
        <v>256</v>
      </c>
      <c r="E236" s="46">
        <v>2</v>
      </c>
      <c r="F236" s="46">
        <v>2</v>
      </c>
      <c r="G236" s="47">
        <v>392.54</v>
      </c>
      <c r="H236" s="51">
        <v>4.2427000000000001</v>
      </c>
      <c r="I236" s="17">
        <v>45475</v>
      </c>
      <c r="J236" s="18">
        <v>0.1075</v>
      </c>
      <c r="K236">
        <v>0</v>
      </c>
      <c r="L236">
        <v>0</v>
      </c>
      <c r="M236">
        <v>0</v>
      </c>
      <c r="N236" s="76"/>
      <c r="P236">
        <v>2</v>
      </c>
      <c r="Q236" t="s">
        <v>7</v>
      </c>
      <c r="R236">
        <v>13568</v>
      </c>
      <c r="S236">
        <v>256</v>
      </c>
      <c r="T236">
        <v>2</v>
      </c>
      <c r="U236">
        <v>2</v>
      </c>
      <c r="V236">
        <v>418.04</v>
      </c>
      <c r="W236" s="21">
        <v>3.9839000000000002</v>
      </c>
      <c r="X236" s="26">
        <v>45475</v>
      </c>
      <c r="Y236" s="27">
        <v>0.24141203703703704</v>
      </c>
      <c r="Z236">
        <v>0</v>
      </c>
      <c r="AA236">
        <v>0</v>
      </c>
      <c r="AB236">
        <v>0</v>
      </c>
      <c r="AC236" s="77"/>
    </row>
    <row r="237" spans="1:29" x14ac:dyDescent="0.25">
      <c r="A237" s="42">
        <v>3</v>
      </c>
      <c r="B237" s="42" t="s">
        <v>7</v>
      </c>
      <c r="C237" s="43">
        <v>13568</v>
      </c>
      <c r="D237" s="43">
        <v>256</v>
      </c>
      <c r="E237" s="43">
        <v>2</v>
      </c>
      <c r="F237" s="43">
        <v>2</v>
      </c>
      <c r="G237" s="43">
        <v>393.63</v>
      </c>
      <c r="H237" s="50">
        <v>4.2309999999999999</v>
      </c>
      <c r="I237" s="23">
        <v>45475</v>
      </c>
      <c r="J237" s="24">
        <v>0.34104166666666669</v>
      </c>
      <c r="K237" s="22">
        <v>0</v>
      </c>
      <c r="L237" s="22">
        <v>0</v>
      </c>
      <c r="M237" s="22">
        <v>0</v>
      </c>
      <c r="N237" s="76"/>
      <c r="P237">
        <v>3</v>
      </c>
      <c r="Q237" t="s">
        <v>7</v>
      </c>
      <c r="R237">
        <v>13568</v>
      </c>
      <c r="S237">
        <v>256</v>
      </c>
      <c r="T237">
        <v>2</v>
      </c>
      <c r="U237">
        <v>2</v>
      </c>
      <c r="V237">
        <v>418.04</v>
      </c>
      <c r="W237" s="21">
        <v>3.9839000000000002</v>
      </c>
      <c r="X237" s="26">
        <v>45475</v>
      </c>
      <c r="Y237" s="27">
        <v>0.52501157407407406</v>
      </c>
      <c r="Z237">
        <v>0</v>
      </c>
      <c r="AA237">
        <v>0</v>
      </c>
      <c r="AB237">
        <v>0</v>
      </c>
      <c r="AC237" s="77"/>
    </row>
    <row r="238" spans="1:29" x14ac:dyDescent="0.25">
      <c r="A238" s="44">
        <v>4</v>
      </c>
      <c r="B238" s="44" t="s">
        <v>7</v>
      </c>
      <c r="C238" s="46">
        <v>13568</v>
      </c>
      <c r="D238" s="46">
        <v>256</v>
      </c>
      <c r="E238" s="46">
        <v>2</v>
      </c>
      <c r="F238" s="46">
        <v>2</v>
      </c>
      <c r="G238" s="47">
        <v>393.32</v>
      </c>
      <c r="H238" s="51">
        <v>4.2343000000000002</v>
      </c>
      <c r="I238" s="17">
        <v>45475</v>
      </c>
      <c r="J238" s="18">
        <v>0.57447916666666665</v>
      </c>
      <c r="K238">
        <v>0</v>
      </c>
      <c r="L238">
        <v>0</v>
      </c>
      <c r="M238">
        <v>0</v>
      </c>
      <c r="N238" s="76"/>
      <c r="P238">
        <v>4</v>
      </c>
      <c r="Q238" t="s">
        <v>7</v>
      </c>
      <c r="R238">
        <v>13568</v>
      </c>
      <c r="S238">
        <v>256</v>
      </c>
      <c r="T238">
        <v>2</v>
      </c>
      <c r="U238">
        <v>2</v>
      </c>
      <c r="V238">
        <v>418.58</v>
      </c>
      <c r="W238" s="21">
        <v>3.9788000000000001</v>
      </c>
      <c r="X238" s="26">
        <v>45475</v>
      </c>
      <c r="Y238" s="27">
        <v>0.80835648148148154</v>
      </c>
      <c r="Z238">
        <v>0</v>
      </c>
      <c r="AA238">
        <v>0</v>
      </c>
      <c r="AB238">
        <v>0</v>
      </c>
      <c r="AC238" s="77"/>
    </row>
    <row r="239" spans="1:29" x14ac:dyDescent="0.25">
      <c r="A239" s="44">
        <v>0</v>
      </c>
      <c r="B239" s="44" t="s">
        <v>7</v>
      </c>
      <c r="C239" s="46">
        <v>14336</v>
      </c>
      <c r="D239" s="46">
        <v>256</v>
      </c>
      <c r="E239" s="46">
        <v>2</v>
      </c>
      <c r="F239" s="46">
        <v>2</v>
      </c>
      <c r="G239" s="47">
        <v>464.63</v>
      </c>
      <c r="H239" s="51">
        <v>4.2282000000000002</v>
      </c>
      <c r="I239" s="17">
        <v>45474</v>
      </c>
      <c r="J239" s="18">
        <v>0.73097222222222225</v>
      </c>
      <c r="K239">
        <v>0</v>
      </c>
      <c r="L239">
        <v>0</v>
      </c>
      <c r="M239">
        <v>0</v>
      </c>
      <c r="N239" s="76">
        <f>AVERAGE(H239:H243)</f>
        <v>4.2256200000000002</v>
      </c>
      <c r="P239">
        <v>0</v>
      </c>
      <c r="Q239" t="s">
        <v>7</v>
      </c>
      <c r="R239">
        <v>14336</v>
      </c>
      <c r="S239">
        <v>256</v>
      </c>
      <c r="T239">
        <v>2</v>
      </c>
      <c r="U239">
        <v>2</v>
      </c>
      <c r="V239">
        <v>485.34</v>
      </c>
      <c r="W239" s="21">
        <v>4.0476999999999999</v>
      </c>
      <c r="X239" s="26">
        <v>45474</v>
      </c>
      <c r="Y239" s="27">
        <v>0.78197916666666667</v>
      </c>
      <c r="Z239">
        <v>0</v>
      </c>
      <c r="AA239">
        <v>0</v>
      </c>
      <c r="AB239">
        <v>0</v>
      </c>
      <c r="AC239" s="77">
        <f t="shared" ref="AC239" si="46">AVERAGE(W239:W243)</f>
        <v>4.0524399999999998</v>
      </c>
    </row>
    <row r="240" spans="1:29" x14ac:dyDescent="0.25">
      <c r="A240" s="42">
        <v>1</v>
      </c>
      <c r="B240" s="42" t="s">
        <v>7</v>
      </c>
      <c r="C240" s="43">
        <v>14336</v>
      </c>
      <c r="D240" s="43">
        <v>256</v>
      </c>
      <c r="E240" s="43">
        <v>2</v>
      </c>
      <c r="F240" s="43">
        <v>2</v>
      </c>
      <c r="G240" s="43">
        <v>464.83</v>
      </c>
      <c r="H240" s="50">
        <v>4.2263000000000002</v>
      </c>
      <c r="I240" s="23">
        <v>45474</v>
      </c>
      <c r="J240" s="24">
        <v>0.96478009259259256</v>
      </c>
      <c r="K240" s="22">
        <v>0</v>
      </c>
      <c r="L240" s="22">
        <v>0</v>
      </c>
      <c r="M240" s="22">
        <v>0</v>
      </c>
      <c r="N240" s="76"/>
      <c r="P240">
        <v>1</v>
      </c>
      <c r="Q240" t="s">
        <v>7</v>
      </c>
      <c r="R240">
        <v>14336</v>
      </c>
      <c r="S240">
        <v>256</v>
      </c>
      <c r="T240">
        <v>2</v>
      </c>
      <c r="U240">
        <v>2</v>
      </c>
      <c r="V240">
        <v>485.83</v>
      </c>
      <c r="W240" s="21">
        <v>4.0437000000000003</v>
      </c>
      <c r="X240" s="26">
        <v>45475</v>
      </c>
      <c r="Y240" s="27">
        <v>6.6006944444444438E-2</v>
      </c>
      <c r="Z240">
        <v>0</v>
      </c>
      <c r="AA240">
        <v>0</v>
      </c>
      <c r="AB240">
        <v>0</v>
      </c>
      <c r="AC240" s="77"/>
    </row>
    <row r="241" spans="1:29" x14ac:dyDescent="0.25">
      <c r="A241" s="44">
        <v>2</v>
      </c>
      <c r="B241" s="44" t="s">
        <v>7</v>
      </c>
      <c r="C241" s="46">
        <v>14336</v>
      </c>
      <c r="D241" s="46">
        <v>256</v>
      </c>
      <c r="E241" s="46">
        <v>2</v>
      </c>
      <c r="F241" s="46">
        <v>2</v>
      </c>
      <c r="G241" s="47">
        <v>465.02</v>
      </c>
      <c r="H241" s="51">
        <v>4.2245999999999997</v>
      </c>
      <c r="I241" s="17">
        <v>45475</v>
      </c>
      <c r="J241" s="18">
        <v>0.19839120370370369</v>
      </c>
      <c r="K241">
        <v>0</v>
      </c>
      <c r="L241">
        <v>0</v>
      </c>
      <c r="M241">
        <v>0</v>
      </c>
      <c r="N241" s="76"/>
      <c r="P241">
        <v>2</v>
      </c>
      <c r="Q241" t="s">
        <v>7</v>
      </c>
      <c r="R241">
        <v>14336</v>
      </c>
      <c r="S241">
        <v>256</v>
      </c>
      <c r="T241">
        <v>2</v>
      </c>
      <c r="U241">
        <v>2</v>
      </c>
      <c r="V241">
        <v>483.86</v>
      </c>
      <c r="W241" s="21">
        <v>4.0601000000000003</v>
      </c>
      <c r="X241" s="26">
        <v>45475</v>
      </c>
      <c r="Y241" s="27">
        <v>0.34971064814814817</v>
      </c>
      <c r="Z241">
        <v>0</v>
      </c>
      <c r="AA241">
        <v>0</v>
      </c>
      <c r="AB241">
        <v>0</v>
      </c>
      <c r="AC241" s="77"/>
    </row>
    <row r="242" spans="1:29" x14ac:dyDescent="0.25">
      <c r="A242" s="44">
        <v>3</v>
      </c>
      <c r="B242" s="44" t="s">
        <v>7</v>
      </c>
      <c r="C242" s="45">
        <v>14336</v>
      </c>
      <c r="D242" s="45">
        <v>256</v>
      </c>
      <c r="E242" s="45">
        <v>2</v>
      </c>
      <c r="F242" s="45">
        <v>2</v>
      </c>
      <c r="G242" s="45">
        <v>464.61</v>
      </c>
      <c r="H242" s="51">
        <v>4.2282999999999999</v>
      </c>
      <c r="I242" s="17">
        <v>45475</v>
      </c>
      <c r="J242" s="18">
        <v>0.43189814814814814</v>
      </c>
      <c r="K242">
        <v>0</v>
      </c>
      <c r="L242">
        <v>0</v>
      </c>
      <c r="M242">
        <v>0</v>
      </c>
      <c r="N242" s="76"/>
      <c r="P242">
        <v>3</v>
      </c>
      <c r="Q242" t="s">
        <v>7</v>
      </c>
      <c r="R242">
        <v>14336</v>
      </c>
      <c r="S242">
        <v>256</v>
      </c>
      <c r="T242">
        <v>2</v>
      </c>
      <c r="U242">
        <v>2</v>
      </c>
      <c r="V242">
        <v>484.33</v>
      </c>
      <c r="W242" s="21">
        <v>4.0561999999999996</v>
      </c>
      <c r="X242" s="26">
        <v>45475</v>
      </c>
      <c r="Y242" s="27">
        <v>0.63337962962962968</v>
      </c>
      <c r="Z242">
        <v>0</v>
      </c>
      <c r="AA242">
        <v>0</v>
      </c>
      <c r="AB242">
        <v>0</v>
      </c>
      <c r="AC242" s="77"/>
    </row>
    <row r="243" spans="1:29" x14ac:dyDescent="0.25">
      <c r="A243" s="44">
        <v>4</v>
      </c>
      <c r="B243" s="44" t="s">
        <v>7</v>
      </c>
      <c r="C243" s="46">
        <v>14336</v>
      </c>
      <c r="D243" s="46">
        <v>256</v>
      </c>
      <c r="E243" s="46">
        <v>2</v>
      </c>
      <c r="F243" s="46">
        <v>2</v>
      </c>
      <c r="G243" s="47">
        <v>465.46</v>
      </c>
      <c r="H243" s="51">
        <v>4.2206999999999999</v>
      </c>
      <c r="I243" s="17">
        <v>45475</v>
      </c>
      <c r="J243" s="18">
        <v>0.66535879629629635</v>
      </c>
      <c r="K243">
        <v>0</v>
      </c>
      <c r="L243">
        <v>0</v>
      </c>
      <c r="M243">
        <v>0</v>
      </c>
      <c r="N243" s="76"/>
      <c r="P243">
        <v>4</v>
      </c>
      <c r="Q243" t="s">
        <v>7</v>
      </c>
      <c r="R243">
        <v>14336</v>
      </c>
      <c r="S243">
        <v>256</v>
      </c>
      <c r="T243">
        <v>2</v>
      </c>
      <c r="U243">
        <v>2</v>
      </c>
      <c r="V243">
        <v>484.53</v>
      </c>
      <c r="W243" s="21">
        <v>4.0545</v>
      </c>
      <c r="X243" s="26">
        <v>45475</v>
      </c>
      <c r="Y243" s="27">
        <v>0.91608796296296291</v>
      </c>
      <c r="Z243">
        <v>0</v>
      </c>
      <c r="AA243">
        <v>0</v>
      </c>
      <c r="AB243">
        <v>0</v>
      </c>
      <c r="AC243" s="77"/>
    </row>
    <row r="244" spans="1:29" x14ac:dyDescent="0.25">
      <c r="A244" s="42"/>
      <c r="B244" s="42"/>
      <c r="C244" s="43"/>
      <c r="D244" s="43"/>
      <c r="E244" s="43"/>
      <c r="F244" s="43"/>
      <c r="G244" s="43"/>
      <c r="H244" s="50"/>
      <c r="I244" s="23"/>
      <c r="J244" s="24"/>
      <c r="K244" s="22"/>
      <c r="L244" s="22"/>
      <c r="M244" s="22"/>
      <c r="N244" s="54"/>
      <c r="W244" s="21"/>
      <c r="X244" s="26"/>
      <c r="AC244" s="55"/>
    </row>
    <row r="245" spans="1:29" x14ac:dyDescent="0.25">
      <c r="A245" s="44"/>
      <c r="B245" s="44"/>
      <c r="C245" s="45"/>
      <c r="D245" s="45"/>
      <c r="E245" s="45"/>
      <c r="F245" s="45"/>
      <c r="G245" s="45"/>
      <c r="H245" s="51"/>
      <c r="I245" s="17"/>
      <c r="J245" s="18"/>
      <c r="N245" s="54"/>
      <c r="W245" s="21"/>
      <c r="X245" s="26"/>
      <c r="AC245" s="55"/>
    </row>
    <row r="246" spans="1:29" x14ac:dyDescent="0.25">
      <c r="A246" s="44"/>
      <c r="B246" s="44"/>
      <c r="C246" s="46"/>
      <c r="D246" s="46"/>
      <c r="E246" s="46"/>
      <c r="F246" s="46"/>
      <c r="G246" s="47"/>
      <c r="H246" s="51"/>
      <c r="I246" s="17"/>
      <c r="J246" s="18"/>
      <c r="N246" s="54"/>
      <c r="W246" s="21"/>
      <c r="X246" s="26"/>
      <c r="AC246" s="55"/>
    </row>
    <row r="247" spans="1:29" x14ac:dyDescent="0.25">
      <c r="A247" s="44"/>
      <c r="B247" s="44"/>
      <c r="C247" s="46"/>
      <c r="D247" s="46"/>
      <c r="E247" s="46"/>
      <c r="F247" s="46"/>
      <c r="G247" s="47"/>
      <c r="H247" s="51"/>
      <c r="I247" s="17"/>
      <c r="J247" s="18"/>
      <c r="N247" s="54"/>
      <c r="W247" s="21"/>
      <c r="X247" s="26"/>
      <c r="AC247" s="55"/>
    </row>
    <row r="248" spans="1:29" x14ac:dyDescent="0.25">
      <c r="A248" s="44"/>
      <c r="B248" s="44"/>
      <c r="C248" s="46"/>
      <c r="D248" s="46"/>
      <c r="E248" s="46"/>
      <c r="F248" s="46"/>
      <c r="G248" s="47"/>
      <c r="H248" s="51"/>
      <c r="I248" s="17"/>
      <c r="J248" s="18"/>
      <c r="N248" s="54"/>
      <c r="W248" s="21"/>
      <c r="X248" s="26"/>
      <c r="AC248" s="55"/>
    </row>
    <row r="249" spans="1:29" x14ac:dyDescent="0.25">
      <c r="A249" s="42"/>
      <c r="B249" s="42"/>
      <c r="C249" s="43"/>
      <c r="D249" s="43"/>
      <c r="E249" s="43"/>
      <c r="F249" s="43"/>
      <c r="G249" s="43"/>
      <c r="H249" s="50"/>
      <c r="I249" s="23"/>
      <c r="J249" s="24"/>
      <c r="K249" s="22"/>
      <c r="L249" s="22"/>
      <c r="M249" s="22"/>
      <c r="N249" s="54"/>
      <c r="W249" s="21"/>
      <c r="X249" s="26"/>
      <c r="AC249" s="55"/>
    </row>
    <row r="250" spans="1:29" x14ac:dyDescent="0.25">
      <c r="A250" s="44"/>
      <c r="B250" s="44"/>
      <c r="C250" s="45"/>
      <c r="D250" s="45"/>
      <c r="E250" s="45"/>
      <c r="F250" s="45"/>
      <c r="G250" s="45"/>
      <c r="H250" s="51"/>
      <c r="I250" s="17"/>
      <c r="J250" s="18"/>
      <c r="N250" s="54"/>
      <c r="W250" s="21"/>
      <c r="X250" s="26"/>
      <c r="AC250" s="55"/>
    </row>
    <row r="251" spans="1:29" x14ac:dyDescent="0.25">
      <c r="A251" s="44"/>
      <c r="B251" s="44"/>
      <c r="C251" s="46"/>
      <c r="D251" s="46"/>
      <c r="E251" s="46"/>
      <c r="F251" s="46"/>
      <c r="G251" s="47"/>
      <c r="H251" s="51"/>
      <c r="I251" s="17"/>
      <c r="J251" s="18"/>
      <c r="N251" s="54"/>
      <c r="W251" s="21"/>
      <c r="X251" s="26"/>
      <c r="AC251" s="55"/>
    </row>
    <row r="252" spans="1:29" x14ac:dyDescent="0.25">
      <c r="A252" s="44"/>
      <c r="B252" s="44"/>
      <c r="C252" s="46"/>
      <c r="D252" s="46"/>
      <c r="E252" s="46"/>
      <c r="F252" s="46"/>
      <c r="G252" s="47"/>
      <c r="H252" s="51"/>
      <c r="I252" s="17"/>
      <c r="J252" s="18"/>
      <c r="N252" s="54"/>
      <c r="W252" s="21"/>
      <c r="X252" s="26"/>
      <c r="AC252" s="55"/>
    </row>
    <row r="253" spans="1:29" x14ac:dyDescent="0.25">
      <c r="A253" s="44"/>
      <c r="B253" s="44"/>
      <c r="C253" s="46"/>
      <c r="D253" s="46"/>
      <c r="E253" s="46"/>
      <c r="F253" s="46"/>
      <c r="G253" s="47"/>
      <c r="H253" s="51"/>
      <c r="I253" s="17"/>
      <c r="J253" s="18"/>
      <c r="N253" s="54"/>
      <c r="W253" s="21"/>
      <c r="X253" s="26"/>
      <c r="AC253" s="55"/>
    </row>
    <row r="254" spans="1:29" x14ac:dyDescent="0.25">
      <c r="A254" s="42"/>
      <c r="B254" s="42"/>
      <c r="C254" s="43"/>
      <c r="D254" s="43"/>
      <c r="E254" s="43"/>
      <c r="F254" s="43"/>
      <c r="G254" s="43"/>
      <c r="H254" s="50"/>
      <c r="I254" s="23"/>
      <c r="J254" s="24"/>
      <c r="K254" s="22"/>
      <c r="L254" s="22"/>
      <c r="M254" s="22"/>
      <c r="N254" s="54"/>
      <c r="W254" s="21"/>
      <c r="X254" s="26"/>
      <c r="AC254" s="55"/>
    </row>
    <row r="255" spans="1:29" x14ac:dyDescent="0.25">
      <c r="A255" s="44"/>
      <c r="B255" s="44"/>
      <c r="C255" s="46"/>
      <c r="D255" s="46"/>
      <c r="E255" s="46"/>
      <c r="F255" s="46"/>
      <c r="G255" s="47"/>
      <c r="H255" s="51"/>
      <c r="I255" s="17"/>
      <c r="J255" s="18"/>
      <c r="N255" s="54"/>
      <c r="W255" s="21"/>
      <c r="X255" s="26"/>
      <c r="AC255" s="55"/>
    </row>
    <row r="256" spans="1:29" x14ac:dyDescent="0.25">
      <c r="A256" s="44"/>
      <c r="B256" s="44"/>
      <c r="C256" s="46"/>
      <c r="D256" s="46"/>
      <c r="E256" s="46"/>
      <c r="F256" s="46"/>
      <c r="G256" s="47"/>
      <c r="H256" s="51"/>
      <c r="I256" s="17"/>
      <c r="J256" s="18"/>
      <c r="N256" s="54"/>
      <c r="W256" s="21"/>
      <c r="X256" s="26"/>
      <c r="AC256" s="55"/>
    </row>
    <row r="257" spans="1:29" x14ac:dyDescent="0.25">
      <c r="A257" s="44"/>
      <c r="B257" s="44"/>
      <c r="C257" s="46"/>
      <c r="D257" s="46"/>
      <c r="E257" s="46"/>
      <c r="F257" s="46"/>
      <c r="G257" s="47"/>
      <c r="H257" s="51"/>
      <c r="I257" s="17"/>
      <c r="J257" s="18"/>
      <c r="N257" s="54"/>
      <c r="W257" s="21"/>
      <c r="X257" s="26"/>
      <c r="AC257" s="55"/>
    </row>
    <row r="258" spans="1:29" x14ac:dyDescent="0.25">
      <c r="A258" s="44"/>
      <c r="B258" s="44"/>
      <c r="C258" s="46"/>
      <c r="D258" s="46"/>
      <c r="E258" s="46"/>
      <c r="F258" s="46"/>
      <c r="G258" s="47"/>
      <c r="H258" s="51"/>
      <c r="I258" s="17"/>
      <c r="J258" s="18"/>
      <c r="N258" s="54"/>
      <c r="W258" s="21"/>
      <c r="X258" s="26"/>
      <c r="AC258" s="55"/>
    </row>
    <row r="259" spans="1:29" x14ac:dyDescent="0.25">
      <c r="A259" s="42"/>
      <c r="B259" s="42"/>
      <c r="C259" s="43"/>
      <c r="D259" s="43"/>
      <c r="E259" s="43"/>
      <c r="F259" s="43"/>
      <c r="G259" s="43"/>
      <c r="H259" s="50"/>
      <c r="I259" s="23"/>
      <c r="J259" s="24"/>
      <c r="K259" s="22"/>
      <c r="L259" s="22"/>
      <c r="M259" s="22"/>
      <c r="N259" s="54"/>
      <c r="W259" s="21"/>
      <c r="X259" s="26"/>
      <c r="AC259" s="55"/>
    </row>
    <row r="260" spans="1:29" x14ac:dyDescent="0.25">
      <c r="A260" s="44"/>
      <c r="B260" s="44"/>
      <c r="C260" s="45"/>
      <c r="D260" s="45"/>
      <c r="E260" s="45"/>
      <c r="F260" s="45"/>
      <c r="G260" s="45"/>
      <c r="H260" s="51"/>
      <c r="I260" s="17"/>
      <c r="J260" s="18"/>
      <c r="N260" s="54"/>
      <c r="W260" s="21"/>
      <c r="X260" s="26"/>
      <c r="AC260" s="55"/>
    </row>
    <row r="261" spans="1:29" x14ac:dyDescent="0.25">
      <c r="A261" s="44"/>
      <c r="B261" s="44"/>
      <c r="C261" s="46"/>
      <c r="D261" s="46"/>
      <c r="E261" s="46"/>
      <c r="F261" s="46"/>
      <c r="G261" s="47"/>
      <c r="H261" s="51"/>
      <c r="I261" s="17"/>
      <c r="J261" s="18"/>
      <c r="N261" s="54"/>
      <c r="W261" s="21"/>
      <c r="X261" s="26"/>
      <c r="AC261" s="55"/>
    </row>
    <row r="262" spans="1:29" x14ac:dyDescent="0.25">
      <c r="A262" s="44"/>
      <c r="B262" s="44"/>
      <c r="C262" s="46"/>
      <c r="D262" s="46"/>
      <c r="E262" s="46"/>
      <c r="F262" s="46"/>
      <c r="G262" s="47"/>
      <c r="H262" s="51"/>
      <c r="I262" s="17"/>
      <c r="J262" s="18"/>
      <c r="N262" s="54"/>
      <c r="W262" s="21"/>
      <c r="X262" s="26"/>
      <c r="AC262" s="55"/>
    </row>
    <row r="263" spans="1:29" x14ac:dyDescent="0.25">
      <c r="A263" s="44"/>
      <c r="B263" s="44"/>
      <c r="C263" s="46"/>
      <c r="D263" s="46"/>
      <c r="E263" s="46"/>
      <c r="F263" s="46"/>
      <c r="G263" s="47"/>
      <c r="H263" s="51"/>
      <c r="I263" s="17"/>
      <c r="J263" s="18"/>
      <c r="N263" s="54"/>
      <c r="W263" s="21"/>
      <c r="X263" s="26"/>
      <c r="AC263" s="55"/>
    </row>
    <row r="264" spans="1:29" x14ac:dyDescent="0.25">
      <c r="A264" s="42"/>
      <c r="B264" s="42"/>
      <c r="C264" s="43"/>
      <c r="D264" s="43"/>
      <c r="E264" s="43"/>
      <c r="F264" s="43"/>
      <c r="G264" s="43"/>
      <c r="H264" s="50"/>
      <c r="I264" s="23"/>
      <c r="J264" s="24"/>
      <c r="K264" s="22"/>
      <c r="L264" s="22"/>
      <c r="M264" s="22"/>
      <c r="N264" s="54"/>
      <c r="W264" s="21"/>
      <c r="X264" s="26"/>
      <c r="AC264" s="55"/>
    </row>
    <row r="265" spans="1:29" x14ac:dyDescent="0.25">
      <c r="A265" s="44"/>
      <c r="B265" s="44"/>
      <c r="C265" s="45"/>
      <c r="D265" s="45"/>
      <c r="E265" s="45"/>
      <c r="F265" s="45"/>
      <c r="G265" s="45"/>
      <c r="H265" s="51"/>
      <c r="I265" s="17"/>
      <c r="J265" s="18"/>
      <c r="N265" s="54"/>
      <c r="W265" s="21"/>
      <c r="X265" s="26"/>
      <c r="AC265" s="55"/>
    </row>
    <row r="266" spans="1:29" x14ac:dyDescent="0.25">
      <c r="A266" s="44"/>
      <c r="B266" s="44"/>
      <c r="C266" s="46"/>
      <c r="D266" s="46"/>
      <c r="E266" s="46"/>
      <c r="F266" s="46"/>
      <c r="G266" s="47"/>
      <c r="H266" s="51"/>
      <c r="I266" s="17"/>
      <c r="J266" s="18"/>
      <c r="N266" s="54"/>
      <c r="W266" s="21"/>
      <c r="X266" s="26"/>
      <c r="AC266" s="55"/>
    </row>
    <row r="267" spans="1:29" x14ac:dyDescent="0.25">
      <c r="A267" s="44"/>
      <c r="B267" s="44"/>
      <c r="C267" s="46"/>
      <c r="D267" s="46"/>
      <c r="E267" s="46"/>
      <c r="F267" s="46"/>
      <c r="G267" s="47"/>
      <c r="H267" s="51"/>
      <c r="I267" s="17"/>
      <c r="J267" s="18"/>
      <c r="N267" s="54"/>
      <c r="W267" s="21"/>
      <c r="X267" s="26"/>
      <c r="AC267" s="55"/>
    </row>
    <row r="268" spans="1:29" x14ac:dyDescent="0.25">
      <c r="A268" s="44"/>
      <c r="B268" s="44"/>
      <c r="C268" s="46"/>
      <c r="D268" s="46"/>
      <c r="E268" s="46"/>
      <c r="F268" s="46"/>
      <c r="G268" s="47"/>
      <c r="H268" s="51"/>
      <c r="I268" s="17"/>
      <c r="J268" s="18"/>
      <c r="N268" s="54"/>
      <c r="W268" s="21"/>
      <c r="X268" s="26"/>
      <c r="AC268" s="55"/>
    </row>
    <row r="269" spans="1:29" x14ac:dyDescent="0.25">
      <c r="A269" s="42"/>
      <c r="B269" s="42"/>
      <c r="C269" s="43"/>
      <c r="D269" s="43"/>
      <c r="E269" s="43"/>
      <c r="F269" s="43"/>
      <c r="G269" s="43"/>
      <c r="H269" s="50"/>
      <c r="I269" s="23"/>
      <c r="J269" s="24"/>
      <c r="K269" s="22"/>
      <c r="L269" s="22"/>
      <c r="M269" s="22"/>
      <c r="N269" s="54"/>
      <c r="W269" s="21"/>
      <c r="X269" s="26"/>
      <c r="AC269" s="55"/>
    </row>
    <row r="270" spans="1:29" x14ac:dyDescent="0.25">
      <c r="A270" s="44"/>
      <c r="B270" s="44"/>
      <c r="C270" s="46"/>
      <c r="D270" s="46"/>
      <c r="E270" s="46"/>
      <c r="F270" s="46"/>
      <c r="G270" s="47"/>
      <c r="H270" s="51"/>
      <c r="I270" s="17"/>
      <c r="J270" s="18"/>
      <c r="N270" s="54"/>
      <c r="W270" s="21"/>
      <c r="X270" s="26"/>
      <c r="AC270" s="55"/>
    </row>
    <row r="271" spans="1:29" x14ac:dyDescent="0.25">
      <c r="A271" s="44"/>
      <c r="B271" s="44"/>
      <c r="C271" s="46"/>
      <c r="D271" s="46"/>
      <c r="E271" s="46"/>
      <c r="F271" s="46"/>
      <c r="G271" s="47"/>
      <c r="H271" s="51"/>
      <c r="I271" s="17"/>
      <c r="J271" s="18"/>
      <c r="N271" s="54"/>
      <c r="W271" s="21"/>
      <c r="X271" s="26"/>
      <c r="AC271" s="55"/>
    </row>
    <row r="272" spans="1:29" x14ac:dyDescent="0.25">
      <c r="A272" s="44"/>
      <c r="B272" s="44"/>
      <c r="C272" s="46"/>
      <c r="D272" s="46"/>
      <c r="E272" s="46"/>
      <c r="F272" s="46"/>
      <c r="G272" s="47"/>
      <c r="H272" s="51"/>
      <c r="I272" s="17"/>
      <c r="J272" s="18"/>
      <c r="N272" s="54"/>
      <c r="W272" s="21"/>
      <c r="X272" s="26"/>
      <c r="AC272" s="55"/>
    </row>
    <row r="273" spans="1:29" x14ac:dyDescent="0.25">
      <c r="A273" s="44"/>
      <c r="B273" s="44"/>
      <c r="C273" s="46"/>
      <c r="D273" s="46"/>
      <c r="E273" s="46"/>
      <c r="F273" s="46"/>
      <c r="G273" s="47"/>
      <c r="H273" s="51"/>
      <c r="I273" s="17"/>
      <c r="J273" s="18"/>
      <c r="N273" s="54"/>
      <c r="W273" s="21"/>
      <c r="X273" s="26"/>
      <c r="AC273" s="55"/>
    </row>
    <row r="274" spans="1:29" x14ac:dyDescent="0.25">
      <c r="A274" s="42"/>
      <c r="B274" s="42"/>
      <c r="C274" s="43"/>
      <c r="D274" s="43"/>
      <c r="E274" s="43"/>
      <c r="F274" s="43"/>
      <c r="G274" s="43"/>
      <c r="H274" s="50"/>
      <c r="I274" s="23"/>
      <c r="J274" s="24"/>
      <c r="K274" s="22"/>
      <c r="L274" s="22"/>
      <c r="M274" s="22"/>
      <c r="N274" s="54"/>
      <c r="W274" s="21"/>
      <c r="X274" s="26"/>
      <c r="AC274" s="55"/>
    </row>
    <row r="275" spans="1:29" x14ac:dyDescent="0.25">
      <c r="A275" s="44"/>
      <c r="B275" s="44"/>
      <c r="C275" s="45"/>
      <c r="D275" s="45"/>
      <c r="E275" s="45"/>
      <c r="F275" s="45"/>
      <c r="G275" s="45"/>
      <c r="H275" s="51"/>
      <c r="I275" s="17"/>
      <c r="J275" s="18"/>
      <c r="N275" s="54"/>
      <c r="W275" s="21"/>
      <c r="X275" s="26"/>
      <c r="AC275" s="55"/>
    </row>
    <row r="276" spans="1:29" x14ac:dyDescent="0.25">
      <c r="A276" s="44"/>
      <c r="B276" s="44"/>
      <c r="C276" s="46"/>
      <c r="D276" s="46"/>
      <c r="E276" s="46"/>
      <c r="F276" s="46"/>
      <c r="G276" s="47"/>
      <c r="H276" s="51"/>
      <c r="I276" s="17"/>
      <c r="J276" s="18"/>
      <c r="N276" s="54"/>
      <c r="W276" s="21"/>
      <c r="X276" s="26"/>
      <c r="AC276" s="55"/>
    </row>
    <row r="277" spans="1:29" x14ac:dyDescent="0.25">
      <c r="A277" s="44"/>
      <c r="B277" s="44"/>
      <c r="C277" s="46"/>
      <c r="D277" s="46"/>
      <c r="E277" s="46"/>
      <c r="F277" s="46"/>
      <c r="G277" s="47"/>
      <c r="H277" s="51"/>
      <c r="I277" s="17"/>
      <c r="J277" s="18"/>
      <c r="N277" s="54"/>
      <c r="W277" s="21"/>
      <c r="X277" s="26"/>
      <c r="AC277" s="55"/>
    </row>
    <row r="278" spans="1:29" x14ac:dyDescent="0.25">
      <c r="A278" s="44"/>
      <c r="B278" s="44"/>
      <c r="C278" s="46"/>
      <c r="D278" s="46"/>
      <c r="E278" s="46"/>
      <c r="F278" s="46"/>
      <c r="G278" s="47"/>
      <c r="H278" s="51"/>
      <c r="I278" s="17"/>
      <c r="J278" s="18"/>
      <c r="N278" s="54"/>
      <c r="W278" s="21"/>
      <c r="X278" s="26"/>
      <c r="AC278" s="55"/>
    </row>
    <row r="279" spans="1:29" x14ac:dyDescent="0.25">
      <c r="A279" s="42"/>
      <c r="B279" s="42"/>
      <c r="C279" s="43"/>
      <c r="D279" s="43"/>
      <c r="E279" s="43"/>
      <c r="F279" s="43"/>
      <c r="G279" s="43"/>
      <c r="H279" s="50"/>
      <c r="I279" s="23"/>
      <c r="J279" s="24"/>
      <c r="K279" s="22"/>
      <c r="L279" s="22"/>
      <c r="M279" s="22"/>
      <c r="N279" s="54"/>
      <c r="W279" s="21"/>
      <c r="X279" s="26"/>
      <c r="AC279" s="55"/>
    </row>
    <row r="280" spans="1:29" x14ac:dyDescent="0.25">
      <c r="A280" s="44"/>
      <c r="B280" s="44"/>
      <c r="C280" s="45"/>
      <c r="D280" s="45"/>
      <c r="E280" s="45"/>
      <c r="F280" s="45"/>
      <c r="G280" s="45"/>
      <c r="H280" s="51"/>
      <c r="I280" s="17"/>
      <c r="J280" s="18"/>
      <c r="N280" s="54"/>
      <c r="W280" s="21"/>
      <c r="X280" s="26"/>
      <c r="AC280" s="55"/>
    </row>
    <row r="281" spans="1:29" x14ac:dyDescent="0.25">
      <c r="A281" s="44"/>
      <c r="B281" s="44"/>
      <c r="C281" s="46"/>
      <c r="D281" s="46"/>
      <c r="E281" s="46"/>
      <c r="F281" s="46"/>
      <c r="G281" s="47"/>
      <c r="H281" s="51"/>
      <c r="I281" s="17"/>
      <c r="J281" s="18"/>
      <c r="N281" s="54"/>
      <c r="W281" s="21"/>
      <c r="X281" s="26"/>
      <c r="AC281" s="55"/>
    </row>
    <row r="282" spans="1:29" x14ac:dyDescent="0.25">
      <c r="A282" s="44"/>
      <c r="B282" s="44"/>
      <c r="C282" s="46"/>
      <c r="D282" s="46"/>
      <c r="E282" s="46"/>
      <c r="F282" s="46"/>
      <c r="G282" s="47"/>
      <c r="H282" s="51"/>
      <c r="I282" s="17"/>
      <c r="J282" s="18"/>
      <c r="N282" s="54"/>
      <c r="W282" s="21"/>
      <c r="X282" s="26"/>
      <c r="AC282" s="55"/>
    </row>
    <row r="283" spans="1:29" x14ac:dyDescent="0.25">
      <c r="A283" s="44"/>
      <c r="B283" s="44"/>
      <c r="C283" s="46"/>
      <c r="D283" s="46"/>
      <c r="E283" s="46"/>
      <c r="F283" s="46"/>
      <c r="G283" s="47"/>
      <c r="H283" s="51"/>
      <c r="I283" s="17"/>
      <c r="J283" s="18"/>
      <c r="N283" s="54"/>
      <c r="W283" s="21"/>
      <c r="X283" s="26"/>
      <c r="AC283" s="55"/>
    </row>
    <row r="284" spans="1:29" x14ac:dyDescent="0.25">
      <c r="A284" s="42"/>
      <c r="B284" s="42"/>
      <c r="C284" s="43"/>
      <c r="D284" s="43"/>
      <c r="E284" s="43"/>
      <c r="F284" s="43"/>
      <c r="G284" s="43"/>
      <c r="H284" s="50"/>
      <c r="I284" s="23"/>
      <c r="J284" s="24"/>
      <c r="K284" s="22"/>
      <c r="L284" s="22"/>
      <c r="M284" s="22"/>
      <c r="N284" s="54"/>
      <c r="W284" s="21"/>
      <c r="X284" s="26"/>
      <c r="AC284" s="55"/>
    </row>
    <row r="285" spans="1:29" x14ac:dyDescent="0.25">
      <c r="A285" s="44"/>
      <c r="B285" s="44"/>
      <c r="C285" s="46"/>
      <c r="D285" s="46"/>
      <c r="E285" s="46"/>
      <c r="F285" s="46"/>
      <c r="G285" s="47"/>
      <c r="H285" s="51"/>
      <c r="I285" s="17"/>
      <c r="J285" s="18"/>
      <c r="N285" s="54"/>
      <c r="W285" s="21"/>
      <c r="X285" s="26"/>
      <c r="AC285" s="55"/>
    </row>
    <row r="286" spans="1:29" x14ac:dyDescent="0.25">
      <c r="A286" s="44"/>
      <c r="B286" s="44"/>
      <c r="C286" s="46"/>
      <c r="D286" s="46"/>
      <c r="E286" s="46"/>
      <c r="F286" s="46"/>
      <c r="G286" s="47"/>
      <c r="H286" s="51"/>
      <c r="I286" s="17"/>
      <c r="J286" s="18"/>
      <c r="N286" s="54"/>
      <c r="W286" s="21"/>
      <c r="X286" s="26"/>
      <c r="AC286" s="55"/>
    </row>
    <row r="287" spans="1:29" x14ac:dyDescent="0.25">
      <c r="A287" s="44"/>
      <c r="B287" s="44"/>
      <c r="C287" s="46"/>
      <c r="D287" s="46"/>
      <c r="E287" s="46"/>
      <c r="F287" s="46"/>
      <c r="G287" s="47"/>
      <c r="H287" s="51"/>
      <c r="I287" s="17"/>
      <c r="J287" s="18"/>
      <c r="N287" s="54"/>
      <c r="W287" s="21"/>
      <c r="X287" s="26"/>
      <c r="AC287" s="55"/>
    </row>
    <row r="288" spans="1:29" x14ac:dyDescent="0.25">
      <c r="A288" s="44"/>
      <c r="B288" s="44"/>
      <c r="C288" s="46"/>
      <c r="D288" s="46"/>
      <c r="E288" s="46"/>
      <c r="F288" s="46"/>
      <c r="G288" s="47"/>
      <c r="H288" s="51"/>
      <c r="I288" s="17"/>
      <c r="J288" s="18"/>
      <c r="N288" s="54"/>
      <c r="W288" s="21"/>
      <c r="X288" s="26"/>
      <c r="AC288" s="55"/>
    </row>
    <row r="289" spans="1:29" x14ac:dyDescent="0.25">
      <c r="A289" s="42"/>
      <c r="B289" s="42"/>
      <c r="C289" s="43"/>
      <c r="D289" s="43"/>
      <c r="E289" s="43"/>
      <c r="F289" s="43"/>
      <c r="G289" s="43"/>
      <c r="H289" s="50"/>
      <c r="I289" s="23"/>
      <c r="J289" s="24"/>
      <c r="K289" s="22"/>
      <c r="L289" s="22"/>
      <c r="M289" s="22"/>
      <c r="N289" s="54"/>
      <c r="W289" s="21"/>
      <c r="X289" s="26"/>
      <c r="AC289" s="55"/>
    </row>
    <row r="290" spans="1:29" x14ac:dyDescent="0.25">
      <c r="A290" s="44"/>
      <c r="B290" s="44"/>
      <c r="C290" s="45"/>
      <c r="D290" s="45"/>
      <c r="E290" s="45"/>
      <c r="F290" s="45"/>
      <c r="G290" s="45"/>
      <c r="H290" s="51"/>
      <c r="I290" s="17"/>
      <c r="J290" s="18"/>
      <c r="N290" s="54"/>
      <c r="W290" s="21"/>
      <c r="X290" s="26"/>
      <c r="AC290" s="55"/>
    </row>
    <row r="291" spans="1:29" x14ac:dyDescent="0.25">
      <c r="A291" s="44"/>
      <c r="B291" s="44"/>
      <c r="C291" s="46"/>
      <c r="D291" s="46"/>
      <c r="E291" s="46"/>
      <c r="F291" s="46"/>
      <c r="G291" s="47"/>
      <c r="H291" s="51"/>
      <c r="I291" s="17"/>
      <c r="J291" s="18"/>
      <c r="N291" s="54"/>
      <c r="W291" s="21"/>
      <c r="X291" s="26"/>
      <c r="AC291" s="55"/>
    </row>
    <row r="292" spans="1:29" x14ac:dyDescent="0.25">
      <c r="A292" s="44"/>
      <c r="B292" s="44"/>
      <c r="C292" s="46"/>
      <c r="D292" s="46"/>
      <c r="E292" s="46"/>
      <c r="F292" s="46"/>
      <c r="G292" s="47"/>
      <c r="H292" s="51"/>
      <c r="I292" s="17"/>
      <c r="J292" s="18"/>
      <c r="N292" s="54"/>
      <c r="W292" s="21"/>
      <c r="X292" s="26"/>
      <c r="AC292" s="55"/>
    </row>
    <row r="293" spans="1:29" x14ac:dyDescent="0.25">
      <c r="A293" s="44"/>
      <c r="B293" s="44"/>
      <c r="C293" s="46"/>
      <c r="D293" s="46"/>
      <c r="E293" s="46"/>
      <c r="F293" s="46"/>
      <c r="G293" s="47"/>
      <c r="H293" s="51"/>
      <c r="I293" s="17"/>
      <c r="J293" s="18"/>
      <c r="N293" s="54"/>
      <c r="W293" s="21"/>
      <c r="X293" s="26"/>
      <c r="AC293" s="55"/>
    </row>
    <row r="294" spans="1:29" x14ac:dyDescent="0.25">
      <c r="A294" s="42"/>
      <c r="B294" s="42"/>
      <c r="C294" s="43"/>
      <c r="D294" s="43"/>
      <c r="E294" s="43"/>
      <c r="F294" s="43"/>
      <c r="G294" s="43"/>
      <c r="H294" s="50"/>
      <c r="I294" s="23"/>
      <c r="J294" s="24"/>
      <c r="K294" s="22"/>
      <c r="L294" s="22"/>
      <c r="M294" s="22"/>
      <c r="N294" s="54"/>
      <c r="W294" s="21"/>
      <c r="X294" s="26"/>
      <c r="AC294" s="55"/>
    </row>
    <row r="295" spans="1:29" x14ac:dyDescent="0.25">
      <c r="A295" s="44"/>
      <c r="B295" s="44"/>
      <c r="C295" s="45"/>
      <c r="D295" s="45"/>
      <c r="E295" s="45"/>
      <c r="F295" s="45"/>
      <c r="G295" s="45"/>
      <c r="H295" s="51"/>
      <c r="I295" s="17"/>
      <c r="J295" s="18"/>
      <c r="N295" s="54"/>
      <c r="W295" s="21"/>
      <c r="X295" s="26"/>
      <c r="AC295" s="55"/>
    </row>
    <row r="296" spans="1:29" x14ac:dyDescent="0.25">
      <c r="A296" s="44"/>
      <c r="B296" s="44"/>
      <c r="C296" s="46"/>
      <c r="D296" s="46"/>
      <c r="E296" s="46"/>
      <c r="F296" s="46"/>
      <c r="G296" s="47"/>
      <c r="H296" s="51"/>
      <c r="I296" s="17"/>
      <c r="J296" s="18"/>
      <c r="N296" s="54"/>
      <c r="W296" s="21"/>
      <c r="X296" s="26"/>
      <c r="AC296" s="55"/>
    </row>
    <row r="297" spans="1:29" x14ac:dyDescent="0.25">
      <c r="A297" s="44"/>
      <c r="B297" s="44"/>
      <c r="C297" s="46"/>
      <c r="D297" s="46"/>
      <c r="E297" s="46"/>
      <c r="F297" s="46"/>
      <c r="G297" s="47"/>
      <c r="H297" s="51"/>
      <c r="I297" s="17"/>
      <c r="J297" s="18"/>
      <c r="N297" s="54"/>
      <c r="W297" s="21"/>
      <c r="X297" s="26"/>
      <c r="AC297" s="55"/>
    </row>
    <row r="298" spans="1:29" x14ac:dyDescent="0.25">
      <c r="A298" s="44"/>
      <c r="B298" s="44"/>
      <c r="C298" s="46"/>
      <c r="D298" s="46"/>
      <c r="E298" s="46"/>
      <c r="F298" s="46"/>
      <c r="G298" s="47"/>
      <c r="H298" s="51"/>
      <c r="I298" s="17"/>
      <c r="J298" s="18"/>
      <c r="N298" s="54"/>
      <c r="W298" s="21"/>
      <c r="X298" s="26"/>
      <c r="AC298" s="55"/>
    </row>
    <row r="299" spans="1:29" x14ac:dyDescent="0.25">
      <c r="A299" s="42"/>
      <c r="B299" s="42"/>
      <c r="C299" s="43"/>
      <c r="D299" s="43"/>
      <c r="E299" s="43"/>
      <c r="F299" s="43"/>
      <c r="G299" s="43"/>
      <c r="H299" s="50"/>
      <c r="I299" s="23"/>
      <c r="J299" s="24"/>
      <c r="K299" s="22"/>
      <c r="L299" s="22"/>
      <c r="M299" s="22"/>
      <c r="N299" s="54"/>
      <c r="W299" s="21"/>
      <c r="X299" s="26"/>
      <c r="AC299" s="55"/>
    </row>
    <row r="300" spans="1:29" x14ac:dyDescent="0.25">
      <c r="A300" s="44"/>
      <c r="B300" s="44"/>
      <c r="C300" s="46"/>
      <c r="D300" s="46"/>
      <c r="E300" s="46"/>
      <c r="F300" s="46"/>
      <c r="G300" s="47"/>
      <c r="H300" s="51"/>
      <c r="I300" s="17"/>
      <c r="J300" s="18"/>
      <c r="N300" s="54"/>
      <c r="W300" s="21"/>
      <c r="X300" s="26"/>
      <c r="AC300" s="55"/>
    </row>
    <row r="301" spans="1:29" x14ac:dyDescent="0.25">
      <c r="A301" s="44"/>
      <c r="B301" s="44"/>
      <c r="C301" s="46"/>
      <c r="D301" s="46"/>
      <c r="E301" s="46"/>
      <c r="F301" s="46"/>
      <c r="G301" s="47"/>
      <c r="H301" s="51"/>
      <c r="I301" s="17"/>
      <c r="J301" s="18"/>
      <c r="N301" s="54"/>
      <c r="W301" s="21"/>
      <c r="X301" s="26"/>
      <c r="AC301" s="55"/>
    </row>
    <row r="302" spans="1:29" x14ac:dyDescent="0.25">
      <c r="A302" s="44"/>
      <c r="B302" s="44"/>
      <c r="C302" s="46"/>
      <c r="D302" s="46"/>
      <c r="E302" s="46"/>
      <c r="F302" s="46"/>
      <c r="G302" s="47"/>
      <c r="H302" s="51"/>
      <c r="I302" s="17"/>
      <c r="J302" s="18"/>
      <c r="N302" s="54"/>
      <c r="W302" s="21"/>
      <c r="X302" s="26"/>
      <c r="AC302" s="55"/>
    </row>
    <row r="303" spans="1:29" x14ac:dyDescent="0.25">
      <c r="A303" s="44"/>
      <c r="B303" s="44"/>
      <c r="C303" s="46"/>
      <c r="D303" s="46"/>
      <c r="E303" s="46"/>
      <c r="F303" s="46"/>
      <c r="G303" s="47"/>
      <c r="H303" s="51"/>
      <c r="I303" s="17"/>
      <c r="J303" s="18"/>
      <c r="N303" s="54"/>
      <c r="W303" s="21"/>
      <c r="X303" s="26"/>
      <c r="AC303" s="55"/>
    </row>
    <row r="304" spans="1:29" x14ac:dyDescent="0.25">
      <c r="A304" s="42"/>
      <c r="B304" s="42"/>
      <c r="C304" s="43"/>
      <c r="D304" s="43"/>
      <c r="E304" s="43"/>
      <c r="F304" s="43"/>
      <c r="G304" s="43"/>
      <c r="H304" s="50"/>
      <c r="I304" s="23"/>
      <c r="J304" s="24"/>
      <c r="K304" s="22"/>
      <c r="L304" s="22"/>
      <c r="M304" s="22"/>
      <c r="N304" s="54"/>
      <c r="W304" s="21"/>
      <c r="X304" s="26"/>
      <c r="AC304" s="55"/>
    </row>
    <row r="305" spans="1:29" x14ac:dyDescent="0.25">
      <c r="A305" s="44"/>
      <c r="B305" s="44"/>
      <c r="C305" s="45"/>
      <c r="D305" s="45"/>
      <c r="E305" s="45"/>
      <c r="F305" s="45"/>
      <c r="G305" s="45"/>
      <c r="H305" s="51"/>
      <c r="I305" s="17"/>
      <c r="J305" s="18"/>
      <c r="N305" s="54"/>
      <c r="W305" s="21"/>
      <c r="X305" s="26"/>
      <c r="AC305" s="55"/>
    </row>
    <row r="306" spans="1:29" x14ac:dyDescent="0.25">
      <c r="A306" s="44"/>
      <c r="B306" s="44"/>
      <c r="C306" s="46"/>
      <c r="D306" s="46"/>
      <c r="E306" s="46"/>
      <c r="F306" s="46"/>
      <c r="G306" s="47"/>
      <c r="H306" s="51"/>
      <c r="I306" s="17"/>
      <c r="J306" s="18"/>
      <c r="N306" s="54"/>
      <c r="W306" s="21"/>
      <c r="X306" s="26"/>
      <c r="AC306" s="55"/>
    </row>
    <row r="307" spans="1:29" x14ac:dyDescent="0.25">
      <c r="A307" s="44"/>
      <c r="B307" s="44"/>
      <c r="C307" s="46"/>
      <c r="D307" s="46"/>
      <c r="E307" s="46"/>
      <c r="F307" s="46"/>
      <c r="G307" s="47"/>
      <c r="H307" s="51"/>
      <c r="I307" s="17"/>
      <c r="J307" s="18"/>
      <c r="N307" s="54"/>
      <c r="W307" s="21"/>
      <c r="X307" s="26"/>
      <c r="AC307" s="55"/>
    </row>
    <row r="308" spans="1:29" x14ac:dyDescent="0.25">
      <c r="A308" s="44"/>
      <c r="B308" s="44"/>
      <c r="C308" s="46"/>
      <c r="D308" s="46"/>
      <c r="E308" s="46"/>
      <c r="F308" s="46"/>
      <c r="G308" s="47"/>
      <c r="H308" s="51"/>
      <c r="I308" s="17"/>
      <c r="J308" s="18"/>
      <c r="N308" s="54"/>
      <c r="W308" s="21"/>
      <c r="X308" s="26"/>
      <c r="AC308" s="55"/>
    </row>
    <row r="309" spans="1:29" x14ac:dyDescent="0.25">
      <c r="A309" s="42"/>
      <c r="B309" s="42"/>
      <c r="C309" s="43"/>
      <c r="D309" s="43"/>
      <c r="E309" s="43"/>
      <c r="F309" s="43"/>
      <c r="G309" s="43"/>
      <c r="H309" s="50"/>
      <c r="I309" s="23"/>
      <c r="J309" s="24"/>
      <c r="K309" s="22"/>
      <c r="L309" s="22"/>
      <c r="M309" s="22"/>
      <c r="N309" s="54"/>
      <c r="W309" s="21"/>
      <c r="X309" s="26"/>
      <c r="AC309" s="55"/>
    </row>
    <row r="310" spans="1:29" x14ac:dyDescent="0.25">
      <c r="A310" s="44"/>
      <c r="B310" s="44"/>
      <c r="C310" s="45"/>
      <c r="D310" s="45"/>
      <c r="E310" s="45"/>
      <c r="F310" s="45"/>
      <c r="G310" s="45"/>
      <c r="H310" s="51"/>
      <c r="I310" s="17"/>
      <c r="J310" s="18"/>
      <c r="N310" s="54"/>
      <c r="W310" s="21"/>
      <c r="X310" s="26"/>
      <c r="AC310" s="55"/>
    </row>
    <row r="311" spans="1:29" x14ac:dyDescent="0.25">
      <c r="A311" s="44"/>
      <c r="B311" s="44"/>
      <c r="C311" s="46"/>
      <c r="D311" s="46"/>
      <c r="E311" s="46"/>
      <c r="F311" s="46"/>
      <c r="G311" s="47"/>
      <c r="H311" s="51"/>
      <c r="I311" s="17"/>
      <c r="J311" s="18"/>
      <c r="N311" s="54"/>
      <c r="W311" s="21"/>
      <c r="X311" s="26"/>
      <c r="AC311" s="55"/>
    </row>
    <row r="312" spans="1:29" x14ac:dyDescent="0.25">
      <c r="A312" s="44"/>
      <c r="B312" s="44"/>
      <c r="C312" s="46"/>
      <c r="D312" s="46"/>
      <c r="E312" s="46"/>
      <c r="F312" s="46"/>
      <c r="G312" s="47"/>
      <c r="H312" s="51"/>
      <c r="I312" s="17"/>
      <c r="J312" s="18"/>
      <c r="N312" s="54"/>
      <c r="W312" s="21"/>
      <c r="X312" s="26"/>
      <c r="AC312" s="55"/>
    </row>
    <row r="313" spans="1:29" x14ac:dyDescent="0.25">
      <c r="A313" s="44"/>
      <c r="B313" s="44"/>
      <c r="C313" s="46"/>
      <c r="D313" s="46"/>
      <c r="E313" s="46"/>
      <c r="F313" s="46"/>
      <c r="G313" s="47"/>
      <c r="H313" s="51"/>
      <c r="I313" s="17"/>
      <c r="J313" s="18"/>
      <c r="N313" s="54"/>
      <c r="W313" s="21"/>
      <c r="X313" s="26"/>
      <c r="AC313" s="55"/>
    </row>
    <row r="314" spans="1:29" x14ac:dyDescent="0.25">
      <c r="A314" s="42"/>
      <c r="B314" s="42"/>
      <c r="C314" s="43"/>
      <c r="D314" s="43"/>
      <c r="E314" s="43"/>
      <c r="F314" s="43"/>
      <c r="G314" s="43"/>
      <c r="H314" s="50"/>
      <c r="I314" s="23"/>
      <c r="J314" s="24"/>
      <c r="K314" s="22"/>
      <c r="L314" s="22"/>
      <c r="M314" s="22"/>
      <c r="N314" s="54"/>
      <c r="W314" s="21"/>
      <c r="X314" s="26"/>
      <c r="AC314" s="55"/>
    </row>
    <row r="315" spans="1:29" x14ac:dyDescent="0.25">
      <c r="A315" s="44"/>
      <c r="B315" s="44"/>
      <c r="C315" s="46"/>
      <c r="D315" s="46"/>
      <c r="E315" s="46"/>
      <c r="F315" s="46"/>
      <c r="G315" s="47"/>
      <c r="H315" s="51"/>
      <c r="I315" s="17"/>
      <c r="J315" s="18"/>
      <c r="N315" s="54"/>
      <c r="W315" s="21"/>
      <c r="X315" s="26"/>
      <c r="AC315" s="55"/>
    </row>
    <row r="316" spans="1:29" x14ac:dyDescent="0.25">
      <c r="A316" s="44"/>
      <c r="B316" s="44"/>
      <c r="C316" s="46"/>
      <c r="D316" s="46"/>
      <c r="E316" s="46"/>
      <c r="F316" s="46"/>
      <c r="G316" s="47"/>
      <c r="H316" s="51"/>
      <c r="I316" s="17"/>
      <c r="J316" s="18"/>
      <c r="N316" s="54"/>
      <c r="W316" s="21"/>
      <c r="X316" s="26"/>
      <c r="AC316" s="55"/>
    </row>
    <row r="317" spans="1:29" x14ac:dyDescent="0.25">
      <c r="A317" s="44"/>
      <c r="B317" s="44"/>
      <c r="C317" s="46"/>
      <c r="D317" s="46"/>
      <c r="E317" s="46"/>
      <c r="F317" s="46"/>
      <c r="G317" s="47"/>
      <c r="H317" s="51"/>
      <c r="I317" s="17"/>
      <c r="J317" s="18"/>
      <c r="N317" s="54"/>
      <c r="W317" s="21"/>
      <c r="X317" s="26"/>
      <c r="AC317" s="55"/>
    </row>
    <row r="318" spans="1:29" x14ac:dyDescent="0.25">
      <c r="A318" s="44"/>
      <c r="B318" s="44"/>
      <c r="C318" s="46"/>
      <c r="D318" s="46"/>
      <c r="E318" s="46"/>
      <c r="F318" s="46"/>
      <c r="G318" s="47"/>
      <c r="H318" s="51"/>
      <c r="I318" s="17"/>
      <c r="J318" s="18"/>
      <c r="N318" s="54"/>
      <c r="W318" s="21"/>
      <c r="X318" s="26"/>
      <c r="AC318" s="55"/>
    </row>
    <row r="319" spans="1:29" x14ac:dyDescent="0.25">
      <c r="A319" s="42"/>
      <c r="B319" s="42"/>
      <c r="C319" s="43"/>
      <c r="D319" s="43"/>
      <c r="E319" s="43"/>
      <c r="F319" s="43"/>
      <c r="G319" s="43"/>
      <c r="H319" s="50"/>
      <c r="I319" s="23"/>
      <c r="J319" s="24"/>
      <c r="K319" s="22"/>
      <c r="L319" s="22"/>
      <c r="M319" s="22"/>
      <c r="N319" s="54"/>
      <c r="W319" s="21"/>
      <c r="X319" s="26"/>
      <c r="AC319" s="55"/>
    </row>
    <row r="320" spans="1:29" x14ac:dyDescent="0.25">
      <c r="A320" s="44"/>
      <c r="B320" s="44"/>
      <c r="C320" s="45"/>
      <c r="D320" s="45"/>
      <c r="E320" s="45"/>
      <c r="F320" s="45"/>
      <c r="G320" s="45"/>
      <c r="H320" s="51"/>
      <c r="I320" s="17"/>
      <c r="J320" s="18"/>
      <c r="N320" s="54"/>
      <c r="W320" s="21"/>
      <c r="X320" s="26"/>
      <c r="AC320" s="55"/>
    </row>
    <row r="321" spans="1:29" x14ac:dyDescent="0.25">
      <c r="A321" s="44"/>
      <c r="B321" s="44"/>
      <c r="C321" s="46"/>
      <c r="D321" s="46"/>
      <c r="E321" s="46"/>
      <c r="F321" s="46"/>
      <c r="G321" s="47"/>
      <c r="H321" s="51"/>
      <c r="I321" s="17"/>
      <c r="J321" s="18"/>
      <c r="N321" s="54"/>
      <c r="W321" s="21"/>
      <c r="X321" s="26"/>
      <c r="AC321" s="55"/>
    </row>
    <row r="322" spans="1:29" x14ac:dyDescent="0.25">
      <c r="A322" s="44"/>
      <c r="B322" s="44"/>
      <c r="C322" s="46"/>
      <c r="D322" s="46"/>
      <c r="E322" s="46"/>
      <c r="F322" s="46"/>
      <c r="G322" s="47"/>
      <c r="H322" s="51"/>
      <c r="I322" s="17"/>
      <c r="J322" s="18"/>
      <c r="N322" s="54"/>
      <c r="W322" s="21"/>
      <c r="X322" s="26"/>
      <c r="AC322" s="55"/>
    </row>
    <row r="323" spans="1:29" x14ac:dyDescent="0.25">
      <c r="A323" s="44"/>
      <c r="B323" s="44"/>
      <c r="C323" s="46"/>
      <c r="D323" s="46"/>
      <c r="E323" s="46"/>
      <c r="F323" s="46"/>
      <c r="G323" s="47"/>
      <c r="H323" s="51"/>
      <c r="I323" s="17"/>
      <c r="J323" s="18"/>
      <c r="N323" s="54"/>
      <c r="W323" s="21"/>
      <c r="X323" s="26"/>
      <c r="AC323" s="55"/>
    </row>
    <row r="324" spans="1:29" x14ac:dyDescent="0.25">
      <c r="A324" s="42"/>
      <c r="B324" s="42"/>
      <c r="C324" s="43"/>
      <c r="D324" s="43"/>
      <c r="E324" s="43"/>
      <c r="F324" s="43"/>
      <c r="G324" s="43"/>
      <c r="H324" s="50"/>
      <c r="I324" s="23"/>
      <c r="J324" s="24"/>
      <c r="K324" s="22"/>
      <c r="L324" s="22"/>
      <c r="M324" s="22"/>
      <c r="N324" s="54"/>
      <c r="W324" s="21"/>
      <c r="X324" s="26"/>
      <c r="AC324" s="55"/>
    </row>
    <row r="325" spans="1:29" x14ac:dyDescent="0.25">
      <c r="A325" s="44"/>
      <c r="B325" s="44"/>
      <c r="C325" s="45"/>
      <c r="D325" s="45"/>
      <c r="E325" s="45"/>
      <c r="F325" s="45"/>
      <c r="G325" s="45"/>
      <c r="H325" s="51"/>
      <c r="I325" s="17"/>
      <c r="J325" s="18"/>
      <c r="N325" s="54"/>
      <c r="W325" s="21"/>
      <c r="X325" s="26"/>
      <c r="AC325" s="55"/>
    </row>
    <row r="326" spans="1:29" x14ac:dyDescent="0.25">
      <c r="A326" s="44"/>
      <c r="B326" s="44"/>
      <c r="C326" s="46"/>
      <c r="D326" s="46"/>
      <c r="E326" s="46"/>
      <c r="F326" s="46"/>
      <c r="G326" s="47"/>
      <c r="H326" s="51"/>
      <c r="I326" s="17"/>
      <c r="J326" s="18"/>
      <c r="N326" s="54"/>
      <c r="W326" s="21"/>
      <c r="X326" s="26"/>
      <c r="AC326" s="55"/>
    </row>
    <row r="327" spans="1:29" x14ac:dyDescent="0.25">
      <c r="A327" s="44"/>
      <c r="B327" s="44"/>
      <c r="C327" s="46"/>
      <c r="D327" s="46"/>
      <c r="E327" s="46"/>
      <c r="F327" s="46"/>
      <c r="G327" s="47"/>
      <c r="H327" s="51"/>
      <c r="I327" s="17"/>
      <c r="J327" s="18"/>
      <c r="N327" s="54"/>
      <c r="W327" s="21"/>
      <c r="X327" s="26"/>
      <c r="AC327" s="55"/>
    </row>
    <row r="328" spans="1:29" x14ac:dyDescent="0.25">
      <c r="A328" s="44"/>
      <c r="B328" s="44"/>
      <c r="C328" s="46"/>
      <c r="D328" s="46"/>
      <c r="E328" s="46"/>
      <c r="F328" s="46"/>
      <c r="G328" s="47"/>
      <c r="H328" s="51"/>
      <c r="I328" s="17"/>
      <c r="J328" s="18"/>
      <c r="N328" s="54"/>
      <c r="W328" s="21"/>
      <c r="X328" s="26"/>
      <c r="AC328" s="55"/>
    </row>
    <row r="329" spans="1:29" x14ac:dyDescent="0.25">
      <c r="A329" s="42"/>
      <c r="B329" s="42"/>
      <c r="C329" s="43"/>
      <c r="D329" s="43"/>
      <c r="E329" s="43"/>
      <c r="F329" s="43"/>
      <c r="G329" s="43"/>
      <c r="H329" s="50"/>
      <c r="I329" s="23"/>
      <c r="J329" s="24"/>
      <c r="K329" s="22"/>
      <c r="L329" s="22"/>
      <c r="M329" s="22"/>
      <c r="N329" s="54"/>
      <c r="W329" s="21"/>
      <c r="X329" s="26"/>
      <c r="AC329" s="55"/>
    </row>
    <row r="330" spans="1:29" x14ac:dyDescent="0.25">
      <c r="A330" s="44"/>
      <c r="B330" s="44"/>
      <c r="C330" s="46"/>
      <c r="D330" s="46"/>
      <c r="E330" s="46"/>
      <c r="F330" s="46"/>
      <c r="G330" s="47"/>
      <c r="H330" s="51"/>
      <c r="I330" s="17"/>
      <c r="J330" s="18"/>
      <c r="N330" s="54"/>
      <c r="W330" s="21"/>
      <c r="X330" s="26"/>
      <c r="AC330" s="55"/>
    </row>
    <row r="331" spans="1:29" x14ac:dyDescent="0.25">
      <c r="A331" s="44"/>
      <c r="B331" s="44"/>
      <c r="C331" s="46"/>
      <c r="D331" s="46"/>
      <c r="E331" s="46"/>
      <c r="F331" s="46"/>
      <c r="G331" s="47"/>
      <c r="H331" s="51"/>
      <c r="I331" s="17"/>
      <c r="J331" s="18"/>
      <c r="N331" s="54"/>
      <c r="W331" s="21"/>
      <c r="X331" s="26"/>
      <c r="AC331" s="55"/>
    </row>
    <row r="332" spans="1:29" x14ac:dyDescent="0.25">
      <c r="A332" s="44"/>
      <c r="B332" s="44"/>
      <c r="C332" s="46"/>
      <c r="D332" s="46"/>
      <c r="E332" s="46"/>
      <c r="F332" s="46"/>
      <c r="G332" s="47"/>
      <c r="H332" s="51"/>
      <c r="I332" s="17"/>
      <c r="J332" s="18"/>
      <c r="N332" s="54"/>
      <c r="W332" s="21"/>
      <c r="X332" s="26"/>
      <c r="AC332" s="55"/>
    </row>
    <row r="333" spans="1:29" x14ac:dyDescent="0.25">
      <c r="A333" s="44"/>
      <c r="B333" s="44"/>
      <c r="C333" s="46"/>
      <c r="D333" s="46"/>
      <c r="E333" s="46"/>
      <c r="F333" s="46"/>
      <c r="G333" s="47"/>
      <c r="H333" s="51"/>
      <c r="I333" s="17"/>
      <c r="J333" s="18"/>
      <c r="N333" s="54"/>
      <c r="W333" s="21"/>
      <c r="X333" s="26"/>
      <c r="AC333" s="55"/>
    </row>
    <row r="334" spans="1:29" x14ac:dyDescent="0.25">
      <c r="A334" s="42"/>
      <c r="B334" s="42"/>
      <c r="C334" s="43"/>
      <c r="D334" s="43"/>
      <c r="E334" s="43"/>
      <c r="F334" s="43"/>
      <c r="G334" s="43"/>
      <c r="H334" s="50"/>
      <c r="I334" s="23"/>
      <c r="J334" s="24"/>
      <c r="K334" s="22"/>
      <c r="L334" s="22"/>
      <c r="M334" s="22"/>
      <c r="N334" s="54"/>
      <c r="W334" s="21"/>
      <c r="X334" s="26"/>
      <c r="AC334" s="55"/>
    </row>
    <row r="335" spans="1:29" x14ac:dyDescent="0.25">
      <c r="A335" s="44"/>
      <c r="B335" s="44"/>
      <c r="C335" s="45"/>
      <c r="D335" s="45"/>
      <c r="E335" s="45"/>
      <c r="F335" s="45"/>
      <c r="G335" s="45"/>
      <c r="H335" s="51"/>
      <c r="I335" s="17"/>
      <c r="J335" s="18"/>
      <c r="N335" s="54"/>
      <c r="W335" s="21"/>
      <c r="X335" s="26"/>
      <c r="AC335" s="55"/>
    </row>
    <row r="336" spans="1:29" x14ac:dyDescent="0.25">
      <c r="A336" s="44"/>
      <c r="B336" s="44"/>
      <c r="C336" s="46"/>
      <c r="D336" s="46"/>
      <c r="E336" s="46"/>
      <c r="F336" s="46"/>
      <c r="G336" s="47"/>
      <c r="H336" s="51"/>
      <c r="I336" s="17"/>
      <c r="J336" s="18"/>
      <c r="N336" s="54"/>
      <c r="W336" s="21"/>
      <c r="X336" s="26"/>
      <c r="AC336" s="55"/>
    </row>
    <row r="337" spans="1:29" x14ac:dyDescent="0.25">
      <c r="A337" s="44"/>
      <c r="B337" s="44"/>
      <c r="C337" s="46"/>
      <c r="D337" s="46"/>
      <c r="E337" s="46"/>
      <c r="F337" s="46"/>
      <c r="G337" s="47"/>
      <c r="H337" s="51"/>
      <c r="I337" s="17"/>
      <c r="J337" s="18"/>
      <c r="N337" s="54"/>
      <c r="W337" s="21"/>
      <c r="X337" s="26"/>
      <c r="AC337" s="55"/>
    </row>
    <row r="338" spans="1:29" x14ac:dyDescent="0.25">
      <c r="A338" s="44"/>
      <c r="B338" s="44"/>
      <c r="C338" s="46"/>
      <c r="D338" s="46"/>
      <c r="E338" s="46"/>
      <c r="F338" s="46"/>
      <c r="G338" s="47"/>
      <c r="H338" s="51"/>
      <c r="I338" s="17"/>
      <c r="J338" s="18"/>
      <c r="N338" s="54"/>
      <c r="W338" s="21"/>
      <c r="X338" s="26"/>
      <c r="AC338" s="55"/>
    </row>
    <row r="339" spans="1:29" x14ac:dyDescent="0.25">
      <c r="A339" s="42"/>
      <c r="B339" s="42"/>
      <c r="C339" s="43"/>
      <c r="D339" s="43"/>
      <c r="E339" s="43"/>
      <c r="F339" s="43"/>
      <c r="G339" s="43"/>
      <c r="H339" s="50"/>
      <c r="I339" s="23"/>
      <c r="J339" s="24"/>
      <c r="K339" s="22"/>
      <c r="L339" s="22"/>
      <c r="M339" s="22"/>
      <c r="N339" s="54"/>
      <c r="W339" s="21"/>
      <c r="X339" s="26"/>
      <c r="AC339" s="55"/>
    </row>
    <row r="340" spans="1:29" x14ac:dyDescent="0.25">
      <c r="A340" s="44"/>
      <c r="B340" s="44"/>
      <c r="C340" s="45"/>
      <c r="D340" s="45"/>
      <c r="E340" s="45"/>
      <c r="F340" s="45"/>
      <c r="G340" s="45"/>
      <c r="H340" s="51"/>
      <c r="I340" s="17"/>
      <c r="J340" s="18"/>
      <c r="N340" s="54"/>
      <c r="W340" s="21"/>
      <c r="X340" s="26"/>
      <c r="AC340" s="55"/>
    </row>
    <row r="341" spans="1:29" x14ac:dyDescent="0.25">
      <c r="A341" s="44"/>
      <c r="B341" s="44"/>
      <c r="C341" s="46"/>
      <c r="D341" s="46"/>
      <c r="E341" s="46"/>
      <c r="F341" s="46"/>
      <c r="G341" s="47"/>
      <c r="H341" s="51"/>
      <c r="I341" s="17"/>
      <c r="J341" s="18"/>
      <c r="N341" s="54"/>
      <c r="W341" s="21"/>
      <c r="X341" s="26"/>
      <c r="AC341" s="55"/>
    </row>
    <row r="342" spans="1:29" x14ac:dyDescent="0.25">
      <c r="A342" s="44"/>
      <c r="B342" s="44"/>
      <c r="C342" s="46"/>
      <c r="D342" s="46"/>
      <c r="E342" s="46"/>
      <c r="F342" s="46"/>
      <c r="G342" s="47"/>
      <c r="H342" s="51"/>
      <c r="I342" s="17"/>
      <c r="J342" s="18"/>
      <c r="N342" s="54"/>
      <c r="W342" s="21"/>
      <c r="X342" s="26"/>
      <c r="AC342" s="55"/>
    </row>
    <row r="343" spans="1:29" x14ac:dyDescent="0.25">
      <c r="A343" s="44"/>
      <c r="B343" s="44"/>
      <c r="C343" s="46"/>
      <c r="D343" s="46"/>
      <c r="E343" s="46"/>
      <c r="F343" s="46"/>
      <c r="G343" s="47"/>
      <c r="H343" s="51"/>
      <c r="I343" s="17"/>
      <c r="J343" s="18"/>
      <c r="N343" s="54"/>
      <c r="W343" s="21"/>
      <c r="X343" s="26"/>
      <c r="AC343" s="55"/>
    </row>
    <row r="344" spans="1:29" x14ac:dyDescent="0.25">
      <c r="A344" s="42"/>
      <c r="B344" s="42"/>
      <c r="C344" s="43"/>
      <c r="D344" s="43"/>
      <c r="E344" s="43"/>
      <c r="F344" s="43"/>
      <c r="G344" s="43"/>
      <c r="H344" s="50"/>
      <c r="I344" s="23"/>
      <c r="J344" s="24"/>
      <c r="K344" s="22"/>
      <c r="L344" s="22"/>
      <c r="M344" s="22"/>
      <c r="N344" s="54"/>
      <c r="W344" s="21"/>
      <c r="X344" s="26"/>
      <c r="AC344" s="55"/>
    </row>
    <row r="345" spans="1:29" x14ac:dyDescent="0.25">
      <c r="A345" s="44"/>
      <c r="B345" s="44"/>
      <c r="C345" s="46"/>
      <c r="D345" s="46"/>
      <c r="E345" s="46"/>
      <c r="F345" s="46"/>
      <c r="G345" s="47"/>
      <c r="H345" s="51"/>
      <c r="I345" s="17"/>
      <c r="J345" s="18"/>
      <c r="N345" s="54"/>
      <c r="W345" s="21"/>
      <c r="X345" s="26"/>
      <c r="AC345" s="55"/>
    </row>
    <row r="346" spans="1:29" x14ac:dyDescent="0.25">
      <c r="A346" s="44"/>
      <c r="B346" s="44"/>
      <c r="C346" s="46"/>
      <c r="D346" s="46"/>
      <c r="E346" s="46"/>
      <c r="F346" s="46"/>
      <c r="G346" s="47"/>
      <c r="H346" s="51"/>
      <c r="I346" s="17"/>
      <c r="J346" s="18"/>
      <c r="N346" s="54"/>
      <c r="W346" s="21"/>
      <c r="X346" s="26"/>
      <c r="AC346" s="55"/>
    </row>
    <row r="347" spans="1:29" x14ac:dyDescent="0.25">
      <c r="A347" s="44"/>
      <c r="B347" s="44"/>
      <c r="C347" s="46"/>
      <c r="D347" s="46"/>
      <c r="E347" s="46"/>
      <c r="F347" s="46"/>
      <c r="G347" s="47"/>
      <c r="H347" s="51"/>
      <c r="I347" s="17"/>
      <c r="J347" s="18"/>
      <c r="N347" s="54"/>
      <c r="W347" s="21"/>
      <c r="X347" s="26"/>
      <c r="AC347" s="55"/>
    </row>
    <row r="348" spans="1:29" x14ac:dyDescent="0.25">
      <c r="A348" s="44"/>
      <c r="B348" s="44"/>
      <c r="C348" s="46"/>
      <c r="D348" s="46"/>
      <c r="E348" s="46"/>
      <c r="F348" s="46"/>
      <c r="G348" s="47"/>
      <c r="H348" s="51"/>
      <c r="I348" s="17"/>
      <c r="J348" s="18"/>
      <c r="N348" s="54"/>
      <c r="W348" s="21"/>
      <c r="X348" s="26"/>
      <c r="AC348" s="55"/>
    </row>
    <row r="349" spans="1:29" x14ac:dyDescent="0.25">
      <c r="A349" s="42"/>
      <c r="B349" s="42"/>
      <c r="C349" s="43"/>
      <c r="D349" s="43"/>
      <c r="E349" s="43"/>
      <c r="F349" s="43"/>
      <c r="G349" s="43"/>
      <c r="H349" s="50"/>
      <c r="I349" s="23"/>
      <c r="J349" s="24"/>
      <c r="K349" s="22"/>
      <c r="L349" s="22"/>
      <c r="M349" s="22"/>
      <c r="N349" s="54"/>
      <c r="W349" s="21"/>
      <c r="X349" s="26"/>
      <c r="AC349" s="55"/>
    </row>
    <row r="350" spans="1:29" x14ac:dyDescent="0.25">
      <c r="A350" s="44"/>
      <c r="B350" s="44"/>
      <c r="C350" s="45"/>
      <c r="D350" s="45"/>
      <c r="E350" s="45"/>
      <c r="F350" s="45"/>
      <c r="G350" s="45"/>
      <c r="H350" s="51"/>
      <c r="I350" s="17"/>
      <c r="J350" s="18"/>
      <c r="N350" s="54"/>
      <c r="W350" s="21"/>
      <c r="X350" s="26"/>
      <c r="AC350" s="55"/>
    </row>
    <row r="351" spans="1:29" x14ac:dyDescent="0.25">
      <c r="A351" s="44"/>
      <c r="B351" s="44"/>
      <c r="C351" s="46"/>
      <c r="D351" s="46"/>
      <c r="E351" s="46"/>
      <c r="F351" s="46"/>
      <c r="G351" s="47"/>
      <c r="H351" s="51"/>
      <c r="I351" s="17"/>
      <c r="J351" s="18"/>
      <c r="N351" s="54"/>
      <c r="W351" s="21"/>
      <c r="X351" s="26"/>
      <c r="AC351" s="55"/>
    </row>
    <row r="352" spans="1:29" x14ac:dyDescent="0.25">
      <c r="A352" s="44"/>
      <c r="B352" s="44"/>
      <c r="C352" s="46"/>
      <c r="D352" s="46"/>
      <c r="E352" s="46"/>
      <c r="F352" s="46"/>
      <c r="G352" s="47"/>
      <c r="H352" s="51"/>
      <c r="I352" s="17"/>
      <c r="J352" s="18"/>
      <c r="N352" s="54"/>
      <c r="W352" s="21"/>
      <c r="X352" s="26"/>
      <c r="AC352" s="55"/>
    </row>
    <row r="353" spans="1:29" x14ac:dyDescent="0.25">
      <c r="A353" s="44"/>
      <c r="B353" s="44"/>
      <c r="C353" s="46"/>
      <c r="D353" s="46"/>
      <c r="E353" s="46"/>
      <c r="F353" s="46"/>
      <c r="G353" s="47"/>
      <c r="H353" s="51"/>
      <c r="I353" s="17"/>
      <c r="J353" s="18"/>
      <c r="N353" s="54"/>
      <c r="W353" s="21"/>
      <c r="X353" s="26"/>
      <c r="AC353" s="55"/>
    </row>
    <row r="354" spans="1:29" x14ac:dyDescent="0.25">
      <c r="A354" s="42"/>
      <c r="B354" s="42"/>
      <c r="C354" s="43"/>
      <c r="D354" s="43"/>
      <c r="E354" s="43"/>
      <c r="F354" s="43"/>
      <c r="G354" s="43"/>
      <c r="H354" s="50"/>
      <c r="I354" s="23"/>
      <c r="J354" s="24"/>
      <c r="K354" s="22"/>
      <c r="L354" s="22"/>
      <c r="M354" s="22"/>
      <c r="N354" s="54"/>
      <c r="W354" s="21"/>
      <c r="X354" s="26"/>
      <c r="AC354" s="55"/>
    </row>
    <row r="355" spans="1:29" x14ac:dyDescent="0.25">
      <c r="A355" s="44"/>
      <c r="B355" s="44"/>
      <c r="C355" s="45"/>
      <c r="D355" s="45"/>
      <c r="E355" s="45"/>
      <c r="F355" s="45"/>
      <c r="G355" s="45"/>
      <c r="H355" s="51"/>
      <c r="I355" s="17"/>
      <c r="J355" s="18"/>
      <c r="N355" s="54"/>
      <c r="W355" s="21"/>
      <c r="X355" s="26"/>
      <c r="AC355" s="55"/>
    </row>
    <row r="356" spans="1:29" x14ac:dyDescent="0.25">
      <c r="A356" s="44"/>
      <c r="B356" s="44"/>
      <c r="C356" s="46"/>
      <c r="D356" s="46"/>
      <c r="E356" s="46"/>
      <c r="F356" s="46"/>
      <c r="G356" s="47"/>
      <c r="H356" s="51"/>
      <c r="I356" s="17"/>
      <c r="J356" s="18"/>
      <c r="N356" s="54"/>
      <c r="W356" s="21"/>
      <c r="X356" s="26"/>
      <c r="AC356" s="55"/>
    </row>
    <row r="357" spans="1:29" x14ac:dyDescent="0.25">
      <c r="A357" s="44"/>
      <c r="B357" s="44"/>
      <c r="C357" s="46"/>
      <c r="D357" s="46"/>
      <c r="E357" s="46"/>
      <c r="F357" s="46"/>
      <c r="G357" s="47"/>
      <c r="H357" s="51"/>
      <c r="I357" s="17"/>
      <c r="J357" s="18"/>
      <c r="N357" s="54"/>
      <c r="W357" s="21"/>
      <c r="X357" s="26"/>
      <c r="AC357" s="55"/>
    </row>
    <row r="358" spans="1:29" x14ac:dyDescent="0.25">
      <c r="A358" s="44"/>
      <c r="B358" s="44"/>
      <c r="C358" s="46"/>
      <c r="D358" s="46"/>
      <c r="E358" s="46"/>
      <c r="F358" s="46"/>
      <c r="G358" s="47"/>
      <c r="H358" s="51"/>
      <c r="I358" s="17"/>
      <c r="J358" s="18"/>
      <c r="N358" s="54"/>
      <c r="W358" s="21"/>
      <c r="X358" s="26"/>
      <c r="AC358" s="55"/>
    </row>
    <row r="359" spans="1:29" x14ac:dyDescent="0.25">
      <c r="A359" s="42"/>
      <c r="B359" s="42"/>
      <c r="C359" s="43"/>
      <c r="D359" s="43"/>
      <c r="E359" s="43"/>
      <c r="F359" s="43"/>
      <c r="G359" s="43"/>
      <c r="H359" s="50"/>
      <c r="I359" s="23"/>
      <c r="J359" s="24"/>
      <c r="K359" s="22"/>
      <c r="L359" s="22"/>
      <c r="M359" s="22"/>
      <c r="N359" s="54"/>
      <c r="W359" s="21"/>
      <c r="X359" s="26"/>
      <c r="AC359" s="55"/>
    </row>
    <row r="360" spans="1:29" x14ac:dyDescent="0.25">
      <c r="A360" s="44"/>
      <c r="B360" s="44"/>
      <c r="C360" s="46"/>
      <c r="D360" s="46"/>
      <c r="E360" s="46"/>
      <c r="F360" s="46"/>
      <c r="G360" s="47"/>
      <c r="H360" s="51"/>
      <c r="I360" s="17"/>
      <c r="J360" s="18"/>
      <c r="N360" s="54"/>
      <c r="W360" s="21"/>
      <c r="X360" s="26"/>
      <c r="AC360" s="55"/>
    </row>
    <row r="361" spans="1:29" x14ac:dyDescent="0.25">
      <c r="A361" s="44"/>
      <c r="B361" s="44"/>
      <c r="C361" s="46"/>
      <c r="D361" s="46"/>
      <c r="E361" s="46"/>
      <c r="F361" s="46"/>
      <c r="G361" s="47"/>
      <c r="H361" s="51"/>
      <c r="I361" s="17"/>
      <c r="J361" s="18"/>
      <c r="N361" s="54"/>
      <c r="W361" s="21"/>
      <c r="X361" s="26"/>
      <c r="AC361" s="55"/>
    </row>
    <row r="362" spans="1:29" x14ac:dyDescent="0.25">
      <c r="A362" s="44"/>
      <c r="B362" s="44"/>
      <c r="C362" s="46"/>
      <c r="D362" s="46"/>
      <c r="E362" s="46"/>
      <c r="F362" s="46"/>
      <c r="G362" s="47"/>
      <c r="H362" s="51"/>
      <c r="I362" s="17"/>
      <c r="J362" s="18"/>
      <c r="N362" s="54"/>
      <c r="W362" s="21"/>
      <c r="X362" s="26"/>
      <c r="AC362" s="55"/>
    </row>
    <row r="363" spans="1:29" x14ac:dyDescent="0.25">
      <c r="A363" s="44"/>
      <c r="B363" s="44"/>
      <c r="C363" s="46"/>
      <c r="D363" s="46"/>
      <c r="E363" s="46"/>
      <c r="F363" s="46"/>
      <c r="G363" s="47"/>
      <c r="H363" s="51"/>
      <c r="I363" s="17"/>
      <c r="J363" s="18"/>
      <c r="N363" s="54"/>
      <c r="W363" s="21"/>
      <c r="X363" s="26"/>
      <c r="AC363" s="55"/>
    </row>
  </sheetData>
  <sortState xmlns:xlrd2="http://schemas.microsoft.com/office/spreadsheetml/2017/richdata2" ref="P4:AB243">
    <sortCondition ref="S4:S243"/>
    <sortCondition ref="T4:T243"/>
    <sortCondition ref="R4:R243"/>
    <sortCondition ref="P4:P243"/>
  </sortState>
  <mergeCells count="106">
    <mergeCell ref="AC1:AC3"/>
    <mergeCell ref="A2:B2"/>
    <mergeCell ref="K2:M2"/>
    <mergeCell ref="P2:Q2"/>
    <mergeCell ref="Z2:AB2"/>
    <mergeCell ref="A1:D1"/>
    <mergeCell ref="K1:M1"/>
    <mergeCell ref="N1:N3"/>
    <mergeCell ref="P1:S1"/>
    <mergeCell ref="Z1:AB1"/>
    <mergeCell ref="N19:N23"/>
    <mergeCell ref="AC19:AC23"/>
    <mergeCell ref="N24:N28"/>
    <mergeCell ref="AC24:AC28"/>
    <mergeCell ref="N29:N33"/>
    <mergeCell ref="AC29:AC33"/>
    <mergeCell ref="N4:N8"/>
    <mergeCell ref="AC4:AC8"/>
    <mergeCell ref="N9:N13"/>
    <mergeCell ref="AC9:AC13"/>
    <mergeCell ref="N14:N18"/>
    <mergeCell ref="AC14:AC18"/>
    <mergeCell ref="N49:N53"/>
    <mergeCell ref="AC49:AC53"/>
    <mergeCell ref="N54:N58"/>
    <mergeCell ref="AC54:AC58"/>
    <mergeCell ref="N59:N63"/>
    <mergeCell ref="AC59:AC63"/>
    <mergeCell ref="N34:N38"/>
    <mergeCell ref="AC34:AC38"/>
    <mergeCell ref="N39:N43"/>
    <mergeCell ref="AC39:AC43"/>
    <mergeCell ref="N44:N48"/>
    <mergeCell ref="AC44:AC48"/>
    <mergeCell ref="N79:N83"/>
    <mergeCell ref="AC79:AC83"/>
    <mergeCell ref="N84:N88"/>
    <mergeCell ref="AC84:AC88"/>
    <mergeCell ref="N89:N93"/>
    <mergeCell ref="AC89:AC93"/>
    <mergeCell ref="N64:N68"/>
    <mergeCell ref="AC64:AC68"/>
    <mergeCell ref="N69:N73"/>
    <mergeCell ref="AC69:AC73"/>
    <mergeCell ref="N74:N78"/>
    <mergeCell ref="AC74:AC78"/>
    <mergeCell ref="N109:N113"/>
    <mergeCell ref="AC109:AC113"/>
    <mergeCell ref="N114:N118"/>
    <mergeCell ref="AC114:AC118"/>
    <mergeCell ref="N119:N123"/>
    <mergeCell ref="AC119:AC123"/>
    <mergeCell ref="N94:N98"/>
    <mergeCell ref="AC94:AC98"/>
    <mergeCell ref="N99:N103"/>
    <mergeCell ref="AC99:AC103"/>
    <mergeCell ref="N104:N108"/>
    <mergeCell ref="AC104:AC108"/>
    <mergeCell ref="N139:N143"/>
    <mergeCell ref="AC139:AC143"/>
    <mergeCell ref="N144:N148"/>
    <mergeCell ref="AC144:AC148"/>
    <mergeCell ref="N149:N153"/>
    <mergeCell ref="AC149:AC153"/>
    <mergeCell ref="N124:N128"/>
    <mergeCell ref="AC124:AC128"/>
    <mergeCell ref="N129:N133"/>
    <mergeCell ref="AC129:AC133"/>
    <mergeCell ref="N134:N138"/>
    <mergeCell ref="AC134:AC138"/>
    <mergeCell ref="N169:N173"/>
    <mergeCell ref="AC169:AC173"/>
    <mergeCell ref="N174:N178"/>
    <mergeCell ref="AC174:AC178"/>
    <mergeCell ref="N179:N183"/>
    <mergeCell ref="AC179:AC183"/>
    <mergeCell ref="N154:N158"/>
    <mergeCell ref="AC154:AC158"/>
    <mergeCell ref="N159:N163"/>
    <mergeCell ref="AC159:AC163"/>
    <mergeCell ref="N164:N168"/>
    <mergeCell ref="AC164:AC168"/>
    <mergeCell ref="N199:N203"/>
    <mergeCell ref="AC199:AC203"/>
    <mergeCell ref="N204:N208"/>
    <mergeCell ref="AC204:AC208"/>
    <mergeCell ref="N209:N213"/>
    <mergeCell ref="AC209:AC213"/>
    <mergeCell ref="N184:N188"/>
    <mergeCell ref="AC184:AC188"/>
    <mergeCell ref="N189:N193"/>
    <mergeCell ref="AC189:AC193"/>
    <mergeCell ref="N194:N198"/>
    <mergeCell ref="AC194:AC198"/>
    <mergeCell ref="N229:N233"/>
    <mergeCell ref="AC229:AC233"/>
    <mergeCell ref="N234:N238"/>
    <mergeCell ref="AC234:AC238"/>
    <mergeCell ref="N239:N243"/>
    <mergeCell ref="AC239:AC243"/>
    <mergeCell ref="N214:N218"/>
    <mergeCell ref="AC214:AC218"/>
    <mergeCell ref="N219:N223"/>
    <mergeCell ref="AC219:AC223"/>
    <mergeCell ref="N224:N228"/>
    <mergeCell ref="AC224:AC228"/>
  </mergeCells>
  <conditionalFormatting sqref="N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1048576 AC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82D1-CA0D-4F95-ACEC-D21D0BD11906}">
  <dimension ref="A1:BB363"/>
  <sheetViews>
    <sheetView topLeftCell="AH37" workbookViewId="0">
      <selection activeCell="AW4" sqref="AW4:BB75"/>
    </sheetView>
  </sheetViews>
  <sheetFormatPr defaultRowHeight="15" x14ac:dyDescent="0.25"/>
  <cols>
    <col min="3" max="6" width="9.140625" style="25"/>
    <col min="7" max="7" width="10.140625" style="1" bestFit="1" customWidth="1"/>
    <col min="8" max="8" width="13.5703125" style="19" customWidth="1"/>
    <col min="32" max="32" width="9.140625" style="19"/>
    <col min="33" max="33" width="15.7109375" style="17" bestFit="1" customWidth="1"/>
    <col min="34" max="34" width="9.140625" style="27"/>
    <col min="54" max="54" width="9.140625" style="58"/>
  </cols>
  <sheetData>
    <row r="1" spans="1:54" x14ac:dyDescent="0.25">
      <c r="A1" s="78" t="s">
        <v>92</v>
      </c>
      <c r="B1" s="78"/>
      <c r="C1" s="78"/>
      <c r="D1" s="78"/>
      <c r="E1" s="31">
        <f>MAX(W:W)</f>
        <v>13.460800000000001</v>
      </c>
      <c r="F1" s="32">
        <f>INDEX(C:C,MATCH(MAX($W:$W),$W:$W,0))</f>
        <v>28800</v>
      </c>
      <c r="G1" s="32">
        <f t="shared" ref="G1:I1" si="0">INDEX(D:D,MATCH(MAX($W:$W),$W:$W,0))</f>
        <v>96</v>
      </c>
      <c r="H1" s="32">
        <f t="shared" si="0"/>
        <v>2</v>
      </c>
      <c r="I1" s="32">
        <f t="shared" si="0"/>
        <v>8</v>
      </c>
      <c r="J1" s="33"/>
      <c r="K1" s="73" t="s">
        <v>97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4" t="s">
        <v>99</v>
      </c>
      <c r="Y1" s="78" t="s">
        <v>92</v>
      </c>
      <c r="Z1" s="78"/>
      <c r="AA1" s="78"/>
      <c r="AB1" s="78"/>
      <c r="AC1" s="31">
        <f>MAX(AU:AU)</f>
        <v>13.102</v>
      </c>
      <c r="AD1" s="32">
        <f>INDEX(AA:AA,MATCH(MAX($AU:$AU),$AU:$AU,0))</f>
        <v>28800</v>
      </c>
      <c r="AE1" s="32">
        <f t="shared" ref="AE1:AG1" si="1">INDEX(AB:AB,MATCH(MAX($AU:$AU),$AU:$AU,0))</f>
        <v>160</v>
      </c>
      <c r="AF1" s="32">
        <f t="shared" si="1"/>
        <v>2</v>
      </c>
      <c r="AG1" s="32">
        <f t="shared" si="1"/>
        <v>8</v>
      </c>
      <c r="AH1" s="33"/>
      <c r="AI1" s="73" t="s">
        <v>86</v>
      </c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4" t="s">
        <v>99</v>
      </c>
    </row>
    <row r="2" spans="1:54" x14ac:dyDescent="0.25">
      <c r="A2" s="72" t="s">
        <v>93</v>
      </c>
      <c r="B2" s="72"/>
      <c r="C2" s="34">
        <f>MAX(H4:H840)</f>
        <v>13.509</v>
      </c>
      <c r="D2" s="35"/>
      <c r="E2" s="35"/>
      <c r="F2" s="35"/>
      <c r="G2" s="36"/>
      <c r="H2" s="49"/>
      <c r="I2" s="35"/>
      <c r="J2" s="33"/>
      <c r="K2" s="75" t="s">
        <v>88</v>
      </c>
      <c r="L2" s="75"/>
      <c r="M2" s="75"/>
      <c r="N2" s="75" t="s">
        <v>89</v>
      </c>
      <c r="O2" s="75"/>
      <c r="P2" s="75"/>
      <c r="Q2" s="75" t="s">
        <v>90</v>
      </c>
      <c r="R2" s="75"/>
      <c r="S2" s="75"/>
      <c r="T2" s="75" t="s">
        <v>91</v>
      </c>
      <c r="U2" s="75"/>
      <c r="V2" s="75"/>
      <c r="W2" s="74"/>
      <c r="Y2" s="72" t="s">
        <v>93</v>
      </c>
      <c r="Z2" s="72"/>
      <c r="AA2" s="34">
        <f>MAX(AF4:AF841)</f>
        <v>13.2</v>
      </c>
      <c r="AB2" s="35"/>
      <c r="AC2" s="35"/>
      <c r="AD2" s="35"/>
      <c r="AE2" s="36"/>
      <c r="AF2" s="37"/>
      <c r="AG2" s="35"/>
      <c r="AH2" s="33"/>
      <c r="AI2" s="75" t="s">
        <v>88</v>
      </c>
      <c r="AJ2" s="75"/>
      <c r="AK2" s="75"/>
      <c r="AL2" s="75" t="s">
        <v>89</v>
      </c>
      <c r="AM2" s="75"/>
      <c r="AN2" s="75"/>
      <c r="AO2" s="75" t="s">
        <v>90</v>
      </c>
      <c r="AP2" s="75"/>
      <c r="AQ2" s="75"/>
      <c r="AR2" s="75" t="s">
        <v>91</v>
      </c>
      <c r="AS2" s="75"/>
      <c r="AT2" s="75"/>
      <c r="AU2" s="74"/>
    </row>
    <row r="3" spans="1:54" s="5" customFormat="1" x14ac:dyDescent="0.25">
      <c r="A3" s="38" t="s">
        <v>85</v>
      </c>
      <c r="B3" s="38"/>
      <c r="C3" s="38" t="s">
        <v>1</v>
      </c>
      <c r="D3" s="38" t="s">
        <v>2</v>
      </c>
      <c r="E3" s="38" t="s">
        <v>3</v>
      </c>
      <c r="F3" s="38" t="s">
        <v>4</v>
      </c>
      <c r="G3" s="39" t="s">
        <v>5</v>
      </c>
      <c r="H3" s="48" t="s">
        <v>6</v>
      </c>
      <c r="I3" s="40" t="s">
        <v>87</v>
      </c>
      <c r="J3" s="41" t="s">
        <v>5</v>
      </c>
      <c r="K3" s="38" t="s">
        <v>94</v>
      </c>
      <c r="L3" s="38" t="s">
        <v>95</v>
      </c>
      <c r="M3" s="38" t="s">
        <v>96</v>
      </c>
      <c r="N3" s="38" t="s">
        <v>94</v>
      </c>
      <c r="O3" s="38" t="s">
        <v>95</v>
      </c>
      <c r="P3" s="38" t="s">
        <v>96</v>
      </c>
      <c r="Q3" s="38" t="s">
        <v>94</v>
      </c>
      <c r="R3" s="38" t="s">
        <v>95</v>
      </c>
      <c r="S3" s="38" t="s">
        <v>96</v>
      </c>
      <c r="T3" s="38" t="s">
        <v>94</v>
      </c>
      <c r="U3" s="38" t="s">
        <v>95</v>
      </c>
      <c r="V3" s="38" t="s">
        <v>96</v>
      </c>
      <c r="W3" s="74"/>
      <c r="Y3" s="38" t="s">
        <v>85</v>
      </c>
      <c r="Z3" s="38"/>
      <c r="AA3" s="38" t="s">
        <v>1</v>
      </c>
      <c r="AB3" s="38" t="s">
        <v>2</v>
      </c>
      <c r="AC3" s="38" t="s">
        <v>3</v>
      </c>
      <c r="AD3" s="38" t="s">
        <v>4</v>
      </c>
      <c r="AE3" s="39" t="s">
        <v>5</v>
      </c>
      <c r="AF3" s="40" t="s">
        <v>6</v>
      </c>
      <c r="AG3" s="40" t="s">
        <v>87</v>
      </c>
      <c r="AH3" s="41" t="s">
        <v>5</v>
      </c>
      <c r="AI3" s="38" t="s">
        <v>94</v>
      </c>
      <c r="AJ3" s="38" t="s">
        <v>95</v>
      </c>
      <c r="AK3" s="38" t="s">
        <v>96</v>
      </c>
      <c r="AL3" s="38" t="s">
        <v>94</v>
      </c>
      <c r="AM3" s="38" t="s">
        <v>95</v>
      </c>
      <c r="AN3" s="38" t="s">
        <v>96</v>
      </c>
      <c r="AO3" s="38" t="s">
        <v>94</v>
      </c>
      <c r="AP3" s="38" t="s">
        <v>95</v>
      </c>
      <c r="AQ3" s="38" t="s">
        <v>96</v>
      </c>
      <c r="AR3" s="38" t="s">
        <v>94</v>
      </c>
      <c r="AS3" s="38" t="s">
        <v>95</v>
      </c>
      <c r="AT3" s="38" t="s">
        <v>96</v>
      </c>
      <c r="AU3" s="74"/>
      <c r="BB3" s="61"/>
    </row>
    <row r="4" spans="1:54" s="5" customFormat="1" x14ac:dyDescent="0.25">
      <c r="A4" s="42">
        <v>0</v>
      </c>
      <c r="B4" s="42" t="s">
        <v>7</v>
      </c>
      <c r="C4" s="43">
        <v>25728</v>
      </c>
      <c r="D4" s="43">
        <v>32</v>
      </c>
      <c r="E4" s="43">
        <v>1</v>
      </c>
      <c r="F4" s="43">
        <v>16</v>
      </c>
      <c r="G4" s="43">
        <v>1094.52</v>
      </c>
      <c r="H4" s="50">
        <v>10.374000000000001</v>
      </c>
      <c r="I4" s="23">
        <v>45458</v>
      </c>
      <c r="J4" s="24">
        <v>0.88520833333333337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5">
        <v>0</v>
      </c>
      <c r="V4">
        <v>0</v>
      </c>
      <c r="W4" s="76">
        <f>AVERAGE(H4:H8)</f>
        <v>10.3756</v>
      </c>
      <c r="Y4" s="5">
        <v>0</v>
      </c>
      <c r="Z4" s="5" t="s">
        <v>7</v>
      </c>
      <c r="AA4" s="5">
        <v>25728</v>
      </c>
      <c r="AB4" s="5">
        <v>32</v>
      </c>
      <c r="AC4" s="5">
        <v>1</v>
      </c>
      <c r="AD4" s="5">
        <v>16</v>
      </c>
      <c r="AE4" s="5">
        <v>1096.1500000000001</v>
      </c>
      <c r="AF4" s="20">
        <v>10.358000000000001</v>
      </c>
      <c r="AG4" s="26">
        <v>45468</v>
      </c>
      <c r="AH4" s="28">
        <v>0.6746875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77">
        <f>AVERAGE(AF4:AF8)</f>
        <v>10.3794</v>
      </c>
      <c r="AW4" s="5">
        <v>25728</v>
      </c>
      <c r="AX4" s="5">
        <v>32</v>
      </c>
      <c r="AY4" s="5">
        <v>1</v>
      </c>
      <c r="AZ4" s="5">
        <v>16</v>
      </c>
      <c r="BA4" s="5">
        <v>1052.7</v>
      </c>
      <c r="BB4" s="62">
        <v>10.786</v>
      </c>
    </row>
    <row r="5" spans="1:54" x14ac:dyDescent="0.25">
      <c r="A5" s="44">
        <v>1</v>
      </c>
      <c r="B5" s="44" t="s">
        <v>7</v>
      </c>
      <c r="C5" s="45">
        <v>25728</v>
      </c>
      <c r="D5" s="45">
        <v>32</v>
      </c>
      <c r="E5" s="45">
        <v>1</v>
      </c>
      <c r="F5" s="45">
        <v>16</v>
      </c>
      <c r="G5" s="45">
        <v>1093.46</v>
      </c>
      <c r="H5" s="51">
        <v>10.384</v>
      </c>
      <c r="I5" s="17">
        <v>45459</v>
      </c>
      <c r="J5" s="18">
        <v>0.90586805555555561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76"/>
      <c r="Y5">
        <v>1</v>
      </c>
      <c r="Z5" t="s">
        <v>7</v>
      </c>
      <c r="AA5">
        <v>25728</v>
      </c>
      <c r="AB5">
        <v>32</v>
      </c>
      <c r="AC5">
        <v>1</v>
      </c>
      <c r="AD5">
        <v>16</v>
      </c>
      <c r="AE5">
        <v>1090.98</v>
      </c>
      <c r="AF5" s="21">
        <v>10.407</v>
      </c>
      <c r="AG5" s="26">
        <v>45469</v>
      </c>
      <c r="AH5" s="27">
        <v>0.72635416666666663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s="77"/>
      <c r="AW5">
        <v>25728</v>
      </c>
      <c r="AX5">
        <v>32</v>
      </c>
      <c r="AY5">
        <v>2</v>
      </c>
      <c r="AZ5">
        <v>8</v>
      </c>
      <c r="BA5">
        <v>922.22</v>
      </c>
      <c r="BB5" s="63">
        <v>12.311999999999999</v>
      </c>
    </row>
    <row r="6" spans="1:54" x14ac:dyDescent="0.25">
      <c r="A6" s="44">
        <v>2</v>
      </c>
      <c r="B6" s="44" t="s">
        <v>7</v>
      </c>
      <c r="C6" s="46">
        <v>25728</v>
      </c>
      <c r="D6" s="46">
        <v>32</v>
      </c>
      <c r="E6" s="46">
        <v>1</v>
      </c>
      <c r="F6" s="46">
        <v>16</v>
      </c>
      <c r="G6" s="47">
        <v>1091.4000000000001</v>
      </c>
      <c r="H6" s="51">
        <v>10.403</v>
      </c>
      <c r="I6" s="17">
        <v>45460</v>
      </c>
      <c r="J6" s="18">
        <v>0.92562500000000003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76"/>
      <c r="Y6">
        <v>2</v>
      </c>
      <c r="Z6" t="s">
        <v>7</v>
      </c>
      <c r="AA6">
        <v>25728</v>
      </c>
      <c r="AB6">
        <v>32</v>
      </c>
      <c r="AC6">
        <v>1</v>
      </c>
      <c r="AD6">
        <v>16</v>
      </c>
      <c r="AE6">
        <v>1090.68</v>
      </c>
      <c r="AF6" s="21">
        <v>10.41</v>
      </c>
      <c r="AG6" s="26">
        <v>45471</v>
      </c>
      <c r="AH6" s="27">
        <v>0.11702546296296296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77"/>
      <c r="AW6">
        <v>25728</v>
      </c>
      <c r="AX6">
        <v>32</v>
      </c>
      <c r="AY6">
        <v>4</v>
      </c>
      <c r="AZ6">
        <v>4</v>
      </c>
      <c r="BA6">
        <v>1080.93</v>
      </c>
      <c r="BB6" s="63">
        <v>10.504</v>
      </c>
    </row>
    <row r="7" spans="1:54" x14ac:dyDescent="0.25">
      <c r="A7" s="44">
        <v>3</v>
      </c>
      <c r="B7" s="44" t="s">
        <v>7</v>
      </c>
      <c r="C7" s="46">
        <v>25728</v>
      </c>
      <c r="D7" s="46">
        <v>32</v>
      </c>
      <c r="E7" s="46">
        <v>1</v>
      </c>
      <c r="F7" s="46">
        <v>16</v>
      </c>
      <c r="G7" s="47">
        <v>1099.48</v>
      </c>
      <c r="H7" s="51">
        <v>10.327</v>
      </c>
      <c r="I7" s="17">
        <v>45462</v>
      </c>
      <c r="J7" s="18">
        <v>0.25577546296296294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76"/>
      <c r="Y7">
        <v>3</v>
      </c>
      <c r="Z7" t="s">
        <v>7</v>
      </c>
      <c r="AA7">
        <v>25728</v>
      </c>
      <c r="AB7">
        <v>32</v>
      </c>
      <c r="AC7">
        <v>1</v>
      </c>
      <c r="AD7">
        <v>16</v>
      </c>
      <c r="AE7">
        <v>1095.06</v>
      </c>
      <c r="AF7" s="21">
        <v>10.369</v>
      </c>
      <c r="AG7" s="26">
        <v>45472</v>
      </c>
      <c r="AH7" s="27">
        <v>0.17164351851851853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77"/>
      <c r="AW7">
        <v>25728</v>
      </c>
      <c r="AX7">
        <v>64</v>
      </c>
      <c r="AY7">
        <v>1</v>
      </c>
      <c r="AZ7">
        <v>16</v>
      </c>
      <c r="BA7">
        <v>984.54</v>
      </c>
      <c r="BB7" s="63">
        <v>11.532999999999999</v>
      </c>
    </row>
    <row r="8" spans="1:54" x14ac:dyDescent="0.25">
      <c r="A8" s="44">
        <v>4</v>
      </c>
      <c r="B8" s="44" t="s">
        <v>7</v>
      </c>
      <c r="C8" s="46">
        <v>25728</v>
      </c>
      <c r="D8" s="46">
        <v>32</v>
      </c>
      <c r="E8" s="46">
        <v>1</v>
      </c>
      <c r="F8" s="46">
        <v>16</v>
      </c>
      <c r="G8" s="47">
        <v>1092.83</v>
      </c>
      <c r="H8" s="51">
        <v>10.39</v>
      </c>
      <c r="I8" s="17">
        <v>45465</v>
      </c>
      <c r="J8" s="18">
        <v>0.33240740740740743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76"/>
      <c r="Y8">
        <v>4</v>
      </c>
      <c r="Z8" t="s">
        <v>7</v>
      </c>
      <c r="AA8">
        <v>25728</v>
      </c>
      <c r="AB8">
        <v>32</v>
      </c>
      <c r="AC8">
        <v>1</v>
      </c>
      <c r="AD8">
        <v>16</v>
      </c>
      <c r="AE8">
        <v>1096.68</v>
      </c>
      <c r="AF8" s="21">
        <v>10.353</v>
      </c>
      <c r="AG8" s="26">
        <v>45473</v>
      </c>
      <c r="AH8" s="27">
        <v>0.22655092592592593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77"/>
      <c r="AW8">
        <v>25728</v>
      </c>
      <c r="AX8">
        <v>64</v>
      </c>
      <c r="AY8">
        <v>2</v>
      </c>
      <c r="AZ8">
        <v>8</v>
      </c>
      <c r="BA8">
        <v>864.46</v>
      </c>
      <c r="BB8" s="63">
        <v>13.135</v>
      </c>
    </row>
    <row r="9" spans="1:54" x14ac:dyDescent="0.25">
      <c r="A9" s="42">
        <v>0</v>
      </c>
      <c r="B9" s="42" t="s">
        <v>7</v>
      </c>
      <c r="C9" s="43">
        <v>27264</v>
      </c>
      <c r="D9" s="43">
        <v>32</v>
      </c>
      <c r="E9" s="43">
        <v>1</v>
      </c>
      <c r="F9" s="43">
        <v>16</v>
      </c>
      <c r="G9" s="43">
        <v>1303.0999999999999</v>
      </c>
      <c r="H9" s="50">
        <v>10.369</v>
      </c>
      <c r="I9" s="23">
        <v>45459</v>
      </c>
      <c r="J9" s="24">
        <v>0.17781250000000001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76">
        <f t="shared" ref="W9" si="2">AVERAGE(H9:H13)</f>
        <v>10.359800000000002</v>
      </c>
      <c r="Y9">
        <v>0</v>
      </c>
      <c r="Z9" t="s">
        <v>7</v>
      </c>
      <c r="AA9">
        <v>27264</v>
      </c>
      <c r="AB9">
        <v>32</v>
      </c>
      <c r="AC9">
        <v>1</v>
      </c>
      <c r="AD9">
        <v>16</v>
      </c>
      <c r="AE9">
        <v>1268.7</v>
      </c>
      <c r="AF9" s="21">
        <v>10.65</v>
      </c>
      <c r="AG9" s="26">
        <v>45468</v>
      </c>
      <c r="AH9" s="27">
        <v>0.97918981481481482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77">
        <f t="shared" ref="AU9" si="3">AVERAGE(AF9:AF13)</f>
        <v>10.702200000000001</v>
      </c>
      <c r="AW9">
        <v>25728</v>
      </c>
      <c r="AX9">
        <v>64</v>
      </c>
      <c r="AY9">
        <v>4</v>
      </c>
      <c r="AZ9">
        <v>4</v>
      </c>
      <c r="BA9">
        <v>1029.3699999999999</v>
      </c>
      <c r="BB9" s="63">
        <v>11.03</v>
      </c>
    </row>
    <row r="10" spans="1:54" x14ac:dyDescent="0.25">
      <c r="A10" s="44">
        <v>1</v>
      </c>
      <c r="B10" s="44" t="s">
        <v>7</v>
      </c>
      <c r="C10" s="45">
        <v>27264</v>
      </c>
      <c r="D10" s="45">
        <v>32</v>
      </c>
      <c r="E10" s="45">
        <v>1</v>
      </c>
      <c r="F10" s="45">
        <v>16</v>
      </c>
      <c r="G10" s="45">
        <v>1299.01</v>
      </c>
      <c r="H10" s="51">
        <v>10.401999999999999</v>
      </c>
      <c r="I10" s="17">
        <v>45460</v>
      </c>
      <c r="J10" s="18">
        <v>0.19724537037037038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76"/>
      <c r="Y10">
        <v>1</v>
      </c>
      <c r="Z10" t="s">
        <v>7</v>
      </c>
      <c r="AA10">
        <v>27264</v>
      </c>
      <c r="AB10">
        <v>32</v>
      </c>
      <c r="AC10">
        <v>1</v>
      </c>
      <c r="AD10">
        <v>16</v>
      </c>
      <c r="AE10">
        <v>1260.76</v>
      </c>
      <c r="AF10" s="21">
        <v>10.717000000000001</v>
      </c>
      <c r="AG10" s="26">
        <v>45470</v>
      </c>
      <c r="AH10" s="27">
        <v>3.0081018518518517E-2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77"/>
      <c r="AW10">
        <v>25728</v>
      </c>
      <c r="AX10">
        <v>96</v>
      </c>
      <c r="AY10">
        <v>1</v>
      </c>
      <c r="AZ10">
        <v>16</v>
      </c>
      <c r="BA10">
        <v>975.67</v>
      </c>
      <c r="BB10" s="63">
        <v>11.638</v>
      </c>
    </row>
    <row r="11" spans="1:54" x14ac:dyDescent="0.25">
      <c r="A11" s="44">
        <v>2</v>
      </c>
      <c r="B11" s="44" t="s">
        <v>7</v>
      </c>
      <c r="C11" s="46">
        <v>27264</v>
      </c>
      <c r="D11" s="46">
        <v>32</v>
      </c>
      <c r="E11" s="46">
        <v>1</v>
      </c>
      <c r="F11" s="46">
        <v>16</v>
      </c>
      <c r="G11" s="47">
        <v>1299.44</v>
      </c>
      <c r="H11" s="51">
        <v>10.398</v>
      </c>
      <c r="I11" s="17">
        <v>45461</v>
      </c>
      <c r="J11" s="18">
        <v>0.21719907407407407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76"/>
      <c r="Y11">
        <v>2</v>
      </c>
      <c r="Z11" t="s">
        <v>7</v>
      </c>
      <c r="AA11">
        <v>27264</v>
      </c>
      <c r="AB11">
        <v>32</v>
      </c>
      <c r="AC11">
        <v>1</v>
      </c>
      <c r="AD11">
        <v>16</v>
      </c>
      <c r="AE11">
        <v>1264.26</v>
      </c>
      <c r="AF11" s="21">
        <v>10.688000000000001</v>
      </c>
      <c r="AG11" s="26">
        <v>45471</v>
      </c>
      <c r="AH11" s="27">
        <v>0.42278935185185185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77"/>
      <c r="AW11">
        <v>25728</v>
      </c>
      <c r="AX11">
        <v>96</v>
      </c>
      <c r="AY11">
        <v>2</v>
      </c>
      <c r="AZ11">
        <v>8</v>
      </c>
      <c r="BA11">
        <v>858.02</v>
      </c>
      <c r="BB11" s="63">
        <v>13.233000000000001</v>
      </c>
    </row>
    <row r="12" spans="1:54" x14ac:dyDescent="0.25">
      <c r="A12" s="44">
        <v>3</v>
      </c>
      <c r="B12" s="44" t="s">
        <v>7</v>
      </c>
      <c r="C12" s="46">
        <v>27264</v>
      </c>
      <c r="D12" s="46">
        <v>32</v>
      </c>
      <c r="E12" s="46">
        <v>1</v>
      </c>
      <c r="F12" s="46">
        <v>16</v>
      </c>
      <c r="G12" s="47">
        <v>1307.26</v>
      </c>
      <c r="H12" s="51">
        <v>10.336</v>
      </c>
      <c r="I12" s="17">
        <v>45462</v>
      </c>
      <c r="J12" s="18">
        <v>0.54761574074074071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76"/>
      <c r="Y12">
        <v>3</v>
      </c>
      <c r="Z12" t="s">
        <v>7</v>
      </c>
      <c r="AA12">
        <v>27264</v>
      </c>
      <c r="AB12">
        <v>32</v>
      </c>
      <c r="AC12">
        <v>1</v>
      </c>
      <c r="AD12">
        <v>16</v>
      </c>
      <c r="AE12">
        <v>1262.26</v>
      </c>
      <c r="AF12" s="21">
        <v>10.704000000000001</v>
      </c>
      <c r="AG12" s="26">
        <v>45472</v>
      </c>
      <c r="AH12" s="27">
        <v>0.47671296296296295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77"/>
      <c r="AW12">
        <v>25728</v>
      </c>
      <c r="AX12">
        <v>96</v>
      </c>
      <c r="AY12">
        <v>4</v>
      </c>
      <c r="AZ12">
        <v>4</v>
      </c>
      <c r="BA12">
        <v>1040.56</v>
      </c>
      <c r="BB12" s="63">
        <v>10.912000000000001</v>
      </c>
    </row>
    <row r="13" spans="1:54" x14ac:dyDescent="0.25">
      <c r="A13" s="44">
        <v>4</v>
      </c>
      <c r="B13" s="44" t="s">
        <v>7</v>
      </c>
      <c r="C13" s="46">
        <v>27264</v>
      </c>
      <c r="D13" s="46">
        <v>32</v>
      </c>
      <c r="E13" s="46">
        <v>1</v>
      </c>
      <c r="F13" s="46">
        <v>16</v>
      </c>
      <c r="G13" s="47">
        <v>1312.62</v>
      </c>
      <c r="H13" s="51">
        <v>10.294</v>
      </c>
      <c r="I13" s="17">
        <v>45465</v>
      </c>
      <c r="J13" s="18">
        <v>0.62380787037037033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76"/>
      <c r="Y13">
        <v>4</v>
      </c>
      <c r="Z13" t="s">
        <v>7</v>
      </c>
      <c r="AA13">
        <v>27264</v>
      </c>
      <c r="AB13">
        <v>32</v>
      </c>
      <c r="AC13">
        <v>1</v>
      </c>
      <c r="AD13">
        <v>16</v>
      </c>
      <c r="AE13">
        <v>1256.69</v>
      </c>
      <c r="AF13" s="21">
        <v>10.752000000000001</v>
      </c>
      <c r="AG13" s="26">
        <v>45473</v>
      </c>
      <c r="AH13" s="27">
        <v>0.53133101851851849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77"/>
      <c r="AW13">
        <v>25728</v>
      </c>
      <c r="AX13">
        <v>128</v>
      </c>
      <c r="AY13">
        <v>1</v>
      </c>
      <c r="AZ13">
        <v>16</v>
      </c>
      <c r="BA13">
        <v>996.91</v>
      </c>
      <c r="BB13" s="63">
        <v>11.39</v>
      </c>
    </row>
    <row r="14" spans="1:54" x14ac:dyDescent="0.25">
      <c r="A14" s="42">
        <v>0</v>
      </c>
      <c r="B14" s="42" t="s">
        <v>7</v>
      </c>
      <c r="C14" s="43">
        <v>28800</v>
      </c>
      <c r="D14" s="43">
        <v>32</v>
      </c>
      <c r="E14" s="43">
        <v>1</v>
      </c>
      <c r="F14" s="43">
        <v>16</v>
      </c>
      <c r="G14" s="43">
        <v>1472.98</v>
      </c>
      <c r="H14" s="50">
        <v>10.811999999999999</v>
      </c>
      <c r="I14" s="23">
        <v>45459</v>
      </c>
      <c r="J14" s="24">
        <v>0.51995370370370375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76">
        <f t="shared" ref="W14" si="4">AVERAGE(H14:H18)</f>
        <v>10.8156</v>
      </c>
      <c r="Y14">
        <v>0</v>
      </c>
      <c r="Z14" t="s">
        <v>7</v>
      </c>
      <c r="AA14">
        <v>28800</v>
      </c>
      <c r="AB14">
        <v>32</v>
      </c>
      <c r="AC14">
        <v>1</v>
      </c>
      <c r="AD14">
        <v>16</v>
      </c>
      <c r="AE14">
        <v>1442.34</v>
      </c>
      <c r="AF14" s="21">
        <v>11.042</v>
      </c>
      <c r="AG14" s="26">
        <v>45469</v>
      </c>
      <c r="AH14" s="27">
        <v>0.33074074074074072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77">
        <f t="shared" ref="AU14" si="5">AVERAGE(AF14:AF18)</f>
        <v>11.057599999999999</v>
      </c>
      <c r="AW14">
        <v>25728</v>
      </c>
      <c r="AX14">
        <v>128</v>
      </c>
      <c r="AY14">
        <v>2</v>
      </c>
      <c r="AZ14">
        <v>8</v>
      </c>
      <c r="BA14">
        <v>876.25</v>
      </c>
      <c r="BB14" s="63">
        <v>12.958</v>
      </c>
    </row>
    <row r="15" spans="1:54" x14ac:dyDescent="0.25">
      <c r="A15" s="44">
        <v>1</v>
      </c>
      <c r="B15" s="44" t="s">
        <v>7</v>
      </c>
      <c r="C15" s="45">
        <v>28800</v>
      </c>
      <c r="D15" s="45">
        <v>32</v>
      </c>
      <c r="E15" s="45">
        <v>1</v>
      </c>
      <c r="F15" s="45">
        <v>16</v>
      </c>
      <c r="G15" s="45">
        <v>1470.69</v>
      </c>
      <c r="H15" s="51">
        <v>10.829000000000001</v>
      </c>
      <c r="I15" s="17">
        <v>45460</v>
      </c>
      <c r="J15" s="18">
        <v>0.53840277777777779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76"/>
      <c r="Y15">
        <v>1</v>
      </c>
      <c r="Z15" t="s">
        <v>7</v>
      </c>
      <c r="AA15">
        <v>28800</v>
      </c>
      <c r="AB15">
        <v>32</v>
      </c>
      <c r="AC15">
        <v>1</v>
      </c>
      <c r="AD15">
        <v>16</v>
      </c>
      <c r="AE15">
        <v>1428.89</v>
      </c>
      <c r="AF15" s="21">
        <v>11.146000000000001</v>
      </c>
      <c r="AG15" s="26">
        <v>45470</v>
      </c>
      <c r="AH15" s="27">
        <v>0.38070601851851854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77"/>
      <c r="AW15">
        <v>25728</v>
      </c>
      <c r="AX15">
        <v>128</v>
      </c>
      <c r="AY15">
        <v>4</v>
      </c>
      <c r="AZ15">
        <v>4</v>
      </c>
      <c r="BA15">
        <v>1055.74</v>
      </c>
      <c r="BB15" s="63">
        <v>10.755000000000001</v>
      </c>
    </row>
    <row r="16" spans="1:54" x14ac:dyDescent="0.25">
      <c r="A16" s="44">
        <v>2</v>
      </c>
      <c r="B16" s="44" t="s">
        <v>7</v>
      </c>
      <c r="C16" s="46">
        <v>28800</v>
      </c>
      <c r="D16" s="46">
        <v>32</v>
      </c>
      <c r="E16" s="46">
        <v>1</v>
      </c>
      <c r="F16" s="46">
        <v>16</v>
      </c>
      <c r="G16" s="47">
        <v>1480.51</v>
      </c>
      <c r="H16" s="51">
        <v>10.757</v>
      </c>
      <c r="I16" s="17">
        <v>45461</v>
      </c>
      <c r="J16" s="18">
        <v>0.87101851851851853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76"/>
      <c r="Y16">
        <v>2</v>
      </c>
      <c r="Z16" t="s">
        <v>7</v>
      </c>
      <c r="AA16">
        <v>28800</v>
      </c>
      <c r="AB16">
        <v>32</v>
      </c>
      <c r="AC16">
        <v>1</v>
      </c>
      <c r="AD16">
        <v>16</v>
      </c>
      <c r="AE16">
        <v>1441.28</v>
      </c>
      <c r="AF16" s="21">
        <v>11.05</v>
      </c>
      <c r="AG16" s="26">
        <v>45471</v>
      </c>
      <c r="AH16" s="27">
        <v>0.7748032407407407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77"/>
      <c r="AW16">
        <v>25600</v>
      </c>
      <c r="AX16">
        <v>160</v>
      </c>
      <c r="AY16">
        <v>1</v>
      </c>
      <c r="AZ16">
        <v>16</v>
      </c>
      <c r="BA16">
        <v>1026.8499999999999</v>
      </c>
      <c r="BB16" s="63">
        <v>10.893000000000001</v>
      </c>
    </row>
    <row r="17" spans="1:54" x14ac:dyDescent="0.25">
      <c r="A17" s="44">
        <v>3</v>
      </c>
      <c r="B17" s="44" t="s">
        <v>7</v>
      </c>
      <c r="C17" s="46">
        <v>28800</v>
      </c>
      <c r="D17" s="46">
        <v>32</v>
      </c>
      <c r="E17" s="46">
        <v>1</v>
      </c>
      <c r="F17" s="46">
        <v>16</v>
      </c>
      <c r="G17" s="47">
        <v>1467.8</v>
      </c>
      <c r="H17" s="51">
        <v>10.851000000000001</v>
      </c>
      <c r="I17" s="17">
        <v>45464</v>
      </c>
      <c r="J17" s="18">
        <v>0.9475231481481482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76"/>
      <c r="Y17">
        <v>3</v>
      </c>
      <c r="Z17" t="s">
        <v>7</v>
      </c>
      <c r="AA17">
        <v>28800</v>
      </c>
      <c r="AB17">
        <v>32</v>
      </c>
      <c r="AC17">
        <v>1</v>
      </c>
      <c r="AD17">
        <v>16</v>
      </c>
      <c r="AE17">
        <v>1447.9</v>
      </c>
      <c r="AF17" s="21">
        <v>11</v>
      </c>
      <c r="AG17" s="26">
        <v>45472</v>
      </c>
      <c r="AH17" s="27">
        <v>0.82928240740740744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77"/>
      <c r="AW17">
        <v>25600</v>
      </c>
      <c r="AX17">
        <v>160</v>
      </c>
      <c r="AY17">
        <v>2</v>
      </c>
      <c r="AZ17">
        <v>8</v>
      </c>
      <c r="BA17">
        <v>912.12</v>
      </c>
      <c r="BB17" s="63">
        <v>12.263999999999999</v>
      </c>
    </row>
    <row r="18" spans="1:54" x14ac:dyDescent="0.25">
      <c r="A18" s="44">
        <v>4</v>
      </c>
      <c r="B18" s="44" t="s">
        <v>7</v>
      </c>
      <c r="C18" s="46">
        <v>28800</v>
      </c>
      <c r="D18" s="46">
        <v>32</v>
      </c>
      <c r="E18" s="46">
        <v>1</v>
      </c>
      <c r="F18" s="46">
        <v>16</v>
      </c>
      <c r="G18" s="47">
        <v>1470.76</v>
      </c>
      <c r="H18" s="51">
        <v>10.829000000000001</v>
      </c>
      <c r="I18" s="17">
        <v>45465</v>
      </c>
      <c r="J18" s="18">
        <v>0.96513888888888888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76"/>
      <c r="Y18">
        <v>4</v>
      </c>
      <c r="Z18" t="s">
        <v>7</v>
      </c>
      <c r="AA18">
        <v>28800</v>
      </c>
      <c r="AB18">
        <v>32</v>
      </c>
      <c r="AC18">
        <v>1</v>
      </c>
      <c r="AD18">
        <v>16</v>
      </c>
      <c r="AE18">
        <v>1441.36</v>
      </c>
      <c r="AF18" s="21">
        <v>11.05</v>
      </c>
      <c r="AG18" s="26">
        <v>45473</v>
      </c>
      <c r="AH18" s="27">
        <v>0.88310185185185186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s="77"/>
      <c r="AW18">
        <v>25600</v>
      </c>
      <c r="AX18">
        <v>160</v>
      </c>
      <c r="AY18">
        <v>4</v>
      </c>
      <c r="AZ18">
        <v>4</v>
      </c>
      <c r="BA18">
        <v>1098.8900000000001</v>
      </c>
      <c r="BB18" s="63">
        <v>10.179</v>
      </c>
    </row>
    <row r="19" spans="1:54" x14ac:dyDescent="0.25">
      <c r="A19" s="42">
        <v>0</v>
      </c>
      <c r="B19" s="42" t="s">
        <v>7</v>
      </c>
      <c r="C19" s="43">
        <v>25728</v>
      </c>
      <c r="D19" s="43">
        <v>32</v>
      </c>
      <c r="E19" s="43">
        <v>2</v>
      </c>
      <c r="F19" s="43">
        <v>8</v>
      </c>
      <c r="G19" s="43">
        <v>969.07</v>
      </c>
      <c r="H19" s="50">
        <v>11.717000000000001</v>
      </c>
      <c r="I19" s="23">
        <v>45458</v>
      </c>
      <c r="J19" s="24">
        <v>0.89670138888888884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76">
        <f t="shared" ref="W19" si="6">AVERAGE(H19:H23)</f>
        <v>11.886000000000001</v>
      </c>
      <c r="Y19">
        <v>0</v>
      </c>
      <c r="Z19" t="s">
        <v>7</v>
      </c>
      <c r="AA19">
        <v>25728</v>
      </c>
      <c r="AB19">
        <v>32</v>
      </c>
      <c r="AC19">
        <v>2</v>
      </c>
      <c r="AD19">
        <v>8</v>
      </c>
      <c r="AE19">
        <v>999.05</v>
      </c>
      <c r="AF19" s="21">
        <v>11.365</v>
      </c>
      <c r="AG19" s="26">
        <v>45468</v>
      </c>
      <c r="AH19" s="28">
        <v>0.68733796296296301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77">
        <f t="shared" ref="AU19" si="7">AVERAGE(AF19:AF23)</f>
        <v>11.354800000000001</v>
      </c>
      <c r="AW19">
        <v>25728</v>
      </c>
      <c r="AX19">
        <v>192</v>
      </c>
      <c r="AY19">
        <v>1</v>
      </c>
      <c r="AZ19">
        <v>16</v>
      </c>
      <c r="BA19">
        <v>1043.42</v>
      </c>
      <c r="BB19" s="63">
        <v>10.882</v>
      </c>
    </row>
    <row r="20" spans="1:54" x14ac:dyDescent="0.25">
      <c r="A20" s="44">
        <v>1</v>
      </c>
      <c r="B20" s="44" t="s">
        <v>7</v>
      </c>
      <c r="C20" s="45">
        <v>25728</v>
      </c>
      <c r="D20" s="45">
        <v>32</v>
      </c>
      <c r="E20" s="45">
        <v>2</v>
      </c>
      <c r="F20" s="45">
        <v>8</v>
      </c>
      <c r="G20" s="45">
        <v>953.42</v>
      </c>
      <c r="H20" s="51">
        <v>11.909000000000001</v>
      </c>
      <c r="I20" s="17">
        <v>45459</v>
      </c>
      <c r="J20" s="18">
        <v>0.91717592592592589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76"/>
      <c r="Y20">
        <v>1</v>
      </c>
      <c r="Z20" t="s">
        <v>7</v>
      </c>
      <c r="AA20">
        <v>25728</v>
      </c>
      <c r="AB20">
        <v>32</v>
      </c>
      <c r="AC20">
        <v>2</v>
      </c>
      <c r="AD20">
        <v>8</v>
      </c>
      <c r="AE20">
        <v>997.28</v>
      </c>
      <c r="AF20" s="21">
        <v>11.385</v>
      </c>
      <c r="AG20" s="26">
        <v>45469</v>
      </c>
      <c r="AH20" s="27">
        <v>0.73898148148148146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77"/>
      <c r="AW20">
        <v>25728</v>
      </c>
      <c r="AX20">
        <v>192</v>
      </c>
      <c r="AY20">
        <v>2</v>
      </c>
      <c r="AZ20">
        <v>8</v>
      </c>
      <c r="BA20">
        <v>957.01</v>
      </c>
      <c r="BB20" s="63">
        <v>11.865</v>
      </c>
    </row>
    <row r="21" spans="1:54" x14ac:dyDescent="0.25">
      <c r="A21" s="44">
        <v>2</v>
      </c>
      <c r="B21" s="44" t="s">
        <v>7</v>
      </c>
      <c r="C21" s="46">
        <v>25728</v>
      </c>
      <c r="D21" s="46">
        <v>32</v>
      </c>
      <c r="E21" s="46">
        <v>2</v>
      </c>
      <c r="F21" s="46">
        <v>8</v>
      </c>
      <c r="G21" s="47">
        <v>950.4</v>
      </c>
      <c r="H21" s="51">
        <v>11.946999999999999</v>
      </c>
      <c r="I21" s="17">
        <v>45460</v>
      </c>
      <c r="J21" s="18">
        <v>0.93690972222222224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76"/>
      <c r="Y21">
        <v>2</v>
      </c>
      <c r="Z21" t="s">
        <v>7</v>
      </c>
      <c r="AA21">
        <v>25728</v>
      </c>
      <c r="AB21">
        <v>32</v>
      </c>
      <c r="AC21">
        <v>2</v>
      </c>
      <c r="AD21">
        <v>8</v>
      </c>
      <c r="AE21">
        <v>1001.25</v>
      </c>
      <c r="AF21" s="21">
        <v>11.34</v>
      </c>
      <c r="AG21" s="26">
        <v>45471</v>
      </c>
      <c r="AH21" s="27">
        <v>0.12968750000000001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77"/>
      <c r="AW21">
        <v>25728</v>
      </c>
      <c r="AX21">
        <v>192</v>
      </c>
      <c r="AY21">
        <v>4</v>
      </c>
      <c r="AZ21">
        <v>4</v>
      </c>
      <c r="BA21">
        <v>1121.45</v>
      </c>
      <c r="BB21" s="63">
        <v>10.125</v>
      </c>
    </row>
    <row r="22" spans="1:54" x14ac:dyDescent="0.25">
      <c r="A22" s="44">
        <v>3</v>
      </c>
      <c r="B22" s="44" t="s">
        <v>7</v>
      </c>
      <c r="C22" s="46">
        <v>25728</v>
      </c>
      <c r="D22" s="46">
        <v>32</v>
      </c>
      <c r="E22" s="46">
        <v>2</v>
      </c>
      <c r="F22" s="46">
        <v>8</v>
      </c>
      <c r="G22" s="47">
        <v>953.62</v>
      </c>
      <c r="H22" s="51">
        <v>11.907</v>
      </c>
      <c r="I22" s="17">
        <v>45462</v>
      </c>
      <c r="J22" s="18">
        <v>0.26709490740740743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76"/>
      <c r="Y22">
        <v>3</v>
      </c>
      <c r="Z22" t="s">
        <v>7</v>
      </c>
      <c r="AA22">
        <v>25728</v>
      </c>
      <c r="AB22">
        <v>32</v>
      </c>
      <c r="AC22">
        <v>2</v>
      </c>
      <c r="AD22">
        <v>8</v>
      </c>
      <c r="AE22">
        <v>1002.87</v>
      </c>
      <c r="AF22" s="21">
        <v>11.321999999999999</v>
      </c>
      <c r="AG22" s="26">
        <v>45472</v>
      </c>
      <c r="AH22" s="27">
        <v>0.18432870370370372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s="77"/>
      <c r="AW22">
        <v>25536</v>
      </c>
      <c r="AX22">
        <v>224</v>
      </c>
      <c r="AY22">
        <v>1</v>
      </c>
      <c r="AZ22">
        <v>16</v>
      </c>
      <c r="BA22">
        <v>1075.2</v>
      </c>
      <c r="BB22" s="63">
        <v>10.326000000000001</v>
      </c>
    </row>
    <row r="23" spans="1:54" x14ac:dyDescent="0.25">
      <c r="A23" s="44">
        <v>4</v>
      </c>
      <c r="B23" s="44" t="s">
        <v>7</v>
      </c>
      <c r="C23" s="46">
        <v>25728</v>
      </c>
      <c r="D23" s="46">
        <v>32</v>
      </c>
      <c r="E23" s="46">
        <v>2</v>
      </c>
      <c r="F23" s="46">
        <v>8</v>
      </c>
      <c r="G23" s="47">
        <v>950.15</v>
      </c>
      <c r="H23" s="51">
        <v>11.95</v>
      </c>
      <c r="I23" s="17">
        <v>45465</v>
      </c>
      <c r="J23" s="18">
        <v>0.34369212962962964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76"/>
      <c r="Y23">
        <v>4</v>
      </c>
      <c r="Z23" t="s">
        <v>7</v>
      </c>
      <c r="AA23">
        <v>25728</v>
      </c>
      <c r="AB23">
        <v>32</v>
      </c>
      <c r="AC23">
        <v>2</v>
      </c>
      <c r="AD23">
        <v>8</v>
      </c>
      <c r="AE23">
        <v>999.32</v>
      </c>
      <c r="AF23" s="21">
        <v>11.362</v>
      </c>
      <c r="AG23" s="26">
        <v>45473</v>
      </c>
      <c r="AH23" s="27">
        <v>0.23920138888888889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77"/>
      <c r="AW23">
        <v>25536</v>
      </c>
      <c r="AX23">
        <v>224</v>
      </c>
      <c r="AY23">
        <v>2</v>
      </c>
      <c r="AZ23">
        <v>8</v>
      </c>
      <c r="BA23">
        <v>947.5</v>
      </c>
      <c r="BB23" s="63">
        <v>11.717000000000001</v>
      </c>
    </row>
    <row r="24" spans="1:54" x14ac:dyDescent="0.25">
      <c r="A24" s="42">
        <v>0</v>
      </c>
      <c r="B24" s="42" t="s">
        <v>7</v>
      </c>
      <c r="C24" s="43">
        <v>27264</v>
      </c>
      <c r="D24" s="43">
        <v>32</v>
      </c>
      <c r="E24" s="43">
        <v>2</v>
      </c>
      <c r="F24" s="43">
        <v>8</v>
      </c>
      <c r="G24" s="43">
        <v>1142.18</v>
      </c>
      <c r="H24" s="50">
        <v>11.83</v>
      </c>
      <c r="I24" s="23">
        <v>45459</v>
      </c>
      <c r="J24" s="24">
        <v>0.19133101851851853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76">
        <f t="shared" ref="W24" si="8">AVERAGE(H24:H28)</f>
        <v>11.894600000000001</v>
      </c>
      <c r="Y24">
        <v>0</v>
      </c>
      <c r="Z24" t="s">
        <v>7</v>
      </c>
      <c r="AA24">
        <v>27264</v>
      </c>
      <c r="AB24">
        <v>32</v>
      </c>
      <c r="AC24">
        <v>2</v>
      </c>
      <c r="AD24">
        <v>8</v>
      </c>
      <c r="AE24">
        <v>1163.56</v>
      </c>
      <c r="AF24" s="21">
        <v>11.612</v>
      </c>
      <c r="AG24" s="26">
        <v>45468</v>
      </c>
      <c r="AH24" s="27">
        <v>0.99385416666666671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s="77">
        <f t="shared" ref="AU24" si="9">AVERAGE(AF24:AF28)</f>
        <v>11.6762</v>
      </c>
      <c r="AW24">
        <v>25536</v>
      </c>
      <c r="AX24">
        <v>224</v>
      </c>
      <c r="AY24">
        <v>4</v>
      </c>
      <c r="AZ24">
        <v>4</v>
      </c>
      <c r="BA24">
        <v>1115.45</v>
      </c>
      <c r="BB24" s="63">
        <v>9.9530999999999992</v>
      </c>
    </row>
    <row r="25" spans="1:54" x14ac:dyDescent="0.25">
      <c r="A25" s="44">
        <v>1</v>
      </c>
      <c r="B25" s="44" t="s">
        <v>7</v>
      </c>
      <c r="C25" s="45">
        <v>27264</v>
      </c>
      <c r="D25" s="45">
        <v>32</v>
      </c>
      <c r="E25" s="45">
        <v>2</v>
      </c>
      <c r="F25" s="45">
        <v>8</v>
      </c>
      <c r="G25" s="45">
        <v>1131.54</v>
      </c>
      <c r="H25" s="51">
        <v>11.941000000000001</v>
      </c>
      <c r="I25" s="17">
        <v>45460</v>
      </c>
      <c r="J25" s="18">
        <v>0.21064814814814814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76"/>
      <c r="Y25">
        <v>1</v>
      </c>
      <c r="Z25" t="s">
        <v>7</v>
      </c>
      <c r="AA25">
        <v>27264</v>
      </c>
      <c r="AB25">
        <v>32</v>
      </c>
      <c r="AC25">
        <v>2</v>
      </c>
      <c r="AD25">
        <v>8</v>
      </c>
      <c r="AE25">
        <v>1148.24</v>
      </c>
      <c r="AF25" s="21">
        <v>11.766999999999999</v>
      </c>
      <c r="AG25" s="26">
        <v>45470</v>
      </c>
      <c r="AH25" s="27">
        <v>4.4583333333333336E-2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77"/>
      <c r="AW25">
        <v>25600</v>
      </c>
      <c r="AX25">
        <v>256</v>
      </c>
      <c r="AY25">
        <v>1</v>
      </c>
      <c r="AZ25">
        <v>16</v>
      </c>
      <c r="BA25">
        <v>1074.3399999999999</v>
      </c>
      <c r="BB25" s="63">
        <v>10.412000000000001</v>
      </c>
    </row>
    <row r="26" spans="1:54" x14ac:dyDescent="0.25">
      <c r="A26" s="44">
        <v>2</v>
      </c>
      <c r="B26" s="44" t="s">
        <v>7</v>
      </c>
      <c r="C26" s="46">
        <v>27264</v>
      </c>
      <c r="D26" s="46">
        <v>32</v>
      </c>
      <c r="E26" s="46">
        <v>2</v>
      </c>
      <c r="F26" s="46">
        <v>8</v>
      </c>
      <c r="G26" s="47">
        <v>1131.76</v>
      </c>
      <c r="H26" s="51">
        <v>11.939</v>
      </c>
      <c r="I26" s="17">
        <v>45461</v>
      </c>
      <c r="J26" s="18">
        <v>0.23060185185185186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76"/>
      <c r="Y26">
        <v>2</v>
      </c>
      <c r="Z26" t="s">
        <v>7</v>
      </c>
      <c r="AA26">
        <v>27264</v>
      </c>
      <c r="AB26">
        <v>32</v>
      </c>
      <c r="AC26">
        <v>2</v>
      </c>
      <c r="AD26">
        <v>8</v>
      </c>
      <c r="AE26">
        <v>1154.3499999999999</v>
      </c>
      <c r="AF26" s="21">
        <v>11.705</v>
      </c>
      <c r="AG26" s="26">
        <v>45471</v>
      </c>
      <c r="AH26" s="27">
        <v>0.43739583333333332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77"/>
      <c r="AW26">
        <v>25600</v>
      </c>
      <c r="AX26">
        <v>256</v>
      </c>
      <c r="AY26">
        <v>2</v>
      </c>
      <c r="AZ26">
        <v>8</v>
      </c>
      <c r="BA26">
        <v>943.48</v>
      </c>
      <c r="BB26" s="63">
        <v>11.856</v>
      </c>
    </row>
    <row r="27" spans="1:54" x14ac:dyDescent="0.25">
      <c r="A27" s="44">
        <v>3</v>
      </c>
      <c r="B27" s="44" t="s">
        <v>7</v>
      </c>
      <c r="C27" s="46">
        <v>27264</v>
      </c>
      <c r="D27" s="46">
        <v>32</v>
      </c>
      <c r="E27" s="46">
        <v>2</v>
      </c>
      <c r="F27" s="46">
        <v>8</v>
      </c>
      <c r="G27" s="47">
        <v>1134.18</v>
      </c>
      <c r="H27" s="51">
        <v>11.913</v>
      </c>
      <c r="I27" s="17">
        <v>45462</v>
      </c>
      <c r="J27" s="18">
        <v>0.5610532407407407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76"/>
      <c r="Y27">
        <v>3</v>
      </c>
      <c r="Z27" t="s">
        <v>7</v>
      </c>
      <c r="AA27">
        <v>27264</v>
      </c>
      <c r="AB27">
        <v>32</v>
      </c>
      <c r="AC27">
        <v>2</v>
      </c>
      <c r="AD27">
        <v>8</v>
      </c>
      <c r="AE27">
        <v>1161.3699999999999</v>
      </c>
      <c r="AF27" s="21">
        <v>11.634</v>
      </c>
      <c r="AG27" s="26">
        <v>45472</v>
      </c>
      <c r="AH27" s="27">
        <v>0.49135416666666665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77"/>
      <c r="AW27">
        <v>25600</v>
      </c>
      <c r="AX27">
        <v>256</v>
      </c>
      <c r="AY27">
        <v>4</v>
      </c>
      <c r="AZ27">
        <v>4</v>
      </c>
      <c r="BA27">
        <v>1166.28</v>
      </c>
      <c r="BB27" s="63">
        <v>9.5909999999999993</v>
      </c>
    </row>
    <row r="28" spans="1:54" x14ac:dyDescent="0.25">
      <c r="A28" s="44">
        <v>4</v>
      </c>
      <c r="B28" s="44" t="s">
        <v>7</v>
      </c>
      <c r="C28" s="46">
        <v>27264</v>
      </c>
      <c r="D28" s="46">
        <v>32</v>
      </c>
      <c r="E28" s="46">
        <v>2</v>
      </c>
      <c r="F28" s="46">
        <v>8</v>
      </c>
      <c r="G28" s="47">
        <v>1140.27</v>
      </c>
      <c r="H28" s="51">
        <v>11.85</v>
      </c>
      <c r="I28" s="17">
        <v>45465</v>
      </c>
      <c r="J28" s="18">
        <v>0.63730324074074074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76"/>
      <c r="Y28">
        <v>4</v>
      </c>
      <c r="Z28" t="s">
        <v>7</v>
      </c>
      <c r="AA28">
        <v>27264</v>
      </c>
      <c r="AB28">
        <v>32</v>
      </c>
      <c r="AC28">
        <v>2</v>
      </c>
      <c r="AD28">
        <v>8</v>
      </c>
      <c r="AE28">
        <v>1158.48</v>
      </c>
      <c r="AF28" s="21">
        <v>11.663</v>
      </c>
      <c r="AG28" s="26">
        <v>45473</v>
      </c>
      <c r="AH28" s="27">
        <v>0.54594907407407411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s="77"/>
      <c r="AW28">
        <v>27264</v>
      </c>
      <c r="AX28">
        <v>32</v>
      </c>
      <c r="AY28">
        <v>1</v>
      </c>
      <c r="AZ28">
        <v>16</v>
      </c>
      <c r="BA28">
        <v>1276.5999999999999</v>
      </c>
      <c r="BB28" s="63">
        <v>10.584</v>
      </c>
    </row>
    <row r="29" spans="1:54" x14ac:dyDescent="0.25">
      <c r="A29" s="42">
        <v>0</v>
      </c>
      <c r="B29" s="42" t="s">
        <v>7</v>
      </c>
      <c r="C29" s="43">
        <v>28800</v>
      </c>
      <c r="D29" s="43">
        <v>32</v>
      </c>
      <c r="E29" s="43">
        <v>2</v>
      </c>
      <c r="F29" s="43">
        <v>8</v>
      </c>
      <c r="G29" s="43">
        <v>1303.83</v>
      </c>
      <c r="H29" s="50">
        <v>12.215</v>
      </c>
      <c r="I29" s="23">
        <v>45459</v>
      </c>
      <c r="J29" s="24">
        <v>0.53537037037037039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76">
        <f t="shared" ref="W29" si="10">AVERAGE(H29:H33)</f>
        <v>12.209200000000001</v>
      </c>
      <c r="Y29">
        <v>0</v>
      </c>
      <c r="Z29" t="s">
        <v>7</v>
      </c>
      <c r="AA29">
        <v>28800</v>
      </c>
      <c r="AB29">
        <v>32</v>
      </c>
      <c r="AC29">
        <v>2</v>
      </c>
      <c r="AD29">
        <v>8</v>
      </c>
      <c r="AE29">
        <v>1321.29</v>
      </c>
      <c r="AF29" s="21">
        <v>12.054</v>
      </c>
      <c r="AG29" s="26">
        <v>45469</v>
      </c>
      <c r="AH29" s="27">
        <v>0.34736111111111112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s="77">
        <f t="shared" ref="AU29" si="11">AVERAGE(AF29:AF33)</f>
        <v>12.0282</v>
      </c>
      <c r="AW29">
        <v>27264</v>
      </c>
      <c r="AX29">
        <v>32</v>
      </c>
      <c r="AY29">
        <v>2</v>
      </c>
      <c r="AZ29">
        <v>8</v>
      </c>
      <c r="BA29">
        <v>1144.1600000000001</v>
      </c>
      <c r="BB29" s="63">
        <v>11.808999999999999</v>
      </c>
    </row>
    <row r="30" spans="1:54" x14ac:dyDescent="0.25">
      <c r="A30" s="44">
        <v>1</v>
      </c>
      <c r="B30" s="44" t="s">
        <v>7</v>
      </c>
      <c r="C30" s="45">
        <v>28800</v>
      </c>
      <c r="D30" s="45">
        <v>32</v>
      </c>
      <c r="E30" s="45">
        <v>2</v>
      </c>
      <c r="F30" s="45">
        <v>8</v>
      </c>
      <c r="G30" s="45">
        <v>1299.82</v>
      </c>
      <c r="H30" s="51">
        <v>12.253</v>
      </c>
      <c r="I30" s="17">
        <v>45460</v>
      </c>
      <c r="J30" s="18">
        <v>0.55378472222222219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76"/>
      <c r="Y30">
        <v>1</v>
      </c>
      <c r="Z30" t="s">
        <v>7</v>
      </c>
      <c r="AA30">
        <v>28800</v>
      </c>
      <c r="AB30">
        <v>32</v>
      </c>
      <c r="AC30">
        <v>2</v>
      </c>
      <c r="AD30">
        <v>8</v>
      </c>
      <c r="AE30">
        <v>1318.88</v>
      </c>
      <c r="AF30" s="21">
        <v>12.076000000000001</v>
      </c>
      <c r="AG30" s="26">
        <v>45470</v>
      </c>
      <c r="AH30" s="27">
        <v>0.39730324074074075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s="77"/>
      <c r="AW30">
        <v>27264</v>
      </c>
      <c r="AX30">
        <v>32</v>
      </c>
      <c r="AY30">
        <v>4</v>
      </c>
      <c r="AZ30">
        <v>4</v>
      </c>
      <c r="BA30">
        <v>1345.29</v>
      </c>
      <c r="BB30" s="63">
        <v>10.044</v>
      </c>
    </row>
    <row r="31" spans="1:54" x14ac:dyDescent="0.25">
      <c r="A31" s="44">
        <v>2</v>
      </c>
      <c r="B31" s="44" t="s">
        <v>7</v>
      </c>
      <c r="C31" s="46">
        <v>28800</v>
      </c>
      <c r="D31" s="46">
        <v>32</v>
      </c>
      <c r="E31" s="46">
        <v>2</v>
      </c>
      <c r="F31" s="46">
        <v>8</v>
      </c>
      <c r="G31" s="47">
        <v>1304.53</v>
      </c>
      <c r="H31" s="51">
        <v>12.209</v>
      </c>
      <c r="I31" s="17">
        <v>45461</v>
      </c>
      <c r="J31" s="18">
        <v>0.88645833333333335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76"/>
      <c r="Y31">
        <v>2</v>
      </c>
      <c r="Z31" t="s">
        <v>7</v>
      </c>
      <c r="AA31">
        <v>28800</v>
      </c>
      <c r="AB31">
        <v>32</v>
      </c>
      <c r="AC31">
        <v>2</v>
      </c>
      <c r="AD31">
        <v>8</v>
      </c>
      <c r="AE31">
        <v>1326.74</v>
      </c>
      <c r="AF31" s="21">
        <v>12.004</v>
      </c>
      <c r="AG31" s="26">
        <v>45471</v>
      </c>
      <c r="AH31" s="27">
        <v>0.79152777777777783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s="77"/>
      <c r="AW31">
        <v>27264</v>
      </c>
      <c r="AX31">
        <v>64</v>
      </c>
      <c r="AY31">
        <v>1</v>
      </c>
      <c r="AZ31">
        <v>16</v>
      </c>
      <c r="BA31">
        <v>1195.6300000000001</v>
      </c>
      <c r="BB31" s="63">
        <v>11.301</v>
      </c>
    </row>
    <row r="32" spans="1:54" x14ac:dyDescent="0.25">
      <c r="A32" s="44">
        <v>3</v>
      </c>
      <c r="B32" s="44" t="s">
        <v>7</v>
      </c>
      <c r="C32" s="46">
        <v>28800</v>
      </c>
      <c r="D32" s="46">
        <v>32</v>
      </c>
      <c r="E32" s="46">
        <v>2</v>
      </c>
      <c r="F32" s="46">
        <v>8</v>
      </c>
      <c r="G32" s="47">
        <v>1309.08</v>
      </c>
      <c r="H32" s="51">
        <v>12.166</v>
      </c>
      <c r="I32" s="17">
        <v>45464</v>
      </c>
      <c r="J32" s="18">
        <v>0.96302083333333333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s="76"/>
      <c r="Y32">
        <v>3</v>
      </c>
      <c r="Z32" t="s">
        <v>7</v>
      </c>
      <c r="AA32">
        <v>28800</v>
      </c>
      <c r="AB32">
        <v>32</v>
      </c>
      <c r="AC32">
        <v>2</v>
      </c>
      <c r="AD32">
        <v>8</v>
      </c>
      <c r="AE32">
        <v>1327.07</v>
      </c>
      <c r="AF32" s="21">
        <v>12.000999999999999</v>
      </c>
      <c r="AG32" s="26">
        <v>45472</v>
      </c>
      <c r="AH32" s="27">
        <v>0.84597222222222224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s="77"/>
      <c r="AW32">
        <v>27264</v>
      </c>
      <c r="AX32">
        <v>64</v>
      </c>
      <c r="AY32">
        <v>2</v>
      </c>
      <c r="AZ32">
        <v>8</v>
      </c>
      <c r="BA32">
        <v>1063.49</v>
      </c>
      <c r="BB32" s="63">
        <v>12.705</v>
      </c>
    </row>
    <row r="33" spans="1:54" x14ac:dyDescent="0.25">
      <c r="A33" s="44">
        <v>4</v>
      </c>
      <c r="B33" s="44" t="s">
        <v>7</v>
      </c>
      <c r="C33" s="46">
        <v>28800</v>
      </c>
      <c r="D33" s="46">
        <v>32</v>
      </c>
      <c r="E33" s="46">
        <v>2</v>
      </c>
      <c r="F33" s="46">
        <v>8</v>
      </c>
      <c r="G33" s="47">
        <v>1305.18</v>
      </c>
      <c r="H33" s="51">
        <v>12.202999999999999</v>
      </c>
      <c r="I33" s="17">
        <v>45465</v>
      </c>
      <c r="J33" s="18">
        <v>0.98056712962962966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76"/>
      <c r="Y33">
        <v>4</v>
      </c>
      <c r="Z33" t="s">
        <v>7</v>
      </c>
      <c r="AA33">
        <v>28800</v>
      </c>
      <c r="AB33">
        <v>32</v>
      </c>
      <c r="AC33">
        <v>2</v>
      </c>
      <c r="AD33">
        <v>8</v>
      </c>
      <c r="AE33">
        <v>1326.59</v>
      </c>
      <c r="AF33" s="21">
        <v>12.006</v>
      </c>
      <c r="AG33" s="26">
        <v>45473</v>
      </c>
      <c r="AH33" s="27">
        <v>0.89979166666666666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s="77"/>
      <c r="AW33">
        <v>27264</v>
      </c>
      <c r="AX33">
        <v>64</v>
      </c>
      <c r="AY33">
        <v>4</v>
      </c>
      <c r="AZ33">
        <v>4</v>
      </c>
      <c r="BA33">
        <v>1262.3399999999999</v>
      </c>
      <c r="BB33" s="63">
        <v>10.704000000000001</v>
      </c>
    </row>
    <row r="34" spans="1:54" x14ac:dyDescent="0.25">
      <c r="A34" s="42">
        <v>0</v>
      </c>
      <c r="B34" s="42" t="s">
        <v>7</v>
      </c>
      <c r="C34" s="43">
        <v>25728</v>
      </c>
      <c r="D34" s="43">
        <v>32</v>
      </c>
      <c r="E34" s="43">
        <v>4</v>
      </c>
      <c r="F34" s="43">
        <v>4</v>
      </c>
      <c r="G34" s="43">
        <v>1152.49</v>
      </c>
      <c r="H34" s="50">
        <v>9.8521000000000001</v>
      </c>
      <c r="I34" s="23">
        <v>45458</v>
      </c>
      <c r="J34" s="24">
        <v>0.91031249999999997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76">
        <f t="shared" ref="W34" si="12">AVERAGE(H34:H38)</f>
        <v>9.9754199999999997</v>
      </c>
      <c r="Y34">
        <v>0</v>
      </c>
      <c r="Z34" t="s">
        <v>7</v>
      </c>
      <c r="AA34">
        <v>25728</v>
      </c>
      <c r="AB34">
        <v>32</v>
      </c>
      <c r="AC34">
        <v>4</v>
      </c>
      <c r="AD34">
        <v>4</v>
      </c>
      <c r="AE34">
        <v>1163.1400000000001</v>
      </c>
      <c r="AF34" s="21">
        <v>9.7619000000000007</v>
      </c>
      <c r="AG34" s="26">
        <v>45468</v>
      </c>
      <c r="AH34" s="27">
        <v>0.70186342592592588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77">
        <f t="shared" ref="AU34" si="13">AVERAGE(AF34:AF38)</f>
        <v>9.7889800000000005</v>
      </c>
      <c r="AW34">
        <v>27264</v>
      </c>
      <c r="AX34">
        <v>96</v>
      </c>
      <c r="AY34">
        <v>1</v>
      </c>
      <c r="AZ34">
        <v>16</v>
      </c>
      <c r="BA34">
        <v>1212.81</v>
      </c>
      <c r="BB34" s="63">
        <v>11.141</v>
      </c>
    </row>
    <row r="35" spans="1:54" x14ac:dyDescent="0.25">
      <c r="A35" s="44">
        <v>1</v>
      </c>
      <c r="B35" s="44" t="s">
        <v>7</v>
      </c>
      <c r="C35" s="45">
        <v>25728</v>
      </c>
      <c r="D35" s="45">
        <v>32</v>
      </c>
      <c r="E35" s="45">
        <v>4</v>
      </c>
      <c r="F35" s="45">
        <v>4</v>
      </c>
      <c r="G35" s="45">
        <v>1134.48</v>
      </c>
      <c r="H35" s="51">
        <v>10.009</v>
      </c>
      <c r="I35" s="17">
        <v>45459</v>
      </c>
      <c r="J35" s="18">
        <v>0.93057870370370366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76"/>
      <c r="Y35">
        <v>1</v>
      </c>
      <c r="Z35" t="s">
        <v>7</v>
      </c>
      <c r="AA35">
        <v>25728</v>
      </c>
      <c r="AB35">
        <v>32</v>
      </c>
      <c r="AC35">
        <v>4</v>
      </c>
      <c r="AD35">
        <v>4</v>
      </c>
      <c r="AE35">
        <v>1153.3399999999999</v>
      </c>
      <c r="AF35" s="21">
        <v>9.8447999999999993</v>
      </c>
      <c r="AG35" s="26">
        <v>45469</v>
      </c>
      <c r="AH35" s="27">
        <v>0.7534143518518519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s="77"/>
      <c r="AW35">
        <v>27264</v>
      </c>
      <c r="AX35">
        <v>96</v>
      </c>
      <c r="AY35">
        <v>2</v>
      </c>
      <c r="AZ35">
        <v>8</v>
      </c>
      <c r="BA35">
        <v>1071.94</v>
      </c>
      <c r="BB35" s="63">
        <v>12.605</v>
      </c>
    </row>
    <row r="36" spans="1:54" x14ac:dyDescent="0.25">
      <c r="A36" s="44">
        <v>2</v>
      </c>
      <c r="B36" s="44" t="s">
        <v>7</v>
      </c>
      <c r="C36" s="46">
        <v>25728</v>
      </c>
      <c r="D36" s="46">
        <v>32</v>
      </c>
      <c r="E36" s="46">
        <v>4</v>
      </c>
      <c r="F36" s="46">
        <v>4</v>
      </c>
      <c r="G36" s="47">
        <v>1133.98</v>
      </c>
      <c r="H36" s="51">
        <v>10.013</v>
      </c>
      <c r="I36" s="17">
        <v>45460</v>
      </c>
      <c r="J36" s="18">
        <v>0.95030092592592597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76"/>
      <c r="Y36">
        <v>2</v>
      </c>
      <c r="Z36" t="s">
        <v>7</v>
      </c>
      <c r="AA36">
        <v>25728</v>
      </c>
      <c r="AB36">
        <v>32</v>
      </c>
      <c r="AC36">
        <v>4</v>
      </c>
      <c r="AD36">
        <v>4</v>
      </c>
      <c r="AE36">
        <v>1158.93</v>
      </c>
      <c r="AF36" s="21">
        <v>9.7972999999999999</v>
      </c>
      <c r="AG36" s="26">
        <v>45471</v>
      </c>
      <c r="AH36" s="27">
        <v>0.14417824074074073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s="77"/>
      <c r="AW36">
        <v>27264</v>
      </c>
      <c r="AX36">
        <v>96</v>
      </c>
      <c r="AY36">
        <v>4</v>
      </c>
      <c r="AZ36">
        <v>4</v>
      </c>
      <c r="BA36">
        <v>1281.96</v>
      </c>
      <c r="BB36" s="63">
        <v>10.54</v>
      </c>
    </row>
    <row r="37" spans="1:54" x14ac:dyDescent="0.25">
      <c r="A37" s="44">
        <v>3</v>
      </c>
      <c r="B37" s="44" t="s">
        <v>7</v>
      </c>
      <c r="C37" s="46">
        <v>25728</v>
      </c>
      <c r="D37" s="46">
        <v>32</v>
      </c>
      <c r="E37" s="46">
        <v>4</v>
      </c>
      <c r="F37" s="46">
        <v>4</v>
      </c>
      <c r="G37" s="47">
        <v>1137.72</v>
      </c>
      <c r="H37" s="51">
        <v>9.98</v>
      </c>
      <c r="I37" s="17">
        <v>45462</v>
      </c>
      <c r="J37" s="18">
        <v>0.28054398148148146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76"/>
      <c r="Y37">
        <v>3</v>
      </c>
      <c r="Z37" t="s">
        <v>7</v>
      </c>
      <c r="AA37">
        <v>25728</v>
      </c>
      <c r="AB37">
        <v>32</v>
      </c>
      <c r="AC37">
        <v>4</v>
      </c>
      <c r="AD37">
        <v>4</v>
      </c>
      <c r="AE37">
        <v>1165.58</v>
      </c>
      <c r="AF37" s="21">
        <v>9.7414000000000005</v>
      </c>
      <c r="AG37" s="26">
        <v>45472</v>
      </c>
      <c r="AH37" s="27">
        <v>0.19888888888888889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s="77"/>
      <c r="AW37">
        <v>27264</v>
      </c>
      <c r="AX37">
        <v>128</v>
      </c>
      <c r="AY37">
        <v>1</v>
      </c>
      <c r="AZ37">
        <v>16</v>
      </c>
      <c r="BA37">
        <v>1208.27</v>
      </c>
      <c r="BB37" s="63">
        <v>11.183</v>
      </c>
    </row>
    <row r="38" spans="1:54" x14ac:dyDescent="0.25">
      <c r="A38" s="44">
        <v>4</v>
      </c>
      <c r="B38" s="44" t="s">
        <v>7</v>
      </c>
      <c r="C38" s="46">
        <v>25728</v>
      </c>
      <c r="D38" s="46">
        <v>32</v>
      </c>
      <c r="E38" s="46">
        <v>4</v>
      </c>
      <c r="F38" s="46">
        <v>4</v>
      </c>
      <c r="G38" s="47">
        <v>1132.79</v>
      </c>
      <c r="H38" s="51">
        <v>10.023</v>
      </c>
      <c r="I38" s="17">
        <v>45465</v>
      </c>
      <c r="J38" s="18">
        <v>0.35707175925925927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76"/>
      <c r="Y38">
        <v>4</v>
      </c>
      <c r="Z38" t="s">
        <v>7</v>
      </c>
      <c r="AA38">
        <v>25728</v>
      </c>
      <c r="AB38">
        <v>32</v>
      </c>
      <c r="AC38">
        <v>4</v>
      </c>
      <c r="AD38">
        <v>4</v>
      </c>
      <c r="AE38">
        <v>1158.67</v>
      </c>
      <c r="AF38" s="21">
        <v>9.7995000000000001</v>
      </c>
      <c r="AG38" s="26">
        <v>45473</v>
      </c>
      <c r="AH38" s="27">
        <v>0.25370370370370371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77"/>
      <c r="AW38">
        <v>27264</v>
      </c>
      <c r="AX38">
        <v>128</v>
      </c>
      <c r="AY38">
        <v>2</v>
      </c>
      <c r="AZ38">
        <v>8</v>
      </c>
      <c r="BA38">
        <v>1079.67</v>
      </c>
      <c r="BB38" s="63">
        <v>12.515000000000001</v>
      </c>
    </row>
    <row r="39" spans="1:54" x14ac:dyDescent="0.25">
      <c r="A39" s="42">
        <v>0</v>
      </c>
      <c r="B39" s="42" t="s">
        <v>7</v>
      </c>
      <c r="C39" s="43">
        <v>27264</v>
      </c>
      <c r="D39" s="43">
        <v>32</v>
      </c>
      <c r="E39" s="43">
        <v>4</v>
      </c>
      <c r="F39" s="43">
        <v>4</v>
      </c>
      <c r="G39" s="43">
        <v>1339.66</v>
      </c>
      <c r="H39" s="50">
        <v>10.086</v>
      </c>
      <c r="I39" s="23">
        <v>45459</v>
      </c>
      <c r="J39" s="24">
        <v>0.20712962962962964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76">
        <f t="shared" ref="W39" si="14">AVERAGE(H39:H43)</f>
        <v>10.132399999999999</v>
      </c>
      <c r="Y39">
        <v>0</v>
      </c>
      <c r="Z39" t="s">
        <v>7</v>
      </c>
      <c r="AA39">
        <v>27264</v>
      </c>
      <c r="AB39">
        <v>32</v>
      </c>
      <c r="AC39">
        <v>4</v>
      </c>
      <c r="AD39">
        <v>4</v>
      </c>
      <c r="AE39">
        <v>1339.05</v>
      </c>
      <c r="AF39" s="21">
        <v>10.090999999999999</v>
      </c>
      <c r="AG39" s="26">
        <v>45469</v>
      </c>
      <c r="AH39" s="27">
        <v>1.0543981481481482E-2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77">
        <f t="shared" ref="AU39" si="15">AVERAGE(AF39:AF43)</f>
        <v>10.092000000000002</v>
      </c>
      <c r="AW39">
        <v>27264</v>
      </c>
      <c r="AX39">
        <v>128</v>
      </c>
      <c r="AY39">
        <v>4</v>
      </c>
      <c r="AZ39">
        <v>4</v>
      </c>
      <c r="BA39">
        <v>1277.02</v>
      </c>
      <c r="BB39" s="63">
        <v>10.581</v>
      </c>
    </row>
    <row r="40" spans="1:54" x14ac:dyDescent="0.25">
      <c r="A40" s="44">
        <v>1</v>
      </c>
      <c r="B40" s="44" t="s">
        <v>7</v>
      </c>
      <c r="C40" s="45">
        <v>27264</v>
      </c>
      <c r="D40" s="45">
        <v>32</v>
      </c>
      <c r="E40" s="45">
        <v>4</v>
      </c>
      <c r="F40" s="45">
        <v>4</v>
      </c>
      <c r="G40" s="45">
        <v>1331.47</v>
      </c>
      <c r="H40" s="51">
        <v>10.148</v>
      </c>
      <c r="I40" s="17">
        <v>45460</v>
      </c>
      <c r="J40" s="18">
        <v>0.2263425925925926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76"/>
      <c r="Y40">
        <v>1</v>
      </c>
      <c r="Z40" t="s">
        <v>7</v>
      </c>
      <c r="AA40">
        <v>27264</v>
      </c>
      <c r="AB40">
        <v>32</v>
      </c>
      <c r="AC40">
        <v>4</v>
      </c>
      <c r="AD40">
        <v>4</v>
      </c>
      <c r="AE40">
        <v>1331.73</v>
      </c>
      <c r="AF40" s="21">
        <v>10.146000000000001</v>
      </c>
      <c r="AG40" s="26">
        <v>45470</v>
      </c>
      <c r="AH40" s="27">
        <v>6.1192129629629631E-2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s="77"/>
      <c r="AW40">
        <v>27200</v>
      </c>
      <c r="AX40">
        <v>160</v>
      </c>
      <c r="AY40">
        <v>1</v>
      </c>
      <c r="AZ40">
        <v>16</v>
      </c>
      <c r="BA40">
        <v>1184.73</v>
      </c>
      <c r="BB40" s="63">
        <v>11.324999999999999</v>
      </c>
    </row>
    <row r="41" spans="1:54" x14ac:dyDescent="0.25">
      <c r="A41" s="44">
        <v>2</v>
      </c>
      <c r="B41" s="44" t="s">
        <v>7</v>
      </c>
      <c r="C41" s="46">
        <v>27264</v>
      </c>
      <c r="D41" s="46">
        <v>32</v>
      </c>
      <c r="E41" s="46">
        <v>4</v>
      </c>
      <c r="F41" s="46">
        <v>4</v>
      </c>
      <c r="G41" s="47">
        <v>1331.67</v>
      </c>
      <c r="H41" s="51">
        <v>10.147</v>
      </c>
      <c r="I41" s="17">
        <v>45461</v>
      </c>
      <c r="J41" s="18">
        <v>0.24629629629629629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76"/>
      <c r="Y41">
        <v>2</v>
      </c>
      <c r="Z41" t="s">
        <v>7</v>
      </c>
      <c r="AA41">
        <v>27264</v>
      </c>
      <c r="AB41">
        <v>32</v>
      </c>
      <c r="AC41">
        <v>4</v>
      </c>
      <c r="AD41">
        <v>4</v>
      </c>
      <c r="AE41">
        <v>1340.16</v>
      </c>
      <c r="AF41" s="21">
        <v>10.082000000000001</v>
      </c>
      <c r="AG41" s="26">
        <v>45471</v>
      </c>
      <c r="AH41" s="27">
        <v>0.45409722222222221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s="77"/>
      <c r="AW41">
        <v>27200</v>
      </c>
      <c r="AX41">
        <v>160</v>
      </c>
      <c r="AY41">
        <v>2</v>
      </c>
      <c r="AZ41">
        <v>8</v>
      </c>
      <c r="BA41">
        <v>1102.8</v>
      </c>
      <c r="BB41" s="63">
        <v>12.166</v>
      </c>
    </row>
    <row r="42" spans="1:54" x14ac:dyDescent="0.25">
      <c r="A42" s="44">
        <v>3</v>
      </c>
      <c r="B42" s="44" t="s">
        <v>7</v>
      </c>
      <c r="C42" s="46">
        <v>27264</v>
      </c>
      <c r="D42" s="46">
        <v>32</v>
      </c>
      <c r="E42" s="46">
        <v>4</v>
      </c>
      <c r="F42" s="46">
        <v>4</v>
      </c>
      <c r="G42" s="47">
        <v>1333.1</v>
      </c>
      <c r="H42" s="51">
        <v>10.135999999999999</v>
      </c>
      <c r="I42" s="17">
        <v>45462</v>
      </c>
      <c r="J42" s="18">
        <v>0.57678240740740738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76"/>
      <c r="Y42">
        <v>3</v>
      </c>
      <c r="Z42" t="s">
        <v>7</v>
      </c>
      <c r="AA42">
        <v>27264</v>
      </c>
      <c r="AB42">
        <v>32</v>
      </c>
      <c r="AC42">
        <v>4</v>
      </c>
      <c r="AD42">
        <v>4</v>
      </c>
      <c r="AE42">
        <v>1338.95</v>
      </c>
      <c r="AF42" s="21">
        <v>10.090999999999999</v>
      </c>
      <c r="AG42" s="26">
        <v>45472</v>
      </c>
      <c r="AH42" s="27">
        <v>0.5080324074074074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77"/>
      <c r="AW42">
        <v>27200</v>
      </c>
      <c r="AX42">
        <v>160</v>
      </c>
      <c r="AY42">
        <v>4</v>
      </c>
      <c r="AZ42">
        <v>4</v>
      </c>
      <c r="BA42">
        <v>1309.45</v>
      </c>
      <c r="BB42" s="63">
        <v>10.246</v>
      </c>
    </row>
    <row r="43" spans="1:54" x14ac:dyDescent="0.25">
      <c r="A43" s="44">
        <v>4</v>
      </c>
      <c r="B43" s="44" t="s">
        <v>7</v>
      </c>
      <c r="C43" s="46">
        <v>27264</v>
      </c>
      <c r="D43" s="46">
        <v>32</v>
      </c>
      <c r="E43" s="46">
        <v>4</v>
      </c>
      <c r="F43" s="46">
        <v>4</v>
      </c>
      <c r="G43" s="47">
        <v>1331.88</v>
      </c>
      <c r="H43" s="51">
        <v>10.145</v>
      </c>
      <c r="I43" s="17">
        <v>45465</v>
      </c>
      <c r="J43" s="18">
        <v>0.65300925925925923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76"/>
      <c r="Y43">
        <v>4</v>
      </c>
      <c r="Z43" t="s">
        <v>7</v>
      </c>
      <c r="AA43">
        <v>27264</v>
      </c>
      <c r="AB43">
        <v>32</v>
      </c>
      <c r="AC43">
        <v>4</v>
      </c>
      <c r="AD43">
        <v>4</v>
      </c>
      <c r="AE43">
        <v>1344.52</v>
      </c>
      <c r="AF43" s="21">
        <v>10.050000000000001</v>
      </c>
      <c r="AG43" s="26">
        <v>45473</v>
      </c>
      <c r="AH43" s="27">
        <v>0.56273148148148144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s="77"/>
      <c r="AW43">
        <v>27264</v>
      </c>
      <c r="AX43">
        <v>192</v>
      </c>
      <c r="AY43">
        <v>1</v>
      </c>
      <c r="AZ43">
        <v>16</v>
      </c>
      <c r="BA43">
        <v>1272.8499999999999</v>
      </c>
      <c r="BB43" s="63">
        <v>10.615</v>
      </c>
    </row>
    <row r="44" spans="1:54" x14ac:dyDescent="0.25">
      <c r="A44" s="42">
        <v>0</v>
      </c>
      <c r="B44" s="42" t="s">
        <v>7</v>
      </c>
      <c r="C44" s="43">
        <v>28800</v>
      </c>
      <c r="D44" s="43">
        <v>32</v>
      </c>
      <c r="E44" s="43">
        <v>4</v>
      </c>
      <c r="F44" s="43">
        <v>4</v>
      </c>
      <c r="G44" s="43">
        <v>1530.93</v>
      </c>
      <c r="H44" s="50">
        <v>10.403</v>
      </c>
      <c r="I44" s="23">
        <v>45459</v>
      </c>
      <c r="J44" s="24">
        <v>0.5534027777777778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76">
        <f t="shared" ref="W44" si="16">AVERAGE(H44:H48)</f>
        <v>10.403400000000001</v>
      </c>
      <c r="Y44">
        <v>0</v>
      </c>
      <c r="Z44" t="s">
        <v>7</v>
      </c>
      <c r="AA44">
        <v>28800</v>
      </c>
      <c r="AB44">
        <v>32</v>
      </c>
      <c r="AC44">
        <v>4</v>
      </c>
      <c r="AD44">
        <v>4</v>
      </c>
      <c r="AE44">
        <v>1539.27</v>
      </c>
      <c r="AF44" s="21">
        <v>10.347</v>
      </c>
      <c r="AG44" s="26">
        <v>45469</v>
      </c>
      <c r="AH44" s="27">
        <v>0.36649305555555556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77">
        <f t="shared" ref="AU44" si="17">AVERAGE(AF44:AF48)</f>
        <v>10.4236</v>
      </c>
      <c r="AW44">
        <v>27264</v>
      </c>
      <c r="AX44">
        <v>192</v>
      </c>
      <c r="AY44">
        <v>2</v>
      </c>
      <c r="AZ44">
        <v>8</v>
      </c>
      <c r="BA44">
        <v>1119.5899999999999</v>
      </c>
      <c r="BB44" s="63">
        <v>12.069000000000001</v>
      </c>
    </row>
    <row r="45" spans="1:54" x14ac:dyDescent="0.25">
      <c r="A45" s="44">
        <v>1</v>
      </c>
      <c r="B45" s="44" t="s">
        <v>7</v>
      </c>
      <c r="C45" s="45">
        <v>28800</v>
      </c>
      <c r="D45" s="45">
        <v>32</v>
      </c>
      <c r="E45" s="45">
        <v>4</v>
      </c>
      <c r="F45" s="45">
        <v>4</v>
      </c>
      <c r="G45" s="45">
        <v>1529.77</v>
      </c>
      <c r="H45" s="51">
        <v>10.411</v>
      </c>
      <c r="I45" s="17">
        <v>45460</v>
      </c>
      <c r="J45" s="18">
        <v>0.57179398148148153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76"/>
      <c r="Y45">
        <v>1</v>
      </c>
      <c r="Z45" t="s">
        <v>7</v>
      </c>
      <c r="AA45">
        <v>28800</v>
      </c>
      <c r="AB45">
        <v>32</v>
      </c>
      <c r="AC45">
        <v>4</v>
      </c>
      <c r="AD45">
        <v>4</v>
      </c>
      <c r="AE45">
        <v>1518.74</v>
      </c>
      <c r="AF45" s="21">
        <v>10.487</v>
      </c>
      <c r="AG45" s="26">
        <v>45470</v>
      </c>
      <c r="AH45" s="27">
        <v>0.41621527777777778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s="77"/>
      <c r="AW45">
        <v>27264</v>
      </c>
      <c r="AX45">
        <v>192</v>
      </c>
      <c r="AY45">
        <v>4</v>
      </c>
      <c r="AZ45">
        <v>4</v>
      </c>
      <c r="BA45">
        <v>1310.97</v>
      </c>
      <c r="BB45" s="63">
        <v>10.307</v>
      </c>
    </row>
    <row r="46" spans="1:54" x14ac:dyDescent="0.25">
      <c r="A46" s="44">
        <v>2</v>
      </c>
      <c r="B46" s="44" t="s">
        <v>7</v>
      </c>
      <c r="C46" s="46">
        <v>28800</v>
      </c>
      <c r="D46" s="46">
        <v>32</v>
      </c>
      <c r="E46" s="46">
        <v>4</v>
      </c>
      <c r="F46" s="46">
        <v>4</v>
      </c>
      <c r="G46" s="47">
        <v>1535.26</v>
      </c>
      <c r="H46" s="51">
        <v>10.374000000000001</v>
      </c>
      <c r="I46" s="17">
        <v>45461</v>
      </c>
      <c r="J46" s="18">
        <v>0.90452546296296299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s="76"/>
      <c r="Y46">
        <v>2</v>
      </c>
      <c r="Z46" t="s">
        <v>7</v>
      </c>
      <c r="AA46">
        <v>28800</v>
      </c>
      <c r="AB46">
        <v>32</v>
      </c>
      <c r="AC46">
        <v>4</v>
      </c>
      <c r="AD46">
        <v>4</v>
      </c>
      <c r="AE46">
        <v>1522.03</v>
      </c>
      <c r="AF46" s="21">
        <v>10.464</v>
      </c>
      <c r="AG46" s="26">
        <v>45471</v>
      </c>
      <c r="AH46" s="27">
        <v>0.8104513888888889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s="77"/>
      <c r="AW46">
        <v>27104</v>
      </c>
      <c r="AX46">
        <v>224</v>
      </c>
      <c r="AY46">
        <v>1</v>
      </c>
      <c r="AZ46">
        <v>16</v>
      </c>
      <c r="BA46">
        <v>1215.76</v>
      </c>
      <c r="BB46" s="63">
        <v>10.919</v>
      </c>
    </row>
    <row r="47" spans="1:54" x14ac:dyDescent="0.25">
      <c r="A47" s="44">
        <v>3</v>
      </c>
      <c r="B47" s="44" t="s">
        <v>7</v>
      </c>
      <c r="C47" s="46">
        <v>28800</v>
      </c>
      <c r="D47" s="46">
        <v>32</v>
      </c>
      <c r="E47" s="46">
        <v>4</v>
      </c>
      <c r="F47" s="46">
        <v>4</v>
      </c>
      <c r="G47" s="47">
        <v>1529.72</v>
      </c>
      <c r="H47" s="51">
        <v>10.411</v>
      </c>
      <c r="I47" s="17">
        <v>45464</v>
      </c>
      <c r="J47" s="18">
        <v>0.9810416666666667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s="76"/>
      <c r="Y47">
        <v>3</v>
      </c>
      <c r="Z47" t="s">
        <v>7</v>
      </c>
      <c r="AA47">
        <v>28800</v>
      </c>
      <c r="AB47">
        <v>32</v>
      </c>
      <c r="AC47">
        <v>4</v>
      </c>
      <c r="AD47">
        <v>4</v>
      </c>
      <c r="AE47">
        <v>1535.75</v>
      </c>
      <c r="AF47" s="21">
        <v>10.371</v>
      </c>
      <c r="AG47" s="26">
        <v>45472</v>
      </c>
      <c r="AH47" s="27">
        <v>0.86506944444444445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77"/>
      <c r="AW47">
        <v>27104</v>
      </c>
      <c r="AX47">
        <v>224</v>
      </c>
      <c r="AY47">
        <v>2</v>
      </c>
      <c r="AZ47">
        <v>8</v>
      </c>
      <c r="BA47">
        <v>1137.3699999999999</v>
      </c>
      <c r="BB47" s="63">
        <v>11.672000000000001</v>
      </c>
    </row>
    <row r="48" spans="1:54" x14ac:dyDescent="0.25">
      <c r="A48" s="44">
        <v>4</v>
      </c>
      <c r="B48" s="44" t="s">
        <v>7</v>
      </c>
      <c r="C48" s="46">
        <v>28800</v>
      </c>
      <c r="D48" s="46">
        <v>32</v>
      </c>
      <c r="E48" s="46">
        <v>4</v>
      </c>
      <c r="F48" s="46">
        <v>4</v>
      </c>
      <c r="G48" s="47">
        <v>1528.71</v>
      </c>
      <c r="H48" s="51">
        <v>10.417999999999999</v>
      </c>
      <c r="I48" s="17">
        <v>45465</v>
      </c>
      <c r="J48" s="18">
        <v>0.99857638888888889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s="76"/>
      <c r="Y48">
        <v>4</v>
      </c>
      <c r="Z48" t="s">
        <v>7</v>
      </c>
      <c r="AA48">
        <v>28800</v>
      </c>
      <c r="AB48">
        <v>32</v>
      </c>
      <c r="AC48">
        <v>4</v>
      </c>
      <c r="AD48">
        <v>4</v>
      </c>
      <c r="AE48">
        <v>1524.22</v>
      </c>
      <c r="AF48" s="21">
        <v>10.449</v>
      </c>
      <c r="AG48" s="26">
        <v>45473</v>
      </c>
      <c r="AH48" s="27">
        <v>0.91876157407407411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s="77"/>
      <c r="AW48">
        <v>27104</v>
      </c>
      <c r="AX48">
        <v>224</v>
      </c>
      <c r="AY48">
        <v>4</v>
      </c>
      <c r="AZ48">
        <v>4</v>
      </c>
      <c r="BA48">
        <v>1346.27</v>
      </c>
      <c r="BB48" s="63">
        <v>9.8607999999999993</v>
      </c>
    </row>
    <row r="49" spans="1:54" x14ac:dyDescent="0.25">
      <c r="A49" s="42">
        <v>0</v>
      </c>
      <c r="B49" s="42" t="s">
        <v>7</v>
      </c>
      <c r="C49" s="43">
        <v>25728</v>
      </c>
      <c r="D49" s="43">
        <v>64</v>
      </c>
      <c r="E49" s="43">
        <v>1</v>
      </c>
      <c r="F49" s="43">
        <v>16</v>
      </c>
      <c r="G49" s="43">
        <v>1040.04</v>
      </c>
      <c r="H49" s="50">
        <v>10.917</v>
      </c>
      <c r="I49" s="23">
        <v>45458</v>
      </c>
      <c r="J49" s="24">
        <v>0.9226388888888889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76">
        <f t="shared" ref="W49" si="18">AVERAGE(H49:H53)</f>
        <v>10.942399999999997</v>
      </c>
      <c r="Y49">
        <v>0</v>
      </c>
      <c r="Z49" t="s">
        <v>7</v>
      </c>
      <c r="AA49">
        <v>25728</v>
      </c>
      <c r="AB49">
        <v>64</v>
      </c>
      <c r="AC49">
        <v>1</v>
      </c>
      <c r="AD49">
        <v>16</v>
      </c>
      <c r="AE49">
        <v>960.35</v>
      </c>
      <c r="AF49" s="21">
        <v>11.823</v>
      </c>
      <c r="AG49" s="26">
        <v>45468</v>
      </c>
      <c r="AH49" s="29">
        <v>0.71408564814814812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77">
        <f t="shared" ref="AU49" si="19">AVERAGE(AF49:AF53)</f>
        <v>11.775</v>
      </c>
      <c r="AW49">
        <v>27136</v>
      </c>
      <c r="AX49">
        <v>256</v>
      </c>
      <c r="AY49">
        <v>1</v>
      </c>
      <c r="AZ49">
        <v>16</v>
      </c>
      <c r="BA49">
        <v>1200.58</v>
      </c>
      <c r="BB49" s="63">
        <v>11.097</v>
      </c>
    </row>
    <row r="50" spans="1:54" x14ac:dyDescent="0.25">
      <c r="A50" s="44">
        <v>1</v>
      </c>
      <c r="B50" s="44" t="s">
        <v>7</v>
      </c>
      <c r="C50" s="45">
        <v>25728</v>
      </c>
      <c r="D50" s="45">
        <v>64</v>
      </c>
      <c r="E50" s="45">
        <v>1</v>
      </c>
      <c r="F50" s="45">
        <v>16</v>
      </c>
      <c r="G50" s="45">
        <v>1037.25</v>
      </c>
      <c r="H50" s="51">
        <v>10.946999999999999</v>
      </c>
      <c r="I50" s="17">
        <v>45459</v>
      </c>
      <c r="J50" s="18">
        <v>0.94287037037037036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s="76"/>
      <c r="Y50">
        <v>1</v>
      </c>
      <c r="Z50" t="s">
        <v>7</v>
      </c>
      <c r="AA50">
        <v>25728</v>
      </c>
      <c r="AB50">
        <v>64</v>
      </c>
      <c r="AC50">
        <v>1</v>
      </c>
      <c r="AD50">
        <v>16</v>
      </c>
      <c r="AE50">
        <v>956.02</v>
      </c>
      <c r="AF50" s="21">
        <v>11.877000000000001</v>
      </c>
      <c r="AG50" s="26">
        <v>45469</v>
      </c>
      <c r="AH50" s="27">
        <v>0.76557870370370373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s="77"/>
      <c r="AW50">
        <v>27136</v>
      </c>
      <c r="AX50">
        <v>256</v>
      </c>
      <c r="AY50">
        <v>2</v>
      </c>
      <c r="AZ50">
        <v>8</v>
      </c>
      <c r="BA50">
        <v>1119.67</v>
      </c>
      <c r="BB50" s="63">
        <v>11.898999999999999</v>
      </c>
    </row>
    <row r="51" spans="1:54" x14ac:dyDescent="0.25">
      <c r="A51" s="44">
        <v>2</v>
      </c>
      <c r="B51" s="44" t="s">
        <v>7</v>
      </c>
      <c r="C51" s="46">
        <v>25728</v>
      </c>
      <c r="D51" s="46">
        <v>64</v>
      </c>
      <c r="E51" s="46">
        <v>1</v>
      </c>
      <c r="F51" s="46">
        <v>16</v>
      </c>
      <c r="G51" s="47">
        <v>1033.54</v>
      </c>
      <c r="H51" s="51">
        <v>10.986000000000001</v>
      </c>
      <c r="I51" s="17">
        <v>45460</v>
      </c>
      <c r="J51" s="18">
        <v>0.96255787037037033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s="76"/>
      <c r="Y51">
        <v>2</v>
      </c>
      <c r="Z51" t="s">
        <v>7</v>
      </c>
      <c r="AA51">
        <v>25728</v>
      </c>
      <c r="AB51">
        <v>64</v>
      </c>
      <c r="AC51">
        <v>1</v>
      </c>
      <c r="AD51">
        <v>16</v>
      </c>
      <c r="AE51">
        <v>971.33</v>
      </c>
      <c r="AF51" s="21">
        <v>11.69</v>
      </c>
      <c r="AG51" s="26">
        <v>45471</v>
      </c>
      <c r="AH51" s="27">
        <v>0.15650462962962963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s="77"/>
      <c r="AW51">
        <v>27136</v>
      </c>
      <c r="AX51">
        <v>256</v>
      </c>
      <c r="AY51">
        <v>4</v>
      </c>
      <c r="AZ51">
        <v>4</v>
      </c>
      <c r="BA51">
        <v>1352.97</v>
      </c>
      <c r="BB51" s="63">
        <v>9.8468</v>
      </c>
    </row>
    <row r="52" spans="1:54" x14ac:dyDescent="0.25">
      <c r="A52" s="44">
        <v>3</v>
      </c>
      <c r="B52" s="44" t="s">
        <v>7</v>
      </c>
      <c r="C52" s="46">
        <v>25728</v>
      </c>
      <c r="D52" s="46">
        <v>64</v>
      </c>
      <c r="E52" s="46">
        <v>1</v>
      </c>
      <c r="F52" s="46">
        <v>16</v>
      </c>
      <c r="G52" s="47">
        <v>1040.55</v>
      </c>
      <c r="H52" s="51">
        <v>10.912000000000001</v>
      </c>
      <c r="I52" s="17">
        <v>45462</v>
      </c>
      <c r="J52" s="18">
        <v>0.29289351851851853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76"/>
      <c r="Y52">
        <v>3</v>
      </c>
      <c r="Z52" t="s">
        <v>7</v>
      </c>
      <c r="AA52">
        <v>25728</v>
      </c>
      <c r="AB52">
        <v>64</v>
      </c>
      <c r="AC52">
        <v>1</v>
      </c>
      <c r="AD52">
        <v>16</v>
      </c>
      <c r="AE52">
        <v>967.16</v>
      </c>
      <c r="AF52" s="21">
        <v>11.74</v>
      </c>
      <c r="AG52" s="26">
        <v>45472</v>
      </c>
      <c r="AH52" s="27">
        <v>0.21118055555555557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s="77"/>
      <c r="AW52">
        <v>28800</v>
      </c>
      <c r="AX52">
        <v>32</v>
      </c>
      <c r="AY52">
        <v>1</v>
      </c>
      <c r="AZ52">
        <v>16</v>
      </c>
      <c r="BA52">
        <v>1497.63</v>
      </c>
      <c r="BB52" s="63">
        <v>10.634</v>
      </c>
    </row>
    <row r="53" spans="1:54" x14ac:dyDescent="0.25">
      <c r="A53" s="44">
        <v>4</v>
      </c>
      <c r="B53" s="44" t="s">
        <v>7</v>
      </c>
      <c r="C53" s="46">
        <v>25728</v>
      </c>
      <c r="D53" s="46">
        <v>64</v>
      </c>
      <c r="E53" s="46">
        <v>1</v>
      </c>
      <c r="F53" s="46">
        <v>16</v>
      </c>
      <c r="G53" s="47">
        <v>1036.95</v>
      </c>
      <c r="H53" s="51">
        <v>10.95</v>
      </c>
      <c r="I53" s="17">
        <v>45465</v>
      </c>
      <c r="J53" s="18">
        <v>0.36936342592592591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76"/>
      <c r="Y53">
        <v>4</v>
      </c>
      <c r="Z53" t="s">
        <v>7</v>
      </c>
      <c r="AA53">
        <v>25728</v>
      </c>
      <c r="AB53">
        <v>64</v>
      </c>
      <c r="AC53">
        <v>1</v>
      </c>
      <c r="AD53">
        <v>16</v>
      </c>
      <c r="AE53">
        <v>966.72</v>
      </c>
      <c r="AF53" s="21">
        <v>11.744999999999999</v>
      </c>
      <c r="AG53" s="26">
        <v>45473</v>
      </c>
      <c r="AH53" s="27">
        <v>0.26598379629629632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77"/>
      <c r="AW53">
        <v>28800</v>
      </c>
      <c r="AX53">
        <v>32</v>
      </c>
      <c r="AY53">
        <v>2</v>
      </c>
      <c r="AZ53">
        <v>8</v>
      </c>
      <c r="BA53">
        <v>1333.25</v>
      </c>
      <c r="BB53" s="63">
        <v>11.946</v>
      </c>
    </row>
    <row r="54" spans="1:54" x14ac:dyDescent="0.25">
      <c r="A54" s="42">
        <v>0</v>
      </c>
      <c r="B54" s="42" t="s">
        <v>7</v>
      </c>
      <c r="C54" s="43">
        <v>27264</v>
      </c>
      <c r="D54" s="43">
        <v>64</v>
      </c>
      <c r="E54" s="43">
        <v>1</v>
      </c>
      <c r="F54" s="43">
        <v>16</v>
      </c>
      <c r="G54" s="43">
        <v>1229.1500000000001</v>
      </c>
      <c r="H54" s="50">
        <v>10.993</v>
      </c>
      <c r="I54" s="23">
        <v>45459</v>
      </c>
      <c r="J54" s="24">
        <v>0.22167824074074075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76">
        <f t="shared" ref="W54" si="20">AVERAGE(H54:H58)</f>
        <v>11.004799999999999</v>
      </c>
      <c r="Y54">
        <v>0</v>
      </c>
      <c r="Z54" t="s">
        <v>7</v>
      </c>
      <c r="AA54">
        <v>27264</v>
      </c>
      <c r="AB54">
        <v>64</v>
      </c>
      <c r="AC54">
        <v>1</v>
      </c>
      <c r="AD54">
        <v>16</v>
      </c>
      <c r="AE54">
        <v>1118.31</v>
      </c>
      <c r="AF54" s="21">
        <v>12.082000000000001</v>
      </c>
      <c r="AG54" s="26">
        <v>45469</v>
      </c>
      <c r="AH54" s="27">
        <v>2.4675925925925928E-2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s="77">
        <f t="shared" ref="AU54" si="21">AVERAGE(AF54:AF58)</f>
        <v>12.1334</v>
      </c>
      <c r="AW54">
        <v>28800</v>
      </c>
      <c r="AX54">
        <v>32</v>
      </c>
      <c r="AY54">
        <v>4</v>
      </c>
      <c r="AZ54">
        <v>4</v>
      </c>
      <c r="BA54">
        <v>1529.46</v>
      </c>
      <c r="BB54" s="63">
        <v>10.413</v>
      </c>
    </row>
    <row r="55" spans="1:54" x14ac:dyDescent="0.25">
      <c r="A55" s="44">
        <v>1</v>
      </c>
      <c r="B55" s="44" t="s">
        <v>7</v>
      </c>
      <c r="C55" s="45">
        <v>27264</v>
      </c>
      <c r="D55" s="45">
        <v>64</v>
      </c>
      <c r="E55" s="45">
        <v>1</v>
      </c>
      <c r="F55" s="45">
        <v>16</v>
      </c>
      <c r="G55" s="45">
        <v>1225.21</v>
      </c>
      <c r="H55" s="51">
        <v>11.028</v>
      </c>
      <c r="I55" s="17">
        <v>45460</v>
      </c>
      <c r="J55" s="18">
        <v>0.24084490740740741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76"/>
      <c r="Y55">
        <v>1</v>
      </c>
      <c r="Z55" t="s">
        <v>7</v>
      </c>
      <c r="AA55">
        <v>27264</v>
      </c>
      <c r="AB55">
        <v>64</v>
      </c>
      <c r="AC55">
        <v>1</v>
      </c>
      <c r="AD55">
        <v>16</v>
      </c>
      <c r="AE55">
        <v>1116.3499999999999</v>
      </c>
      <c r="AF55" s="21">
        <v>12.103999999999999</v>
      </c>
      <c r="AG55" s="26">
        <v>45470</v>
      </c>
      <c r="AH55" s="27">
        <v>7.5312500000000004E-2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s="77"/>
      <c r="AW55">
        <v>28800</v>
      </c>
      <c r="AX55">
        <v>64</v>
      </c>
      <c r="AY55">
        <v>1</v>
      </c>
      <c r="AZ55">
        <v>16</v>
      </c>
      <c r="BA55">
        <v>1396.61</v>
      </c>
      <c r="BB55" s="63">
        <v>11.404</v>
      </c>
    </row>
    <row r="56" spans="1:54" x14ac:dyDescent="0.25">
      <c r="A56" s="44">
        <v>2</v>
      </c>
      <c r="B56" s="44" t="s">
        <v>7</v>
      </c>
      <c r="C56" s="46">
        <v>27264</v>
      </c>
      <c r="D56" s="46">
        <v>64</v>
      </c>
      <c r="E56" s="46">
        <v>1</v>
      </c>
      <c r="F56" s="46">
        <v>16</v>
      </c>
      <c r="G56" s="47">
        <v>1228.8800000000001</v>
      </c>
      <c r="H56" s="51">
        <v>10.994999999999999</v>
      </c>
      <c r="I56" s="17">
        <v>45461</v>
      </c>
      <c r="J56" s="18">
        <v>0.26083333333333331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76"/>
      <c r="Y56">
        <v>2</v>
      </c>
      <c r="Z56" t="s">
        <v>7</v>
      </c>
      <c r="AA56">
        <v>27264</v>
      </c>
      <c r="AB56">
        <v>64</v>
      </c>
      <c r="AC56">
        <v>1</v>
      </c>
      <c r="AD56">
        <v>16</v>
      </c>
      <c r="AE56">
        <v>1114.1600000000001</v>
      </c>
      <c r="AF56" s="21">
        <v>12.127000000000001</v>
      </c>
      <c r="AG56" s="26">
        <v>45471</v>
      </c>
      <c r="AH56" s="27">
        <v>0.46819444444444447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77"/>
      <c r="AW56">
        <v>28800</v>
      </c>
      <c r="AX56">
        <v>64</v>
      </c>
      <c r="AY56">
        <v>2</v>
      </c>
      <c r="AZ56">
        <v>8</v>
      </c>
      <c r="BA56">
        <v>1251.5999999999999</v>
      </c>
      <c r="BB56" s="63">
        <v>12.725</v>
      </c>
    </row>
    <row r="57" spans="1:54" x14ac:dyDescent="0.25">
      <c r="A57" s="44">
        <v>3</v>
      </c>
      <c r="B57" s="44" t="s">
        <v>7</v>
      </c>
      <c r="C57" s="46">
        <v>27264</v>
      </c>
      <c r="D57" s="46">
        <v>64</v>
      </c>
      <c r="E57" s="46">
        <v>1</v>
      </c>
      <c r="F57" s="46">
        <v>16</v>
      </c>
      <c r="G57" s="47">
        <v>1229.46</v>
      </c>
      <c r="H57" s="51">
        <v>10.99</v>
      </c>
      <c r="I57" s="17">
        <v>45462</v>
      </c>
      <c r="J57" s="18">
        <v>0.59134259259259259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76"/>
      <c r="Y57">
        <v>3</v>
      </c>
      <c r="Z57" t="s">
        <v>7</v>
      </c>
      <c r="AA57">
        <v>27264</v>
      </c>
      <c r="AB57">
        <v>64</v>
      </c>
      <c r="AC57">
        <v>1</v>
      </c>
      <c r="AD57">
        <v>16</v>
      </c>
      <c r="AE57">
        <v>1109.67</v>
      </c>
      <c r="AF57" s="21">
        <v>12.176</v>
      </c>
      <c r="AG57" s="26">
        <v>45472</v>
      </c>
      <c r="AH57" s="27">
        <v>0.52209490740740738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77"/>
      <c r="AW57">
        <v>28800</v>
      </c>
      <c r="AX57">
        <v>64</v>
      </c>
      <c r="AY57">
        <v>4</v>
      </c>
      <c r="AZ57">
        <v>4</v>
      </c>
      <c r="BA57">
        <v>1466.17</v>
      </c>
      <c r="BB57" s="63">
        <v>10.863</v>
      </c>
    </row>
    <row r="58" spans="1:54" x14ac:dyDescent="0.25">
      <c r="A58" s="44">
        <v>4</v>
      </c>
      <c r="B58" s="44" t="s">
        <v>7</v>
      </c>
      <c r="C58" s="46">
        <v>27264</v>
      </c>
      <c r="D58" s="46">
        <v>64</v>
      </c>
      <c r="E58" s="46">
        <v>1</v>
      </c>
      <c r="F58" s="46">
        <v>16</v>
      </c>
      <c r="G58" s="47">
        <v>1226.3599999999999</v>
      </c>
      <c r="H58" s="51">
        <v>11.018000000000001</v>
      </c>
      <c r="I58" s="17">
        <v>45465</v>
      </c>
      <c r="J58" s="18">
        <v>0.66752314814814817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s="76"/>
      <c r="Y58">
        <v>4</v>
      </c>
      <c r="Z58" t="s">
        <v>7</v>
      </c>
      <c r="AA58">
        <v>27264</v>
      </c>
      <c r="AB58">
        <v>64</v>
      </c>
      <c r="AC58">
        <v>1</v>
      </c>
      <c r="AD58">
        <v>16</v>
      </c>
      <c r="AE58">
        <v>1109.48</v>
      </c>
      <c r="AF58" s="21">
        <v>12.178000000000001</v>
      </c>
      <c r="AG58" s="26">
        <v>45473</v>
      </c>
      <c r="AH58" s="27">
        <v>0.57678240740740738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s="77"/>
      <c r="AW58">
        <v>28800</v>
      </c>
      <c r="AX58">
        <v>96</v>
      </c>
      <c r="AY58">
        <v>1</v>
      </c>
      <c r="AZ58">
        <v>16</v>
      </c>
      <c r="BA58">
        <v>1376.44</v>
      </c>
      <c r="BB58" s="63">
        <v>11.571</v>
      </c>
    </row>
    <row r="59" spans="1:54" x14ac:dyDescent="0.25">
      <c r="A59" s="42">
        <v>0</v>
      </c>
      <c r="B59" s="42" t="s">
        <v>7</v>
      </c>
      <c r="C59" s="43">
        <v>28800</v>
      </c>
      <c r="D59" s="43">
        <v>64</v>
      </c>
      <c r="E59" s="43">
        <v>1</v>
      </c>
      <c r="F59" s="43">
        <v>16</v>
      </c>
      <c r="G59" s="43">
        <v>1390.29</v>
      </c>
      <c r="H59" s="50">
        <v>11.456</v>
      </c>
      <c r="I59" s="23">
        <v>45459</v>
      </c>
      <c r="J59" s="24">
        <v>0.56991898148148146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76">
        <f t="shared" ref="W59" si="22">AVERAGE(H59:H63)</f>
        <v>11.448599999999999</v>
      </c>
      <c r="Y59">
        <v>0</v>
      </c>
      <c r="Z59" t="s">
        <v>7</v>
      </c>
      <c r="AA59">
        <v>28800</v>
      </c>
      <c r="AB59">
        <v>64</v>
      </c>
      <c r="AC59">
        <v>1</v>
      </c>
      <c r="AD59">
        <v>16</v>
      </c>
      <c r="AE59">
        <v>1276.69</v>
      </c>
      <c r="AF59" s="21">
        <v>12.475</v>
      </c>
      <c r="AG59" s="26">
        <v>45469</v>
      </c>
      <c r="AH59" s="27">
        <v>0.38261574074074073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s="77">
        <f t="shared" ref="AU59" si="23">AVERAGE(AF59:AF63)</f>
        <v>12.472399999999999</v>
      </c>
      <c r="AW59">
        <v>28800</v>
      </c>
      <c r="AX59">
        <v>96</v>
      </c>
      <c r="AY59">
        <v>2</v>
      </c>
      <c r="AZ59">
        <v>8</v>
      </c>
      <c r="BA59">
        <v>1236.22</v>
      </c>
      <c r="BB59" s="63">
        <v>12.882999999999999</v>
      </c>
    </row>
    <row r="60" spans="1:54" x14ac:dyDescent="0.25">
      <c r="A60" s="44">
        <v>1</v>
      </c>
      <c r="B60" s="44" t="s">
        <v>7</v>
      </c>
      <c r="C60" s="45">
        <v>28800</v>
      </c>
      <c r="D60" s="45">
        <v>64</v>
      </c>
      <c r="E60" s="45">
        <v>1</v>
      </c>
      <c r="F60" s="45">
        <v>16</v>
      </c>
      <c r="G60" s="45">
        <v>1386.47</v>
      </c>
      <c r="H60" s="51">
        <v>11.487</v>
      </c>
      <c r="I60" s="17">
        <v>45460</v>
      </c>
      <c r="J60" s="18">
        <v>0.58824074074074073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76"/>
      <c r="Y60">
        <v>1</v>
      </c>
      <c r="Z60" t="s">
        <v>7</v>
      </c>
      <c r="AA60">
        <v>28800</v>
      </c>
      <c r="AB60">
        <v>64</v>
      </c>
      <c r="AC60">
        <v>1</v>
      </c>
      <c r="AD60">
        <v>16</v>
      </c>
      <c r="AE60">
        <v>1273.69</v>
      </c>
      <c r="AF60" s="21">
        <v>12.504</v>
      </c>
      <c r="AG60" s="26">
        <v>45470</v>
      </c>
      <c r="AH60" s="27">
        <v>0.43232638888888891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77"/>
      <c r="AW60">
        <v>28800</v>
      </c>
      <c r="AX60">
        <v>96</v>
      </c>
      <c r="AY60">
        <v>4</v>
      </c>
      <c r="AZ60">
        <v>4</v>
      </c>
      <c r="BA60">
        <v>1440.12</v>
      </c>
      <c r="BB60" s="63">
        <v>11.058999999999999</v>
      </c>
    </row>
    <row r="61" spans="1:54" x14ac:dyDescent="0.25">
      <c r="A61" s="44">
        <v>2</v>
      </c>
      <c r="B61" s="44" t="s">
        <v>7</v>
      </c>
      <c r="C61" s="46">
        <v>28800</v>
      </c>
      <c r="D61" s="46">
        <v>64</v>
      </c>
      <c r="E61" s="46">
        <v>1</v>
      </c>
      <c r="F61" s="46">
        <v>16</v>
      </c>
      <c r="G61" s="47">
        <v>1393.73</v>
      </c>
      <c r="H61" s="51">
        <v>11.427</v>
      </c>
      <c r="I61" s="17">
        <v>45461</v>
      </c>
      <c r="J61" s="18">
        <v>0.92104166666666665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76"/>
      <c r="Y61">
        <v>2</v>
      </c>
      <c r="Z61" t="s">
        <v>7</v>
      </c>
      <c r="AA61">
        <v>28800</v>
      </c>
      <c r="AB61">
        <v>64</v>
      </c>
      <c r="AC61">
        <v>1</v>
      </c>
      <c r="AD61">
        <v>16</v>
      </c>
      <c r="AE61">
        <v>1277.33</v>
      </c>
      <c r="AF61" s="21">
        <v>12.468999999999999</v>
      </c>
      <c r="AG61" s="26">
        <v>45471</v>
      </c>
      <c r="AH61" s="27">
        <v>0.82660879629629624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77"/>
      <c r="AW61">
        <v>28800</v>
      </c>
      <c r="AX61">
        <v>128</v>
      </c>
      <c r="AY61">
        <v>1</v>
      </c>
      <c r="AZ61">
        <v>16</v>
      </c>
      <c r="BA61">
        <v>1437.13</v>
      </c>
      <c r="BB61" s="63">
        <v>11.082000000000001</v>
      </c>
    </row>
    <row r="62" spans="1:54" x14ac:dyDescent="0.25">
      <c r="A62" s="44">
        <v>3</v>
      </c>
      <c r="B62" s="44" t="s">
        <v>7</v>
      </c>
      <c r="C62" s="46">
        <v>28800</v>
      </c>
      <c r="D62" s="46">
        <v>64</v>
      </c>
      <c r="E62" s="46">
        <v>1</v>
      </c>
      <c r="F62" s="46">
        <v>16</v>
      </c>
      <c r="G62" s="47">
        <v>1391.27</v>
      </c>
      <c r="H62" s="51">
        <v>11.446999999999999</v>
      </c>
      <c r="I62" s="17">
        <v>45464</v>
      </c>
      <c r="J62" s="18">
        <v>0.99751157407407409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s="76"/>
      <c r="Y62">
        <v>3</v>
      </c>
      <c r="Z62" t="s">
        <v>7</v>
      </c>
      <c r="AA62">
        <v>28800</v>
      </c>
      <c r="AB62">
        <v>64</v>
      </c>
      <c r="AC62">
        <v>1</v>
      </c>
      <c r="AD62">
        <v>16</v>
      </c>
      <c r="AE62">
        <v>1276.51</v>
      </c>
      <c r="AF62" s="21">
        <v>12.477</v>
      </c>
      <c r="AG62" s="26">
        <v>45472</v>
      </c>
      <c r="AH62" s="27">
        <v>0.88119212962962967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77"/>
      <c r="AW62">
        <v>28800</v>
      </c>
      <c r="AX62">
        <v>128</v>
      </c>
      <c r="AY62">
        <v>2</v>
      </c>
      <c r="AZ62">
        <v>8</v>
      </c>
      <c r="BA62">
        <v>1247.8699999999999</v>
      </c>
      <c r="BB62" s="63">
        <v>12.763</v>
      </c>
    </row>
    <row r="63" spans="1:54" x14ac:dyDescent="0.25">
      <c r="A63" s="44">
        <v>4</v>
      </c>
      <c r="B63" s="44" t="s">
        <v>7</v>
      </c>
      <c r="C63" s="46">
        <v>28800</v>
      </c>
      <c r="D63" s="46">
        <v>64</v>
      </c>
      <c r="E63" s="46">
        <v>1</v>
      </c>
      <c r="F63" s="46">
        <v>16</v>
      </c>
      <c r="G63" s="47">
        <v>1393.84</v>
      </c>
      <c r="H63" s="51">
        <v>11.426</v>
      </c>
      <c r="I63" s="17">
        <v>45466</v>
      </c>
      <c r="J63" s="18">
        <v>1.5057870370370371E-2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76"/>
      <c r="Y63">
        <v>4</v>
      </c>
      <c r="Z63" t="s">
        <v>7</v>
      </c>
      <c r="AA63">
        <v>28800</v>
      </c>
      <c r="AB63">
        <v>64</v>
      </c>
      <c r="AC63">
        <v>1</v>
      </c>
      <c r="AD63">
        <v>16</v>
      </c>
      <c r="AE63">
        <v>1280.55</v>
      </c>
      <c r="AF63" s="21">
        <v>12.436999999999999</v>
      </c>
      <c r="AG63" s="26">
        <v>45473</v>
      </c>
      <c r="AH63" s="27">
        <v>0.9349305555555556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77"/>
      <c r="AW63">
        <v>28800</v>
      </c>
      <c r="AX63">
        <v>128</v>
      </c>
      <c r="AY63">
        <v>4</v>
      </c>
      <c r="AZ63">
        <v>4</v>
      </c>
      <c r="BA63">
        <v>1471</v>
      </c>
      <c r="BB63" s="63">
        <v>10.827</v>
      </c>
    </row>
    <row r="64" spans="1:54" x14ac:dyDescent="0.25">
      <c r="A64" s="42">
        <v>0</v>
      </c>
      <c r="B64" s="42" t="s">
        <v>7</v>
      </c>
      <c r="C64" s="43">
        <v>25728</v>
      </c>
      <c r="D64" s="43">
        <v>64</v>
      </c>
      <c r="E64" s="43">
        <v>2</v>
      </c>
      <c r="F64" s="43">
        <v>8</v>
      </c>
      <c r="G64" s="43">
        <v>901.92</v>
      </c>
      <c r="H64" s="50">
        <v>12.589</v>
      </c>
      <c r="I64" s="23">
        <v>45458</v>
      </c>
      <c r="J64" s="24">
        <v>0.93335648148148154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76">
        <f t="shared" ref="W64" si="24">AVERAGE(H64:H68)</f>
        <v>12.7136</v>
      </c>
      <c r="Y64">
        <v>0</v>
      </c>
      <c r="Z64" t="s">
        <v>7</v>
      </c>
      <c r="AA64">
        <v>25728</v>
      </c>
      <c r="AB64">
        <v>64</v>
      </c>
      <c r="AC64">
        <v>2</v>
      </c>
      <c r="AD64">
        <v>8</v>
      </c>
      <c r="AE64">
        <v>924.07</v>
      </c>
      <c r="AF64" s="21">
        <v>12.287000000000001</v>
      </c>
      <c r="AG64" s="26">
        <v>45468</v>
      </c>
      <c r="AH64" s="27">
        <v>0.72584490740740737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s="77">
        <f t="shared" ref="AU64" si="25">AVERAGE(AF64:AF68)</f>
        <v>12.3344</v>
      </c>
      <c r="AW64">
        <v>28800</v>
      </c>
      <c r="AX64">
        <v>160</v>
      </c>
      <c r="AY64">
        <v>1</v>
      </c>
      <c r="AZ64">
        <v>16</v>
      </c>
      <c r="BA64">
        <v>1387.98</v>
      </c>
      <c r="BB64" s="63">
        <v>11.475</v>
      </c>
    </row>
    <row r="65" spans="1:54" x14ac:dyDescent="0.25">
      <c r="A65" s="44">
        <v>1</v>
      </c>
      <c r="B65" s="44" t="s">
        <v>7</v>
      </c>
      <c r="C65" s="45">
        <v>25728</v>
      </c>
      <c r="D65" s="45">
        <v>64</v>
      </c>
      <c r="E65" s="45">
        <v>2</v>
      </c>
      <c r="F65" s="45">
        <v>8</v>
      </c>
      <c r="G65" s="45">
        <v>888.26</v>
      </c>
      <c r="H65" s="51">
        <v>12.782999999999999</v>
      </c>
      <c r="I65" s="17">
        <v>45459</v>
      </c>
      <c r="J65" s="18">
        <v>0.95343750000000005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76"/>
      <c r="Y65">
        <v>1</v>
      </c>
      <c r="Z65" t="s">
        <v>7</v>
      </c>
      <c r="AA65">
        <v>25728</v>
      </c>
      <c r="AB65">
        <v>64</v>
      </c>
      <c r="AC65">
        <v>2</v>
      </c>
      <c r="AD65">
        <v>8</v>
      </c>
      <c r="AE65">
        <v>918.54</v>
      </c>
      <c r="AF65" s="21">
        <v>12.361000000000001</v>
      </c>
      <c r="AG65" s="26">
        <v>45469</v>
      </c>
      <c r="AH65" s="27">
        <v>0.77730324074074075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77"/>
      <c r="AW65">
        <v>28800</v>
      </c>
      <c r="AX65">
        <v>160</v>
      </c>
      <c r="AY65">
        <v>2</v>
      </c>
      <c r="AZ65">
        <v>8</v>
      </c>
      <c r="BA65">
        <v>1240.18</v>
      </c>
      <c r="BB65" s="63">
        <v>12.842000000000001</v>
      </c>
    </row>
    <row r="66" spans="1:54" x14ac:dyDescent="0.25">
      <c r="A66" s="44">
        <v>2</v>
      </c>
      <c r="B66" s="44" t="s">
        <v>7</v>
      </c>
      <c r="C66" s="46">
        <v>25728</v>
      </c>
      <c r="D66" s="46">
        <v>64</v>
      </c>
      <c r="E66" s="46">
        <v>2</v>
      </c>
      <c r="F66" s="46">
        <v>8</v>
      </c>
      <c r="G66" s="47">
        <v>890.9</v>
      </c>
      <c r="H66" s="51">
        <v>12.744999999999999</v>
      </c>
      <c r="I66" s="17">
        <v>45460</v>
      </c>
      <c r="J66" s="18">
        <v>0.9731481481481481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s="76"/>
      <c r="Y66">
        <v>2</v>
      </c>
      <c r="Z66" t="s">
        <v>7</v>
      </c>
      <c r="AA66">
        <v>25728</v>
      </c>
      <c r="AB66">
        <v>64</v>
      </c>
      <c r="AC66">
        <v>2</v>
      </c>
      <c r="AD66">
        <v>8</v>
      </c>
      <c r="AE66">
        <v>920.31</v>
      </c>
      <c r="AF66" s="21">
        <v>12.337999999999999</v>
      </c>
      <c r="AG66" s="26">
        <v>45471</v>
      </c>
      <c r="AH66" s="27">
        <v>0.16826388888888888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s="77"/>
      <c r="AW66">
        <v>28800</v>
      </c>
      <c r="AX66">
        <v>160</v>
      </c>
      <c r="AY66">
        <v>4</v>
      </c>
      <c r="AZ66">
        <v>4</v>
      </c>
      <c r="BA66">
        <v>1477.7</v>
      </c>
      <c r="BB66" s="63">
        <v>10.778</v>
      </c>
    </row>
    <row r="67" spans="1:54" x14ac:dyDescent="0.25">
      <c r="A67" s="44">
        <v>3</v>
      </c>
      <c r="B67" s="44" t="s">
        <v>7</v>
      </c>
      <c r="C67" s="46">
        <v>25728</v>
      </c>
      <c r="D67" s="46">
        <v>64</v>
      </c>
      <c r="E67" s="46">
        <v>2</v>
      </c>
      <c r="F67" s="46">
        <v>8</v>
      </c>
      <c r="G67" s="47">
        <v>897.91</v>
      </c>
      <c r="H67" s="51">
        <v>12.645</v>
      </c>
      <c r="I67" s="17">
        <v>45462</v>
      </c>
      <c r="J67" s="18">
        <v>0.30357638888888888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s="76"/>
      <c r="Y67">
        <v>3</v>
      </c>
      <c r="Z67" t="s">
        <v>7</v>
      </c>
      <c r="AA67">
        <v>25728</v>
      </c>
      <c r="AB67">
        <v>64</v>
      </c>
      <c r="AC67">
        <v>2</v>
      </c>
      <c r="AD67">
        <v>8</v>
      </c>
      <c r="AE67">
        <v>917.93</v>
      </c>
      <c r="AF67" s="21">
        <v>12.37</v>
      </c>
      <c r="AG67" s="26">
        <v>45472</v>
      </c>
      <c r="AH67" s="27">
        <v>0.22288194444444445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s="77"/>
      <c r="AW67">
        <v>28800</v>
      </c>
      <c r="AX67">
        <v>192</v>
      </c>
      <c r="AY67">
        <v>1</v>
      </c>
      <c r="AZ67">
        <v>16</v>
      </c>
      <c r="BA67">
        <v>1392.5</v>
      </c>
      <c r="BB67" s="63">
        <v>11.436999999999999</v>
      </c>
    </row>
    <row r="68" spans="1:54" x14ac:dyDescent="0.25">
      <c r="A68" s="44">
        <v>4</v>
      </c>
      <c r="B68" s="44" t="s">
        <v>7</v>
      </c>
      <c r="C68" s="46">
        <v>25728</v>
      </c>
      <c r="D68" s="46">
        <v>64</v>
      </c>
      <c r="E68" s="46">
        <v>2</v>
      </c>
      <c r="F68" s="46">
        <v>8</v>
      </c>
      <c r="G68" s="47">
        <v>886.65</v>
      </c>
      <c r="H68" s="51">
        <v>12.805999999999999</v>
      </c>
      <c r="I68" s="17">
        <v>45465</v>
      </c>
      <c r="J68" s="18">
        <v>0.37990740740740742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s="76"/>
      <c r="Y68">
        <v>4</v>
      </c>
      <c r="Z68" t="s">
        <v>7</v>
      </c>
      <c r="AA68">
        <v>25728</v>
      </c>
      <c r="AB68">
        <v>64</v>
      </c>
      <c r="AC68">
        <v>2</v>
      </c>
      <c r="AD68">
        <v>8</v>
      </c>
      <c r="AE68">
        <v>921.95</v>
      </c>
      <c r="AF68" s="21">
        <v>12.316000000000001</v>
      </c>
      <c r="AG68" s="26">
        <v>45473</v>
      </c>
      <c r="AH68" s="27">
        <v>0.27781250000000002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s="77"/>
      <c r="AW68">
        <v>28800</v>
      </c>
      <c r="AX68">
        <v>192</v>
      </c>
      <c r="AY68">
        <v>2</v>
      </c>
      <c r="AZ68">
        <v>8</v>
      </c>
      <c r="BA68">
        <v>1262.8499999999999</v>
      </c>
      <c r="BB68" s="63">
        <v>12.612</v>
      </c>
    </row>
    <row r="69" spans="1:54" x14ac:dyDescent="0.25">
      <c r="A69" s="42">
        <v>0</v>
      </c>
      <c r="B69" s="42" t="s">
        <v>7</v>
      </c>
      <c r="C69" s="43">
        <v>27264</v>
      </c>
      <c r="D69" s="43">
        <v>64</v>
      </c>
      <c r="E69" s="43">
        <v>2</v>
      </c>
      <c r="F69" s="43">
        <v>8</v>
      </c>
      <c r="G69" s="43">
        <v>1062.83</v>
      </c>
      <c r="H69" s="50">
        <v>12.712999999999999</v>
      </c>
      <c r="I69" s="23">
        <v>45459</v>
      </c>
      <c r="J69" s="24">
        <v>0.23428240740740741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76">
        <f t="shared" ref="W69" si="26">AVERAGE(H69:H73)</f>
        <v>12.737599999999999</v>
      </c>
      <c r="Y69">
        <v>0</v>
      </c>
      <c r="Z69" t="s">
        <v>7</v>
      </c>
      <c r="AA69">
        <v>27264</v>
      </c>
      <c r="AB69">
        <v>64</v>
      </c>
      <c r="AC69">
        <v>2</v>
      </c>
      <c r="AD69">
        <v>8</v>
      </c>
      <c r="AE69">
        <v>1068.05</v>
      </c>
      <c r="AF69" s="21">
        <v>12.651</v>
      </c>
      <c r="AG69" s="26">
        <v>45469</v>
      </c>
      <c r="AH69" s="27">
        <v>3.8240740740740742E-2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s="77">
        <f t="shared" ref="AU69" si="27">AVERAGE(AF69:AF73)</f>
        <v>12.638400000000001</v>
      </c>
      <c r="AW69">
        <v>28800</v>
      </c>
      <c r="AX69">
        <v>192</v>
      </c>
      <c r="AY69">
        <v>4</v>
      </c>
      <c r="AZ69">
        <v>4</v>
      </c>
      <c r="BA69">
        <v>1484.56</v>
      </c>
      <c r="BB69" s="63">
        <v>10.728</v>
      </c>
    </row>
    <row r="70" spans="1:54" x14ac:dyDescent="0.25">
      <c r="A70" s="44">
        <v>1</v>
      </c>
      <c r="B70" s="44" t="s">
        <v>7</v>
      </c>
      <c r="C70" s="45">
        <v>27264</v>
      </c>
      <c r="D70" s="45">
        <v>64</v>
      </c>
      <c r="E70" s="45">
        <v>2</v>
      </c>
      <c r="F70" s="45">
        <v>8</v>
      </c>
      <c r="G70" s="45">
        <v>1065.29</v>
      </c>
      <c r="H70" s="51">
        <v>12.683999999999999</v>
      </c>
      <c r="I70" s="17">
        <v>45460</v>
      </c>
      <c r="J70" s="18">
        <v>0.2534837962962963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76"/>
      <c r="Y70">
        <v>1</v>
      </c>
      <c r="Z70" t="s">
        <v>7</v>
      </c>
      <c r="AA70">
        <v>27264</v>
      </c>
      <c r="AB70">
        <v>64</v>
      </c>
      <c r="AC70">
        <v>2</v>
      </c>
      <c r="AD70">
        <v>8</v>
      </c>
      <c r="AE70">
        <v>1064.03</v>
      </c>
      <c r="AF70" s="21">
        <v>12.699</v>
      </c>
      <c r="AG70" s="26">
        <v>45470</v>
      </c>
      <c r="AH70" s="27">
        <v>8.8831018518518517E-2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s="77"/>
      <c r="AW70">
        <v>28672</v>
      </c>
      <c r="AX70">
        <v>224</v>
      </c>
      <c r="AY70">
        <v>1</v>
      </c>
      <c r="AZ70">
        <v>16</v>
      </c>
      <c r="BA70">
        <v>1648.69</v>
      </c>
      <c r="BB70" s="63">
        <v>9.5319000000000003</v>
      </c>
    </row>
    <row r="71" spans="1:54" x14ac:dyDescent="0.25">
      <c r="A71" s="44">
        <v>2</v>
      </c>
      <c r="B71" s="44" t="s">
        <v>7</v>
      </c>
      <c r="C71" s="46">
        <v>27264</v>
      </c>
      <c r="D71" s="46">
        <v>64</v>
      </c>
      <c r="E71" s="46">
        <v>2</v>
      </c>
      <c r="F71" s="46">
        <v>8</v>
      </c>
      <c r="G71" s="47">
        <v>1061</v>
      </c>
      <c r="H71" s="51">
        <v>12.734999999999999</v>
      </c>
      <c r="I71" s="17">
        <v>45461</v>
      </c>
      <c r="J71" s="18">
        <v>0.27342592592592591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s="76"/>
      <c r="Y71">
        <v>2</v>
      </c>
      <c r="Z71" t="s">
        <v>7</v>
      </c>
      <c r="AA71">
        <v>27264</v>
      </c>
      <c r="AB71">
        <v>64</v>
      </c>
      <c r="AC71">
        <v>2</v>
      </c>
      <c r="AD71">
        <v>8</v>
      </c>
      <c r="AE71">
        <v>1065.9100000000001</v>
      </c>
      <c r="AF71" s="21">
        <v>12.676</v>
      </c>
      <c r="AG71" s="26">
        <v>45471</v>
      </c>
      <c r="AH71" s="27">
        <v>0.48172453703703705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s="77"/>
      <c r="AW71">
        <v>28672</v>
      </c>
      <c r="AX71">
        <v>224</v>
      </c>
      <c r="AY71">
        <v>2</v>
      </c>
      <c r="AZ71">
        <v>8</v>
      </c>
      <c r="BA71">
        <v>1388.07</v>
      </c>
      <c r="BB71" s="63">
        <v>11.321999999999999</v>
      </c>
    </row>
    <row r="72" spans="1:54" x14ac:dyDescent="0.25">
      <c r="A72" s="44">
        <v>3</v>
      </c>
      <c r="B72" s="44" t="s">
        <v>7</v>
      </c>
      <c r="C72" s="46">
        <v>27264</v>
      </c>
      <c r="D72" s="46">
        <v>64</v>
      </c>
      <c r="E72" s="46">
        <v>2</v>
      </c>
      <c r="F72" s="46">
        <v>8</v>
      </c>
      <c r="G72" s="47">
        <v>1058.4000000000001</v>
      </c>
      <c r="H72" s="51">
        <v>12.766</v>
      </c>
      <c r="I72" s="17">
        <v>45462</v>
      </c>
      <c r="J72" s="18">
        <v>0.60390046296296296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76"/>
      <c r="Y72">
        <v>3</v>
      </c>
      <c r="Z72" t="s">
        <v>7</v>
      </c>
      <c r="AA72">
        <v>27264</v>
      </c>
      <c r="AB72">
        <v>64</v>
      </c>
      <c r="AC72">
        <v>2</v>
      </c>
      <c r="AD72">
        <v>8</v>
      </c>
      <c r="AE72">
        <v>1071.6600000000001</v>
      </c>
      <c r="AF72" s="21">
        <v>12.608000000000001</v>
      </c>
      <c r="AG72" s="26">
        <v>45472</v>
      </c>
      <c r="AH72" s="27">
        <v>0.53568287037037032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s="77"/>
      <c r="AW72">
        <v>28672</v>
      </c>
      <c r="AX72">
        <v>224</v>
      </c>
      <c r="AY72">
        <v>4</v>
      </c>
      <c r="AZ72">
        <v>4</v>
      </c>
      <c r="BA72">
        <v>1601.52</v>
      </c>
      <c r="BB72" s="63">
        <v>9.8125999999999998</v>
      </c>
    </row>
    <row r="73" spans="1:54" x14ac:dyDescent="0.25">
      <c r="A73" s="44">
        <v>4</v>
      </c>
      <c r="B73" s="44" t="s">
        <v>7</v>
      </c>
      <c r="C73" s="46">
        <v>27264</v>
      </c>
      <c r="D73" s="46">
        <v>64</v>
      </c>
      <c r="E73" s="46">
        <v>2</v>
      </c>
      <c r="F73" s="46">
        <v>8</v>
      </c>
      <c r="G73" s="47">
        <v>1056.4000000000001</v>
      </c>
      <c r="H73" s="51">
        <v>12.79</v>
      </c>
      <c r="I73" s="17">
        <v>45465</v>
      </c>
      <c r="J73" s="18">
        <v>0.68004629629629632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76"/>
      <c r="Y73">
        <v>4</v>
      </c>
      <c r="Z73" t="s">
        <v>7</v>
      </c>
      <c r="AA73">
        <v>27264</v>
      </c>
      <c r="AB73">
        <v>64</v>
      </c>
      <c r="AC73">
        <v>2</v>
      </c>
      <c r="AD73">
        <v>8</v>
      </c>
      <c r="AE73">
        <v>1075.92</v>
      </c>
      <c r="AF73" s="21">
        <v>12.558</v>
      </c>
      <c r="AG73" s="26">
        <v>45473</v>
      </c>
      <c r="AH73" s="27">
        <v>0.59045138888888893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s="77"/>
      <c r="AW73">
        <v>28672</v>
      </c>
      <c r="AX73">
        <v>256</v>
      </c>
      <c r="AY73">
        <v>1</v>
      </c>
      <c r="AZ73">
        <v>16</v>
      </c>
      <c r="BA73">
        <v>7022.41</v>
      </c>
      <c r="BB73" s="63">
        <v>2.2378</v>
      </c>
    </row>
    <row r="74" spans="1:54" x14ac:dyDescent="0.25">
      <c r="A74" s="42">
        <v>0</v>
      </c>
      <c r="B74" s="42" t="s">
        <v>7</v>
      </c>
      <c r="C74" s="43">
        <v>28800</v>
      </c>
      <c r="D74" s="43">
        <v>64</v>
      </c>
      <c r="E74" s="43">
        <v>2</v>
      </c>
      <c r="F74" s="43">
        <v>8</v>
      </c>
      <c r="G74" s="43">
        <v>1216.94</v>
      </c>
      <c r="H74" s="50">
        <v>13.087</v>
      </c>
      <c r="I74" s="23">
        <v>45459</v>
      </c>
      <c r="J74" s="24">
        <v>0.58434027777777775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76">
        <f t="shared" ref="W74" si="28">AVERAGE(H74:H78)</f>
        <v>13.126200000000001</v>
      </c>
      <c r="Y74">
        <v>0</v>
      </c>
      <c r="Z74" t="s">
        <v>7</v>
      </c>
      <c r="AA74">
        <v>28800</v>
      </c>
      <c r="AB74">
        <v>64</v>
      </c>
      <c r="AC74">
        <v>2</v>
      </c>
      <c r="AD74">
        <v>8</v>
      </c>
      <c r="AE74">
        <v>1228.06</v>
      </c>
      <c r="AF74" s="21">
        <v>12.968999999999999</v>
      </c>
      <c r="AG74" s="26">
        <v>45469</v>
      </c>
      <c r="AH74" s="27">
        <v>0.39819444444444446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s="77">
        <f t="shared" ref="AU74" si="29">AVERAGE(AF74:AF78)</f>
        <v>13.024000000000001</v>
      </c>
      <c r="AW74">
        <v>28672</v>
      </c>
      <c r="AX74">
        <v>256</v>
      </c>
      <c r="AY74">
        <v>2</v>
      </c>
      <c r="AZ74">
        <v>8</v>
      </c>
      <c r="BA74">
        <v>1312.68</v>
      </c>
      <c r="BB74" s="63">
        <v>11.972</v>
      </c>
    </row>
    <row r="75" spans="1:54" x14ac:dyDescent="0.25">
      <c r="A75" s="44">
        <v>1</v>
      </c>
      <c r="B75" s="44" t="s">
        <v>7</v>
      </c>
      <c r="C75" s="45">
        <v>28800</v>
      </c>
      <c r="D75" s="45">
        <v>64</v>
      </c>
      <c r="E75" s="45">
        <v>2</v>
      </c>
      <c r="F75" s="45">
        <v>8</v>
      </c>
      <c r="G75" s="45">
        <v>1210.96</v>
      </c>
      <c r="H75" s="51">
        <v>13.151999999999999</v>
      </c>
      <c r="I75" s="17">
        <v>45460</v>
      </c>
      <c r="J75" s="18">
        <v>0.60258101851851853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s="76"/>
      <c r="Y75">
        <v>1</v>
      </c>
      <c r="Z75" t="s">
        <v>7</v>
      </c>
      <c r="AA75">
        <v>28800</v>
      </c>
      <c r="AB75">
        <v>64</v>
      </c>
      <c r="AC75">
        <v>2</v>
      </c>
      <c r="AD75">
        <v>8</v>
      </c>
      <c r="AE75">
        <v>1213.27</v>
      </c>
      <c r="AF75" s="21">
        <v>13.127000000000001</v>
      </c>
      <c r="AG75" s="26">
        <v>45470</v>
      </c>
      <c r="AH75" s="27">
        <v>0.44769675925925928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s="77"/>
      <c r="AW75">
        <v>28672</v>
      </c>
      <c r="AX75">
        <v>256</v>
      </c>
      <c r="AY75">
        <v>4</v>
      </c>
      <c r="AZ75">
        <v>4</v>
      </c>
      <c r="BA75">
        <v>1561.15</v>
      </c>
      <c r="BB75" s="63">
        <v>10.066000000000001</v>
      </c>
    </row>
    <row r="76" spans="1:54" x14ac:dyDescent="0.25">
      <c r="A76" s="44">
        <v>2</v>
      </c>
      <c r="B76" s="44" t="s">
        <v>7</v>
      </c>
      <c r="C76" s="46">
        <v>28800</v>
      </c>
      <c r="D76" s="46">
        <v>64</v>
      </c>
      <c r="E76" s="46">
        <v>2</v>
      </c>
      <c r="F76" s="46">
        <v>8</v>
      </c>
      <c r="G76" s="47">
        <v>1212.3599999999999</v>
      </c>
      <c r="H76" s="51">
        <v>13.137</v>
      </c>
      <c r="I76" s="17">
        <v>45461</v>
      </c>
      <c r="J76" s="18">
        <v>0.93542824074074071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s="76"/>
      <c r="Y76">
        <v>2</v>
      </c>
      <c r="Z76" t="s">
        <v>7</v>
      </c>
      <c r="AA76">
        <v>28800</v>
      </c>
      <c r="AB76">
        <v>64</v>
      </c>
      <c r="AC76">
        <v>2</v>
      </c>
      <c r="AD76">
        <v>8</v>
      </c>
      <c r="AE76">
        <v>1218.8</v>
      </c>
      <c r="AF76" s="21">
        <v>13.067</v>
      </c>
      <c r="AG76" s="26">
        <v>45471</v>
      </c>
      <c r="AH76" s="27">
        <v>0.84206018518518522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s="77"/>
    </row>
    <row r="77" spans="1:54" x14ac:dyDescent="0.25">
      <c r="A77" s="44">
        <v>3</v>
      </c>
      <c r="B77" s="44" t="s">
        <v>7</v>
      </c>
      <c r="C77" s="46">
        <v>28800</v>
      </c>
      <c r="D77" s="46">
        <v>64</v>
      </c>
      <c r="E77" s="46">
        <v>2</v>
      </c>
      <c r="F77" s="46">
        <v>8</v>
      </c>
      <c r="G77" s="47">
        <v>1221.1199999999999</v>
      </c>
      <c r="H77" s="51">
        <v>13.042</v>
      </c>
      <c r="I77" s="17">
        <v>45465</v>
      </c>
      <c r="J77" s="18">
        <v>1.1979166666666667E-2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s="76"/>
      <c r="Y77">
        <v>3</v>
      </c>
      <c r="Z77" t="s">
        <v>7</v>
      </c>
      <c r="AA77">
        <v>28800</v>
      </c>
      <c r="AB77">
        <v>64</v>
      </c>
      <c r="AC77">
        <v>2</v>
      </c>
      <c r="AD77">
        <v>8</v>
      </c>
      <c r="AE77">
        <v>1224.6600000000001</v>
      </c>
      <c r="AF77" s="21">
        <v>13.005000000000001</v>
      </c>
      <c r="AG77" s="26">
        <v>45472</v>
      </c>
      <c r="AH77" s="27">
        <v>0.8966898148148148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s="77"/>
    </row>
    <row r="78" spans="1:54" x14ac:dyDescent="0.25">
      <c r="A78" s="44">
        <v>4</v>
      </c>
      <c r="B78" s="44" t="s">
        <v>7</v>
      </c>
      <c r="C78" s="46">
        <v>28800</v>
      </c>
      <c r="D78" s="46">
        <v>64</v>
      </c>
      <c r="E78" s="46">
        <v>2</v>
      </c>
      <c r="F78" s="46">
        <v>8</v>
      </c>
      <c r="G78" s="47">
        <v>1205.3900000000001</v>
      </c>
      <c r="H78" s="51">
        <v>13.212999999999999</v>
      </c>
      <c r="I78" s="17">
        <v>45466</v>
      </c>
      <c r="J78" s="18">
        <v>2.9340277777777778E-2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s="76"/>
      <c r="Y78">
        <v>4</v>
      </c>
      <c r="Z78" t="s">
        <v>7</v>
      </c>
      <c r="AA78">
        <v>28800</v>
      </c>
      <c r="AB78">
        <v>64</v>
      </c>
      <c r="AC78">
        <v>2</v>
      </c>
      <c r="AD78">
        <v>8</v>
      </c>
      <c r="AE78">
        <v>1229.6099999999999</v>
      </c>
      <c r="AF78" s="21">
        <v>12.952</v>
      </c>
      <c r="AG78" s="26">
        <v>45473</v>
      </c>
      <c r="AH78" s="27">
        <v>0.95049768518518518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s="77"/>
    </row>
    <row r="79" spans="1:54" x14ac:dyDescent="0.25">
      <c r="A79" s="42">
        <v>0</v>
      </c>
      <c r="B79" s="42" t="s">
        <v>7</v>
      </c>
      <c r="C79" s="43">
        <v>25728</v>
      </c>
      <c r="D79" s="43">
        <v>64</v>
      </c>
      <c r="E79" s="43">
        <v>4</v>
      </c>
      <c r="F79" s="43">
        <v>4</v>
      </c>
      <c r="G79" s="43">
        <v>1081.42</v>
      </c>
      <c r="H79" s="50">
        <v>10.5</v>
      </c>
      <c r="I79" s="23">
        <v>45458</v>
      </c>
      <c r="J79" s="24">
        <v>0.94614583333333335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76">
        <f t="shared" ref="W79" si="30">AVERAGE(H79:H83)</f>
        <v>10.5442</v>
      </c>
      <c r="Y79">
        <v>0</v>
      </c>
      <c r="Z79" t="s">
        <v>7</v>
      </c>
      <c r="AA79">
        <v>25728</v>
      </c>
      <c r="AB79">
        <v>64</v>
      </c>
      <c r="AC79">
        <v>4</v>
      </c>
      <c r="AD79">
        <v>4</v>
      </c>
      <c r="AE79">
        <v>1101.53</v>
      </c>
      <c r="AF79" s="21">
        <v>10.308</v>
      </c>
      <c r="AG79" s="26">
        <v>45468</v>
      </c>
      <c r="AH79" s="27">
        <v>0.73966435185185186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s="77">
        <f t="shared" ref="AU79" si="31">AVERAGE(AF79:AF83)</f>
        <v>10.258199999999999</v>
      </c>
    </row>
    <row r="80" spans="1:54" x14ac:dyDescent="0.25">
      <c r="A80" s="44">
        <v>1</v>
      </c>
      <c r="B80" s="44" t="s">
        <v>7</v>
      </c>
      <c r="C80" s="45">
        <v>25728</v>
      </c>
      <c r="D80" s="45">
        <v>64</v>
      </c>
      <c r="E80" s="45">
        <v>4</v>
      </c>
      <c r="F80" s="45">
        <v>4</v>
      </c>
      <c r="G80" s="45">
        <v>1074.69</v>
      </c>
      <c r="H80" s="51">
        <v>10.565</v>
      </c>
      <c r="I80" s="17">
        <v>45459</v>
      </c>
      <c r="J80" s="18">
        <v>0.96614583333333337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76"/>
      <c r="Y80">
        <v>1</v>
      </c>
      <c r="Z80" t="s">
        <v>7</v>
      </c>
      <c r="AA80">
        <v>25728</v>
      </c>
      <c r="AB80">
        <v>64</v>
      </c>
      <c r="AC80">
        <v>4</v>
      </c>
      <c r="AD80">
        <v>4</v>
      </c>
      <c r="AE80">
        <v>1104.8</v>
      </c>
      <c r="AF80" s="21">
        <v>10.276999999999999</v>
      </c>
      <c r="AG80" s="26">
        <v>45469</v>
      </c>
      <c r="AH80" s="27">
        <v>0.79116898148148151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s="77"/>
    </row>
    <row r="81" spans="1:47" x14ac:dyDescent="0.25">
      <c r="A81" s="44">
        <v>2</v>
      </c>
      <c r="B81" s="44" t="s">
        <v>7</v>
      </c>
      <c r="C81" s="46">
        <v>25728</v>
      </c>
      <c r="D81" s="46">
        <v>64</v>
      </c>
      <c r="E81" s="46">
        <v>4</v>
      </c>
      <c r="F81" s="46">
        <v>4</v>
      </c>
      <c r="G81" s="47">
        <v>1076.81</v>
      </c>
      <c r="H81" s="51">
        <v>10.544</v>
      </c>
      <c r="I81" s="17">
        <v>45460</v>
      </c>
      <c r="J81" s="18">
        <v>0.98587962962962961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s="76"/>
      <c r="Y81">
        <v>2</v>
      </c>
      <c r="Z81" t="s">
        <v>7</v>
      </c>
      <c r="AA81">
        <v>25728</v>
      </c>
      <c r="AB81">
        <v>64</v>
      </c>
      <c r="AC81">
        <v>4</v>
      </c>
      <c r="AD81">
        <v>4</v>
      </c>
      <c r="AE81">
        <v>1110.3499999999999</v>
      </c>
      <c r="AF81" s="21">
        <v>10.226000000000001</v>
      </c>
      <c r="AG81" s="26">
        <v>45471</v>
      </c>
      <c r="AH81" s="27">
        <v>0.18221064814814814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77"/>
    </row>
    <row r="82" spans="1:47" x14ac:dyDescent="0.25">
      <c r="A82" s="44">
        <v>3</v>
      </c>
      <c r="B82" s="44" t="s">
        <v>7</v>
      </c>
      <c r="C82" s="46">
        <v>25728</v>
      </c>
      <c r="D82" s="46">
        <v>64</v>
      </c>
      <c r="E82" s="46">
        <v>4</v>
      </c>
      <c r="F82" s="46">
        <v>4</v>
      </c>
      <c r="G82" s="47">
        <v>1073.8800000000001</v>
      </c>
      <c r="H82" s="51">
        <v>10.573</v>
      </c>
      <c r="I82" s="17">
        <v>45462</v>
      </c>
      <c r="J82" s="18">
        <v>0.3162847222222222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76"/>
      <c r="Y82">
        <v>3</v>
      </c>
      <c r="Z82" t="s">
        <v>7</v>
      </c>
      <c r="AA82">
        <v>25728</v>
      </c>
      <c r="AB82">
        <v>64</v>
      </c>
      <c r="AC82">
        <v>4</v>
      </c>
      <c r="AD82">
        <v>4</v>
      </c>
      <c r="AE82">
        <v>1107.26</v>
      </c>
      <c r="AF82" s="21">
        <v>10.254</v>
      </c>
      <c r="AG82" s="26">
        <v>45472</v>
      </c>
      <c r="AH82" s="27">
        <v>0.23675925925925925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s="77"/>
    </row>
    <row r="83" spans="1:47" x14ac:dyDescent="0.25">
      <c r="A83" s="44">
        <v>4</v>
      </c>
      <c r="B83" s="44" t="s">
        <v>7</v>
      </c>
      <c r="C83" s="46">
        <v>25728</v>
      </c>
      <c r="D83" s="46">
        <v>64</v>
      </c>
      <c r="E83" s="46">
        <v>4</v>
      </c>
      <c r="F83" s="46">
        <v>4</v>
      </c>
      <c r="G83" s="47">
        <v>1077.3399999999999</v>
      </c>
      <c r="H83" s="51">
        <v>10.539</v>
      </c>
      <c r="I83" s="17">
        <v>45465</v>
      </c>
      <c r="J83" s="18">
        <v>0.39265046296296297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s="76"/>
      <c r="Y83">
        <v>4</v>
      </c>
      <c r="Z83" t="s">
        <v>7</v>
      </c>
      <c r="AA83">
        <v>25728</v>
      </c>
      <c r="AB83">
        <v>64</v>
      </c>
      <c r="AC83">
        <v>4</v>
      </c>
      <c r="AD83">
        <v>4</v>
      </c>
      <c r="AE83">
        <v>1110.3399999999999</v>
      </c>
      <c r="AF83" s="21">
        <v>10.226000000000001</v>
      </c>
      <c r="AG83" s="26">
        <v>45473</v>
      </c>
      <c r="AH83" s="27">
        <v>0.29175925925925927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s="77"/>
    </row>
    <row r="84" spans="1:47" x14ac:dyDescent="0.25">
      <c r="A84" s="42">
        <v>0</v>
      </c>
      <c r="B84" s="42" t="s">
        <v>7</v>
      </c>
      <c r="C84" s="43">
        <v>27264</v>
      </c>
      <c r="D84" s="43">
        <v>64</v>
      </c>
      <c r="E84" s="43">
        <v>4</v>
      </c>
      <c r="F84" s="43">
        <v>4</v>
      </c>
      <c r="G84" s="43">
        <v>1260</v>
      </c>
      <c r="H84" s="50">
        <v>10.724</v>
      </c>
      <c r="I84" s="23">
        <v>45459</v>
      </c>
      <c r="J84" s="24">
        <v>0.24915509259259258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76">
        <f t="shared" ref="W84" si="32">AVERAGE(H84:H88)</f>
        <v>10.723800000000001</v>
      </c>
      <c r="Y84">
        <v>0</v>
      </c>
      <c r="Z84" t="s">
        <v>7</v>
      </c>
      <c r="AA84">
        <v>27264</v>
      </c>
      <c r="AB84">
        <v>64</v>
      </c>
      <c r="AC84">
        <v>4</v>
      </c>
      <c r="AD84">
        <v>4</v>
      </c>
      <c r="AE84">
        <v>1276.06</v>
      </c>
      <c r="AF84" s="21">
        <v>10.589</v>
      </c>
      <c r="AG84" s="26">
        <v>45469</v>
      </c>
      <c r="AH84" s="27">
        <v>5.4189814814814816E-2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s="77">
        <f t="shared" ref="AU84" si="33">AVERAGE(AF84:AF88)</f>
        <v>10.6408</v>
      </c>
    </row>
    <row r="85" spans="1:47" x14ac:dyDescent="0.25">
      <c r="A85" s="44">
        <v>1</v>
      </c>
      <c r="B85" s="44" t="s">
        <v>7</v>
      </c>
      <c r="C85" s="45">
        <v>27264</v>
      </c>
      <c r="D85" s="45">
        <v>64</v>
      </c>
      <c r="E85" s="45">
        <v>4</v>
      </c>
      <c r="F85" s="45">
        <v>4</v>
      </c>
      <c r="G85" s="45">
        <v>1264.6400000000001</v>
      </c>
      <c r="H85" s="51">
        <v>10.683999999999999</v>
      </c>
      <c r="I85" s="17">
        <v>45460</v>
      </c>
      <c r="J85" s="18">
        <v>0.26840277777777777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s="76"/>
      <c r="Y85">
        <v>1</v>
      </c>
      <c r="Z85" t="s">
        <v>7</v>
      </c>
      <c r="AA85">
        <v>27264</v>
      </c>
      <c r="AB85">
        <v>64</v>
      </c>
      <c r="AC85">
        <v>4</v>
      </c>
      <c r="AD85">
        <v>4</v>
      </c>
      <c r="AE85">
        <v>1264.46</v>
      </c>
      <c r="AF85" s="21">
        <v>10.686</v>
      </c>
      <c r="AG85" s="26">
        <v>45470</v>
      </c>
      <c r="AH85" s="27">
        <v>0.10466435185185186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s="77"/>
    </row>
    <row r="86" spans="1:47" x14ac:dyDescent="0.25">
      <c r="A86" s="44">
        <v>2</v>
      </c>
      <c r="B86" s="44" t="s">
        <v>7</v>
      </c>
      <c r="C86" s="46">
        <v>27264</v>
      </c>
      <c r="D86" s="46">
        <v>64</v>
      </c>
      <c r="E86" s="46">
        <v>4</v>
      </c>
      <c r="F86" s="46">
        <v>4</v>
      </c>
      <c r="G86" s="47">
        <v>1262</v>
      </c>
      <c r="H86" s="51">
        <v>10.707000000000001</v>
      </c>
      <c r="I86" s="17">
        <v>45461</v>
      </c>
      <c r="J86" s="18">
        <v>0.28832175925925924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s="76"/>
      <c r="Y86">
        <v>2</v>
      </c>
      <c r="Z86" t="s">
        <v>7</v>
      </c>
      <c r="AA86">
        <v>27264</v>
      </c>
      <c r="AB86">
        <v>64</v>
      </c>
      <c r="AC86">
        <v>4</v>
      </c>
      <c r="AD86">
        <v>4</v>
      </c>
      <c r="AE86">
        <v>1269.3</v>
      </c>
      <c r="AF86" s="21">
        <v>10.645</v>
      </c>
      <c r="AG86" s="26">
        <v>45471</v>
      </c>
      <c r="AH86" s="27">
        <v>0.49759259259259259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s="77"/>
    </row>
    <row r="87" spans="1:47" x14ac:dyDescent="0.25">
      <c r="A87" s="44">
        <v>3</v>
      </c>
      <c r="B87" s="44" t="s">
        <v>7</v>
      </c>
      <c r="C87" s="46">
        <v>27264</v>
      </c>
      <c r="D87" s="46">
        <v>64</v>
      </c>
      <c r="E87" s="46">
        <v>4</v>
      </c>
      <c r="F87" s="46">
        <v>4</v>
      </c>
      <c r="G87" s="47">
        <v>1250.57</v>
      </c>
      <c r="H87" s="51">
        <v>10.805</v>
      </c>
      <c r="I87" s="17">
        <v>45464</v>
      </c>
      <c r="J87" s="18">
        <v>0.67688657407407404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76"/>
      <c r="Y87">
        <v>3</v>
      </c>
      <c r="Z87" t="s">
        <v>7</v>
      </c>
      <c r="AA87">
        <v>27264</v>
      </c>
      <c r="AB87">
        <v>64</v>
      </c>
      <c r="AC87">
        <v>4</v>
      </c>
      <c r="AD87">
        <v>4</v>
      </c>
      <c r="AE87">
        <v>1275.6300000000001</v>
      </c>
      <c r="AF87" s="21">
        <v>10.592000000000001</v>
      </c>
      <c r="AG87" s="26">
        <v>45472</v>
      </c>
      <c r="AH87" s="27">
        <v>0.55164351851851856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s="77"/>
    </row>
    <row r="88" spans="1:47" x14ac:dyDescent="0.25">
      <c r="A88" s="44">
        <v>4</v>
      </c>
      <c r="B88" s="44" t="s">
        <v>7</v>
      </c>
      <c r="C88" s="46">
        <v>27264</v>
      </c>
      <c r="D88" s="46">
        <v>64</v>
      </c>
      <c r="E88" s="46">
        <v>4</v>
      </c>
      <c r="F88" s="46">
        <v>4</v>
      </c>
      <c r="G88" s="47">
        <v>1262.92</v>
      </c>
      <c r="H88" s="51">
        <v>10.699</v>
      </c>
      <c r="I88" s="17">
        <v>45465</v>
      </c>
      <c r="J88" s="18">
        <v>0.69495370370370368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76"/>
      <c r="Y88">
        <v>4</v>
      </c>
      <c r="Z88" t="s">
        <v>7</v>
      </c>
      <c r="AA88">
        <v>27264</v>
      </c>
      <c r="AB88">
        <v>64</v>
      </c>
      <c r="AC88">
        <v>4</v>
      </c>
      <c r="AD88">
        <v>4</v>
      </c>
      <c r="AE88">
        <v>1263.69</v>
      </c>
      <c r="AF88" s="21">
        <v>10.692</v>
      </c>
      <c r="AG88" s="26">
        <v>45473</v>
      </c>
      <c r="AH88" s="27">
        <v>0.60627314814814814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s="77"/>
    </row>
    <row r="89" spans="1:47" x14ac:dyDescent="0.25">
      <c r="A89" s="42">
        <v>0</v>
      </c>
      <c r="B89" s="42" t="s">
        <v>7</v>
      </c>
      <c r="C89" s="43">
        <v>28800</v>
      </c>
      <c r="D89" s="43">
        <v>64</v>
      </c>
      <c r="E89" s="43">
        <v>4</v>
      </c>
      <c r="F89" s="43">
        <v>4</v>
      </c>
      <c r="G89" s="43">
        <v>1454.85</v>
      </c>
      <c r="H89" s="50">
        <v>10.946999999999999</v>
      </c>
      <c r="I89" s="23">
        <v>45459</v>
      </c>
      <c r="J89" s="24">
        <v>0.60149305555555554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76">
        <f t="shared" ref="W89" si="34">AVERAGE(H89:H93)</f>
        <v>10.943199999999999</v>
      </c>
      <c r="Y89">
        <v>0</v>
      </c>
      <c r="Z89" t="s">
        <v>7</v>
      </c>
      <c r="AA89">
        <v>28800</v>
      </c>
      <c r="AB89">
        <v>64</v>
      </c>
      <c r="AC89">
        <v>4</v>
      </c>
      <c r="AD89">
        <v>4</v>
      </c>
      <c r="AE89">
        <v>1437.57</v>
      </c>
      <c r="AF89" s="21">
        <v>11.079000000000001</v>
      </c>
      <c r="AG89" s="26">
        <v>45469</v>
      </c>
      <c r="AH89" s="27">
        <v>0.41614583333333333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s="77">
        <f t="shared" ref="AU89" si="35">AVERAGE(AF89:AF93)</f>
        <v>11.005799999999999</v>
      </c>
    </row>
    <row r="90" spans="1:47" x14ac:dyDescent="0.25">
      <c r="A90" s="44">
        <v>1</v>
      </c>
      <c r="B90" s="44" t="s">
        <v>7</v>
      </c>
      <c r="C90" s="45">
        <v>28800</v>
      </c>
      <c r="D90" s="45">
        <v>64</v>
      </c>
      <c r="E90" s="45">
        <v>4</v>
      </c>
      <c r="F90" s="45">
        <v>4</v>
      </c>
      <c r="G90" s="45">
        <v>1456.42</v>
      </c>
      <c r="H90" s="51">
        <v>10.935</v>
      </c>
      <c r="I90" s="17">
        <v>45460</v>
      </c>
      <c r="J90" s="18">
        <v>0.6197569444444444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s="76"/>
      <c r="Y90">
        <v>1</v>
      </c>
      <c r="Z90" t="s">
        <v>7</v>
      </c>
      <c r="AA90">
        <v>28800</v>
      </c>
      <c r="AB90">
        <v>64</v>
      </c>
      <c r="AC90">
        <v>4</v>
      </c>
      <c r="AD90">
        <v>4</v>
      </c>
      <c r="AE90">
        <v>1451.26</v>
      </c>
      <c r="AF90" s="21">
        <v>10.974</v>
      </c>
      <c r="AG90" s="26">
        <v>45470</v>
      </c>
      <c r="AH90" s="27">
        <v>0.46583333333333332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s="77"/>
    </row>
    <row r="91" spans="1:47" x14ac:dyDescent="0.25">
      <c r="A91" s="44">
        <v>2</v>
      </c>
      <c r="B91" s="44" t="s">
        <v>7</v>
      </c>
      <c r="C91" s="46">
        <v>28800</v>
      </c>
      <c r="D91" s="46">
        <v>64</v>
      </c>
      <c r="E91" s="46">
        <v>4</v>
      </c>
      <c r="F91" s="46">
        <v>4</v>
      </c>
      <c r="G91" s="47">
        <v>1453.64</v>
      </c>
      <c r="H91" s="51">
        <v>10.956</v>
      </c>
      <c r="I91" s="17">
        <v>45461</v>
      </c>
      <c r="J91" s="18">
        <v>0.95255787037037032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s="76"/>
      <c r="Y91">
        <v>2</v>
      </c>
      <c r="Z91" t="s">
        <v>7</v>
      </c>
      <c r="AA91">
        <v>28800</v>
      </c>
      <c r="AB91">
        <v>64</v>
      </c>
      <c r="AC91">
        <v>4</v>
      </c>
      <c r="AD91">
        <v>4</v>
      </c>
      <c r="AE91">
        <v>1443.19</v>
      </c>
      <c r="AF91" s="21">
        <v>11.036</v>
      </c>
      <c r="AG91" s="26">
        <v>45471</v>
      </c>
      <c r="AH91" s="27">
        <v>0.86008101851851848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s="77"/>
    </row>
    <row r="92" spans="1:47" x14ac:dyDescent="0.25">
      <c r="A92" s="44">
        <v>3</v>
      </c>
      <c r="B92" s="44" t="s">
        <v>7</v>
      </c>
      <c r="C92" s="46">
        <v>28800</v>
      </c>
      <c r="D92" s="46">
        <v>64</v>
      </c>
      <c r="E92" s="46">
        <v>4</v>
      </c>
      <c r="F92" s="46">
        <v>4</v>
      </c>
      <c r="G92" s="47">
        <v>1453.99</v>
      </c>
      <c r="H92" s="51">
        <v>10.954000000000001</v>
      </c>
      <c r="I92" s="17">
        <v>45465</v>
      </c>
      <c r="J92" s="18">
        <v>2.9131944444444443E-2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s="76"/>
      <c r="Y92">
        <v>3</v>
      </c>
      <c r="Z92" t="s">
        <v>7</v>
      </c>
      <c r="AA92">
        <v>28800</v>
      </c>
      <c r="AB92">
        <v>64</v>
      </c>
      <c r="AC92">
        <v>4</v>
      </c>
      <c r="AD92">
        <v>4</v>
      </c>
      <c r="AE92">
        <v>1451.16</v>
      </c>
      <c r="AF92" s="21">
        <v>10.975</v>
      </c>
      <c r="AG92" s="26">
        <v>45472</v>
      </c>
      <c r="AH92" s="27">
        <v>0.91479166666666667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s="77"/>
    </row>
    <row r="93" spans="1:47" x14ac:dyDescent="0.25">
      <c r="A93" s="44">
        <v>4</v>
      </c>
      <c r="B93" s="44" t="s">
        <v>7</v>
      </c>
      <c r="C93" s="46">
        <v>28800</v>
      </c>
      <c r="D93" s="46">
        <v>64</v>
      </c>
      <c r="E93" s="46">
        <v>4</v>
      </c>
      <c r="F93" s="46">
        <v>4</v>
      </c>
      <c r="G93" s="47">
        <v>1457.96</v>
      </c>
      <c r="H93" s="51">
        <v>10.923999999999999</v>
      </c>
      <c r="I93" s="17">
        <v>45466</v>
      </c>
      <c r="J93" s="18">
        <v>4.6527777777777779E-2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s="76"/>
      <c r="Y93">
        <v>4</v>
      </c>
      <c r="Z93" t="s">
        <v>7</v>
      </c>
      <c r="AA93">
        <v>28800</v>
      </c>
      <c r="AB93">
        <v>64</v>
      </c>
      <c r="AC93">
        <v>4</v>
      </c>
      <c r="AD93">
        <v>4</v>
      </c>
      <c r="AE93">
        <v>1452.42</v>
      </c>
      <c r="AF93" s="21">
        <v>10.965</v>
      </c>
      <c r="AG93" s="26">
        <v>45473</v>
      </c>
      <c r="AH93" s="27">
        <v>0.96862268518518524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s="77"/>
    </row>
    <row r="94" spans="1:47" x14ac:dyDescent="0.25">
      <c r="A94" s="42">
        <v>0</v>
      </c>
      <c r="B94" s="42" t="s">
        <v>7</v>
      </c>
      <c r="C94" s="43">
        <v>25728</v>
      </c>
      <c r="D94" s="43">
        <v>96</v>
      </c>
      <c r="E94" s="43">
        <v>1</v>
      </c>
      <c r="F94" s="43">
        <v>16</v>
      </c>
      <c r="G94" s="43">
        <v>1010.85</v>
      </c>
      <c r="H94" s="50">
        <v>11.231999999999999</v>
      </c>
      <c r="I94" s="23">
        <v>45458</v>
      </c>
      <c r="J94" s="24">
        <v>0.95813657407407404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76">
        <f t="shared" ref="W94" si="36">AVERAGE(H94:H98)</f>
        <v>11.2666</v>
      </c>
      <c r="Y94">
        <v>0</v>
      </c>
      <c r="Z94" t="s">
        <v>7</v>
      </c>
      <c r="AA94">
        <v>25728</v>
      </c>
      <c r="AB94">
        <v>96</v>
      </c>
      <c r="AC94">
        <v>1</v>
      </c>
      <c r="AD94">
        <v>16</v>
      </c>
      <c r="AE94">
        <v>939</v>
      </c>
      <c r="AF94" s="21">
        <v>12.092000000000001</v>
      </c>
      <c r="AG94" s="26">
        <v>45468</v>
      </c>
      <c r="AH94" s="27">
        <v>0.75160879629629629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s="77">
        <f t="shared" ref="AU94" si="37">AVERAGE(AF94:AF98)</f>
        <v>12.034200000000002</v>
      </c>
    </row>
    <row r="95" spans="1:47" x14ac:dyDescent="0.25">
      <c r="A95" s="44">
        <v>1</v>
      </c>
      <c r="B95" s="44" t="s">
        <v>7</v>
      </c>
      <c r="C95" s="45">
        <v>25728</v>
      </c>
      <c r="D95" s="45">
        <v>96</v>
      </c>
      <c r="E95" s="45">
        <v>1</v>
      </c>
      <c r="F95" s="45">
        <v>16</v>
      </c>
      <c r="G95" s="45">
        <v>1005.32</v>
      </c>
      <c r="H95" s="51">
        <v>11.294</v>
      </c>
      <c r="I95" s="17">
        <v>45459</v>
      </c>
      <c r="J95" s="18">
        <v>0.97806712962962961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s="76"/>
      <c r="Y95">
        <v>1</v>
      </c>
      <c r="Z95" t="s">
        <v>7</v>
      </c>
      <c r="AA95">
        <v>25728</v>
      </c>
      <c r="AB95">
        <v>96</v>
      </c>
      <c r="AC95">
        <v>1</v>
      </c>
      <c r="AD95">
        <v>16</v>
      </c>
      <c r="AE95">
        <v>947.23</v>
      </c>
      <c r="AF95" s="21">
        <v>11.987</v>
      </c>
      <c r="AG95" s="26">
        <v>45469</v>
      </c>
      <c r="AH95" s="27">
        <v>0.80320601851851847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s="77"/>
    </row>
    <row r="96" spans="1:47" x14ac:dyDescent="0.25">
      <c r="A96" s="44">
        <v>2</v>
      </c>
      <c r="B96" s="44" t="s">
        <v>7</v>
      </c>
      <c r="C96" s="46">
        <v>25728</v>
      </c>
      <c r="D96" s="46">
        <v>96</v>
      </c>
      <c r="E96" s="46">
        <v>1</v>
      </c>
      <c r="F96" s="46">
        <v>16</v>
      </c>
      <c r="G96" s="47">
        <v>1007.82</v>
      </c>
      <c r="H96" s="51">
        <v>11.266</v>
      </c>
      <c r="I96" s="17">
        <v>45460</v>
      </c>
      <c r="J96" s="18">
        <v>0.99783564814814818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s="76"/>
      <c r="Y96">
        <v>2</v>
      </c>
      <c r="Z96" t="s">
        <v>7</v>
      </c>
      <c r="AA96">
        <v>25728</v>
      </c>
      <c r="AB96">
        <v>96</v>
      </c>
      <c r="AC96">
        <v>1</v>
      </c>
      <c r="AD96">
        <v>16</v>
      </c>
      <c r="AE96">
        <v>943.68</v>
      </c>
      <c r="AF96" s="21">
        <v>12.032</v>
      </c>
      <c r="AG96" s="26">
        <v>45471</v>
      </c>
      <c r="AH96" s="27">
        <v>0.19421296296296298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s="77"/>
    </row>
    <row r="97" spans="1:47" x14ac:dyDescent="0.25">
      <c r="A97" s="44">
        <v>3</v>
      </c>
      <c r="B97" s="44" t="s">
        <v>7</v>
      </c>
      <c r="C97" s="46">
        <v>25728</v>
      </c>
      <c r="D97" s="46">
        <v>96</v>
      </c>
      <c r="E97" s="46">
        <v>1</v>
      </c>
      <c r="F97" s="46">
        <v>16</v>
      </c>
      <c r="G97" s="47">
        <v>1009.86</v>
      </c>
      <c r="H97" s="51">
        <v>11.244</v>
      </c>
      <c r="I97" s="17">
        <v>45462</v>
      </c>
      <c r="J97" s="18">
        <v>0.32827546296296295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s="76"/>
      <c r="Y97">
        <v>3</v>
      </c>
      <c r="Z97" t="s">
        <v>7</v>
      </c>
      <c r="AA97">
        <v>25728</v>
      </c>
      <c r="AB97">
        <v>96</v>
      </c>
      <c r="AC97">
        <v>1</v>
      </c>
      <c r="AD97">
        <v>16</v>
      </c>
      <c r="AE97">
        <v>940.61</v>
      </c>
      <c r="AF97" s="21">
        <v>12.071</v>
      </c>
      <c r="AG97" s="26">
        <v>45472</v>
      </c>
      <c r="AH97" s="27">
        <v>0.24872685185185187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s="77"/>
    </row>
    <row r="98" spans="1:47" x14ac:dyDescent="0.25">
      <c r="A98" s="44">
        <v>4</v>
      </c>
      <c r="B98" s="44" t="s">
        <v>7</v>
      </c>
      <c r="C98" s="46">
        <v>25728</v>
      </c>
      <c r="D98" s="46">
        <v>96</v>
      </c>
      <c r="E98" s="46">
        <v>1</v>
      </c>
      <c r="F98" s="46">
        <v>16</v>
      </c>
      <c r="G98" s="47">
        <v>1005.04</v>
      </c>
      <c r="H98" s="51">
        <v>11.297000000000001</v>
      </c>
      <c r="I98" s="17">
        <v>45465</v>
      </c>
      <c r="J98" s="18">
        <v>0.40457175925925926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s="76"/>
      <c r="Y98">
        <v>4</v>
      </c>
      <c r="Z98" t="s">
        <v>7</v>
      </c>
      <c r="AA98">
        <v>25728</v>
      </c>
      <c r="AB98">
        <v>96</v>
      </c>
      <c r="AC98">
        <v>1</v>
      </c>
      <c r="AD98">
        <v>16</v>
      </c>
      <c r="AE98">
        <v>947.09</v>
      </c>
      <c r="AF98" s="21">
        <v>11.989000000000001</v>
      </c>
      <c r="AG98" s="26">
        <v>45473</v>
      </c>
      <c r="AH98" s="27">
        <v>0.30380787037037038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s="77"/>
    </row>
    <row r="99" spans="1:47" x14ac:dyDescent="0.25">
      <c r="A99" s="42">
        <v>0</v>
      </c>
      <c r="B99" s="42" t="s">
        <v>7</v>
      </c>
      <c r="C99" s="43">
        <v>27264</v>
      </c>
      <c r="D99" s="43">
        <v>96</v>
      </c>
      <c r="E99" s="43">
        <v>1</v>
      </c>
      <c r="F99" s="43">
        <v>16</v>
      </c>
      <c r="G99" s="43">
        <v>1194.58</v>
      </c>
      <c r="H99" s="50">
        <v>11.311</v>
      </c>
      <c r="I99" s="23">
        <v>45459</v>
      </c>
      <c r="J99" s="24">
        <v>0.26329861111111114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76">
        <f t="shared" ref="W99" si="38">AVERAGE(H99:H103)</f>
        <v>11.370199999999999</v>
      </c>
      <c r="Y99">
        <v>0</v>
      </c>
      <c r="Z99" t="s">
        <v>7</v>
      </c>
      <c r="AA99">
        <v>27264</v>
      </c>
      <c r="AB99">
        <v>96</v>
      </c>
      <c r="AC99">
        <v>1</v>
      </c>
      <c r="AD99">
        <v>16</v>
      </c>
      <c r="AE99">
        <v>1098.6199999999999</v>
      </c>
      <c r="AF99" s="21">
        <v>12.298999999999999</v>
      </c>
      <c r="AG99" s="26">
        <v>45469</v>
      </c>
      <c r="AH99" s="27">
        <v>6.8101851851851858E-2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77">
        <f t="shared" ref="AU99" si="39">AVERAGE(AF99:AF103)</f>
        <v>12.307999999999998</v>
      </c>
    </row>
    <row r="100" spans="1:47" x14ac:dyDescent="0.25">
      <c r="A100" s="44">
        <v>1</v>
      </c>
      <c r="B100" s="44" t="s">
        <v>7</v>
      </c>
      <c r="C100" s="45">
        <v>27264</v>
      </c>
      <c r="D100" s="45">
        <v>96</v>
      </c>
      <c r="E100" s="45">
        <v>1</v>
      </c>
      <c r="F100" s="45">
        <v>16</v>
      </c>
      <c r="G100" s="45">
        <v>1186.79</v>
      </c>
      <c r="H100" s="51">
        <v>11.385</v>
      </c>
      <c r="I100" s="17">
        <v>45460</v>
      </c>
      <c r="J100" s="18">
        <v>0.28245370370370371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76"/>
      <c r="Y100">
        <v>1</v>
      </c>
      <c r="Z100" t="s">
        <v>7</v>
      </c>
      <c r="AA100">
        <v>27264</v>
      </c>
      <c r="AB100">
        <v>96</v>
      </c>
      <c r="AC100">
        <v>1</v>
      </c>
      <c r="AD100">
        <v>16</v>
      </c>
      <c r="AE100">
        <v>1092.73</v>
      </c>
      <c r="AF100" s="21">
        <v>12.365</v>
      </c>
      <c r="AG100" s="26">
        <v>45470</v>
      </c>
      <c r="AH100" s="27">
        <v>0.11850694444444444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s="77"/>
    </row>
    <row r="101" spans="1:47" x14ac:dyDescent="0.25">
      <c r="A101" s="44">
        <v>2</v>
      </c>
      <c r="B101" s="44" t="s">
        <v>7</v>
      </c>
      <c r="C101" s="46">
        <v>27264</v>
      </c>
      <c r="D101" s="46">
        <v>96</v>
      </c>
      <c r="E101" s="46">
        <v>1</v>
      </c>
      <c r="F101" s="46">
        <v>16</v>
      </c>
      <c r="G101" s="47">
        <v>1184.94</v>
      </c>
      <c r="H101" s="51">
        <v>11.403</v>
      </c>
      <c r="I101" s="17">
        <v>45461</v>
      </c>
      <c r="J101" s="18">
        <v>0.30234953703703704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76"/>
      <c r="Y101">
        <v>2</v>
      </c>
      <c r="Z101" t="s">
        <v>7</v>
      </c>
      <c r="AA101">
        <v>27264</v>
      </c>
      <c r="AB101">
        <v>96</v>
      </c>
      <c r="AC101">
        <v>1</v>
      </c>
      <c r="AD101">
        <v>16</v>
      </c>
      <c r="AE101">
        <v>1101.74</v>
      </c>
      <c r="AF101" s="21">
        <v>12.263999999999999</v>
      </c>
      <c r="AG101" s="26">
        <v>45471</v>
      </c>
      <c r="AH101" s="27">
        <v>0.51153935185185184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s="77"/>
    </row>
    <row r="102" spans="1:47" x14ac:dyDescent="0.25">
      <c r="A102" s="44">
        <v>3</v>
      </c>
      <c r="B102" s="44" t="s">
        <v>7</v>
      </c>
      <c r="C102" s="46">
        <v>27264</v>
      </c>
      <c r="D102" s="46">
        <v>96</v>
      </c>
      <c r="E102" s="46">
        <v>1</v>
      </c>
      <c r="F102" s="46">
        <v>16</v>
      </c>
      <c r="G102" s="47">
        <v>1188.97</v>
      </c>
      <c r="H102" s="51">
        <v>11.364000000000001</v>
      </c>
      <c r="I102" s="17">
        <v>45464</v>
      </c>
      <c r="J102" s="18">
        <v>0.6909953703703704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76"/>
      <c r="Y102">
        <v>3</v>
      </c>
      <c r="Z102" t="s">
        <v>7</v>
      </c>
      <c r="AA102">
        <v>27264</v>
      </c>
      <c r="AB102">
        <v>96</v>
      </c>
      <c r="AC102">
        <v>1</v>
      </c>
      <c r="AD102">
        <v>16</v>
      </c>
      <c r="AE102">
        <v>1101.2</v>
      </c>
      <c r="AF102" s="21">
        <v>12.27</v>
      </c>
      <c r="AG102" s="26">
        <v>45472</v>
      </c>
      <c r="AH102" s="27">
        <v>0.56559027777777782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s="77"/>
    </row>
    <row r="103" spans="1:47" x14ac:dyDescent="0.25">
      <c r="A103" s="44">
        <v>4</v>
      </c>
      <c r="B103" s="44" t="s">
        <v>7</v>
      </c>
      <c r="C103" s="46">
        <v>27264</v>
      </c>
      <c r="D103" s="46">
        <v>96</v>
      </c>
      <c r="E103" s="46">
        <v>1</v>
      </c>
      <c r="F103" s="46">
        <v>16</v>
      </c>
      <c r="G103" s="47">
        <v>1186.47</v>
      </c>
      <c r="H103" s="51">
        <v>11.388</v>
      </c>
      <c r="I103" s="17">
        <v>45465</v>
      </c>
      <c r="J103" s="18">
        <v>0.70901620370370366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76"/>
      <c r="Y103">
        <v>4</v>
      </c>
      <c r="Z103" t="s">
        <v>7</v>
      </c>
      <c r="AA103">
        <v>27264</v>
      </c>
      <c r="AB103">
        <v>96</v>
      </c>
      <c r="AC103">
        <v>1</v>
      </c>
      <c r="AD103">
        <v>16</v>
      </c>
      <c r="AE103">
        <v>1094.79</v>
      </c>
      <c r="AF103" s="21">
        <v>12.342000000000001</v>
      </c>
      <c r="AG103" s="26">
        <v>45473</v>
      </c>
      <c r="AH103" s="27">
        <v>0.62013888888888891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s="77"/>
    </row>
    <row r="104" spans="1:47" x14ac:dyDescent="0.25">
      <c r="A104" s="42">
        <v>0</v>
      </c>
      <c r="B104" s="42" t="s">
        <v>7</v>
      </c>
      <c r="C104" s="43">
        <v>28800</v>
      </c>
      <c r="D104" s="43">
        <v>96</v>
      </c>
      <c r="E104" s="43">
        <v>1</v>
      </c>
      <c r="F104" s="43">
        <v>16</v>
      </c>
      <c r="G104" s="43">
        <v>1355.86</v>
      </c>
      <c r="H104" s="50">
        <v>11.746</v>
      </c>
      <c r="I104" s="23">
        <v>45459</v>
      </c>
      <c r="J104" s="24">
        <v>0.61763888888888885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76">
        <f t="shared" ref="W104" si="40">AVERAGE(H104:H108)</f>
        <v>11.7898</v>
      </c>
      <c r="Y104">
        <v>0</v>
      </c>
      <c r="Z104" t="s">
        <v>7</v>
      </c>
      <c r="AA104">
        <v>28800</v>
      </c>
      <c r="AB104">
        <v>96</v>
      </c>
      <c r="AC104">
        <v>1</v>
      </c>
      <c r="AD104">
        <v>16</v>
      </c>
      <c r="AE104">
        <v>1253</v>
      </c>
      <c r="AF104" s="21">
        <v>12.711</v>
      </c>
      <c r="AG104" s="26">
        <v>45469</v>
      </c>
      <c r="AH104" s="27">
        <v>0.43206018518518519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s="77">
        <f t="shared" ref="AU104" si="41">AVERAGE(AF104:AF108)</f>
        <v>12.665400000000002</v>
      </c>
    </row>
    <row r="105" spans="1:47" x14ac:dyDescent="0.25">
      <c r="A105" s="44">
        <v>1</v>
      </c>
      <c r="B105" s="44" t="s">
        <v>7</v>
      </c>
      <c r="C105" s="45">
        <v>28800</v>
      </c>
      <c r="D105" s="45">
        <v>96</v>
      </c>
      <c r="E105" s="45">
        <v>1</v>
      </c>
      <c r="F105" s="45">
        <v>16</v>
      </c>
      <c r="G105" s="45">
        <v>1350.75</v>
      </c>
      <c r="H105" s="51">
        <v>11.791</v>
      </c>
      <c r="I105" s="17">
        <v>45460</v>
      </c>
      <c r="J105" s="18">
        <v>0.63587962962962963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76"/>
      <c r="Y105">
        <v>1</v>
      </c>
      <c r="Z105" t="s">
        <v>7</v>
      </c>
      <c r="AA105">
        <v>28800</v>
      </c>
      <c r="AB105">
        <v>96</v>
      </c>
      <c r="AC105">
        <v>1</v>
      </c>
      <c r="AD105">
        <v>16</v>
      </c>
      <c r="AE105">
        <v>1248.3599999999999</v>
      </c>
      <c r="AF105" s="21">
        <v>12.757999999999999</v>
      </c>
      <c r="AG105" s="26">
        <v>45470</v>
      </c>
      <c r="AH105" s="27">
        <v>0.48165509259259259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s="77"/>
    </row>
    <row r="106" spans="1:47" x14ac:dyDescent="0.25">
      <c r="A106" s="44">
        <v>2</v>
      </c>
      <c r="B106" s="44" t="s">
        <v>7</v>
      </c>
      <c r="C106" s="46">
        <v>28800</v>
      </c>
      <c r="D106" s="46">
        <v>96</v>
      </c>
      <c r="E106" s="46">
        <v>1</v>
      </c>
      <c r="F106" s="46">
        <v>16</v>
      </c>
      <c r="G106" s="47">
        <v>1351.91</v>
      </c>
      <c r="H106" s="51">
        <v>11.781000000000001</v>
      </c>
      <c r="I106" s="17">
        <v>45461</v>
      </c>
      <c r="J106" s="18">
        <v>0.96868055555555554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76"/>
      <c r="Y106">
        <v>2</v>
      </c>
      <c r="Z106" t="s">
        <v>7</v>
      </c>
      <c r="AA106">
        <v>28800</v>
      </c>
      <c r="AB106">
        <v>96</v>
      </c>
      <c r="AC106">
        <v>1</v>
      </c>
      <c r="AD106">
        <v>16</v>
      </c>
      <c r="AE106">
        <v>1254.8599999999999</v>
      </c>
      <c r="AF106" s="21">
        <v>12.692</v>
      </c>
      <c r="AG106" s="26">
        <v>45471</v>
      </c>
      <c r="AH106" s="27">
        <v>0.87594907407407407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s="77"/>
    </row>
    <row r="107" spans="1:47" x14ac:dyDescent="0.25">
      <c r="A107" s="44">
        <v>3</v>
      </c>
      <c r="B107" s="44" t="s">
        <v>7</v>
      </c>
      <c r="C107" s="46">
        <v>28800</v>
      </c>
      <c r="D107" s="46">
        <v>96</v>
      </c>
      <c r="E107" s="46">
        <v>1</v>
      </c>
      <c r="F107" s="46">
        <v>16</v>
      </c>
      <c r="G107" s="47">
        <v>1349.39</v>
      </c>
      <c r="H107" s="51">
        <v>11.803000000000001</v>
      </c>
      <c r="I107" s="17">
        <v>45465</v>
      </c>
      <c r="J107" s="18">
        <v>4.5208333333333336E-2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76"/>
      <c r="Y107">
        <v>3</v>
      </c>
      <c r="Z107" t="s">
        <v>7</v>
      </c>
      <c r="AA107">
        <v>28800</v>
      </c>
      <c r="AB107">
        <v>96</v>
      </c>
      <c r="AC107">
        <v>1</v>
      </c>
      <c r="AD107">
        <v>16</v>
      </c>
      <c r="AE107">
        <v>1265.94</v>
      </c>
      <c r="AF107" s="21">
        <v>12.581</v>
      </c>
      <c r="AG107" s="26">
        <v>45472</v>
      </c>
      <c r="AH107" s="27">
        <v>0.93079861111111106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s="77"/>
    </row>
    <row r="108" spans="1:47" x14ac:dyDescent="0.25">
      <c r="A108" s="44">
        <v>4</v>
      </c>
      <c r="B108" s="44" t="s">
        <v>7</v>
      </c>
      <c r="C108" s="46">
        <v>28800</v>
      </c>
      <c r="D108" s="46">
        <v>96</v>
      </c>
      <c r="E108" s="46">
        <v>1</v>
      </c>
      <c r="F108" s="46">
        <v>16</v>
      </c>
      <c r="G108" s="47">
        <v>1346.52</v>
      </c>
      <c r="H108" s="51">
        <v>11.827999999999999</v>
      </c>
      <c r="I108" s="17">
        <v>45466</v>
      </c>
      <c r="J108" s="18">
        <v>6.2592592592592589E-2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76"/>
      <c r="Y108">
        <v>4</v>
      </c>
      <c r="Z108" t="s">
        <v>7</v>
      </c>
      <c r="AA108">
        <v>28800</v>
      </c>
      <c r="AB108">
        <v>96</v>
      </c>
      <c r="AC108">
        <v>1</v>
      </c>
      <c r="AD108">
        <v>16</v>
      </c>
      <c r="AE108">
        <v>1265.56</v>
      </c>
      <c r="AF108" s="21">
        <v>12.585000000000001</v>
      </c>
      <c r="AG108" s="26">
        <v>45473</v>
      </c>
      <c r="AH108" s="27">
        <v>0.98461805555555559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s="77"/>
    </row>
    <row r="109" spans="1:47" x14ac:dyDescent="0.25">
      <c r="A109" s="42">
        <v>0</v>
      </c>
      <c r="B109" s="42" t="s">
        <v>7</v>
      </c>
      <c r="C109" s="43">
        <v>25728</v>
      </c>
      <c r="D109" s="43">
        <v>96</v>
      </c>
      <c r="E109" s="43">
        <v>2</v>
      </c>
      <c r="F109" s="43">
        <v>8</v>
      </c>
      <c r="G109" s="43">
        <v>874.65</v>
      </c>
      <c r="H109" s="50">
        <v>12.981999999999999</v>
      </c>
      <c r="I109" s="23">
        <v>45458</v>
      </c>
      <c r="J109" s="24">
        <v>0.96854166666666663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76">
        <f t="shared" ref="W109" si="42">AVERAGE(H109:H113)</f>
        <v>13.0114</v>
      </c>
      <c r="Y109">
        <v>0</v>
      </c>
      <c r="Z109" t="s">
        <v>7</v>
      </c>
      <c r="AA109">
        <v>25728</v>
      </c>
      <c r="AB109">
        <v>96</v>
      </c>
      <c r="AC109">
        <v>2</v>
      </c>
      <c r="AD109">
        <v>8</v>
      </c>
      <c r="AE109">
        <v>921.2</v>
      </c>
      <c r="AF109" s="21">
        <v>12.326000000000001</v>
      </c>
      <c r="AG109" s="26">
        <v>45468</v>
      </c>
      <c r="AH109" s="27">
        <v>0.76334490740740746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s="77">
        <f t="shared" ref="AU109" si="43">AVERAGE(AF109:AF113)</f>
        <v>12.3668</v>
      </c>
    </row>
    <row r="110" spans="1:47" x14ac:dyDescent="0.25">
      <c r="A110" s="44">
        <v>1</v>
      </c>
      <c r="B110" s="44" t="s">
        <v>7</v>
      </c>
      <c r="C110" s="45">
        <v>25728</v>
      </c>
      <c r="D110" s="45">
        <v>96</v>
      </c>
      <c r="E110" s="45">
        <v>2</v>
      </c>
      <c r="F110" s="45">
        <v>8</v>
      </c>
      <c r="G110" s="45">
        <v>874.23</v>
      </c>
      <c r="H110" s="51">
        <v>12.988</v>
      </c>
      <c r="I110" s="17">
        <v>45459</v>
      </c>
      <c r="J110" s="18">
        <v>0.9884722222222222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76"/>
      <c r="Y110">
        <v>1</v>
      </c>
      <c r="Z110" t="s">
        <v>7</v>
      </c>
      <c r="AA110">
        <v>25728</v>
      </c>
      <c r="AB110">
        <v>96</v>
      </c>
      <c r="AC110">
        <v>2</v>
      </c>
      <c r="AD110">
        <v>8</v>
      </c>
      <c r="AE110">
        <v>912.3</v>
      </c>
      <c r="AF110" s="21">
        <v>12.446</v>
      </c>
      <c r="AG110" s="26">
        <v>45469</v>
      </c>
      <c r="AH110" s="27">
        <v>0.81487268518518519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 s="77"/>
    </row>
    <row r="111" spans="1:47" x14ac:dyDescent="0.25">
      <c r="A111" s="44">
        <v>2</v>
      </c>
      <c r="B111" s="44" t="s">
        <v>7</v>
      </c>
      <c r="C111" s="46">
        <v>25728</v>
      </c>
      <c r="D111" s="46">
        <v>96</v>
      </c>
      <c r="E111" s="46">
        <v>2</v>
      </c>
      <c r="F111" s="46">
        <v>8</v>
      </c>
      <c r="G111" s="47">
        <v>874.72</v>
      </c>
      <c r="H111" s="51">
        <v>12.981</v>
      </c>
      <c r="I111" s="17">
        <v>45461</v>
      </c>
      <c r="J111" s="18">
        <v>8.2407407407407412E-3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76"/>
      <c r="Y111">
        <v>2</v>
      </c>
      <c r="Z111" t="s">
        <v>7</v>
      </c>
      <c r="AA111">
        <v>25728</v>
      </c>
      <c r="AB111">
        <v>96</v>
      </c>
      <c r="AC111">
        <v>2</v>
      </c>
      <c r="AD111">
        <v>8</v>
      </c>
      <c r="AE111">
        <v>920.61</v>
      </c>
      <c r="AF111" s="21">
        <v>12.334</v>
      </c>
      <c r="AG111" s="26">
        <v>45471</v>
      </c>
      <c r="AH111" s="27">
        <v>0.2059375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s="77"/>
    </row>
    <row r="112" spans="1:47" x14ac:dyDescent="0.25">
      <c r="A112" s="44">
        <v>3</v>
      </c>
      <c r="B112" s="44" t="s">
        <v>7</v>
      </c>
      <c r="C112" s="46">
        <v>25728</v>
      </c>
      <c r="D112" s="46">
        <v>96</v>
      </c>
      <c r="E112" s="46">
        <v>2</v>
      </c>
      <c r="F112" s="46">
        <v>8</v>
      </c>
      <c r="G112" s="47">
        <v>867.91</v>
      </c>
      <c r="H112" s="51">
        <v>13.082000000000001</v>
      </c>
      <c r="I112" s="17">
        <v>45462</v>
      </c>
      <c r="J112" s="18">
        <v>0.33861111111111108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76"/>
      <c r="Y112">
        <v>3</v>
      </c>
      <c r="Z112" t="s">
        <v>7</v>
      </c>
      <c r="AA112">
        <v>25728</v>
      </c>
      <c r="AB112">
        <v>96</v>
      </c>
      <c r="AC112">
        <v>2</v>
      </c>
      <c r="AD112">
        <v>8</v>
      </c>
      <c r="AE112">
        <v>918.03</v>
      </c>
      <c r="AF112" s="21">
        <v>12.368</v>
      </c>
      <c r="AG112" s="26">
        <v>45472</v>
      </c>
      <c r="AH112" s="27">
        <v>0.26041666666666669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s="77"/>
    </row>
    <row r="113" spans="1:47" x14ac:dyDescent="0.25">
      <c r="A113" s="44">
        <v>4</v>
      </c>
      <c r="B113" s="44" t="s">
        <v>7</v>
      </c>
      <c r="C113" s="46">
        <v>25728</v>
      </c>
      <c r="D113" s="46">
        <v>96</v>
      </c>
      <c r="E113" s="46">
        <v>2</v>
      </c>
      <c r="F113" s="46">
        <v>8</v>
      </c>
      <c r="G113" s="47">
        <v>871.81</v>
      </c>
      <c r="H113" s="51">
        <v>13.023999999999999</v>
      </c>
      <c r="I113" s="17">
        <v>45465</v>
      </c>
      <c r="J113" s="18">
        <v>0.41494212962962962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76"/>
      <c r="Y113">
        <v>4</v>
      </c>
      <c r="Z113" t="s">
        <v>7</v>
      </c>
      <c r="AA113">
        <v>25728</v>
      </c>
      <c r="AB113">
        <v>96</v>
      </c>
      <c r="AC113">
        <v>2</v>
      </c>
      <c r="AD113">
        <v>8</v>
      </c>
      <c r="AE113">
        <v>918.64</v>
      </c>
      <c r="AF113" s="21">
        <v>12.36</v>
      </c>
      <c r="AG113" s="26">
        <v>45473</v>
      </c>
      <c r="AH113" s="27">
        <v>0.31552083333333331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s="77"/>
    </row>
    <row r="114" spans="1:47" x14ac:dyDescent="0.25">
      <c r="A114" s="42">
        <v>0</v>
      </c>
      <c r="B114" s="42" t="s">
        <v>7</v>
      </c>
      <c r="C114" s="43">
        <v>27264</v>
      </c>
      <c r="D114" s="43">
        <v>96</v>
      </c>
      <c r="E114" s="43">
        <v>2</v>
      </c>
      <c r="F114" s="43">
        <v>8</v>
      </c>
      <c r="G114" s="43">
        <v>1030.22</v>
      </c>
      <c r="H114" s="50">
        <v>13.115</v>
      </c>
      <c r="I114" s="23">
        <v>45459</v>
      </c>
      <c r="J114" s="24">
        <v>0.27554398148148146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76">
        <f t="shared" ref="W114" si="44">AVERAGE(H114:H118)</f>
        <v>13.113400000000002</v>
      </c>
      <c r="Y114">
        <v>0</v>
      </c>
      <c r="Z114" t="s">
        <v>7</v>
      </c>
      <c r="AA114">
        <v>27264</v>
      </c>
      <c r="AB114">
        <v>96</v>
      </c>
      <c r="AC114">
        <v>2</v>
      </c>
      <c r="AD114">
        <v>8</v>
      </c>
      <c r="AE114">
        <v>1061.51</v>
      </c>
      <c r="AF114" s="21">
        <v>12.728999999999999</v>
      </c>
      <c r="AG114" s="26">
        <v>45469</v>
      </c>
      <c r="AH114" s="27">
        <v>8.1574074074074077E-2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s="77">
        <f t="shared" ref="AU114" si="45">AVERAGE(AF114:AF118)</f>
        <v>12.732800000000001</v>
      </c>
    </row>
    <row r="115" spans="1:47" x14ac:dyDescent="0.25">
      <c r="A115" s="44">
        <v>1</v>
      </c>
      <c r="B115" s="44" t="s">
        <v>7</v>
      </c>
      <c r="C115" s="45">
        <v>27264</v>
      </c>
      <c r="D115" s="45">
        <v>96</v>
      </c>
      <c r="E115" s="45">
        <v>2</v>
      </c>
      <c r="F115" s="45">
        <v>8</v>
      </c>
      <c r="G115" s="45">
        <v>1029.49</v>
      </c>
      <c r="H115" s="51">
        <v>13.125</v>
      </c>
      <c r="I115" s="17">
        <v>45460</v>
      </c>
      <c r="J115" s="18">
        <v>0.29467592592592595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76"/>
      <c r="Y115">
        <v>1</v>
      </c>
      <c r="Z115" t="s">
        <v>7</v>
      </c>
      <c r="AA115">
        <v>27264</v>
      </c>
      <c r="AB115">
        <v>96</v>
      </c>
      <c r="AC115">
        <v>2</v>
      </c>
      <c r="AD115">
        <v>8</v>
      </c>
      <c r="AE115">
        <v>1057.26</v>
      </c>
      <c r="AF115" s="21">
        <v>12.78</v>
      </c>
      <c r="AG115" s="26">
        <v>45470</v>
      </c>
      <c r="AH115" s="27">
        <v>0.13194444444444445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s="77"/>
    </row>
    <row r="116" spans="1:47" x14ac:dyDescent="0.25">
      <c r="A116" s="44">
        <v>2</v>
      </c>
      <c r="B116" s="44" t="s">
        <v>7</v>
      </c>
      <c r="C116" s="46">
        <v>27264</v>
      </c>
      <c r="D116" s="46">
        <v>96</v>
      </c>
      <c r="E116" s="46">
        <v>2</v>
      </c>
      <c r="F116" s="46">
        <v>8</v>
      </c>
      <c r="G116" s="47">
        <v>1031.3800000000001</v>
      </c>
      <c r="H116" s="51">
        <v>13.101000000000001</v>
      </c>
      <c r="I116" s="17">
        <v>45461</v>
      </c>
      <c r="J116" s="18">
        <v>0.31459490740740742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s="76"/>
      <c r="Y116">
        <v>2</v>
      </c>
      <c r="Z116" t="s">
        <v>7</v>
      </c>
      <c r="AA116">
        <v>27264</v>
      </c>
      <c r="AB116">
        <v>96</v>
      </c>
      <c r="AC116">
        <v>2</v>
      </c>
      <c r="AD116">
        <v>8</v>
      </c>
      <c r="AE116">
        <v>1062.3800000000001</v>
      </c>
      <c r="AF116" s="21">
        <v>12.718</v>
      </c>
      <c r="AG116" s="26">
        <v>45471</v>
      </c>
      <c r="AH116" s="27">
        <v>0.5250231481481481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s="77"/>
    </row>
    <row r="117" spans="1:47" x14ac:dyDescent="0.25">
      <c r="A117" s="44">
        <v>3</v>
      </c>
      <c r="B117" s="44" t="s">
        <v>7</v>
      </c>
      <c r="C117" s="46">
        <v>27264</v>
      </c>
      <c r="D117" s="46">
        <v>96</v>
      </c>
      <c r="E117" s="46">
        <v>2</v>
      </c>
      <c r="F117" s="46">
        <v>8</v>
      </c>
      <c r="G117" s="47">
        <v>1029.07</v>
      </c>
      <c r="H117" s="51">
        <v>13.13</v>
      </c>
      <c r="I117" s="17">
        <v>45464</v>
      </c>
      <c r="J117" s="18">
        <v>0.70321759259259264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s="76"/>
      <c r="Y117">
        <v>3</v>
      </c>
      <c r="Z117" t="s">
        <v>7</v>
      </c>
      <c r="AA117">
        <v>27264</v>
      </c>
      <c r="AB117">
        <v>96</v>
      </c>
      <c r="AC117">
        <v>2</v>
      </c>
      <c r="AD117">
        <v>8</v>
      </c>
      <c r="AE117">
        <v>1064.9100000000001</v>
      </c>
      <c r="AF117" s="21">
        <v>12.688000000000001</v>
      </c>
      <c r="AG117" s="26">
        <v>45472</v>
      </c>
      <c r="AH117" s="27">
        <v>0.57909722222222226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s="77"/>
    </row>
    <row r="118" spans="1:47" x14ac:dyDescent="0.25">
      <c r="A118" s="44">
        <v>4</v>
      </c>
      <c r="B118" s="44" t="s">
        <v>7</v>
      </c>
      <c r="C118" s="46">
        <v>27264</v>
      </c>
      <c r="D118" s="46">
        <v>96</v>
      </c>
      <c r="E118" s="46">
        <v>2</v>
      </c>
      <c r="F118" s="46">
        <v>8</v>
      </c>
      <c r="G118" s="47">
        <v>1031.76</v>
      </c>
      <c r="H118" s="51">
        <v>13.096</v>
      </c>
      <c r="I118" s="17">
        <v>45465</v>
      </c>
      <c r="J118" s="18">
        <v>0.7212615740740741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s="76"/>
      <c r="Y118">
        <v>4</v>
      </c>
      <c r="Z118" t="s">
        <v>7</v>
      </c>
      <c r="AA118">
        <v>27264</v>
      </c>
      <c r="AB118">
        <v>96</v>
      </c>
      <c r="AC118">
        <v>2</v>
      </c>
      <c r="AD118">
        <v>8</v>
      </c>
      <c r="AE118">
        <v>1059.8599999999999</v>
      </c>
      <c r="AF118" s="21">
        <v>12.749000000000001</v>
      </c>
      <c r="AG118" s="26">
        <v>45473</v>
      </c>
      <c r="AH118" s="27">
        <v>0.63364583333333335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s="77"/>
    </row>
    <row r="119" spans="1:47" x14ac:dyDescent="0.25">
      <c r="A119" s="42">
        <v>0</v>
      </c>
      <c r="B119" s="42" t="s">
        <v>7</v>
      </c>
      <c r="C119" s="43">
        <v>28800</v>
      </c>
      <c r="D119" s="43">
        <v>96</v>
      </c>
      <c r="E119" s="43">
        <v>2</v>
      </c>
      <c r="F119" s="43">
        <v>8</v>
      </c>
      <c r="G119" s="43">
        <v>1181.78</v>
      </c>
      <c r="H119" s="50">
        <v>13.477</v>
      </c>
      <c r="I119" s="23">
        <v>45459</v>
      </c>
      <c r="J119" s="24">
        <v>0.63167824074074075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76">
        <f t="shared" ref="W119" si="46">AVERAGE(H119:H123)</f>
        <v>13.460800000000001</v>
      </c>
      <c r="Y119">
        <v>0</v>
      </c>
      <c r="Z119" t="s">
        <v>7</v>
      </c>
      <c r="AA119">
        <v>28800</v>
      </c>
      <c r="AB119">
        <v>96</v>
      </c>
      <c r="AC119">
        <v>2</v>
      </c>
      <c r="AD119">
        <v>8</v>
      </c>
      <c r="AE119">
        <v>1215.6300000000001</v>
      </c>
      <c r="AF119" s="21">
        <v>13.101000000000001</v>
      </c>
      <c r="AG119" s="26">
        <v>45469</v>
      </c>
      <c r="AH119" s="27">
        <v>0.44745370370370369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s="77">
        <f t="shared" ref="AU119" si="47">AVERAGE(AF119:AF123)</f>
        <v>13.100800000000001</v>
      </c>
    </row>
    <row r="120" spans="1:47" x14ac:dyDescent="0.25">
      <c r="A120" s="44">
        <v>1</v>
      </c>
      <c r="B120" s="44" t="s">
        <v>7</v>
      </c>
      <c r="C120" s="45">
        <v>28800</v>
      </c>
      <c r="D120" s="45">
        <v>96</v>
      </c>
      <c r="E120" s="45">
        <v>2</v>
      </c>
      <c r="F120" s="45">
        <v>8</v>
      </c>
      <c r="G120" s="45">
        <v>1185.03</v>
      </c>
      <c r="H120" s="51">
        <v>13.44</v>
      </c>
      <c r="I120" s="17">
        <v>45460</v>
      </c>
      <c r="J120" s="18">
        <v>0.64994212962962961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s="76"/>
      <c r="Y120">
        <v>1</v>
      </c>
      <c r="Z120" t="s">
        <v>7</v>
      </c>
      <c r="AA120">
        <v>28800</v>
      </c>
      <c r="AB120">
        <v>96</v>
      </c>
      <c r="AC120">
        <v>2</v>
      </c>
      <c r="AD120">
        <v>8</v>
      </c>
      <c r="AE120">
        <v>1206.55</v>
      </c>
      <c r="AF120" s="21">
        <v>13.2</v>
      </c>
      <c r="AG120" s="26">
        <v>45470</v>
      </c>
      <c r="AH120" s="27">
        <v>0.49694444444444447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s="77"/>
    </row>
    <row r="121" spans="1:47" x14ac:dyDescent="0.25">
      <c r="A121" s="44">
        <v>2</v>
      </c>
      <c r="B121" s="44" t="s">
        <v>7</v>
      </c>
      <c r="C121" s="46">
        <v>28800</v>
      </c>
      <c r="D121" s="46">
        <v>96</v>
      </c>
      <c r="E121" s="46">
        <v>2</v>
      </c>
      <c r="F121" s="46">
        <v>8</v>
      </c>
      <c r="G121" s="47">
        <v>1178.98</v>
      </c>
      <c r="H121" s="51">
        <v>13.509</v>
      </c>
      <c r="I121" s="17">
        <v>45461</v>
      </c>
      <c r="J121" s="18">
        <v>0.98267361111111107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76"/>
      <c r="Y121">
        <v>2</v>
      </c>
      <c r="Z121" t="s">
        <v>7</v>
      </c>
      <c r="AA121">
        <v>28800</v>
      </c>
      <c r="AB121">
        <v>96</v>
      </c>
      <c r="AC121">
        <v>2</v>
      </c>
      <c r="AD121">
        <v>8</v>
      </c>
      <c r="AE121">
        <v>1211.3</v>
      </c>
      <c r="AF121" s="21">
        <v>13.148</v>
      </c>
      <c r="AG121" s="26">
        <v>45471</v>
      </c>
      <c r="AH121" s="27">
        <v>0.89128472222222221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s="77"/>
    </row>
    <row r="122" spans="1:47" x14ac:dyDescent="0.25">
      <c r="A122" s="44">
        <v>3</v>
      </c>
      <c r="B122" s="44" t="s">
        <v>7</v>
      </c>
      <c r="C122" s="46">
        <v>28800</v>
      </c>
      <c r="D122" s="46">
        <v>96</v>
      </c>
      <c r="E122" s="46">
        <v>2</v>
      </c>
      <c r="F122" s="46">
        <v>8</v>
      </c>
      <c r="G122" s="47">
        <v>1189.1400000000001</v>
      </c>
      <c r="H122" s="51">
        <v>13.393000000000001</v>
      </c>
      <c r="I122" s="17">
        <v>45465</v>
      </c>
      <c r="J122" s="18">
        <v>5.9328703703703703E-2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76"/>
      <c r="Y122">
        <v>3</v>
      </c>
      <c r="Z122" t="s">
        <v>7</v>
      </c>
      <c r="AA122">
        <v>28800</v>
      </c>
      <c r="AB122">
        <v>96</v>
      </c>
      <c r="AC122">
        <v>2</v>
      </c>
      <c r="AD122">
        <v>8</v>
      </c>
      <c r="AE122">
        <v>1220.33</v>
      </c>
      <c r="AF122" s="21">
        <v>13.051</v>
      </c>
      <c r="AG122" s="26">
        <v>45472</v>
      </c>
      <c r="AH122" s="27">
        <v>0.94626157407407407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s="77"/>
    </row>
    <row r="123" spans="1:47" x14ac:dyDescent="0.25">
      <c r="A123" s="44">
        <v>4</v>
      </c>
      <c r="B123" s="44" t="s">
        <v>7</v>
      </c>
      <c r="C123" s="46">
        <v>28800</v>
      </c>
      <c r="D123" s="46">
        <v>96</v>
      </c>
      <c r="E123" s="46">
        <v>2</v>
      </c>
      <c r="F123" s="46">
        <v>8</v>
      </c>
      <c r="G123" s="47">
        <v>1181.07</v>
      </c>
      <c r="H123" s="51">
        <v>13.484999999999999</v>
      </c>
      <c r="I123" s="17">
        <v>45466</v>
      </c>
      <c r="J123" s="18">
        <v>7.6597222222222219E-2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s="76"/>
      <c r="Y123">
        <v>4</v>
      </c>
      <c r="Z123" t="s">
        <v>7</v>
      </c>
      <c r="AA123">
        <v>28800</v>
      </c>
      <c r="AB123">
        <v>96</v>
      </c>
      <c r="AC123">
        <v>2</v>
      </c>
      <c r="AD123">
        <v>8</v>
      </c>
      <c r="AE123">
        <v>1224.75</v>
      </c>
      <c r="AF123" s="21">
        <v>13.004</v>
      </c>
      <c r="AG123" s="26">
        <v>45474</v>
      </c>
      <c r="AH123" s="27">
        <v>1.3888888888888889E-4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s="77"/>
    </row>
    <row r="124" spans="1:47" x14ac:dyDescent="0.25">
      <c r="A124" s="42">
        <v>0</v>
      </c>
      <c r="B124" s="42" t="s">
        <v>7</v>
      </c>
      <c r="C124" s="43">
        <v>25728</v>
      </c>
      <c r="D124" s="43">
        <v>96</v>
      </c>
      <c r="E124" s="43">
        <v>4</v>
      </c>
      <c r="F124" s="43">
        <v>4</v>
      </c>
      <c r="G124" s="43">
        <v>1059.98</v>
      </c>
      <c r="H124" s="50">
        <v>10.712</v>
      </c>
      <c r="I124" s="23">
        <v>45458</v>
      </c>
      <c r="J124" s="24">
        <v>0.98107638888888893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76">
        <f t="shared" ref="W124" si="48">AVERAGE(H124:H128)</f>
        <v>10.763400000000001</v>
      </c>
      <c r="Y124">
        <v>0</v>
      </c>
      <c r="Z124" t="s">
        <v>7</v>
      </c>
      <c r="AA124">
        <v>25728</v>
      </c>
      <c r="AB124">
        <v>96</v>
      </c>
      <c r="AC124">
        <v>4</v>
      </c>
      <c r="AD124">
        <v>4</v>
      </c>
      <c r="AE124">
        <v>1085.44</v>
      </c>
      <c r="AF124" s="21">
        <v>10.461</v>
      </c>
      <c r="AG124" s="26">
        <v>45468</v>
      </c>
      <c r="AH124" s="27">
        <v>0.77696759259259263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s="77">
        <f t="shared" ref="AU124" si="49">AVERAGE(AF124:AF128)</f>
        <v>10.392199999999999</v>
      </c>
    </row>
    <row r="125" spans="1:47" x14ac:dyDescent="0.25">
      <c r="A125" s="44">
        <v>1</v>
      </c>
      <c r="B125" s="44" t="s">
        <v>7</v>
      </c>
      <c r="C125" s="45">
        <v>25728</v>
      </c>
      <c r="D125" s="45">
        <v>96</v>
      </c>
      <c r="E125" s="45">
        <v>4</v>
      </c>
      <c r="F125" s="45">
        <v>4</v>
      </c>
      <c r="G125" s="45">
        <v>1054.57</v>
      </c>
      <c r="H125" s="51">
        <v>10.766999999999999</v>
      </c>
      <c r="I125" s="17">
        <v>45460</v>
      </c>
      <c r="J125" s="18">
        <v>9.3749999999999997E-4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76"/>
      <c r="Y125">
        <v>1</v>
      </c>
      <c r="Z125" t="s">
        <v>7</v>
      </c>
      <c r="AA125">
        <v>25728</v>
      </c>
      <c r="AB125">
        <v>96</v>
      </c>
      <c r="AC125">
        <v>4</v>
      </c>
      <c r="AD125">
        <v>4</v>
      </c>
      <c r="AE125">
        <v>1085.1199999999999</v>
      </c>
      <c r="AF125" s="21">
        <v>10.464</v>
      </c>
      <c r="AG125" s="26">
        <v>45469</v>
      </c>
      <c r="AH125" s="27">
        <v>0.82853009259259258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s="77"/>
    </row>
    <row r="126" spans="1:47" x14ac:dyDescent="0.25">
      <c r="A126" s="44">
        <v>2</v>
      </c>
      <c r="B126" s="44" t="s">
        <v>7</v>
      </c>
      <c r="C126" s="46">
        <v>25728</v>
      </c>
      <c r="D126" s="46">
        <v>96</v>
      </c>
      <c r="E126" s="46">
        <v>4</v>
      </c>
      <c r="F126" s="46">
        <v>4</v>
      </c>
      <c r="G126" s="47">
        <v>1051.1600000000001</v>
      </c>
      <c r="H126" s="51">
        <v>10.802</v>
      </c>
      <c r="I126" s="17">
        <v>45461</v>
      </c>
      <c r="J126" s="18">
        <v>2.0671296296296295E-2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76"/>
      <c r="Y126">
        <v>2</v>
      </c>
      <c r="Z126" t="s">
        <v>7</v>
      </c>
      <c r="AA126">
        <v>25728</v>
      </c>
      <c r="AB126">
        <v>96</v>
      </c>
      <c r="AC126">
        <v>4</v>
      </c>
      <c r="AD126">
        <v>4</v>
      </c>
      <c r="AE126">
        <v>1099.05</v>
      </c>
      <c r="AF126" s="21">
        <v>10.331</v>
      </c>
      <c r="AG126" s="26">
        <v>45471</v>
      </c>
      <c r="AH126" s="27">
        <v>0.21971064814814814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s="77"/>
    </row>
    <row r="127" spans="1:47" x14ac:dyDescent="0.25">
      <c r="A127" s="44">
        <v>3</v>
      </c>
      <c r="B127" s="44" t="s">
        <v>7</v>
      </c>
      <c r="C127" s="46">
        <v>25728</v>
      </c>
      <c r="D127" s="46">
        <v>96</v>
      </c>
      <c r="E127" s="46">
        <v>4</v>
      </c>
      <c r="F127" s="46">
        <v>4</v>
      </c>
      <c r="G127" s="47">
        <v>1051.6400000000001</v>
      </c>
      <c r="H127" s="51">
        <v>10.797000000000001</v>
      </c>
      <c r="I127" s="17">
        <v>45462</v>
      </c>
      <c r="J127" s="18">
        <v>0.35105324074074074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76"/>
      <c r="Y127">
        <v>3</v>
      </c>
      <c r="Z127" t="s">
        <v>7</v>
      </c>
      <c r="AA127">
        <v>25728</v>
      </c>
      <c r="AB127">
        <v>96</v>
      </c>
      <c r="AC127">
        <v>4</v>
      </c>
      <c r="AD127">
        <v>4</v>
      </c>
      <c r="AE127">
        <v>1101.2</v>
      </c>
      <c r="AF127" s="21">
        <v>10.311</v>
      </c>
      <c r="AG127" s="26">
        <v>45472</v>
      </c>
      <c r="AH127" s="27">
        <v>0.27421296296296294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s="77"/>
    </row>
    <row r="128" spans="1:47" x14ac:dyDescent="0.25">
      <c r="A128" s="44">
        <v>4</v>
      </c>
      <c r="B128" s="44" t="s">
        <v>7</v>
      </c>
      <c r="C128" s="46">
        <v>25728</v>
      </c>
      <c r="D128" s="46">
        <v>96</v>
      </c>
      <c r="E128" s="46">
        <v>4</v>
      </c>
      <c r="F128" s="46">
        <v>4</v>
      </c>
      <c r="G128" s="47">
        <v>1057.26</v>
      </c>
      <c r="H128" s="51">
        <v>10.739000000000001</v>
      </c>
      <c r="I128" s="17">
        <v>45465</v>
      </c>
      <c r="J128" s="18">
        <v>0.42745370370370372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76"/>
      <c r="Y128">
        <v>4</v>
      </c>
      <c r="Z128" t="s">
        <v>7</v>
      </c>
      <c r="AA128">
        <v>25728</v>
      </c>
      <c r="AB128">
        <v>96</v>
      </c>
      <c r="AC128">
        <v>4</v>
      </c>
      <c r="AD128">
        <v>4</v>
      </c>
      <c r="AE128">
        <v>1092.4100000000001</v>
      </c>
      <c r="AF128" s="21">
        <v>10.394</v>
      </c>
      <c r="AG128" s="26">
        <v>45473</v>
      </c>
      <c r="AH128" s="27">
        <v>0.32922453703703702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s="77"/>
    </row>
    <row r="129" spans="1:47" x14ac:dyDescent="0.25">
      <c r="A129" s="42">
        <v>0</v>
      </c>
      <c r="B129" s="42" t="s">
        <v>7</v>
      </c>
      <c r="C129" s="43">
        <v>27264</v>
      </c>
      <c r="D129" s="43">
        <v>96</v>
      </c>
      <c r="E129" s="43">
        <v>4</v>
      </c>
      <c r="F129" s="43">
        <v>4</v>
      </c>
      <c r="G129" s="43">
        <v>1234.3699999999999</v>
      </c>
      <c r="H129" s="50">
        <v>10.946</v>
      </c>
      <c r="I129" s="23">
        <v>45459</v>
      </c>
      <c r="J129" s="24">
        <v>0.29011574074074076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76">
        <f t="shared" ref="W129" si="50">AVERAGE(H129:H133)</f>
        <v>11.008799999999999</v>
      </c>
      <c r="Y129">
        <v>0</v>
      </c>
      <c r="Z129" t="s">
        <v>7</v>
      </c>
      <c r="AA129">
        <v>27264</v>
      </c>
      <c r="AB129">
        <v>96</v>
      </c>
      <c r="AC129">
        <v>4</v>
      </c>
      <c r="AD129">
        <v>4</v>
      </c>
      <c r="AE129">
        <v>1252.48</v>
      </c>
      <c r="AF129" s="21">
        <v>10.788</v>
      </c>
      <c r="AG129" s="26">
        <v>45469</v>
      </c>
      <c r="AH129" s="27">
        <v>9.723379629629629E-2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s="77">
        <f t="shared" ref="AU129" si="51">AVERAGE(AF129:AF133)</f>
        <v>10.7628</v>
      </c>
    </row>
    <row r="130" spans="1:47" x14ac:dyDescent="0.25">
      <c r="A130" s="44">
        <v>1</v>
      </c>
      <c r="B130" s="44" t="s">
        <v>7</v>
      </c>
      <c r="C130" s="45">
        <v>27264</v>
      </c>
      <c r="D130" s="45">
        <v>96</v>
      </c>
      <c r="E130" s="45">
        <v>4</v>
      </c>
      <c r="F130" s="45">
        <v>4</v>
      </c>
      <c r="G130" s="45">
        <v>1227.5899999999999</v>
      </c>
      <c r="H130" s="51">
        <v>11.007</v>
      </c>
      <c r="I130" s="17">
        <v>45460</v>
      </c>
      <c r="J130" s="18">
        <v>0.30917824074074074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s="76"/>
      <c r="Y130">
        <v>1</v>
      </c>
      <c r="Z130" t="s">
        <v>7</v>
      </c>
      <c r="AA130">
        <v>27264</v>
      </c>
      <c r="AB130">
        <v>96</v>
      </c>
      <c r="AC130">
        <v>4</v>
      </c>
      <c r="AD130">
        <v>4</v>
      </c>
      <c r="AE130">
        <v>1249.4100000000001</v>
      </c>
      <c r="AF130" s="21">
        <v>10.815</v>
      </c>
      <c r="AG130" s="26">
        <v>45470</v>
      </c>
      <c r="AH130" s="27">
        <v>0.14759259259259258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s="77"/>
    </row>
    <row r="131" spans="1:47" x14ac:dyDescent="0.25">
      <c r="A131" s="44">
        <v>2</v>
      </c>
      <c r="B131" s="44" t="s">
        <v>7</v>
      </c>
      <c r="C131" s="46">
        <v>27264</v>
      </c>
      <c r="D131" s="46">
        <v>96</v>
      </c>
      <c r="E131" s="46">
        <v>4</v>
      </c>
      <c r="F131" s="46">
        <v>4</v>
      </c>
      <c r="G131" s="47">
        <v>1223.1500000000001</v>
      </c>
      <c r="H131" s="51">
        <v>11.047000000000001</v>
      </c>
      <c r="I131" s="17">
        <v>45461</v>
      </c>
      <c r="J131" s="18">
        <v>0.32903935185185185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76"/>
      <c r="Y131">
        <v>2</v>
      </c>
      <c r="Z131" t="s">
        <v>7</v>
      </c>
      <c r="AA131">
        <v>27264</v>
      </c>
      <c r="AB131">
        <v>96</v>
      </c>
      <c r="AC131">
        <v>4</v>
      </c>
      <c r="AD131">
        <v>4</v>
      </c>
      <c r="AE131">
        <v>1261.1099999999999</v>
      </c>
      <c r="AF131" s="21">
        <v>10.714</v>
      </c>
      <c r="AG131" s="26">
        <v>45471</v>
      </c>
      <c r="AH131" s="27">
        <v>0.54079861111111116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s="77"/>
    </row>
    <row r="132" spans="1:47" x14ac:dyDescent="0.25">
      <c r="A132" s="44">
        <v>3</v>
      </c>
      <c r="B132" s="44" t="s">
        <v>7</v>
      </c>
      <c r="C132" s="46">
        <v>27264</v>
      </c>
      <c r="D132" s="46">
        <v>96</v>
      </c>
      <c r="E132" s="46">
        <v>4</v>
      </c>
      <c r="F132" s="46">
        <v>4</v>
      </c>
      <c r="G132" s="47">
        <v>1226.01</v>
      </c>
      <c r="H132" s="51">
        <v>11.021000000000001</v>
      </c>
      <c r="I132" s="17">
        <v>45464</v>
      </c>
      <c r="J132" s="18">
        <v>0.71770833333333328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76"/>
      <c r="Y132">
        <v>3</v>
      </c>
      <c r="Z132" t="s">
        <v>7</v>
      </c>
      <c r="AA132">
        <v>27264</v>
      </c>
      <c r="AB132">
        <v>96</v>
      </c>
      <c r="AC132">
        <v>4</v>
      </c>
      <c r="AD132">
        <v>4</v>
      </c>
      <c r="AE132">
        <v>1260.07</v>
      </c>
      <c r="AF132" s="21">
        <v>10.723000000000001</v>
      </c>
      <c r="AG132" s="26">
        <v>45472</v>
      </c>
      <c r="AH132" s="27">
        <v>0.59484953703703702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s="77"/>
    </row>
    <row r="133" spans="1:47" x14ac:dyDescent="0.25">
      <c r="A133" s="44">
        <v>4</v>
      </c>
      <c r="B133" s="44" t="s">
        <v>7</v>
      </c>
      <c r="C133" s="46">
        <v>27264</v>
      </c>
      <c r="D133" s="46">
        <v>96</v>
      </c>
      <c r="E133" s="46">
        <v>4</v>
      </c>
      <c r="F133" s="46">
        <v>4</v>
      </c>
      <c r="G133" s="47">
        <v>1225.83</v>
      </c>
      <c r="H133" s="51">
        <v>11.023</v>
      </c>
      <c r="I133" s="17">
        <v>45465</v>
      </c>
      <c r="J133" s="18">
        <v>0.7357407407407407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76"/>
      <c r="Y133">
        <v>4</v>
      </c>
      <c r="Z133" t="s">
        <v>7</v>
      </c>
      <c r="AA133">
        <v>27264</v>
      </c>
      <c r="AB133">
        <v>96</v>
      </c>
      <c r="AC133">
        <v>4</v>
      </c>
      <c r="AD133">
        <v>4</v>
      </c>
      <c r="AE133">
        <v>1254.1600000000001</v>
      </c>
      <c r="AF133" s="21">
        <v>10.773999999999999</v>
      </c>
      <c r="AG133" s="26">
        <v>45473</v>
      </c>
      <c r="AH133" s="27">
        <v>0.64934027777777781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s="77"/>
    </row>
    <row r="134" spans="1:47" x14ac:dyDescent="0.25">
      <c r="A134" s="42">
        <v>0</v>
      </c>
      <c r="B134" s="42" t="s">
        <v>7</v>
      </c>
      <c r="C134" s="43">
        <v>28800</v>
      </c>
      <c r="D134" s="43">
        <v>96</v>
      </c>
      <c r="E134" s="43">
        <v>4</v>
      </c>
      <c r="F134" s="43">
        <v>4</v>
      </c>
      <c r="G134" s="43">
        <v>1404.76</v>
      </c>
      <c r="H134" s="50">
        <v>11.337999999999999</v>
      </c>
      <c r="I134" s="23">
        <v>45459</v>
      </c>
      <c r="J134" s="24">
        <v>0.64825231481481482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76">
        <f t="shared" ref="W134" si="52">AVERAGE(H134:H138)</f>
        <v>11.3306</v>
      </c>
      <c r="Y134">
        <v>0</v>
      </c>
      <c r="Z134" t="s">
        <v>7</v>
      </c>
      <c r="AA134">
        <v>28800</v>
      </c>
      <c r="AB134">
        <v>96</v>
      </c>
      <c r="AC134">
        <v>4</v>
      </c>
      <c r="AD134">
        <v>4</v>
      </c>
      <c r="AE134">
        <v>1427.42</v>
      </c>
      <c r="AF134" s="21">
        <v>11.157999999999999</v>
      </c>
      <c r="AG134" s="26">
        <v>45469</v>
      </c>
      <c r="AH134" s="27">
        <v>0.46527777777777779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s="77">
        <f t="shared" ref="AU134" si="53">AVERAGE(AF134:AF138)</f>
        <v>11.092599999999999</v>
      </c>
    </row>
    <row r="135" spans="1:47" x14ac:dyDescent="0.25">
      <c r="A135" s="44">
        <v>1</v>
      </c>
      <c r="B135" s="44" t="s">
        <v>7</v>
      </c>
      <c r="C135" s="45">
        <v>28800</v>
      </c>
      <c r="D135" s="45">
        <v>96</v>
      </c>
      <c r="E135" s="45">
        <v>4</v>
      </c>
      <c r="F135" s="45">
        <v>4</v>
      </c>
      <c r="G135" s="45">
        <v>1403.79</v>
      </c>
      <c r="H135" s="51">
        <v>11.345000000000001</v>
      </c>
      <c r="I135" s="17">
        <v>45460</v>
      </c>
      <c r="J135" s="18">
        <v>0.6664930555555556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76"/>
      <c r="Y135">
        <v>1</v>
      </c>
      <c r="Z135" t="s">
        <v>7</v>
      </c>
      <c r="AA135">
        <v>28800</v>
      </c>
      <c r="AB135">
        <v>96</v>
      </c>
      <c r="AC135">
        <v>4</v>
      </c>
      <c r="AD135">
        <v>4</v>
      </c>
      <c r="AE135">
        <v>1427.32</v>
      </c>
      <c r="AF135" s="21">
        <v>11.157999999999999</v>
      </c>
      <c r="AG135" s="26">
        <v>45470</v>
      </c>
      <c r="AH135" s="27">
        <v>0.51476851851851857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s="77"/>
    </row>
    <row r="136" spans="1:47" x14ac:dyDescent="0.25">
      <c r="A136" s="44">
        <v>2</v>
      </c>
      <c r="B136" s="44" t="s">
        <v>7</v>
      </c>
      <c r="C136" s="46">
        <v>28800</v>
      </c>
      <c r="D136" s="46">
        <v>96</v>
      </c>
      <c r="E136" s="46">
        <v>4</v>
      </c>
      <c r="F136" s="46">
        <v>4</v>
      </c>
      <c r="G136" s="47">
        <v>1406.89</v>
      </c>
      <c r="H136" s="51">
        <v>11.32</v>
      </c>
      <c r="I136" s="17">
        <v>45461</v>
      </c>
      <c r="J136" s="18">
        <v>0.99927083333333333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76"/>
      <c r="Y136">
        <v>2</v>
      </c>
      <c r="Z136" t="s">
        <v>7</v>
      </c>
      <c r="AA136">
        <v>28800</v>
      </c>
      <c r="AB136">
        <v>96</v>
      </c>
      <c r="AC136">
        <v>4</v>
      </c>
      <c r="AD136">
        <v>4</v>
      </c>
      <c r="AE136">
        <v>1443.14</v>
      </c>
      <c r="AF136" s="21">
        <v>11.036</v>
      </c>
      <c r="AG136" s="26">
        <v>45471</v>
      </c>
      <c r="AH136" s="27">
        <v>0.90931712962962963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s="77"/>
    </row>
    <row r="137" spans="1:47" x14ac:dyDescent="0.25">
      <c r="A137" s="44">
        <v>3</v>
      </c>
      <c r="B137" s="44" t="s">
        <v>7</v>
      </c>
      <c r="C137" s="46">
        <v>28800</v>
      </c>
      <c r="D137" s="46">
        <v>96</v>
      </c>
      <c r="E137" s="46">
        <v>4</v>
      </c>
      <c r="F137" s="46">
        <v>4</v>
      </c>
      <c r="G137" s="47">
        <v>1404.65</v>
      </c>
      <c r="H137" s="51">
        <v>11.337999999999999</v>
      </c>
      <c r="I137" s="17">
        <v>45465</v>
      </c>
      <c r="J137" s="18">
        <v>7.5902777777777777E-2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76"/>
      <c r="Y137">
        <v>3</v>
      </c>
      <c r="Z137" t="s">
        <v>7</v>
      </c>
      <c r="AA137">
        <v>28800</v>
      </c>
      <c r="AB137">
        <v>96</v>
      </c>
      <c r="AC137">
        <v>4</v>
      </c>
      <c r="AD137">
        <v>4</v>
      </c>
      <c r="AE137">
        <v>1434.5</v>
      </c>
      <c r="AF137" s="21">
        <v>11.103</v>
      </c>
      <c r="AG137" s="26">
        <v>45472</v>
      </c>
      <c r="AH137" s="27">
        <v>0.96416666666666662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s="77"/>
    </row>
    <row r="138" spans="1:47" x14ac:dyDescent="0.25">
      <c r="A138" s="44">
        <v>4</v>
      </c>
      <c r="B138" s="44" t="s">
        <v>7</v>
      </c>
      <c r="C138" s="46">
        <v>28800</v>
      </c>
      <c r="D138" s="46">
        <v>96</v>
      </c>
      <c r="E138" s="46">
        <v>4</v>
      </c>
      <c r="F138" s="46">
        <v>4</v>
      </c>
      <c r="G138" s="47">
        <v>1407.99</v>
      </c>
      <c r="H138" s="51">
        <v>11.311999999999999</v>
      </c>
      <c r="I138" s="17">
        <v>45466</v>
      </c>
      <c r="J138" s="18">
        <v>9.3206018518518521E-2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s="76"/>
      <c r="Y138">
        <v>4</v>
      </c>
      <c r="Z138" t="s">
        <v>7</v>
      </c>
      <c r="AA138">
        <v>28800</v>
      </c>
      <c r="AB138">
        <v>96</v>
      </c>
      <c r="AC138">
        <v>4</v>
      </c>
      <c r="AD138">
        <v>4</v>
      </c>
      <c r="AE138">
        <v>1446.82</v>
      </c>
      <c r="AF138" s="21">
        <v>11.007999999999999</v>
      </c>
      <c r="AG138" s="26">
        <v>45474</v>
      </c>
      <c r="AH138" s="27">
        <v>1.8194444444444444E-2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s="77"/>
    </row>
    <row r="139" spans="1:47" x14ac:dyDescent="0.25">
      <c r="A139" s="42">
        <v>0</v>
      </c>
      <c r="B139" s="42" t="s">
        <v>7</v>
      </c>
      <c r="C139" s="43">
        <v>25728</v>
      </c>
      <c r="D139" s="43">
        <v>128</v>
      </c>
      <c r="E139" s="43">
        <v>1</v>
      </c>
      <c r="F139" s="43">
        <v>16</v>
      </c>
      <c r="G139" s="43">
        <v>1052.3</v>
      </c>
      <c r="H139" s="50">
        <v>10.79</v>
      </c>
      <c r="I139" s="23">
        <v>45458</v>
      </c>
      <c r="J139" s="24">
        <v>0.99354166666666666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76">
        <f t="shared" ref="W139" si="54">AVERAGE(H139:H143)</f>
        <v>10.859</v>
      </c>
      <c r="Y139">
        <v>0</v>
      </c>
      <c r="Z139" t="s">
        <v>7</v>
      </c>
      <c r="AA139">
        <v>25728</v>
      </c>
      <c r="AB139">
        <v>128</v>
      </c>
      <c r="AC139">
        <v>1</v>
      </c>
      <c r="AD139">
        <v>16</v>
      </c>
      <c r="AE139">
        <v>937.52</v>
      </c>
      <c r="AF139" s="21">
        <v>12.111000000000001</v>
      </c>
      <c r="AG139" s="26">
        <v>45468</v>
      </c>
      <c r="AH139" s="27">
        <v>0.78890046296296301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s="77">
        <f t="shared" ref="AU139" si="55">AVERAGE(AF139:AF143)</f>
        <v>12.1142</v>
      </c>
    </row>
    <row r="140" spans="1:47" x14ac:dyDescent="0.25">
      <c r="A140" s="44">
        <v>1</v>
      </c>
      <c r="B140" s="44" t="s">
        <v>7</v>
      </c>
      <c r="C140" s="45">
        <v>25728</v>
      </c>
      <c r="D140" s="45">
        <v>128</v>
      </c>
      <c r="E140" s="45">
        <v>1</v>
      </c>
      <c r="F140" s="45">
        <v>16</v>
      </c>
      <c r="G140" s="45">
        <v>1047.3699999999999</v>
      </c>
      <c r="H140" s="51">
        <v>10.840999999999999</v>
      </c>
      <c r="I140" s="17">
        <v>45460</v>
      </c>
      <c r="J140" s="18">
        <v>1.3344907407407408E-2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s="76"/>
      <c r="Y140">
        <v>1</v>
      </c>
      <c r="Z140" t="s">
        <v>7</v>
      </c>
      <c r="AA140">
        <v>25728</v>
      </c>
      <c r="AB140">
        <v>128</v>
      </c>
      <c r="AC140">
        <v>1</v>
      </c>
      <c r="AD140">
        <v>16</v>
      </c>
      <c r="AE140">
        <v>925.74</v>
      </c>
      <c r="AF140" s="21">
        <v>12.265000000000001</v>
      </c>
      <c r="AG140" s="26">
        <v>45469</v>
      </c>
      <c r="AH140" s="27">
        <v>0.84034722222222225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s="77"/>
    </row>
    <row r="141" spans="1:47" x14ac:dyDescent="0.25">
      <c r="A141" s="44">
        <v>2</v>
      </c>
      <c r="B141" s="44" t="s">
        <v>7</v>
      </c>
      <c r="C141" s="46">
        <v>25728</v>
      </c>
      <c r="D141" s="46">
        <v>128</v>
      </c>
      <c r="E141" s="46">
        <v>1</v>
      </c>
      <c r="F141" s="46">
        <v>16</v>
      </c>
      <c r="G141" s="47">
        <v>1047.0999999999999</v>
      </c>
      <c r="H141" s="51">
        <v>10.843999999999999</v>
      </c>
      <c r="I141" s="17">
        <v>45461</v>
      </c>
      <c r="J141" s="18">
        <v>3.30787037037037E-2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76"/>
      <c r="Y141">
        <v>2</v>
      </c>
      <c r="Z141" t="s">
        <v>7</v>
      </c>
      <c r="AA141">
        <v>25728</v>
      </c>
      <c r="AB141">
        <v>128</v>
      </c>
      <c r="AC141">
        <v>1</v>
      </c>
      <c r="AD141">
        <v>16</v>
      </c>
      <c r="AE141">
        <v>945.34</v>
      </c>
      <c r="AF141" s="21">
        <v>12.010999999999999</v>
      </c>
      <c r="AG141" s="26">
        <v>45471</v>
      </c>
      <c r="AH141" s="27">
        <v>0.23174768518518518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s="77"/>
    </row>
    <row r="142" spans="1:47" x14ac:dyDescent="0.25">
      <c r="A142" s="44">
        <v>3</v>
      </c>
      <c r="B142" s="44" t="s">
        <v>7</v>
      </c>
      <c r="C142" s="46">
        <v>25728</v>
      </c>
      <c r="D142" s="46">
        <v>128</v>
      </c>
      <c r="E142" s="46">
        <v>1</v>
      </c>
      <c r="F142" s="46">
        <v>16</v>
      </c>
      <c r="G142" s="47">
        <v>1040.9100000000001</v>
      </c>
      <c r="H142" s="51">
        <v>10.907999999999999</v>
      </c>
      <c r="I142" s="17">
        <v>45462</v>
      </c>
      <c r="J142" s="18">
        <v>0.3634027777777778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76"/>
      <c r="Y142">
        <v>3</v>
      </c>
      <c r="Z142" t="s">
        <v>7</v>
      </c>
      <c r="AA142">
        <v>25728</v>
      </c>
      <c r="AB142">
        <v>128</v>
      </c>
      <c r="AC142">
        <v>1</v>
      </c>
      <c r="AD142">
        <v>16</v>
      </c>
      <c r="AE142">
        <v>943.11</v>
      </c>
      <c r="AF142" s="21">
        <v>12.039</v>
      </c>
      <c r="AG142" s="26">
        <v>45472</v>
      </c>
      <c r="AH142" s="27">
        <v>0.2862615740740741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s="77"/>
    </row>
    <row r="143" spans="1:47" x14ac:dyDescent="0.25">
      <c r="A143" s="44">
        <v>4</v>
      </c>
      <c r="B143" s="44" t="s">
        <v>7</v>
      </c>
      <c r="C143" s="46">
        <v>25728</v>
      </c>
      <c r="D143" s="46">
        <v>128</v>
      </c>
      <c r="E143" s="46">
        <v>1</v>
      </c>
      <c r="F143" s="46">
        <v>16</v>
      </c>
      <c r="G143" s="47">
        <v>1040.58</v>
      </c>
      <c r="H143" s="51">
        <v>10.912000000000001</v>
      </c>
      <c r="I143" s="17">
        <v>45465</v>
      </c>
      <c r="J143" s="18">
        <v>0.4397800925925926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76"/>
      <c r="Y143">
        <v>4</v>
      </c>
      <c r="Z143" t="s">
        <v>7</v>
      </c>
      <c r="AA143">
        <v>25728</v>
      </c>
      <c r="AB143">
        <v>128</v>
      </c>
      <c r="AC143">
        <v>1</v>
      </c>
      <c r="AD143">
        <v>16</v>
      </c>
      <c r="AE143">
        <v>934.88</v>
      </c>
      <c r="AF143" s="21">
        <v>12.145</v>
      </c>
      <c r="AG143" s="26">
        <v>45473</v>
      </c>
      <c r="AH143" s="27">
        <v>0.34114583333333331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s="77"/>
    </row>
    <row r="144" spans="1:47" x14ac:dyDescent="0.25">
      <c r="A144" s="42">
        <v>0</v>
      </c>
      <c r="B144" s="42" t="s">
        <v>7</v>
      </c>
      <c r="C144" s="43">
        <v>27264</v>
      </c>
      <c r="D144" s="43">
        <v>128</v>
      </c>
      <c r="E144" s="43">
        <v>1</v>
      </c>
      <c r="F144" s="43">
        <v>16</v>
      </c>
      <c r="G144" s="43">
        <v>1232.9100000000001</v>
      </c>
      <c r="H144" s="50">
        <v>10.959</v>
      </c>
      <c r="I144" s="23">
        <v>45459</v>
      </c>
      <c r="J144" s="24">
        <v>0.30469907407407409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76">
        <f t="shared" ref="W144" si="56">AVERAGE(H144:H148)</f>
        <v>11.001200000000001</v>
      </c>
      <c r="Y144">
        <v>0</v>
      </c>
      <c r="Z144" t="s">
        <v>7</v>
      </c>
      <c r="AA144">
        <v>27264</v>
      </c>
      <c r="AB144">
        <v>128</v>
      </c>
      <c r="AC144">
        <v>1</v>
      </c>
      <c r="AD144">
        <v>16</v>
      </c>
      <c r="AE144">
        <v>1088.43</v>
      </c>
      <c r="AF144" s="21">
        <v>12.414</v>
      </c>
      <c r="AG144" s="26">
        <v>45469</v>
      </c>
      <c r="AH144" s="27">
        <v>0.11106481481481481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s="77">
        <f t="shared" ref="AU144" si="57">AVERAGE(AF144:AF148)</f>
        <v>12.4168</v>
      </c>
    </row>
    <row r="145" spans="1:47" x14ac:dyDescent="0.25">
      <c r="A145" s="44">
        <v>1</v>
      </c>
      <c r="B145" s="44" t="s">
        <v>7</v>
      </c>
      <c r="C145" s="45">
        <v>27264</v>
      </c>
      <c r="D145" s="45">
        <v>128</v>
      </c>
      <c r="E145" s="45">
        <v>1</v>
      </c>
      <c r="F145" s="45">
        <v>16</v>
      </c>
      <c r="G145" s="45">
        <v>1220.76</v>
      </c>
      <c r="H145" s="51">
        <v>11.068</v>
      </c>
      <c r="I145" s="17">
        <v>45460</v>
      </c>
      <c r="J145" s="18">
        <v>0.32362268518518517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76"/>
      <c r="Y145">
        <v>1</v>
      </c>
      <c r="Z145" t="s">
        <v>7</v>
      </c>
      <c r="AA145">
        <v>27264</v>
      </c>
      <c r="AB145">
        <v>128</v>
      </c>
      <c r="AC145">
        <v>1</v>
      </c>
      <c r="AD145">
        <v>16</v>
      </c>
      <c r="AE145">
        <v>1087.76</v>
      </c>
      <c r="AF145" s="21">
        <v>12.422000000000001</v>
      </c>
      <c r="AG145" s="26">
        <v>45470</v>
      </c>
      <c r="AH145" s="27">
        <v>0.16144675925925925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s="77"/>
    </row>
    <row r="146" spans="1:47" x14ac:dyDescent="0.25">
      <c r="A146" s="44">
        <v>2</v>
      </c>
      <c r="B146" s="44" t="s">
        <v>7</v>
      </c>
      <c r="C146" s="46">
        <v>27264</v>
      </c>
      <c r="D146" s="46">
        <v>128</v>
      </c>
      <c r="E146" s="46">
        <v>1</v>
      </c>
      <c r="F146" s="46">
        <v>16</v>
      </c>
      <c r="G146" s="47">
        <v>1220.1400000000001</v>
      </c>
      <c r="H146" s="51">
        <v>11.074</v>
      </c>
      <c r="I146" s="17">
        <v>45461</v>
      </c>
      <c r="J146" s="18">
        <v>0.34347222222222223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76"/>
      <c r="Y146">
        <v>2</v>
      </c>
      <c r="Z146" t="s">
        <v>7</v>
      </c>
      <c r="AA146">
        <v>27264</v>
      </c>
      <c r="AB146">
        <v>128</v>
      </c>
      <c r="AC146">
        <v>1</v>
      </c>
      <c r="AD146">
        <v>16</v>
      </c>
      <c r="AE146">
        <v>1083.47</v>
      </c>
      <c r="AF146" s="21">
        <v>12.471</v>
      </c>
      <c r="AG146" s="26">
        <v>45471</v>
      </c>
      <c r="AH146" s="27">
        <v>0.55457175925925928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s="77"/>
    </row>
    <row r="147" spans="1:47" x14ac:dyDescent="0.25">
      <c r="A147" s="44">
        <v>3</v>
      </c>
      <c r="B147" s="44" t="s">
        <v>7</v>
      </c>
      <c r="C147" s="46">
        <v>27264</v>
      </c>
      <c r="D147" s="46">
        <v>128</v>
      </c>
      <c r="E147" s="46">
        <v>1</v>
      </c>
      <c r="F147" s="46">
        <v>16</v>
      </c>
      <c r="G147" s="47">
        <v>1232.3699999999999</v>
      </c>
      <c r="H147" s="51">
        <v>10.964</v>
      </c>
      <c r="I147" s="17">
        <v>45464</v>
      </c>
      <c r="J147" s="18">
        <v>0.73229166666666667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76"/>
      <c r="Y147">
        <v>3</v>
      </c>
      <c r="Z147" t="s">
        <v>7</v>
      </c>
      <c r="AA147">
        <v>27264</v>
      </c>
      <c r="AB147">
        <v>128</v>
      </c>
      <c r="AC147">
        <v>1</v>
      </c>
      <c r="AD147">
        <v>16</v>
      </c>
      <c r="AE147">
        <v>1096.46</v>
      </c>
      <c r="AF147" s="21">
        <v>12.323</v>
      </c>
      <c r="AG147" s="26">
        <v>45472</v>
      </c>
      <c r="AH147" s="27">
        <v>0.6087731481481482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s="77"/>
    </row>
    <row r="148" spans="1:47" x14ac:dyDescent="0.25">
      <c r="A148" s="44">
        <v>4</v>
      </c>
      <c r="B148" s="44" t="s">
        <v>7</v>
      </c>
      <c r="C148" s="46">
        <v>27264</v>
      </c>
      <c r="D148" s="46">
        <v>128</v>
      </c>
      <c r="E148" s="46">
        <v>1</v>
      </c>
      <c r="F148" s="46">
        <v>16</v>
      </c>
      <c r="G148" s="47">
        <v>1234.97</v>
      </c>
      <c r="H148" s="51">
        <v>10.941000000000001</v>
      </c>
      <c r="I148" s="17">
        <v>45465</v>
      </c>
      <c r="J148" s="18">
        <v>0.75034722222222228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76"/>
      <c r="Y148">
        <v>4</v>
      </c>
      <c r="Z148" t="s">
        <v>7</v>
      </c>
      <c r="AA148">
        <v>27264</v>
      </c>
      <c r="AB148">
        <v>128</v>
      </c>
      <c r="AC148">
        <v>1</v>
      </c>
      <c r="AD148">
        <v>16</v>
      </c>
      <c r="AE148">
        <v>1084.96</v>
      </c>
      <c r="AF148" s="21">
        <v>12.454000000000001</v>
      </c>
      <c r="AG148" s="26">
        <v>45473</v>
      </c>
      <c r="AH148" s="27">
        <v>0.66313657407407411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s="77"/>
    </row>
    <row r="149" spans="1:47" x14ac:dyDescent="0.25">
      <c r="A149" s="42">
        <v>0</v>
      </c>
      <c r="B149" s="42" t="s">
        <v>7</v>
      </c>
      <c r="C149" s="43">
        <v>28800</v>
      </c>
      <c r="D149" s="43">
        <v>128</v>
      </c>
      <c r="E149" s="43">
        <v>1</v>
      </c>
      <c r="F149" s="43">
        <v>16</v>
      </c>
      <c r="G149" s="43">
        <v>1400.43</v>
      </c>
      <c r="H149" s="50">
        <v>11.372999999999999</v>
      </c>
      <c r="I149" s="23">
        <v>45459</v>
      </c>
      <c r="J149" s="24">
        <v>0.66484953703703709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76">
        <f t="shared" ref="W149" si="58">AVERAGE(H149:H153)</f>
        <v>11.397600000000001</v>
      </c>
      <c r="Y149">
        <v>0</v>
      </c>
      <c r="Z149" t="s">
        <v>7</v>
      </c>
      <c r="AA149">
        <v>28800</v>
      </c>
      <c r="AB149">
        <v>128</v>
      </c>
      <c r="AC149">
        <v>1</v>
      </c>
      <c r="AD149">
        <v>16</v>
      </c>
      <c r="AE149">
        <v>1250.54</v>
      </c>
      <c r="AF149" s="21">
        <v>12.736000000000001</v>
      </c>
      <c r="AG149" s="26">
        <v>45469</v>
      </c>
      <c r="AH149" s="27">
        <v>0.48133101851851851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s="77">
        <f t="shared" ref="AU149" si="59">AVERAGE(AF149:AF153)</f>
        <v>12.7308</v>
      </c>
    </row>
    <row r="150" spans="1:47" x14ac:dyDescent="0.25">
      <c r="A150" s="44">
        <v>1</v>
      </c>
      <c r="B150" s="44" t="s">
        <v>7</v>
      </c>
      <c r="C150" s="45">
        <v>28800</v>
      </c>
      <c r="D150" s="45">
        <v>128</v>
      </c>
      <c r="E150" s="45">
        <v>1</v>
      </c>
      <c r="F150" s="45">
        <v>16</v>
      </c>
      <c r="G150" s="45">
        <v>1388.82</v>
      </c>
      <c r="H150" s="51">
        <v>11.468</v>
      </c>
      <c r="I150" s="17">
        <v>45460</v>
      </c>
      <c r="J150" s="18">
        <v>0.68291666666666662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76"/>
      <c r="Y150">
        <v>1</v>
      </c>
      <c r="Z150" t="s">
        <v>7</v>
      </c>
      <c r="AA150">
        <v>28800</v>
      </c>
      <c r="AB150">
        <v>128</v>
      </c>
      <c r="AC150">
        <v>1</v>
      </c>
      <c r="AD150">
        <v>16</v>
      </c>
      <c r="AE150">
        <v>1261.98</v>
      </c>
      <c r="AF150" s="21">
        <v>12.62</v>
      </c>
      <c r="AG150" s="26">
        <v>45470</v>
      </c>
      <c r="AH150" s="27">
        <v>0.530787037037037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s="77"/>
    </row>
    <row r="151" spans="1:47" x14ac:dyDescent="0.25">
      <c r="A151" s="44">
        <v>2</v>
      </c>
      <c r="B151" s="44" t="s">
        <v>7</v>
      </c>
      <c r="C151" s="46">
        <v>28800</v>
      </c>
      <c r="D151" s="46">
        <v>128</v>
      </c>
      <c r="E151" s="46">
        <v>1</v>
      </c>
      <c r="F151" s="46">
        <v>16</v>
      </c>
      <c r="G151" s="47">
        <v>1395.05</v>
      </c>
      <c r="H151" s="51">
        <v>11.416</v>
      </c>
      <c r="I151" s="17">
        <v>45462</v>
      </c>
      <c r="J151" s="18">
        <v>1.5775462962962963E-2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76"/>
      <c r="Y151">
        <v>2</v>
      </c>
      <c r="Z151" t="s">
        <v>7</v>
      </c>
      <c r="AA151">
        <v>28800</v>
      </c>
      <c r="AB151">
        <v>128</v>
      </c>
      <c r="AC151">
        <v>1</v>
      </c>
      <c r="AD151">
        <v>16</v>
      </c>
      <c r="AE151">
        <v>1244.8</v>
      </c>
      <c r="AF151" s="21">
        <v>12.794</v>
      </c>
      <c r="AG151" s="26">
        <v>45471</v>
      </c>
      <c r="AH151" s="27">
        <v>0.92516203703703703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s="77"/>
    </row>
    <row r="152" spans="1:47" x14ac:dyDescent="0.25">
      <c r="A152" s="44">
        <v>3</v>
      </c>
      <c r="B152" s="44" t="s">
        <v>7</v>
      </c>
      <c r="C152" s="46">
        <v>28800</v>
      </c>
      <c r="D152" s="46">
        <v>128</v>
      </c>
      <c r="E152" s="46">
        <v>1</v>
      </c>
      <c r="F152" s="46">
        <v>16</v>
      </c>
      <c r="G152" s="47">
        <v>1395.18</v>
      </c>
      <c r="H152" s="51">
        <v>11.414999999999999</v>
      </c>
      <c r="I152" s="17">
        <v>45465</v>
      </c>
      <c r="J152" s="18">
        <v>9.240740740740741E-2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76"/>
      <c r="Y152">
        <v>3</v>
      </c>
      <c r="Z152" t="s">
        <v>7</v>
      </c>
      <c r="AA152">
        <v>28800</v>
      </c>
      <c r="AB152">
        <v>128</v>
      </c>
      <c r="AC152">
        <v>1</v>
      </c>
      <c r="AD152">
        <v>16</v>
      </c>
      <c r="AE152">
        <v>1246.7</v>
      </c>
      <c r="AF152" s="21">
        <v>12.775</v>
      </c>
      <c r="AG152" s="26">
        <v>45472</v>
      </c>
      <c r="AH152" s="27">
        <v>0.97998842592592594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s="77"/>
    </row>
    <row r="153" spans="1:47" x14ac:dyDescent="0.25">
      <c r="A153" s="44">
        <v>4</v>
      </c>
      <c r="B153" s="44" t="s">
        <v>7</v>
      </c>
      <c r="C153" s="46">
        <v>28800</v>
      </c>
      <c r="D153" s="46">
        <v>128</v>
      </c>
      <c r="E153" s="46">
        <v>1</v>
      </c>
      <c r="F153" s="46">
        <v>16</v>
      </c>
      <c r="G153" s="47">
        <v>1407.37</v>
      </c>
      <c r="H153" s="51">
        <v>11.316000000000001</v>
      </c>
      <c r="I153" s="17">
        <v>45466</v>
      </c>
      <c r="J153" s="18">
        <v>0.10982638888888889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76"/>
      <c r="Y153">
        <v>4</v>
      </c>
      <c r="Z153" t="s">
        <v>7</v>
      </c>
      <c r="AA153">
        <v>28800</v>
      </c>
      <c r="AB153">
        <v>128</v>
      </c>
      <c r="AC153">
        <v>1</v>
      </c>
      <c r="AD153">
        <v>16</v>
      </c>
      <c r="AE153">
        <v>1251.1600000000001</v>
      </c>
      <c r="AF153" s="21">
        <v>12.728999999999999</v>
      </c>
      <c r="AG153" s="26">
        <v>45474</v>
      </c>
      <c r="AH153" s="27">
        <v>3.4074074074074076E-2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s="77"/>
    </row>
    <row r="154" spans="1:47" x14ac:dyDescent="0.25">
      <c r="A154" s="42">
        <v>0</v>
      </c>
      <c r="B154" s="42" t="s">
        <v>7</v>
      </c>
      <c r="C154" s="43">
        <v>25728</v>
      </c>
      <c r="D154" s="43">
        <v>128</v>
      </c>
      <c r="E154" s="43">
        <v>2</v>
      </c>
      <c r="F154" s="43">
        <v>8</v>
      </c>
      <c r="G154" s="43">
        <v>912.76</v>
      </c>
      <c r="H154" s="50">
        <v>12.44</v>
      </c>
      <c r="I154" s="23">
        <v>45459</v>
      </c>
      <c r="J154" s="24">
        <v>4.386574074074074E-3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76">
        <f t="shared" ref="W154" si="60">AVERAGE(H154:H158)</f>
        <v>12.455599999999999</v>
      </c>
      <c r="Y154">
        <v>0</v>
      </c>
      <c r="Z154" t="s">
        <v>7</v>
      </c>
      <c r="AA154">
        <v>25728</v>
      </c>
      <c r="AB154">
        <v>128</v>
      </c>
      <c r="AC154">
        <v>2</v>
      </c>
      <c r="AD154">
        <v>8</v>
      </c>
      <c r="AE154">
        <v>921.5</v>
      </c>
      <c r="AF154" s="21">
        <v>12.321999999999999</v>
      </c>
      <c r="AG154" s="26">
        <v>45468</v>
      </c>
      <c r="AH154" s="27">
        <v>0.8006712962962963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s="77">
        <f t="shared" ref="AU154" si="61">AVERAGE(AF154:AF158)</f>
        <v>12.3644</v>
      </c>
    </row>
    <row r="155" spans="1:47" x14ac:dyDescent="0.25">
      <c r="A155" s="44">
        <v>1</v>
      </c>
      <c r="B155" s="44" t="s">
        <v>7</v>
      </c>
      <c r="C155" s="45">
        <v>25728</v>
      </c>
      <c r="D155" s="45">
        <v>128</v>
      </c>
      <c r="E155" s="45">
        <v>2</v>
      </c>
      <c r="F155" s="45">
        <v>8</v>
      </c>
      <c r="G155" s="45">
        <v>910.18</v>
      </c>
      <c r="H155" s="51">
        <v>12.475</v>
      </c>
      <c r="I155" s="17">
        <v>45460</v>
      </c>
      <c r="J155" s="18">
        <v>2.4166666666666666E-2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s="76"/>
      <c r="Y155">
        <v>1</v>
      </c>
      <c r="Z155" t="s">
        <v>7</v>
      </c>
      <c r="AA155">
        <v>25728</v>
      </c>
      <c r="AB155">
        <v>128</v>
      </c>
      <c r="AC155">
        <v>2</v>
      </c>
      <c r="AD155">
        <v>8</v>
      </c>
      <c r="AE155">
        <v>919.17</v>
      </c>
      <c r="AF155" s="21">
        <v>12.353</v>
      </c>
      <c r="AG155" s="26">
        <v>45469</v>
      </c>
      <c r="AH155" s="27">
        <v>0.8520833333333333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s="77"/>
    </row>
    <row r="156" spans="1:47" x14ac:dyDescent="0.25">
      <c r="A156" s="44">
        <v>2</v>
      </c>
      <c r="B156" s="44" t="s">
        <v>7</v>
      </c>
      <c r="C156" s="46">
        <v>25728</v>
      </c>
      <c r="D156" s="46">
        <v>128</v>
      </c>
      <c r="E156" s="46">
        <v>2</v>
      </c>
      <c r="F156" s="46">
        <v>8</v>
      </c>
      <c r="G156" s="47">
        <v>909.36</v>
      </c>
      <c r="H156" s="51">
        <v>12.486000000000001</v>
      </c>
      <c r="I156" s="17">
        <v>45461</v>
      </c>
      <c r="J156" s="18">
        <v>4.3877314814814813E-2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76"/>
      <c r="Y156">
        <v>2</v>
      </c>
      <c r="Z156" t="s">
        <v>7</v>
      </c>
      <c r="AA156">
        <v>25728</v>
      </c>
      <c r="AB156">
        <v>128</v>
      </c>
      <c r="AC156">
        <v>2</v>
      </c>
      <c r="AD156">
        <v>8</v>
      </c>
      <c r="AE156">
        <v>920.71</v>
      </c>
      <c r="AF156" s="21">
        <v>12.332000000000001</v>
      </c>
      <c r="AG156" s="26">
        <v>45471</v>
      </c>
      <c r="AH156" s="27">
        <v>0.2434837962962963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s="77"/>
    </row>
    <row r="157" spans="1:47" x14ac:dyDescent="0.25">
      <c r="A157" s="44">
        <v>3</v>
      </c>
      <c r="B157" s="44" t="s">
        <v>7</v>
      </c>
      <c r="C157" s="46">
        <v>25728</v>
      </c>
      <c r="D157" s="46">
        <v>128</v>
      </c>
      <c r="E157" s="46">
        <v>2</v>
      </c>
      <c r="F157" s="46">
        <v>8</v>
      </c>
      <c r="G157" s="47">
        <v>914.77</v>
      </c>
      <c r="H157" s="51">
        <v>12.412000000000001</v>
      </c>
      <c r="I157" s="17">
        <v>45462</v>
      </c>
      <c r="J157" s="18">
        <v>0.37428240740740742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76"/>
      <c r="Y157">
        <v>3</v>
      </c>
      <c r="Z157" t="s">
        <v>7</v>
      </c>
      <c r="AA157">
        <v>25728</v>
      </c>
      <c r="AB157">
        <v>128</v>
      </c>
      <c r="AC157">
        <v>2</v>
      </c>
      <c r="AD157">
        <v>8</v>
      </c>
      <c r="AE157">
        <v>915.39</v>
      </c>
      <c r="AF157" s="21">
        <v>12.404</v>
      </c>
      <c r="AG157" s="26">
        <v>45472</v>
      </c>
      <c r="AH157" s="27">
        <v>0.29796296296296299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s="77"/>
    </row>
    <row r="158" spans="1:47" x14ac:dyDescent="0.25">
      <c r="A158" s="44">
        <v>4</v>
      </c>
      <c r="B158" s="44" t="s">
        <v>7</v>
      </c>
      <c r="C158" s="46">
        <v>25728</v>
      </c>
      <c r="D158" s="46">
        <v>128</v>
      </c>
      <c r="E158" s="46">
        <v>2</v>
      </c>
      <c r="F158" s="46">
        <v>8</v>
      </c>
      <c r="G158" s="47">
        <v>910.93</v>
      </c>
      <c r="H158" s="51">
        <v>12.465</v>
      </c>
      <c r="I158" s="17">
        <v>45465</v>
      </c>
      <c r="J158" s="18">
        <v>0.45060185185185186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76"/>
      <c r="Y158">
        <v>4</v>
      </c>
      <c r="Z158" t="s">
        <v>7</v>
      </c>
      <c r="AA158">
        <v>25728</v>
      </c>
      <c r="AB158">
        <v>128</v>
      </c>
      <c r="AC158">
        <v>2</v>
      </c>
      <c r="AD158">
        <v>8</v>
      </c>
      <c r="AE158">
        <v>914.9</v>
      </c>
      <c r="AF158" s="21">
        <v>12.411</v>
      </c>
      <c r="AG158" s="26">
        <v>45473</v>
      </c>
      <c r="AH158" s="27">
        <v>0.35282407407407407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s="77"/>
    </row>
    <row r="159" spans="1:47" x14ac:dyDescent="0.25">
      <c r="A159" s="42">
        <v>0</v>
      </c>
      <c r="B159" s="42" t="s">
        <v>7</v>
      </c>
      <c r="C159" s="43">
        <v>27264</v>
      </c>
      <c r="D159" s="43">
        <v>128</v>
      </c>
      <c r="E159" s="43">
        <v>2</v>
      </c>
      <c r="F159" s="43">
        <v>8</v>
      </c>
      <c r="G159" s="43">
        <v>1070.77</v>
      </c>
      <c r="H159" s="50">
        <v>12.619</v>
      </c>
      <c r="I159" s="23">
        <v>45459</v>
      </c>
      <c r="J159" s="24">
        <v>0.31739583333333332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76">
        <f t="shared" ref="W159" si="62">AVERAGE(H159:H163)</f>
        <v>12.590599999999998</v>
      </c>
      <c r="Y159">
        <v>0</v>
      </c>
      <c r="Z159" t="s">
        <v>7</v>
      </c>
      <c r="AA159">
        <v>27264</v>
      </c>
      <c r="AB159">
        <v>128</v>
      </c>
      <c r="AC159">
        <v>2</v>
      </c>
      <c r="AD159">
        <v>8</v>
      </c>
      <c r="AE159">
        <v>1085.58</v>
      </c>
      <c r="AF159" s="21">
        <v>12.446999999999999</v>
      </c>
      <c r="AG159" s="26">
        <v>45469</v>
      </c>
      <c r="AH159" s="27">
        <v>0.12481481481481481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s="77">
        <f t="shared" ref="AU159" si="63">AVERAGE(AF159:AF163)</f>
        <v>12.635200000000001</v>
      </c>
    </row>
    <row r="160" spans="1:47" x14ac:dyDescent="0.25">
      <c r="A160" s="44">
        <v>1</v>
      </c>
      <c r="B160" s="44" t="s">
        <v>7</v>
      </c>
      <c r="C160" s="45">
        <v>27264</v>
      </c>
      <c r="D160" s="45">
        <v>128</v>
      </c>
      <c r="E160" s="45">
        <v>2</v>
      </c>
      <c r="F160" s="45">
        <v>8</v>
      </c>
      <c r="G160" s="45">
        <v>1071.53</v>
      </c>
      <c r="H160" s="51">
        <v>12.61</v>
      </c>
      <c r="I160" s="17">
        <v>45460</v>
      </c>
      <c r="J160" s="18">
        <v>0.33631944444444445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76"/>
      <c r="Y160">
        <v>1</v>
      </c>
      <c r="Z160" t="s">
        <v>7</v>
      </c>
      <c r="AA160">
        <v>27264</v>
      </c>
      <c r="AB160">
        <v>128</v>
      </c>
      <c r="AC160">
        <v>2</v>
      </c>
      <c r="AD160">
        <v>8</v>
      </c>
      <c r="AE160">
        <v>1056.3</v>
      </c>
      <c r="AF160" s="21">
        <v>12.792</v>
      </c>
      <c r="AG160" s="26">
        <v>45470</v>
      </c>
      <c r="AH160" s="27">
        <v>0.17487268518518517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s="77"/>
    </row>
    <row r="161" spans="1:47" x14ac:dyDescent="0.25">
      <c r="A161" s="44">
        <v>2</v>
      </c>
      <c r="B161" s="44" t="s">
        <v>7</v>
      </c>
      <c r="C161" s="46">
        <v>27264</v>
      </c>
      <c r="D161" s="46">
        <v>128</v>
      </c>
      <c r="E161" s="46">
        <v>2</v>
      </c>
      <c r="F161" s="46">
        <v>8</v>
      </c>
      <c r="G161" s="47">
        <v>1071.74</v>
      </c>
      <c r="H161" s="51">
        <v>12.606999999999999</v>
      </c>
      <c r="I161" s="17">
        <v>45461</v>
      </c>
      <c r="J161" s="18">
        <v>0.35618055555555556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76"/>
      <c r="Y161">
        <v>2</v>
      </c>
      <c r="Z161" t="s">
        <v>7</v>
      </c>
      <c r="AA161">
        <v>27264</v>
      </c>
      <c r="AB161">
        <v>128</v>
      </c>
      <c r="AC161">
        <v>2</v>
      </c>
      <c r="AD161">
        <v>8</v>
      </c>
      <c r="AE161">
        <v>1065.07</v>
      </c>
      <c r="AF161" s="21">
        <v>12.686</v>
      </c>
      <c r="AG161" s="26">
        <v>45471</v>
      </c>
      <c r="AH161" s="27">
        <v>0.56809027777777776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s="77"/>
    </row>
    <row r="162" spans="1:47" x14ac:dyDescent="0.25">
      <c r="A162" s="44">
        <v>3</v>
      </c>
      <c r="B162" s="44" t="s">
        <v>7</v>
      </c>
      <c r="C162" s="46">
        <v>27264</v>
      </c>
      <c r="D162" s="46">
        <v>128</v>
      </c>
      <c r="E162" s="46">
        <v>2</v>
      </c>
      <c r="F162" s="46">
        <v>8</v>
      </c>
      <c r="G162" s="47">
        <v>1081.1300000000001</v>
      </c>
      <c r="H162" s="51">
        <v>12.497999999999999</v>
      </c>
      <c r="I162" s="17">
        <v>45464</v>
      </c>
      <c r="J162" s="18">
        <v>0.74511574074074072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s="76"/>
      <c r="Y162">
        <v>3</v>
      </c>
      <c r="Z162" t="s">
        <v>7</v>
      </c>
      <c r="AA162">
        <v>27264</v>
      </c>
      <c r="AB162">
        <v>128</v>
      </c>
      <c r="AC162">
        <v>2</v>
      </c>
      <c r="AD162">
        <v>8</v>
      </c>
      <c r="AE162">
        <v>1073.67</v>
      </c>
      <c r="AF162" s="21">
        <v>12.585000000000001</v>
      </c>
      <c r="AG162" s="26">
        <v>45472</v>
      </c>
      <c r="AH162" s="27">
        <v>0.62239583333333337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s="77"/>
    </row>
    <row r="163" spans="1:47" x14ac:dyDescent="0.25">
      <c r="A163" s="44">
        <v>4</v>
      </c>
      <c r="B163" s="44" t="s">
        <v>7</v>
      </c>
      <c r="C163" s="46">
        <v>27264</v>
      </c>
      <c r="D163" s="46">
        <v>128</v>
      </c>
      <c r="E163" s="46">
        <v>2</v>
      </c>
      <c r="F163" s="46">
        <v>8</v>
      </c>
      <c r="G163" s="47">
        <v>1070.78</v>
      </c>
      <c r="H163" s="51">
        <v>12.619</v>
      </c>
      <c r="I163" s="17">
        <v>45465</v>
      </c>
      <c r="J163" s="18">
        <v>0.76304398148148145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s="76"/>
      <c r="Y163">
        <v>4</v>
      </c>
      <c r="Z163" t="s">
        <v>7</v>
      </c>
      <c r="AA163">
        <v>27264</v>
      </c>
      <c r="AB163">
        <v>128</v>
      </c>
      <c r="AC163">
        <v>2</v>
      </c>
      <c r="AD163">
        <v>8</v>
      </c>
      <c r="AE163">
        <v>1066.81</v>
      </c>
      <c r="AF163" s="21">
        <v>12.666</v>
      </c>
      <c r="AG163" s="26">
        <v>45473</v>
      </c>
      <c r="AH163" s="27">
        <v>0.67667824074074079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s="77"/>
    </row>
    <row r="164" spans="1:47" x14ac:dyDescent="0.25">
      <c r="A164" s="42">
        <v>0</v>
      </c>
      <c r="B164" s="42" t="s">
        <v>7</v>
      </c>
      <c r="C164" s="43">
        <v>28800</v>
      </c>
      <c r="D164" s="43">
        <v>128</v>
      </c>
      <c r="E164" s="43">
        <v>2</v>
      </c>
      <c r="F164" s="43">
        <v>8</v>
      </c>
      <c r="G164" s="43">
        <v>1229.5</v>
      </c>
      <c r="H164" s="50">
        <v>12.954000000000001</v>
      </c>
      <c r="I164" s="23">
        <v>45459</v>
      </c>
      <c r="J164" s="24">
        <v>0.67940972222222218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76">
        <f t="shared" ref="W164" si="64">AVERAGE(H164:H168)</f>
        <v>12.888399999999999</v>
      </c>
      <c r="Y164">
        <v>0</v>
      </c>
      <c r="Z164" t="s">
        <v>7</v>
      </c>
      <c r="AA164">
        <v>28800</v>
      </c>
      <c r="AB164">
        <v>128</v>
      </c>
      <c r="AC164">
        <v>2</v>
      </c>
      <c r="AD164">
        <v>8</v>
      </c>
      <c r="AE164">
        <v>1217.8800000000001</v>
      </c>
      <c r="AF164" s="21">
        <v>13.077</v>
      </c>
      <c r="AG164" s="26">
        <v>45469</v>
      </c>
      <c r="AH164" s="27">
        <v>0.49678240740740742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s="77">
        <f t="shared" ref="AU164" si="65">AVERAGE(AF164:AF168)</f>
        <v>13.039199999999999</v>
      </c>
    </row>
    <row r="165" spans="1:47" x14ac:dyDescent="0.25">
      <c r="A165" s="44">
        <v>1</v>
      </c>
      <c r="B165" s="44" t="s">
        <v>7</v>
      </c>
      <c r="C165" s="45">
        <v>28800</v>
      </c>
      <c r="D165" s="45">
        <v>128</v>
      </c>
      <c r="E165" s="45">
        <v>2</v>
      </c>
      <c r="F165" s="45">
        <v>8</v>
      </c>
      <c r="G165" s="45">
        <v>1248.05</v>
      </c>
      <c r="H165" s="51">
        <v>12.760999999999999</v>
      </c>
      <c r="I165" s="17">
        <v>45460</v>
      </c>
      <c r="J165" s="18">
        <v>0.69769675925925922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s="76"/>
      <c r="Y165">
        <v>1</v>
      </c>
      <c r="Z165" t="s">
        <v>7</v>
      </c>
      <c r="AA165">
        <v>28800</v>
      </c>
      <c r="AB165">
        <v>128</v>
      </c>
      <c r="AC165">
        <v>2</v>
      </c>
      <c r="AD165">
        <v>8</v>
      </c>
      <c r="AE165">
        <v>1214.2</v>
      </c>
      <c r="AF165" s="21">
        <v>13.117000000000001</v>
      </c>
      <c r="AG165" s="26">
        <v>45470</v>
      </c>
      <c r="AH165" s="27">
        <v>0.5461921296296296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s="77"/>
    </row>
    <row r="166" spans="1:47" x14ac:dyDescent="0.25">
      <c r="A166" s="44">
        <v>2</v>
      </c>
      <c r="B166" s="44" t="s">
        <v>7</v>
      </c>
      <c r="C166" s="46">
        <v>28800</v>
      </c>
      <c r="D166" s="46">
        <v>128</v>
      </c>
      <c r="E166" s="46">
        <v>2</v>
      </c>
      <c r="F166" s="46">
        <v>8</v>
      </c>
      <c r="G166" s="47">
        <v>1231.67</v>
      </c>
      <c r="H166" s="51">
        <v>12.930999999999999</v>
      </c>
      <c r="I166" s="17">
        <v>45462</v>
      </c>
      <c r="J166" s="18">
        <v>3.037037037037037E-2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s="76"/>
      <c r="Y166">
        <v>2</v>
      </c>
      <c r="Z166" t="s">
        <v>7</v>
      </c>
      <c r="AA166">
        <v>28800</v>
      </c>
      <c r="AB166">
        <v>128</v>
      </c>
      <c r="AC166">
        <v>2</v>
      </c>
      <c r="AD166">
        <v>8</v>
      </c>
      <c r="AE166">
        <v>1221.95</v>
      </c>
      <c r="AF166" s="21">
        <v>13.034000000000001</v>
      </c>
      <c r="AG166" s="26">
        <v>45471</v>
      </c>
      <c r="AH166" s="27">
        <v>0.94064814814814812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s="77"/>
    </row>
    <row r="167" spans="1:47" x14ac:dyDescent="0.25">
      <c r="A167" s="44">
        <v>3</v>
      </c>
      <c r="B167" s="44" t="s">
        <v>7</v>
      </c>
      <c r="C167" s="46">
        <v>28800</v>
      </c>
      <c r="D167" s="46">
        <v>128</v>
      </c>
      <c r="E167" s="46">
        <v>2</v>
      </c>
      <c r="F167" s="46">
        <v>8</v>
      </c>
      <c r="G167" s="47">
        <v>1234.93</v>
      </c>
      <c r="H167" s="51">
        <v>12.897</v>
      </c>
      <c r="I167" s="17">
        <v>45465</v>
      </c>
      <c r="J167" s="18">
        <v>0.10703703703703704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s="76"/>
      <c r="Y167">
        <v>3</v>
      </c>
      <c r="Z167" t="s">
        <v>7</v>
      </c>
      <c r="AA167">
        <v>28800</v>
      </c>
      <c r="AB167">
        <v>128</v>
      </c>
      <c r="AC167">
        <v>2</v>
      </c>
      <c r="AD167">
        <v>8</v>
      </c>
      <c r="AE167">
        <v>1224.45</v>
      </c>
      <c r="AF167" s="21">
        <v>13.007</v>
      </c>
      <c r="AG167" s="26">
        <v>45472</v>
      </c>
      <c r="AH167" s="27">
        <v>0.99549768518518522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s="77"/>
    </row>
    <row r="168" spans="1:47" x14ac:dyDescent="0.25">
      <c r="A168" s="44">
        <v>4</v>
      </c>
      <c r="B168" s="44" t="s">
        <v>7</v>
      </c>
      <c r="C168" s="46">
        <v>28800</v>
      </c>
      <c r="D168" s="46">
        <v>128</v>
      </c>
      <c r="E168" s="46">
        <v>2</v>
      </c>
      <c r="F168" s="46">
        <v>8</v>
      </c>
      <c r="G168" s="47">
        <v>1234.73</v>
      </c>
      <c r="H168" s="51">
        <v>12.898999999999999</v>
      </c>
      <c r="I168" s="17">
        <v>45466</v>
      </c>
      <c r="J168" s="18">
        <v>0.12445601851851852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76"/>
      <c r="Y168">
        <v>4</v>
      </c>
      <c r="Z168" t="s">
        <v>7</v>
      </c>
      <c r="AA168">
        <v>28800</v>
      </c>
      <c r="AB168">
        <v>128</v>
      </c>
      <c r="AC168">
        <v>2</v>
      </c>
      <c r="AD168">
        <v>8</v>
      </c>
      <c r="AE168">
        <v>1228.8399999999999</v>
      </c>
      <c r="AF168" s="21">
        <v>12.961</v>
      </c>
      <c r="AG168" s="26">
        <v>45474</v>
      </c>
      <c r="AH168" s="27">
        <v>4.9652777777777775E-2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s="77"/>
    </row>
    <row r="169" spans="1:47" x14ac:dyDescent="0.25">
      <c r="A169" s="42">
        <v>0</v>
      </c>
      <c r="B169" s="42" t="s">
        <v>7</v>
      </c>
      <c r="C169" s="43">
        <v>25728</v>
      </c>
      <c r="D169" s="43">
        <v>128</v>
      </c>
      <c r="E169" s="43">
        <v>4</v>
      </c>
      <c r="F169" s="43">
        <v>4</v>
      </c>
      <c r="G169" s="43">
        <v>1076.6500000000001</v>
      </c>
      <c r="H169" s="50">
        <v>10.545999999999999</v>
      </c>
      <c r="I169" s="23">
        <v>45459</v>
      </c>
      <c r="J169" s="24">
        <v>1.7118055555555556E-2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76">
        <f t="shared" ref="W169" si="66">AVERAGE(H169:H173)</f>
        <v>10.599399999999999</v>
      </c>
      <c r="Y169">
        <v>0</v>
      </c>
      <c r="Z169" t="s">
        <v>7</v>
      </c>
      <c r="AA169">
        <v>25728</v>
      </c>
      <c r="AB169">
        <v>128</v>
      </c>
      <c r="AC169">
        <v>4</v>
      </c>
      <c r="AD169">
        <v>4</v>
      </c>
      <c r="AE169">
        <v>1081.57</v>
      </c>
      <c r="AF169" s="21">
        <v>10.497999999999999</v>
      </c>
      <c r="AG169" s="26">
        <v>45468</v>
      </c>
      <c r="AH169" s="27">
        <v>0.81428240740740743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s="77">
        <f t="shared" ref="AU169" si="67">AVERAGE(AF169:AF173)</f>
        <v>10.4308</v>
      </c>
    </row>
    <row r="170" spans="1:47" x14ac:dyDescent="0.25">
      <c r="A170" s="44">
        <v>1</v>
      </c>
      <c r="B170" s="44" t="s">
        <v>7</v>
      </c>
      <c r="C170" s="45">
        <v>25728</v>
      </c>
      <c r="D170" s="45">
        <v>128</v>
      </c>
      <c r="E170" s="45">
        <v>4</v>
      </c>
      <c r="F170" s="45">
        <v>4</v>
      </c>
      <c r="G170" s="45">
        <v>1068.69</v>
      </c>
      <c r="H170" s="51">
        <v>10.625</v>
      </c>
      <c r="I170" s="17">
        <v>45460</v>
      </c>
      <c r="J170" s="18">
        <v>3.6793981481481483E-2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76"/>
      <c r="Y170">
        <v>1</v>
      </c>
      <c r="Z170" t="s">
        <v>7</v>
      </c>
      <c r="AA170">
        <v>25728</v>
      </c>
      <c r="AB170">
        <v>128</v>
      </c>
      <c r="AC170">
        <v>4</v>
      </c>
      <c r="AD170">
        <v>4</v>
      </c>
      <c r="AE170">
        <v>1079.82</v>
      </c>
      <c r="AF170" s="21">
        <v>10.515000000000001</v>
      </c>
      <c r="AG170" s="26">
        <v>45469</v>
      </c>
      <c r="AH170" s="27">
        <v>0.86567129629629624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s="77"/>
    </row>
    <row r="171" spans="1:47" x14ac:dyDescent="0.25">
      <c r="A171" s="44">
        <v>2</v>
      </c>
      <c r="B171" s="44" t="s">
        <v>7</v>
      </c>
      <c r="C171" s="46">
        <v>25728</v>
      </c>
      <c r="D171" s="46">
        <v>128</v>
      </c>
      <c r="E171" s="46">
        <v>4</v>
      </c>
      <c r="F171" s="46">
        <v>4</v>
      </c>
      <c r="G171" s="47">
        <v>1066.43</v>
      </c>
      <c r="H171" s="51">
        <v>10.647</v>
      </c>
      <c r="I171" s="17">
        <v>45461</v>
      </c>
      <c r="J171" s="18">
        <v>5.6493055555555553E-2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76"/>
      <c r="Y171">
        <v>2</v>
      </c>
      <c r="Z171" t="s">
        <v>7</v>
      </c>
      <c r="AA171">
        <v>25728</v>
      </c>
      <c r="AB171">
        <v>128</v>
      </c>
      <c r="AC171">
        <v>4</v>
      </c>
      <c r="AD171">
        <v>4</v>
      </c>
      <c r="AE171">
        <v>1095.3699999999999</v>
      </c>
      <c r="AF171" s="21">
        <v>10.366</v>
      </c>
      <c r="AG171" s="26">
        <v>45471</v>
      </c>
      <c r="AH171" s="27">
        <v>0.25724537037037037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s="77"/>
    </row>
    <row r="172" spans="1:47" x14ac:dyDescent="0.25">
      <c r="A172" s="44">
        <v>3</v>
      </c>
      <c r="B172" s="44" t="s">
        <v>7</v>
      </c>
      <c r="C172" s="46">
        <v>25728</v>
      </c>
      <c r="D172" s="46">
        <v>128</v>
      </c>
      <c r="E172" s="46">
        <v>4</v>
      </c>
      <c r="F172" s="46">
        <v>4</v>
      </c>
      <c r="G172" s="47">
        <v>1069.76</v>
      </c>
      <c r="H172" s="51">
        <v>10.614000000000001</v>
      </c>
      <c r="I172" s="17">
        <v>45462</v>
      </c>
      <c r="J172" s="18">
        <v>0.38694444444444442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s="76"/>
      <c r="Y172">
        <v>3</v>
      </c>
      <c r="Z172" t="s">
        <v>7</v>
      </c>
      <c r="AA172">
        <v>25728</v>
      </c>
      <c r="AB172">
        <v>128</v>
      </c>
      <c r="AC172">
        <v>4</v>
      </c>
      <c r="AD172">
        <v>4</v>
      </c>
      <c r="AE172">
        <v>1091.42</v>
      </c>
      <c r="AF172" s="21">
        <v>10.403</v>
      </c>
      <c r="AG172" s="26">
        <v>45472</v>
      </c>
      <c r="AH172" s="27">
        <v>0.31167824074074074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s="77"/>
    </row>
    <row r="173" spans="1:47" x14ac:dyDescent="0.25">
      <c r="A173" s="44">
        <v>4</v>
      </c>
      <c r="B173" s="44" t="s">
        <v>7</v>
      </c>
      <c r="C173" s="46">
        <v>25728</v>
      </c>
      <c r="D173" s="46">
        <v>128</v>
      </c>
      <c r="E173" s="46">
        <v>4</v>
      </c>
      <c r="F173" s="46">
        <v>4</v>
      </c>
      <c r="G173" s="47">
        <v>1074.71</v>
      </c>
      <c r="H173" s="51">
        <v>10.565</v>
      </c>
      <c r="I173" s="17">
        <v>45465</v>
      </c>
      <c r="J173" s="18">
        <v>0.46331018518518519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s="76"/>
      <c r="Y173">
        <v>4</v>
      </c>
      <c r="Z173" t="s">
        <v>7</v>
      </c>
      <c r="AA173">
        <v>25728</v>
      </c>
      <c r="AB173">
        <v>128</v>
      </c>
      <c r="AC173">
        <v>4</v>
      </c>
      <c r="AD173">
        <v>4</v>
      </c>
      <c r="AE173">
        <v>1094.77</v>
      </c>
      <c r="AF173" s="21">
        <v>10.372</v>
      </c>
      <c r="AG173" s="26">
        <v>45473</v>
      </c>
      <c r="AH173" s="27">
        <v>0.36658564814814815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s="77"/>
    </row>
    <row r="174" spans="1:47" x14ac:dyDescent="0.25">
      <c r="A174" s="42">
        <v>0</v>
      </c>
      <c r="B174" s="42" t="s">
        <v>7</v>
      </c>
      <c r="C174" s="43">
        <v>27264</v>
      </c>
      <c r="D174" s="43">
        <v>128</v>
      </c>
      <c r="E174" s="43">
        <v>4</v>
      </c>
      <c r="F174" s="43">
        <v>4</v>
      </c>
      <c r="G174" s="43">
        <v>1243.5</v>
      </c>
      <c r="H174" s="50">
        <v>10.866</v>
      </c>
      <c r="I174" s="23">
        <v>45459</v>
      </c>
      <c r="J174" s="24">
        <v>0.33207175925925925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76">
        <f t="shared" ref="W174" si="68">AVERAGE(H174:H178)</f>
        <v>10.8546</v>
      </c>
      <c r="Y174">
        <v>0</v>
      </c>
      <c r="Z174" t="s">
        <v>7</v>
      </c>
      <c r="AA174">
        <v>27264</v>
      </c>
      <c r="AB174">
        <v>128</v>
      </c>
      <c r="AC174">
        <v>4</v>
      </c>
      <c r="AD174">
        <v>4</v>
      </c>
      <c r="AE174">
        <v>1252.99</v>
      </c>
      <c r="AF174" s="21">
        <v>10.784000000000001</v>
      </c>
      <c r="AG174" s="26">
        <v>45469</v>
      </c>
      <c r="AH174" s="27">
        <v>0.14052083333333334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s="77">
        <f t="shared" ref="AU174" si="69">AVERAGE(AF174:AF178)</f>
        <v>10.757200000000001</v>
      </c>
    </row>
    <row r="175" spans="1:47" x14ac:dyDescent="0.25">
      <c r="A175" s="44">
        <v>1</v>
      </c>
      <c r="B175" s="44" t="s">
        <v>7</v>
      </c>
      <c r="C175" s="45">
        <v>27264</v>
      </c>
      <c r="D175" s="45">
        <v>128</v>
      </c>
      <c r="E175" s="45">
        <v>4</v>
      </c>
      <c r="F175" s="45">
        <v>4</v>
      </c>
      <c r="G175" s="45">
        <v>1242.67</v>
      </c>
      <c r="H175" s="51">
        <v>10.872999999999999</v>
      </c>
      <c r="I175" s="17">
        <v>45460</v>
      </c>
      <c r="J175" s="18">
        <v>0.35099537037037037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76"/>
      <c r="Y175">
        <v>1</v>
      </c>
      <c r="Z175" t="s">
        <v>7</v>
      </c>
      <c r="AA175">
        <v>27264</v>
      </c>
      <c r="AB175">
        <v>128</v>
      </c>
      <c r="AC175">
        <v>4</v>
      </c>
      <c r="AD175">
        <v>4</v>
      </c>
      <c r="AE175">
        <v>1254.75</v>
      </c>
      <c r="AF175" s="21">
        <v>10.769</v>
      </c>
      <c r="AG175" s="26">
        <v>45470</v>
      </c>
      <c r="AH175" s="27">
        <v>0.19060185185185186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s="77"/>
    </row>
    <row r="176" spans="1:47" x14ac:dyDescent="0.25">
      <c r="A176" s="44">
        <v>2</v>
      </c>
      <c r="B176" s="44" t="s">
        <v>7</v>
      </c>
      <c r="C176" s="46">
        <v>27264</v>
      </c>
      <c r="D176" s="46">
        <v>128</v>
      </c>
      <c r="E176" s="46">
        <v>4</v>
      </c>
      <c r="F176" s="46">
        <v>4</v>
      </c>
      <c r="G176" s="47">
        <v>1243.3499999999999</v>
      </c>
      <c r="H176" s="51">
        <v>10.867000000000001</v>
      </c>
      <c r="I176" s="17">
        <v>45461</v>
      </c>
      <c r="J176" s="18">
        <v>0.37085648148148148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s="76"/>
      <c r="Y176">
        <v>2</v>
      </c>
      <c r="Z176" t="s">
        <v>7</v>
      </c>
      <c r="AA176">
        <v>27264</v>
      </c>
      <c r="AB176">
        <v>128</v>
      </c>
      <c r="AC176">
        <v>4</v>
      </c>
      <c r="AD176">
        <v>4</v>
      </c>
      <c r="AE176">
        <v>1260.19</v>
      </c>
      <c r="AF176" s="21">
        <v>10.722</v>
      </c>
      <c r="AG176" s="26">
        <v>45471</v>
      </c>
      <c r="AH176" s="27">
        <v>0.58386574074074071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s="77"/>
    </row>
    <row r="177" spans="1:47" x14ac:dyDescent="0.25">
      <c r="A177" s="44">
        <v>3</v>
      </c>
      <c r="B177" s="44" t="s">
        <v>7</v>
      </c>
      <c r="C177" s="46">
        <v>27264</v>
      </c>
      <c r="D177" s="46">
        <v>128</v>
      </c>
      <c r="E177" s="46">
        <v>4</v>
      </c>
      <c r="F177" s="46">
        <v>4</v>
      </c>
      <c r="G177" s="47">
        <v>1248.79</v>
      </c>
      <c r="H177" s="51">
        <v>10.82</v>
      </c>
      <c r="I177" s="17">
        <v>45464</v>
      </c>
      <c r="J177" s="18">
        <v>0.75987268518518514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76"/>
      <c r="Y177">
        <v>3</v>
      </c>
      <c r="Z177" t="s">
        <v>7</v>
      </c>
      <c r="AA177">
        <v>27264</v>
      </c>
      <c r="AB177">
        <v>128</v>
      </c>
      <c r="AC177">
        <v>4</v>
      </c>
      <c r="AD177">
        <v>4</v>
      </c>
      <c r="AE177">
        <v>1256.8900000000001</v>
      </c>
      <c r="AF177" s="21">
        <v>10.75</v>
      </c>
      <c r="AG177" s="26">
        <v>45472</v>
      </c>
      <c r="AH177" s="27">
        <v>0.63813657407407409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s="77"/>
    </row>
    <row r="178" spans="1:47" x14ac:dyDescent="0.25">
      <c r="A178" s="44">
        <v>4</v>
      </c>
      <c r="B178" s="44" t="s">
        <v>7</v>
      </c>
      <c r="C178" s="46">
        <v>27264</v>
      </c>
      <c r="D178" s="46">
        <v>128</v>
      </c>
      <c r="E178" s="46">
        <v>4</v>
      </c>
      <c r="F178" s="46">
        <v>4</v>
      </c>
      <c r="G178" s="47">
        <v>1245.72</v>
      </c>
      <c r="H178" s="51">
        <v>10.847</v>
      </c>
      <c r="I178" s="17">
        <v>45465</v>
      </c>
      <c r="J178" s="18">
        <v>0.7777546296296296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s="76"/>
      <c r="Y178">
        <v>4</v>
      </c>
      <c r="Z178" t="s">
        <v>7</v>
      </c>
      <c r="AA178">
        <v>27264</v>
      </c>
      <c r="AB178">
        <v>128</v>
      </c>
      <c r="AC178">
        <v>4</v>
      </c>
      <c r="AD178">
        <v>4</v>
      </c>
      <c r="AE178">
        <v>1255.6300000000001</v>
      </c>
      <c r="AF178" s="21">
        <v>10.760999999999999</v>
      </c>
      <c r="AG178" s="26">
        <v>45473</v>
      </c>
      <c r="AH178" s="27">
        <v>0.69241898148148151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s="77"/>
    </row>
    <row r="179" spans="1:47" x14ac:dyDescent="0.25">
      <c r="A179" s="42">
        <v>0</v>
      </c>
      <c r="B179" s="42" t="s">
        <v>7</v>
      </c>
      <c r="C179" s="43">
        <v>28800</v>
      </c>
      <c r="D179" s="43">
        <v>128</v>
      </c>
      <c r="E179" s="43">
        <v>4</v>
      </c>
      <c r="F179" s="43">
        <v>4</v>
      </c>
      <c r="G179" s="43">
        <v>1438.19</v>
      </c>
      <c r="H179" s="50">
        <v>11.074</v>
      </c>
      <c r="I179" s="23">
        <v>45459</v>
      </c>
      <c r="J179" s="24">
        <v>0.69636574074074076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76">
        <f t="shared" ref="W179" si="70">AVERAGE(H179:H183)</f>
        <v>11.0824</v>
      </c>
      <c r="Y179">
        <v>0</v>
      </c>
      <c r="Z179" t="s">
        <v>7</v>
      </c>
      <c r="AA179">
        <v>28800</v>
      </c>
      <c r="AB179">
        <v>128</v>
      </c>
      <c r="AC179">
        <v>4</v>
      </c>
      <c r="AD179">
        <v>4</v>
      </c>
      <c r="AE179">
        <v>1426.38</v>
      </c>
      <c r="AF179" s="21">
        <v>11.166</v>
      </c>
      <c r="AG179" s="26">
        <v>45469</v>
      </c>
      <c r="AH179" s="27">
        <v>0.51460648148148147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s="77">
        <f t="shared" ref="AU179" si="71">AVERAGE(AF179:AF183)</f>
        <v>11.082399999999998</v>
      </c>
    </row>
    <row r="180" spans="1:47" x14ac:dyDescent="0.25">
      <c r="A180" s="44">
        <v>1</v>
      </c>
      <c r="B180" s="44" t="s">
        <v>7</v>
      </c>
      <c r="C180" s="45">
        <v>28800</v>
      </c>
      <c r="D180" s="45">
        <v>128</v>
      </c>
      <c r="E180" s="45">
        <v>4</v>
      </c>
      <c r="F180" s="45">
        <v>4</v>
      </c>
      <c r="G180" s="45">
        <v>1434.77</v>
      </c>
      <c r="H180" s="51">
        <v>11.1</v>
      </c>
      <c r="I180" s="17">
        <v>45460</v>
      </c>
      <c r="J180" s="18">
        <v>0.71461805555555558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76"/>
      <c r="Y180">
        <v>1</v>
      </c>
      <c r="Z180" t="s">
        <v>7</v>
      </c>
      <c r="AA180">
        <v>28800</v>
      </c>
      <c r="AB180">
        <v>128</v>
      </c>
      <c r="AC180">
        <v>4</v>
      </c>
      <c r="AD180">
        <v>4</v>
      </c>
      <c r="AE180">
        <v>1443.64</v>
      </c>
      <c r="AF180" s="21">
        <v>11.032</v>
      </c>
      <c r="AG180" s="26">
        <v>45470</v>
      </c>
      <c r="AH180" s="27">
        <v>0.9042824074074074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s="77"/>
    </row>
    <row r="181" spans="1:47" x14ac:dyDescent="0.25">
      <c r="A181" s="44">
        <v>2</v>
      </c>
      <c r="B181" s="44" t="s">
        <v>7</v>
      </c>
      <c r="C181" s="46">
        <v>28800</v>
      </c>
      <c r="D181" s="46">
        <v>128</v>
      </c>
      <c r="E181" s="46">
        <v>4</v>
      </c>
      <c r="F181" s="46">
        <v>4</v>
      </c>
      <c r="G181" s="47">
        <v>1435.88</v>
      </c>
      <c r="H181" s="51">
        <v>11.092000000000001</v>
      </c>
      <c r="I181" s="17">
        <v>45462</v>
      </c>
      <c r="J181" s="18">
        <v>4.7291666666666669E-2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76"/>
      <c r="Y181">
        <v>2</v>
      </c>
      <c r="Z181" t="s">
        <v>7</v>
      </c>
      <c r="AA181">
        <v>28800</v>
      </c>
      <c r="AB181">
        <v>128</v>
      </c>
      <c r="AC181">
        <v>4</v>
      </c>
      <c r="AD181">
        <v>4</v>
      </c>
      <c r="AE181">
        <v>1440.57</v>
      </c>
      <c r="AF181" s="21">
        <v>11.055999999999999</v>
      </c>
      <c r="AG181" s="26">
        <v>45471</v>
      </c>
      <c r="AH181" s="27">
        <v>0.95864583333333331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s="77"/>
    </row>
    <row r="182" spans="1:47" x14ac:dyDescent="0.25">
      <c r="A182" s="44">
        <v>3</v>
      </c>
      <c r="B182" s="44" t="s">
        <v>7</v>
      </c>
      <c r="C182" s="46">
        <v>28800</v>
      </c>
      <c r="D182" s="46">
        <v>128</v>
      </c>
      <c r="E182" s="46">
        <v>4</v>
      </c>
      <c r="F182" s="46">
        <v>4</v>
      </c>
      <c r="G182" s="47">
        <v>1437.44</v>
      </c>
      <c r="H182" s="51">
        <v>11.08</v>
      </c>
      <c r="I182" s="17">
        <v>45465</v>
      </c>
      <c r="J182" s="18">
        <v>0.12399305555555555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76"/>
      <c r="Y182">
        <v>3</v>
      </c>
      <c r="Z182" t="s">
        <v>7</v>
      </c>
      <c r="AA182">
        <v>28800</v>
      </c>
      <c r="AB182">
        <v>128</v>
      </c>
      <c r="AC182">
        <v>4</v>
      </c>
      <c r="AD182">
        <v>4</v>
      </c>
      <c r="AE182">
        <v>1438</v>
      </c>
      <c r="AF182" s="21">
        <v>11.074999999999999</v>
      </c>
      <c r="AG182" s="26">
        <v>45473</v>
      </c>
      <c r="AH182" s="27">
        <v>1.3530092592592592E-2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s="77"/>
    </row>
    <row r="183" spans="1:47" x14ac:dyDescent="0.25">
      <c r="A183" s="44">
        <v>4</v>
      </c>
      <c r="B183" s="44" t="s">
        <v>7</v>
      </c>
      <c r="C183" s="46">
        <v>28800</v>
      </c>
      <c r="D183" s="46">
        <v>128</v>
      </c>
      <c r="E183" s="46">
        <v>4</v>
      </c>
      <c r="F183" s="46">
        <v>4</v>
      </c>
      <c r="G183" s="47">
        <v>1439.25</v>
      </c>
      <c r="H183" s="51">
        <v>11.066000000000001</v>
      </c>
      <c r="I183" s="17">
        <v>45466</v>
      </c>
      <c r="J183" s="18">
        <v>0.14142361111111112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76"/>
      <c r="Y183">
        <v>4</v>
      </c>
      <c r="Z183" t="s">
        <v>7</v>
      </c>
      <c r="AA183">
        <v>28800</v>
      </c>
      <c r="AB183">
        <v>128</v>
      </c>
      <c r="AC183">
        <v>4</v>
      </c>
      <c r="AD183">
        <v>4</v>
      </c>
      <c r="AE183">
        <v>1437.05</v>
      </c>
      <c r="AF183" s="21">
        <v>11.083</v>
      </c>
      <c r="AG183" s="26">
        <v>45474</v>
      </c>
      <c r="AH183" s="27">
        <v>6.761574074074074E-2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s="77"/>
    </row>
    <row r="184" spans="1:47" x14ac:dyDescent="0.25">
      <c r="A184" s="42">
        <v>0</v>
      </c>
      <c r="B184" s="42" t="s">
        <v>7</v>
      </c>
      <c r="C184" s="43">
        <v>25600</v>
      </c>
      <c r="D184" s="43">
        <v>160</v>
      </c>
      <c r="E184" s="43">
        <v>1</v>
      </c>
      <c r="F184" s="43">
        <v>16</v>
      </c>
      <c r="G184" s="43">
        <v>1052.52</v>
      </c>
      <c r="H184" s="50">
        <v>10.628</v>
      </c>
      <c r="I184" s="23">
        <v>45459</v>
      </c>
      <c r="J184" s="24">
        <v>2.9594907407407407E-2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76">
        <f t="shared" ref="W184" si="72">AVERAGE(H184:H188)</f>
        <v>10.618799999999998</v>
      </c>
      <c r="Y184">
        <v>0</v>
      </c>
      <c r="Z184" t="s">
        <v>7</v>
      </c>
      <c r="AA184">
        <v>25600</v>
      </c>
      <c r="AB184">
        <v>160</v>
      </c>
      <c r="AC184">
        <v>1</v>
      </c>
      <c r="AD184">
        <v>16</v>
      </c>
      <c r="AE184">
        <v>912.95</v>
      </c>
      <c r="AF184" s="21">
        <v>12.252000000000001</v>
      </c>
      <c r="AG184" s="26">
        <v>45468</v>
      </c>
      <c r="AH184" s="27">
        <v>0.82589120370370372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s="77">
        <f t="shared" ref="AU184" si="73">AVERAGE(AF184:AF188)</f>
        <v>12.233799999999999</v>
      </c>
    </row>
    <row r="185" spans="1:47" x14ac:dyDescent="0.25">
      <c r="A185" s="44">
        <v>1</v>
      </c>
      <c r="B185" s="44" t="s">
        <v>7</v>
      </c>
      <c r="C185" s="45">
        <v>25600</v>
      </c>
      <c r="D185" s="45">
        <v>160</v>
      </c>
      <c r="E185" s="45">
        <v>1</v>
      </c>
      <c r="F185" s="45">
        <v>16</v>
      </c>
      <c r="G185" s="45">
        <v>1050.78</v>
      </c>
      <c r="H185" s="51">
        <v>10.645</v>
      </c>
      <c r="I185" s="17">
        <v>45460</v>
      </c>
      <c r="J185" s="18">
        <v>4.9247685185185186E-2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s="76"/>
      <c r="Y185">
        <v>1</v>
      </c>
      <c r="Z185" t="s">
        <v>7</v>
      </c>
      <c r="AA185">
        <v>25600</v>
      </c>
      <c r="AB185">
        <v>160</v>
      </c>
      <c r="AC185">
        <v>1</v>
      </c>
      <c r="AD185">
        <v>16</v>
      </c>
      <c r="AE185">
        <v>906.03</v>
      </c>
      <c r="AF185" s="21">
        <v>12.346</v>
      </c>
      <c r="AG185" s="26">
        <v>45469</v>
      </c>
      <c r="AH185" s="27">
        <v>0.87725694444444446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s="77"/>
    </row>
    <row r="186" spans="1:47" x14ac:dyDescent="0.25">
      <c r="A186" s="44">
        <v>2</v>
      </c>
      <c r="B186" s="44" t="s">
        <v>7</v>
      </c>
      <c r="C186" s="46">
        <v>25600</v>
      </c>
      <c r="D186" s="46">
        <v>160</v>
      </c>
      <c r="E186" s="46">
        <v>1</v>
      </c>
      <c r="F186" s="46">
        <v>16</v>
      </c>
      <c r="G186" s="47">
        <v>1052.5899999999999</v>
      </c>
      <c r="H186" s="51">
        <v>10.627000000000001</v>
      </c>
      <c r="I186" s="17">
        <v>45461</v>
      </c>
      <c r="J186" s="18">
        <v>6.895833333333333E-2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76"/>
      <c r="Y186">
        <v>2</v>
      </c>
      <c r="Z186" t="s">
        <v>7</v>
      </c>
      <c r="AA186">
        <v>25600</v>
      </c>
      <c r="AB186">
        <v>160</v>
      </c>
      <c r="AC186">
        <v>1</v>
      </c>
      <c r="AD186">
        <v>16</v>
      </c>
      <c r="AE186">
        <v>923.44</v>
      </c>
      <c r="AF186" s="21">
        <v>12.113</v>
      </c>
      <c r="AG186" s="26">
        <v>45471</v>
      </c>
      <c r="AH186" s="27">
        <v>0.26898148148148149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s="77"/>
    </row>
    <row r="187" spans="1:47" x14ac:dyDescent="0.25">
      <c r="A187" s="44">
        <v>3</v>
      </c>
      <c r="B187" s="44" t="s">
        <v>7</v>
      </c>
      <c r="C187" s="46">
        <v>25600</v>
      </c>
      <c r="D187" s="46">
        <v>160</v>
      </c>
      <c r="E187" s="46">
        <v>1</v>
      </c>
      <c r="F187" s="46">
        <v>16</v>
      </c>
      <c r="G187" s="47">
        <v>1055.18</v>
      </c>
      <c r="H187" s="51">
        <v>10.601000000000001</v>
      </c>
      <c r="I187" s="17">
        <v>45462</v>
      </c>
      <c r="J187" s="18">
        <v>0.39944444444444444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76"/>
      <c r="Y187">
        <v>3</v>
      </c>
      <c r="Z187" t="s">
        <v>7</v>
      </c>
      <c r="AA187">
        <v>25600</v>
      </c>
      <c r="AB187">
        <v>160</v>
      </c>
      <c r="AC187">
        <v>1</v>
      </c>
      <c r="AD187">
        <v>16</v>
      </c>
      <c r="AE187">
        <v>912.45</v>
      </c>
      <c r="AF187" s="21">
        <v>12.259</v>
      </c>
      <c r="AG187" s="26">
        <v>45472</v>
      </c>
      <c r="AH187" s="27">
        <v>0.32328703703703704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s="77"/>
    </row>
    <row r="188" spans="1:47" x14ac:dyDescent="0.25">
      <c r="A188" s="44">
        <v>4</v>
      </c>
      <c r="B188" s="44" t="s">
        <v>7</v>
      </c>
      <c r="C188" s="46">
        <v>25600</v>
      </c>
      <c r="D188" s="46">
        <v>160</v>
      </c>
      <c r="E188" s="46">
        <v>1</v>
      </c>
      <c r="F188" s="46">
        <v>16</v>
      </c>
      <c r="G188" s="47">
        <v>1055.95</v>
      </c>
      <c r="H188" s="51">
        <v>10.593</v>
      </c>
      <c r="I188" s="17">
        <v>45465</v>
      </c>
      <c r="J188" s="18">
        <v>0.47582175925925924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76"/>
      <c r="Y188">
        <v>4</v>
      </c>
      <c r="Z188" t="s">
        <v>7</v>
      </c>
      <c r="AA188">
        <v>25600</v>
      </c>
      <c r="AB188">
        <v>160</v>
      </c>
      <c r="AC188">
        <v>1</v>
      </c>
      <c r="AD188">
        <v>16</v>
      </c>
      <c r="AE188">
        <v>916.94</v>
      </c>
      <c r="AF188" s="21">
        <v>12.199</v>
      </c>
      <c r="AG188" s="26">
        <v>45473</v>
      </c>
      <c r="AH188" s="27">
        <v>0.37825231481481481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s="77"/>
    </row>
    <row r="189" spans="1:47" x14ac:dyDescent="0.25">
      <c r="A189" s="42">
        <v>0</v>
      </c>
      <c r="B189" s="42" t="s">
        <v>7</v>
      </c>
      <c r="C189" s="43">
        <v>27200</v>
      </c>
      <c r="D189" s="43">
        <v>160</v>
      </c>
      <c r="E189" s="43">
        <v>1</v>
      </c>
      <c r="F189" s="43">
        <v>16</v>
      </c>
      <c r="G189" s="43">
        <v>1247.9100000000001</v>
      </c>
      <c r="H189" s="50">
        <v>10.750999999999999</v>
      </c>
      <c r="I189" s="23">
        <v>45459</v>
      </c>
      <c r="J189" s="24">
        <v>0.34682870370370372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76">
        <f t="shared" ref="W189" si="74">AVERAGE(H189:H193)</f>
        <v>10.739599999999999</v>
      </c>
      <c r="Y189">
        <v>0</v>
      </c>
      <c r="Z189" t="s">
        <v>7</v>
      </c>
      <c r="AA189">
        <v>27200</v>
      </c>
      <c r="AB189">
        <v>160</v>
      </c>
      <c r="AC189">
        <v>1</v>
      </c>
      <c r="AD189">
        <v>16</v>
      </c>
      <c r="AE189">
        <v>1066.56</v>
      </c>
      <c r="AF189" s="21">
        <v>12.58</v>
      </c>
      <c r="AG189" s="26">
        <v>45469</v>
      </c>
      <c r="AH189" s="27">
        <v>0.15407407407407409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s="77">
        <f t="shared" ref="AU189" si="75">AVERAGE(AF189:AF193)</f>
        <v>12.534800000000001</v>
      </c>
    </row>
    <row r="190" spans="1:47" x14ac:dyDescent="0.25">
      <c r="A190" s="44">
        <v>1</v>
      </c>
      <c r="B190" s="44" t="s">
        <v>7</v>
      </c>
      <c r="C190" s="45">
        <v>27200</v>
      </c>
      <c r="D190" s="45">
        <v>160</v>
      </c>
      <c r="E190" s="45">
        <v>1</v>
      </c>
      <c r="F190" s="45">
        <v>16</v>
      </c>
      <c r="G190" s="45">
        <v>1248.25</v>
      </c>
      <c r="H190" s="51">
        <v>10.749000000000001</v>
      </c>
      <c r="I190" s="17">
        <v>45460</v>
      </c>
      <c r="J190" s="18">
        <v>0.36575231481481479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76"/>
      <c r="Y190">
        <v>1</v>
      </c>
      <c r="Z190" t="s">
        <v>7</v>
      </c>
      <c r="AA190">
        <v>27200</v>
      </c>
      <c r="AB190">
        <v>160</v>
      </c>
      <c r="AC190">
        <v>1</v>
      </c>
      <c r="AD190">
        <v>16</v>
      </c>
      <c r="AE190">
        <v>1064.79</v>
      </c>
      <c r="AF190" s="21">
        <v>12.6</v>
      </c>
      <c r="AG190" s="26">
        <v>45470</v>
      </c>
      <c r="AH190" s="27">
        <v>0.20414351851851853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s="77"/>
    </row>
    <row r="191" spans="1:47" x14ac:dyDescent="0.25">
      <c r="A191" s="44">
        <v>2</v>
      </c>
      <c r="B191" s="44" t="s">
        <v>7</v>
      </c>
      <c r="C191" s="46">
        <v>27200</v>
      </c>
      <c r="D191" s="46">
        <v>160</v>
      </c>
      <c r="E191" s="46">
        <v>1</v>
      </c>
      <c r="F191" s="46">
        <v>16</v>
      </c>
      <c r="G191" s="47">
        <v>1251.83</v>
      </c>
      <c r="H191" s="51">
        <v>10.718</v>
      </c>
      <c r="I191" s="17">
        <v>45461</v>
      </c>
      <c r="J191" s="18">
        <v>0.38565972222222222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s="76"/>
      <c r="Y191">
        <v>2</v>
      </c>
      <c r="Z191" t="s">
        <v>7</v>
      </c>
      <c r="AA191">
        <v>27200</v>
      </c>
      <c r="AB191">
        <v>160</v>
      </c>
      <c r="AC191">
        <v>1</v>
      </c>
      <c r="AD191">
        <v>16</v>
      </c>
      <c r="AE191">
        <v>1073.1199999999999</v>
      </c>
      <c r="AF191" s="21">
        <v>12.503</v>
      </c>
      <c r="AG191" s="26">
        <v>45471</v>
      </c>
      <c r="AH191" s="27">
        <v>0.59750000000000003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s="77"/>
    </row>
    <row r="192" spans="1:47" x14ac:dyDescent="0.25">
      <c r="A192" s="44">
        <v>3</v>
      </c>
      <c r="B192" s="44" t="s">
        <v>7</v>
      </c>
      <c r="C192" s="46">
        <v>27200</v>
      </c>
      <c r="D192" s="46">
        <v>160</v>
      </c>
      <c r="E192" s="46">
        <v>1</v>
      </c>
      <c r="F192" s="46">
        <v>16</v>
      </c>
      <c r="G192" s="47">
        <v>1244.3699999999999</v>
      </c>
      <c r="H192" s="51">
        <v>10.782</v>
      </c>
      <c r="I192" s="17">
        <v>45464</v>
      </c>
      <c r="J192" s="18">
        <v>0.77459490740740744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s="76"/>
      <c r="Y192">
        <v>3</v>
      </c>
      <c r="Z192" t="s">
        <v>7</v>
      </c>
      <c r="AA192">
        <v>27200</v>
      </c>
      <c r="AB192">
        <v>160</v>
      </c>
      <c r="AC192">
        <v>1</v>
      </c>
      <c r="AD192">
        <v>16</v>
      </c>
      <c r="AE192">
        <v>1073.97</v>
      </c>
      <c r="AF192" s="21">
        <v>12.493</v>
      </c>
      <c r="AG192" s="26">
        <v>45472</v>
      </c>
      <c r="AH192" s="27">
        <v>0.65178240740740745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s="77"/>
    </row>
    <row r="193" spans="1:47" x14ac:dyDescent="0.25">
      <c r="A193" s="44">
        <v>4</v>
      </c>
      <c r="B193" s="44" t="s">
        <v>7</v>
      </c>
      <c r="C193" s="46">
        <v>27200</v>
      </c>
      <c r="D193" s="46">
        <v>160</v>
      </c>
      <c r="E193" s="46">
        <v>1</v>
      </c>
      <c r="F193" s="46">
        <v>16</v>
      </c>
      <c r="G193" s="47">
        <v>1254.0999999999999</v>
      </c>
      <c r="H193" s="51">
        <v>10.698</v>
      </c>
      <c r="I193" s="17">
        <v>45465</v>
      </c>
      <c r="J193" s="18">
        <v>0.79258101851851848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s="76"/>
      <c r="Y193">
        <v>4</v>
      </c>
      <c r="Z193" t="s">
        <v>7</v>
      </c>
      <c r="AA193">
        <v>27200</v>
      </c>
      <c r="AB193">
        <v>160</v>
      </c>
      <c r="AC193">
        <v>1</v>
      </c>
      <c r="AD193">
        <v>16</v>
      </c>
      <c r="AE193">
        <v>1073.53</v>
      </c>
      <c r="AF193" s="21">
        <v>12.497999999999999</v>
      </c>
      <c r="AG193" s="26">
        <v>45473</v>
      </c>
      <c r="AH193" s="27">
        <v>0.70606481481481487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s="77"/>
    </row>
    <row r="194" spans="1:47" x14ac:dyDescent="0.25">
      <c r="A194" s="42">
        <v>0</v>
      </c>
      <c r="B194" s="42" t="s">
        <v>7</v>
      </c>
      <c r="C194" s="43">
        <v>28800</v>
      </c>
      <c r="D194" s="43">
        <v>160</v>
      </c>
      <c r="E194" s="43">
        <v>1</v>
      </c>
      <c r="F194" s="43">
        <v>16</v>
      </c>
      <c r="G194" s="43">
        <v>1433.59</v>
      </c>
      <c r="H194" s="50">
        <v>11.11</v>
      </c>
      <c r="I194" s="23">
        <v>45459</v>
      </c>
      <c r="J194" s="24">
        <v>0.7134490740740741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76">
        <f t="shared" ref="W194" si="76">AVERAGE(H194:H198)</f>
        <v>11.148799999999998</v>
      </c>
      <c r="Y194">
        <v>0</v>
      </c>
      <c r="Z194" t="s">
        <v>7</v>
      </c>
      <c r="AA194">
        <v>28800</v>
      </c>
      <c r="AB194">
        <v>160</v>
      </c>
      <c r="AC194">
        <v>1</v>
      </c>
      <c r="AD194">
        <v>16</v>
      </c>
      <c r="AE194">
        <v>1239.46</v>
      </c>
      <c r="AF194" s="21">
        <v>12.85</v>
      </c>
      <c r="AG194" s="26">
        <v>45469</v>
      </c>
      <c r="AH194" s="27">
        <v>0.53049768518518514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s="77">
        <f t="shared" ref="AU194" si="77">AVERAGE(AF194:AF198)</f>
        <v>12.846800000000002</v>
      </c>
    </row>
    <row r="195" spans="1:47" x14ac:dyDescent="0.25">
      <c r="A195" s="44">
        <v>1</v>
      </c>
      <c r="B195" s="44" t="s">
        <v>7</v>
      </c>
      <c r="C195" s="45">
        <v>28800</v>
      </c>
      <c r="D195" s="45">
        <v>160</v>
      </c>
      <c r="E195" s="45">
        <v>1</v>
      </c>
      <c r="F195" s="45">
        <v>16</v>
      </c>
      <c r="G195" s="45">
        <v>1429.7</v>
      </c>
      <c r="H195" s="51">
        <v>11.14</v>
      </c>
      <c r="I195" s="17">
        <v>45460</v>
      </c>
      <c r="J195" s="18">
        <v>0.73160879629629627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76"/>
      <c r="Y195">
        <v>1</v>
      </c>
      <c r="Z195" t="s">
        <v>7</v>
      </c>
      <c r="AA195">
        <v>28800</v>
      </c>
      <c r="AB195">
        <v>160</v>
      </c>
      <c r="AC195">
        <v>1</v>
      </c>
      <c r="AD195">
        <v>16</v>
      </c>
      <c r="AE195">
        <v>1242.1500000000001</v>
      </c>
      <c r="AF195" s="21">
        <v>12.821999999999999</v>
      </c>
      <c r="AG195" s="26">
        <v>45470</v>
      </c>
      <c r="AH195" s="27">
        <v>0.92020833333333329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s="77"/>
    </row>
    <row r="196" spans="1:47" x14ac:dyDescent="0.25">
      <c r="A196" s="44">
        <v>2</v>
      </c>
      <c r="B196" s="44" t="s">
        <v>7</v>
      </c>
      <c r="C196" s="46">
        <v>28800</v>
      </c>
      <c r="D196" s="46">
        <v>160</v>
      </c>
      <c r="E196" s="46">
        <v>1</v>
      </c>
      <c r="F196" s="46">
        <v>16</v>
      </c>
      <c r="G196" s="47">
        <v>1429.47</v>
      </c>
      <c r="H196" s="51">
        <v>11.141999999999999</v>
      </c>
      <c r="I196" s="17">
        <v>45462</v>
      </c>
      <c r="J196" s="18">
        <v>6.4259259259259266E-2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s="76"/>
      <c r="Y196">
        <v>2</v>
      </c>
      <c r="Z196" t="s">
        <v>7</v>
      </c>
      <c r="AA196">
        <v>28800</v>
      </c>
      <c r="AB196">
        <v>160</v>
      </c>
      <c r="AC196">
        <v>1</v>
      </c>
      <c r="AD196">
        <v>16</v>
      </c>
      <c r="AE196">
        <v>1238.54</v>
      </c>
      <c r="AF196" s="21">
        <v>12.859</v>
      </c>
      <c r="AG196" s="26">
        <v>45471</v>
      </c>
      <c r="AH196" s="27">
        <v>0.97449074074074071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s="77"/>
    </row>
    <row r="197" spans="1:47" x14ac:dyDescent="0.25">
      <c r="A197" s="44">
        <v>3</v>
      </c>
      <c r="B197" s="44" t="s">
        <v>7</v>
      </c>
      <c r="C197" s="46">
        <v>28800</v>
      </c>
      <c r="D197" s="46">
        <v>160</v>
      </c>
      <c r="E197" s="46">
        <v>1</v>
      </c>
      <c r="F197" s="46">
        <v>16</v>
      </c>
      <c r="G197" s="47">
        <v>1425.6</v>
      </c>
      <c r="H197" s="51">
        <v>11.172000000000001</v>
      </c>
      <c r="I197" s="17">
        <v>45465</v>
      </c>
      <c r="J197" s="18">
        <v>0.14096064814814815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76"/>
      <c r="Y197">
        <v>3</v>
      </c>
      <c r="Z197" t="s">
        <v>7</v>
      </c>
      <c r="AA197">
        <v>28800</v>
      </c>
      <c r="AB197">
        <v>160</v>
      </c>
      <c r="AC197">
        <v>1</v>
      </c>
      <c r="AD197">
        <v>16</v>
      </c>
      <c r="AE197">
        <v>1245.17</v>
      </c>
      <c r="AF197" s="21">
        <v>12.791</v>
      </c>
      <c r="AG197" s="26">
        <v>45473</v>
      </c>
      <c r="AH197" s="27">
        <v>2.9409722222222223E-2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s="77"/>
    </row>
    <row r="198" spans="1:47" x14ac:dyDescent="0.25">
      <c r="A198" s="44">
        <v>4</v>
      </c>
      <c r="B198" s="44" t="s">
        <v>7</v>
      </c>
      <c r="C198" s="46">
        <v>28800</v>
      </c>
      <c r="D198" s="46">
        <v>160</v>
      </c>
      <c r="E198" s="46">
        <v>1</v>
      </c>
      <c r="F198" s="46">
        <v>16</v>
      </c>
      <c r="G198" s="47">
        <v>1424.5</v>
      </c>
      <c r="H198" s="51">
        <v>11.18</v>
      </c>
      <c r="I198" s="17">
        <v>45466</v>
      </c>
      <c r="J198" s="18">
        <v>0.15833333333333333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76"/>
      <c r="Y198">
        <v>4</v>
      </c>
      <c r="Z198" t="s">
        <v>7</v>
      </c>
      <c r="AA198">
        <v>28800</v>
      </c>
      <c r="AB198">
        <v>160</v>
      </c>
      <c r="AC198">
        <v>1</v>
      </c>
      <c r="AD198">
        <v>16</v>
      </c>
      <c r="AE198">
        <v>1233.46</v>
      </c>
      <c r="AF198" s="21">
        <v>12.912000000000001</v>
      </c>
      <c r="AG198" s="26">
        <v>45474</v>
      </c>
      <c r="AH198" s="27">
        <v>8.3402777777777784E-2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s="77"/>
    </row>
    <row r="199" spans="1:47" x14ac:dyDescent="0.25">
      <c r="A199" s="42">
        <v>0</v>
      </c>
      <c r="B199" s="42" t="s">
        <v>7</v>
      </c>
      <c r="C199" s="43">
        <v>25600</v>
      </c>
      <c r="D199" s="43">
        <v>160</v>
      </c>
      <c r="E199" s="43">
        <v>2</v>
      </c>
      <c r="F199" s="43">
        <v>8</v>
      </c>
      <c r="G199" s="43">
        <v>934.9</v>
      </c>
      <c r="H199" s="50">
        <v>11.965</v>
      </c>
      <c r="I199" s="23">
        <v>45459</v>
      </c>
      <c r="J199" s="24">
        <v>4.0682870370370369E-2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76">
        <f t="shared" ref="W199" si="78">AVERAGE(H199:H203)</f>
        <v>11.909000000000001</v>
      </c>
      <c r="Y199">
        <v>0</v>
      </c>
      <c r="Z199" t="s">
        <v>7</v>
      </c>
      <c r="AA199">
        <v>25600</v>
      </c>
      <c r="AB199">
        <v>160</v>
      </c>
      <c r="AC199">
        <v>2</v>
      </c>
      <c r="AD199">
        <v>8</v>
      </c>
      <c r="AE199">
        <v>915.47</v>
      </c>
      <c r="AF199" s="21">
        <v>12.218999999999999</v>
      </c>
      <c r="AG199" s="26">
        <v>45468</v>
      </c>
      <c r="AH199" s="27">
        <v>0.83753472222222225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s="77">
        <f t="shared" ref="AU199" si="79">AVERAGE(AF199:AF203)</f>
        <v>12.301400000000001</v>
      </c>
    </row>
    <row r="200" spans="1:47" x14ac:dyDescent="0.25">
      <c r="A200" s="44">
        <v>1</v>
      </c>
      <c r="B200" s="44" t="s">
        <v>7</v>
      </c>
      <c r="C200" s="45">
        <v>25600</v>
      </c>
      <c r="D200" s="45">
        <v>160</v>
      </c>
      <c r="E200" s="45">
        <v>2</v>
      </c>
      <c r="F200" s="45">
        <v>8</v>
      </c>
      <c r="G200" s="45">
        <v>939.47</v>
      </c>
      <c r="H200" s="51">
        <v>11.907</v>
      </c>
      <c r="I200" s="17">
        <v>45460</v>
      </c>
      <c r="J200" s="18">
        <v>6.039351851851852E-2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76"/>
      <c r="Y200">
        <v>1</v>
      </c>
      <c r="Z200" t="s">
        <v>7</v>
      </c>
      <c r="AA200">
        <v>25600</v>
      </c>
      <c r="AB200">
        <v>160</v>
      </c>
      <c r="AC200">
        <v>2</v>
      </c>
      <c r="AD200">
        <v>8</v>
      </c>
      <c r="AE200">
        <v>898.33</v>
      </c>
      <c r="AF200" s="21">
        <v>12.452</v>
      </c>
      <c r="AG200" s="26">
        <v>45469</v>
      </c>
      <c r="AH200" s="27">
        <v>0.88870370370370366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s="77"/>
    </row>
    <row r="201" spans="1:47" x14ac:dyDescent="0.25">
      <c r="A201" s="44">
        <v>2</v>
      </c>
      <c r="B201" s="44" t="s">
        <v>7</v>
      </c>
      <c r="C201" s="46">
        <v>25600</v>
      </c>
      <c r="D201" s="46">
        <v>160</v>
      </c>
      <c r="E201" s="46">
        <v>2</v>
      </c>
      <c r="F201" s="46">
        <v>8</v>
      </c>
      <c r="G201" s="47">
        <v>948.55</v>
      </c>
      <c r="H201" s="51">
        <v>11.792999999999999</v>
      </c>
      <c r="I201" s="17">
        <v>45461</v>
      </c>
      <c r="J201" s="18">
        <v>8.020833333333334E-2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s="76"/>
      <c r="Y201">
        <v>2</v>
      </c>
      <c r="Z201" t="s">
        <v>7</v>
      </c>
      <c r="AA201">
        <v>25600</v>
      </c>
      <c r="AB201">
        <v>160</v>
      </c>
      <c r="AC201">
        <v>2</v>
      </c>
      <c r="AD201">
        <v>8</v>
      </c>
      <c r="AE201">
        <v>916.11</v>
      </c>
      <c r="AF201" s="21">
        <v>12.21</v>
      </c>
      <c r="AG201" s="26">
        <v>45471</v>
      </c>
      <c r="AH201" s="27">
        <v>0.28062500000000001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s="77"/>
    </row>
    <row r="202" spans="1:47" x14ac:dyDescent="0.25">
      <c r="A202" s="44">
        <v>3</v>
      </c>
      <c r="B202" s="44" t="s">
        <v>7</v>
      </c>
      <c r="C202" s="46">
        <v>25600</v>
      </c>
      <c r="D202" s="46">
        <v>160</v>
      </c>
      <c r="E202" s="46">
        <v>2</v>
      </c>
      <c r="F202" s="46">
        <v>8</v>
      </c>
      <c r="G202" s="47">
        <v>934.51</v>
      </c>
      <c r="H202" s="51">
        <v>11.97</v>
      </c>
      <c r="I202" s="17">
        <v>45462</v>
      </c>
      <c r="J202" s="18">
        <v>0.41054398148148147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s="76"/>
      <c r="Y202">
        <v>3</v>
      </c>
      <c r="Z202" t="s">
        <v>7</v>
      </c>
      <c r="AA202">
        <v>25600</v>
      </c>
      <c r="AB202">
        <v>160</v>
      </c>
      <c r="AC202">
        <v>2</v>
      </c>
      <c r="AD202">
        <v>8</v>
      </c>
      <c r="AE202">
        <v>908.27</v>
      </c>
      <c r="AF202" s="21">
        <v>12.316000000000001</v>
      </c>
      <c r="AG202" s="26">
        <v>45472</v>
      </c>
      <c r="AH202" s="27">
        <v>0.3348726851851852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77"/>
    </row>
    <row r="203" spans="1:47" x14ac:dyDescent="0.25">
      <c r="A203" s="44">
        <v>4</v>
      </c>
      <c r="B203" s="44" t="s">
        <v>7</v>
      </c>
      <c r="C203" s="46">
        <v>25600</v>
      </c>
      <c r="D203" s="46">
        <v>160</v>
      </c>
      <c r="E203" s="46">
        <v>2</v>
      </c>
      <c r="F203" s="46">
        <v>8</v>
      </c>
      <c r="G203" s="47">
        <v>939.19</v>
      </c>
      <c r="H203" s="51">
        <v>11.91</v>
      </c>
      <c r="I203" s="17">
        <v>45465</v>
      </c>
      <c r="J203" s="18">
        <v>0.4869560185185185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s="76"/>
      <c r="Y203">
        <v>4</v>
      </c>
      <c r="Z203" t="s">
        <v>7</v>
      </c>
      <c r="AA203">
        <v>25600</v>
      </c>
      <c r="AB203">
        <v>160</v>
      </c>
      <c r="AC203">
        <v>2</v>
      </c>
      <c r="AD203">
        <v>8</v>
      </c>
      <c r="AE203">
        <v>908.7</v>
      </c>
      <c r="AF203" s="21">
        <v>12.31</v>
      </c>
      <c r="AG203" s="26">
        <v>45473</v>
      </c>
      <c r="AH203" s="27">
        <v>0.38982638888888888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s="77"/>
    </row>
    <row r="204" spans="1:47" x14ac:dyDescent="0.25">
      <c r="A204" s="42">
        <v>0</v>
      </c>
      <c r="B204" s="42" t="s">
        <v>7</v>
      </c>
      <c r="C204" s="43">
        <v>27200</v>
      </c>
      <c r="D204" s="43">
        <v>160</v>
      </c>
      <c r="E204" s="43">
        <v>2</v>
      </c>
      <c r="F204" s="43">
        <v>8</v>
      </c>
      <c r="G204" s="43">
        <v>1112.18</v>
      </c>
      <c r="H204" s="50">
        <v>12.064</v>
      </c>
      <c r="I204" s="23">
        <v>45459</v>
      </c>
      <c r="J204" s="24">
        <v>0.36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76">
        <f t="shared" ref="W204" si="80">AVERAGE(H204:H208)</f>
        <v>11.973800000000001</v>
      </c>
      <c r="Y204">
        <v>0</v>
      </c>
      <c r="Z204" t="s">
        <v>7</v>
      </c>
      <c r="AA204">
        <v>27200</v>
      </c>
      <c r="AB204">
        <v>160</v>
      </c>
      <c r="AC204">
        <v>2</v>
      </c>
      <c r="AD204">
        <v>8</v>
      </c>
      <c r="AE204">
        <v>1054.69</v>
      </c>
      <c r="AF204" s="21">
        <v>12.721</v>
      </c>
      <c r="AG204" s="26">
        <v>45469</v>
      </c>
      <c r="AH204" s="27">
        <v>0.16747685185185185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s="77">
        <f t="shared" ref="AU204" si="81">AVERAGE(AF204:AF208)</f>
        <v>12.708600000000001</v>
      </c>
    </row>
    <row r="205" spans="1:47" x14ac:dyDescent="0.25">
      <c r="A205" s="44">
        <v>1</v>
      </c>
      <c r="B205" s="44" t="s">
        <v>7</v>
      </c>
      <c r="C205" s="45">
        <v>27200</v>
      </c>
      <c r="D205" s="45">
        <v>160</v>
      </c>
      <c r="E205" s="45">
        <v>2</v>
      </c>
      <c r="F205" s="45">
        <v>8</v>
      </c>
      <c r="G205" s="45">
        <v>1118.04</v>
      </c>
      <c r="H205" s="51">
        <v>12</v>
      </c>
      <c r="I205" s="17">
        <v>45460</v>
      </c>
      <c r="J205" s="18">
        <v>0.37898148148148147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s="76"/>
      <c r="Y205">
        <v>1</v>
      </c>
      <c r="Z205" t="s">
        <v>7</v>
      </c>
      <c r="AA205">
        <v>27200</v>
      </c>
      <c r="AB205">
        <v>160</v>
      </c>
      <c r="AC205">
        <v>2</v>
      </c>
      <c r="AD205">
        <v>8</v>
      </c>
      <c r="AE205">
        <v>1046.95</v>
      </c>
      <c r="AF205" s="21">
        <v>12.815</v>
      </c>
      <c r="AG205" s="26">
        <v>45470</v>
      </c>
      <c r="AH205" s="27">
        <v>0.21751157407407407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s="77"/>
    </row>
    <row r="206" spans="1:47" x14ac:dyDescent="0.25">
      <c r="A206" s="44">
        <v>2</v>
      </c>
      <c r="B206" s="44" t="s">
        <v>7</v>
      </c>
      <c r="C206" s="46">
        <v>27200</v>
      </c>
      <c r="D206" s="46">
        <v>160</v>
      </c>
      <c r="E206" s="46">
        <v>2</v>
      </c>
      <c r="F206" s="46">
        <v>8</v>
      </c>
      <c r="G206" s="47">
        <v>1120.05</v>
      </c>
      <c r="H206" s="51">
        <v>11.978999999999999</v>
      </c>
      <c r="I206" s="17">
        <v>45461</v>
      </c>
      <c r="J206" s="18">
        <v>0.39891203703703704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s="76"/>
      <c r="Y206">
        <v>2</v>
      </c>
      <c r="Z206" t="s">
        <v>7</v>
      </c>
      <c r="AA206">
        <v>27200</v>
      </c>
      <c r="AB206">
        <v>160</v>
      </c>
      <c r="AC206">
        <v>2</v>
      </c>
      <c r="AD206">
        <v>8</v>
      </c>
      <c r="AE206">
        <v>1057.72</v>
      </c>
      <c r="AF206" s="21">
        <v>12.685</v>
      </c>
      <c r="AG206" s="26">
        <v>45471</v>
      </c>
      <c r="AH206" s="27">
        <v>0.61097222222222225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s="77"/>
    </row>
    <row r="207" spans="1:47" x14ac:dyDescent="0.25">
      <c r="A207" s="44">
        <v>3</v>
      </c>
      <c r="B207" s="44" t="s">
        <v>7</v>
      </c>
      <c r="C207" s="46">
        <v>27200</v>
      </c>
      <c r="D207" s="46">
        <v>160</v>
      </c>
      <c r="E207" s="46">
        <v>2</v>
      </c>
      <c r="F207" s="46">
        <v>8</v>
      </c>
      <c r="G207" s="47">
        <v>1129.52</v>
      </c>
      <c r="H207" s="51">
        <v>11.878</v>
      </c>
      <c r="I207" s="17">
        <v>45464</v>
      </c>
      <c r="J207" s="18">
        <v>0.78797453703703701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s="76"/>
      <c r="Y207">
        <v>3</v>
      </c>
      <c r="Z207" t="s">
        <v>7</v>
      </c>
      <c r="AA207">
        <v>27200</v>
      </c>
      <c r="AB207">
        <v>160</v>
      </c>
      <c r="AC207">
        <v>2</v>
      </c>
      <c r="AD207">
        <v>8</v>
      </c>
      <c r="AE207">
        <v>1059.74</v>
      </c>
      <c r="AF207" s="21">
        <v>12.661</v>
      </c>
      <c r="AG207" s="26">
        <v>45472</v>
      </c>
      <c r="AH207" s="27">
        <v>0.66525462962962967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s="77"/>
    </row>
    <row r="208" spans="1:47" x14ac:dyDescent="0.25">
      <c r="A208" s="44">
        <v>4</v>
      </c>
      <c r="B208" s="44" t="s">
        <v>7</v>
      </c>
      <c r="C208" s="46">
        <v>27200</v>
      </c>
      <c r="D208" s="46">
        <v>160</v>
      </c>
      <c r="E208" s="46">
        <v>2</v>
      </c>
      <c r="F208" s="46">
        <v>8</v>
      </c>
      <c r="G208" s="47">
        <v>1122.93</v>
      </c>
      <c r="H208" s="51">
        <v>11.948</v>
      </c>
      <c r="I208" s="17">
        <v>45465</v>
      </c>
      <c r="J208" s="18">
        <v>0.80586805555555552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s="76"/>
      <c r="Y208">
        <v>4</v>
      </c>
      <c r="Z208" t="s">
        <v>7</v>
      </c>
      <c r="AA208">
        <v>27200</v>
      </c>
      <c r="AB208">
        <v>160</v>
      </c>
      <c r="AC208">
        <v>2</v>
      </c>
      <c r="AD208">
        <v>8</v>
      </c>
      <c r="AE208">
        <v>1059.68</v>
      </c>
      <c r="AF208" s="21">
        <v>12.661</v>
      </c>
      <c r="AG208" s="26">
        <v>45473</v>
      </c>
      <c r="AH208" s="27">
        <v>0.71953703703703709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s="77"/>
    </row>
    <row r="209" spans="1:47" x14ac:dyDescent="0.25">
      <c r="A209" s="42">
        <v>0</v>
      </c>
      <c r="B209" s="42" t="s">
        <v>7</v>
      </c>
      <c r="C209" s="43">
        <v>28800</v>
      </c>
      <c r="D209" s="43">
        <v>160</v>
      </c>
      <c r="E209" s="43">
        <v>2</v>
      </c>
      <c r="F209" s="43">
        <v>8</v>
      </c>
      <c r="G209" s="43">
        <v>1281.48</v>
      </c>
      <c r="H209" s="50">
        <v>12.428000000000001</v>
      </c>
      <c r="I209" s="23">
        <v>45459</v>
      </c>
      <c r="J209" s="24">
        <v>0.72864583333333333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76">
        <f t="shared" ref="W209" si="82">AVERAGE(H209:H213)</f>
        <v>12.3622</v>
      </c>
      <c r="Y209">
        <v>0</v>
      </c>
      <c r="Z209" t="s">
        <v>7</v>
      </c>
      <c r="AA209">
        <v>28800</v>
      </c>
      <c r="AB209">
        <v>160</v>
      </c>
      <c r="AC209">
        <v>2</v>
      </c>
      <c r="AD209">
        <v>8</v>
      </c>
      <c r="AE209">
        <v>1212.58</v>
      </c>
      <c r="AF209" s="21">
        <v>13.134</v>
      </c>
      <c r="AG209" s="26">
        <v>45469</v>
      </c>
      <c r="AH209" s="27">
        <v>0.54593749999999996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308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s="77">
        <f t="shared" ref="AU209" si="83">AVERAGE(AF209:AF213)</f>
        <v>13.102</v>
      </c>
    </row>
    <row r="210" spans="1:47" x14ac:dyDescent="0.25">
      <c r="A210" s="44">
        <v>1</v>
      </c>
      <c r="B210" s="44" t="s">
        <v>7</v>
      </c>
      <c r="C210" s="45">
        <v>28800</v>
      </c>
      <c r="D210" s="45">
        <v>160</v>
      </c>
      <c r="E210" s="45">
        <v>2</v>
      </c>
      <c r="F210" s="45">
        <v>8</v>
      </c>
      <c r="G210" s="45">
        <v>1300.0899999999999</v>
      </c>
      <c r="H210" s="51">
        <v>12.25</v>
      </c>
      <c r="I210" s="17">
        <v>45460</v>
      </c>
      <c r="J210" s="18">
        <v>0.74701388888888887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76"/>
      <c r="Y210">
        <v>1</v>
      </c>
      <c r="Z210" t="s">
        <v>7</v>
      </c>
      <c r="AA210">
        <v>28800</v>
      </c>
      <c r="AB210">
        <v>160</v>
      </c>
      <c r="AC210">
        <v>2</v>
      </c>
      <c r="AD210">
        <v>8</v>
      </c>
      <c r="AE210">
        <v>1213.6600000000001</v>
      </c>
      <c r="AF210" s="21">
        <v>13.122999999999999</v>
      </c>
      <c r="AG210" s="26">
        <v>45470</v>
      </c>
      <c r="AH210" s="27">
        <v>0.93561342592592589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s="77"/>
    </row>
    <row r="211" spans="1:47" x14ac:dyDescent="0.25">
      <c r="A211" s="44">
        <v>2</v>
      </c>
      <c r="B211" s="44" t="s">
        <v>7</v>
      </c>
      <c r="C211" s="46">
        <v>28800</v>
      </c>
      <c r="D211" s="46">
        <v>160</v>
      </c>
      <c r="E211" s="46">
        <v>2</v>
      </c>
      <c r="F211" s="46">
        <v>8</v>
      </c>
      <c r="G211" s="47">
        <v>1285.0999999999999</v>
      </c>
      <c r="H211" s="51">
        <v>12.393000000000001</v>
      </c>
      <c r="I211" s="17">
        <v>45462</v>
      </c>
      <c r="J211" s="18">
        <v>7.947916666666667E-2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s="76"/>
      <c r="Y211">
        <v>2</v>
      </c>
      <c r="Z211" t="s">
        <v>7</v>
      </c>
      <c r="AA211">
        <v>28800</v>
      </c>
      <c r="AB211">
        <v>160</v>
      </c>
      <c r="AC211">
        <v>2</v>
      </c>
      <c r="AD211">
        <v>8</v>
      </c>
      <c r="AE211">
        <v>1220.1600000000001</v>
      </c>
      <c r="AF211" s="21">
        <v>13.053000000000001</v>
      </c>
      <c r="AG211" s="26">
        <v>45471</v>
      </c>
      <c r="AH211" s="27">
        <v>0.9899768518518518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s="77"/>
    </row>
    <row r="212" spans="1:47" x14ac:dyDescent="0.25">
      <c r="A212" s="44">
        <v>3</v>
      </c>
      <c r="B212" s="44" t="s">
        <v>7</v>
      </c>
      <c r="C212" s="46">
        <v>28800</v>
      </c>
      <c r="D212" s="46">
        <v>160</v>
      </c>
      <c r="E212" s="46">
        <v>2</v>
      </c>
      <c r="F212" s="46">
        <v>8</v>
      </c>
      <c r="G212" s="47">
        <v>1290.3399999999999</v>
      </c>
      <c r="H212" s="51">
        <v>12.343</v>
      </c>
      <c r="I212" s="17">
        <v>45465</v>
      </c>
      <c r="J212" s="18">
        <v>0.15623842592592593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s="76"/>
      <c r="Y212">
        <v>3</v>
      </c>
      <c r="Z212" t="s">
        <v>7</v>
      </c>
      <c r="AA212">
        <v>28800</v>
      </c>
      <c r="AB212">
        <v>160</v>
      </c>
      <c r="AC212">
        <v>2</v>
      </c>
      <c r="AD212">
        <v>8</v>
      </c>
      <c r="AE212">
        <v>1213.28</v>
      </c>
      <c r="AF212" s="21">
        <v>13.127000000000001</v>
      </c>
      <c r="AG212" s="26">
        <v>45473</v>
      </c>
      <c r="AH212" s="27">
        <v>4.4814814814814814E-2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s="77"/>
    </row>
    <row r="213" spans="1:47" x14ac:dyDescent="0.25">
      <c r="A213" s="44">
        <v>4</v>
      </c>
      <c r="B213" s="44" t="s">
        <v>7</v>
      </c>
      <c r="C213" s="46">
        <v>28800</v>
      </c>
      <c r="D213" s="46">
        <v>160</v>
      </c>
      <c r="E213" s="46">
        <v>2</v>
      </c>
      <c r="F213" s="46">
        <v>8</v>
      </c>
      <c r="G213" s="47">
        <v>1284.73</v>
      </c>
      <c r="H213" s="51">
        <v>12.397</v>
      </c>
      <c r="I213" s="17">
        <v>45466</v>
      </c>
      <c r="J213" s="18">
        <v>0.17353009259259258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s="76"/>
      <c r="Y213">
        <v>4</v>
      </c>
      <c r="Z213" t="s">
        <v>7</v>
      </c>
      <c r="AA213">
        <v>28800</v>
      </c>
      <c r="AB213">
        <v>160</v>
      </c>
      <c r="AC213">
        <v>2</v>
      </c>
      <c r="AD213">
        <v>8</v>
      </c>
      <c r="AE213">
        <v>1218.32</v>
      </c>
      <c r="AF213" s="21">
        <v>13.073</v>
      </c>
      <c r="AG213" s="26">
        <v>45474</v>
      </c>
      <c r="AH213" s="27">
        <v>9.8888888888888887E-2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s="77"/>
    </row>
    <row r="214" spans="1:47" x14ac:dyDescent="0.25">
      <c r="A214" s="42">
        <v>0</v>
      </c>
      <c r="B214" s="42" t="s">
        <v>7</v>
      </c>
      <c r="C214" s="43">
        <v>25600</v>
      </c>
      <c r="D214" s="43">
        <v>160</v>
      </c>
      <c r="E214" s="43">
        <v>4</v>
      </c>
      <c r="F214" s="43">
        <v>4</v>
      </c>
      <c r="G214" s="43">
        <v>1087.9100000000001</v>
      </c>
      <c r="H214" s="50">
        <v>10.282</v>
      </c>
      <c r="I214" s="23">
        <v>45459</v>
      </c>
      <c r="J214" s="24">
        <v>5.3541666666666668E-2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76">
        <f t="shared" ref="W214" si="84">AVERAGE(H214:H218)</f>
        <v>10.332800000000001</v>
      </c>
      <c r="Y214">
        <v>0</v>
      </c>
      <c r="Z214" t="s">
        <v>7</v>
      </c>
      <c r="AA214">
        <v>25600</v>
      </c>
      <c r="AB214">
        <v>160</v>
      </c>
      <c r="AC214">
        <v>4</v>
      </c>
      <c r="AD214">
        <v>4</v>
      </c>
      <c r="AE214">
        <v>1075.78</v>
      </c>
      <c r="AF214" s="21">
        <v>10.398</v>
      </c>
      <c r="AG214" s="26">
        <v>45468</v>
      </c>
      <c r="AH214" s="27">
        <v>0.85101851851851851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s="77">
        <f t="shared" ref="AU214" si="85">AVERAGE(AF214:AF218)</f>
        <v>10.414800000000001</v>
      </c>
    </row>
    <row r="215" spans="1:47" x14ac:dyDescent="0.25">
      <c r="A215" s="44">
        <v>1</v>
      </c>
      <c r="B215" s="44" t="s">
        <v>7</v>
      </c>
      <c r="C215" s="45">
        <v>25600</v>
      </c>
      <c r="D215" s="45">
        <v>160</v>
      </c>
      <c r="E215" s="45">
        <v>4</v>
      </c>
      <c r="F215" s="45">
        <v>4</v>
      </c>
      <c r="G215" s="45">
        <v>1081.3800000000001</v>
      </c>
      <c r="H215" s="51">
        <v>10.343999999999999</v>
      </c>
      <c r="I215" s="17">
        <v>45460</v>
      </c>
      <c r="J215" s="18">
        <v>7.317129629629629E-2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s="76"/>
      <c r="Y215">
        <v>1</v>
      </c>
      <c r="Z215" t="s">
        <v>7</v>
      </c>
      <c r="AA215">
        <v>25600</v>
      </c>
      <c r="AB215">
        <v>160</v>
      </c>
      <c r="AC215">
        <v>4</v>
      </c>
      <c r="AD215">
        <v>4</v>
      </c>
      <c r="AE215">
        <v>1071.8399999999999</v>
      </c>
      <c r="AF215" s="21">
        <v>10.436</v>
      </c>
      <c r="AG215" s="26">
        <v>45469</v>
      </c>
      <c r="AH215" s="27">
        <v>0.9021527777777778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s="77"/>
    </row>
    <row r="216" spans="1:47" x14ac:dyDescent="0.25">
      <c r="A216" s="44">
        <v>2</v>
      </c>
      <c r="B216" s="44" t="s">
        <v>7</v>
      </c>
      <c r="C216" s="46">
        <v>25600</v>
      </c>
      <c r="D216" s="46">
        <v>160</v>
      </c>
      <c r="E216" s="46">
        <v>4</v>
      </c>
      <c r="F216" s="46">
        <v>4</v>
      </c>
      <c r="G216" s="47">
        <v>1081.1099999999999</v>
      </c>
      <c r="H216" s="51">
        <v>10.347</v>
      </c>
      <c r="I216" s="17">
        <v>45461</v>
      </c>
      <c r="J216" s="18">
        <v>9.2986111111111117E-2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s="76"/>
      <c r="Y216">
        <v>2</v>
      </c>
      <c r="Z216" t="s">
        <v>7</v>
      </c>
      <c r="AA216">
        <v>25600</v>
      </c>
      <c r="AB216">
        <v>160</v>
      </c>
      <c r="AC216">
        <v>4</v>
      </c>
      <c r="AD216">
        <v>4</v>
      </c>
      <c r="AE216">
        <v>1083.1199999999999</v>
      </c>
      <c r="AF216" s="21">
        <v>10.327</v>
      </c>
      <c r="AG216" s="26">
        <v>45471</v>
      </c>
      <c r="AH216" s="27">
        <v>0.29420138888888892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s="77"/>
    </row>
    <row r="217" spans="1:47" x14ac:dyDescent="0.25">
      <c r="A217" s="44">
        <v>3</v>
      </c>
      <c r="B217" s="44" t="s">
        <v>7</v>
      </c>
      <c r="C217" s="46">
        <v>25600</v>
      </c>
      <c r="D217" s="46">
        <v>160</v>
      </c>
      <c r="E217" s="46">
        <v>4</v>
      </c>
      <c r="F217" s="46">
        <v>4</v>
      </c>
      <c r="G217" s="47">
        <v>1081.04</v>
      </c>
      <c r="H217" s="51">
        <v>10.347</v>
      </c>
      <c r="I217" s="17">
        <v>45462</v>
      </c>
      <c r="J217" s="18">
        <v>0.42333333333333334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s="76"/>
      <c r="Y217">
        <v>3</v>
      </c>
      <c r="Z217" t="s">
        <v>7</v>
      </c>
      <c r="AA217">
        <v>25600</v>
      </c>
      <c r="AB217">
        <v>160</v>
      </c>
      <c r="AC217">
        <v>4</v>
      </c>
      <c r="AD217">
        <v>4</v>
      </c>
      <c r="AE217">
        <v>1071</v>
      </c>
      <c r="AF217" s="21">
        <v>10.444000000000001</v>
      </c>
      <c r="AG217" s="26">
        <v>45472</v>
      </c>
      <c r="AH217" s="27">
        <v>0.34831018518518519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s="77"/>
    </row>
    <row r="218" spans="1:47" x14ac:dyDescent="0.25">
      <c r="A218" s="44">
        <v>4</v>
      </c>
      <c r="B218" s="44" t="s">
        <v>7</v>
      </c>
      <c r="C218" s="46">
        <v>25600</v>
      </c>
      <c r="D218" s="46">
        <v>160</v>
      </c>
      <c r="E218" s="46">
        <v>4</v>
      </c>
      <c r="F218" s="46">
        <v>4</v>
      </c>
      <c r="G218" s="47">
        <v>1081.33</v>
      </c>
      <c r="H218" s="51">
        <v>10.343999999999999</v>
      </c>
      <c r="I218" s="17">
        <v>45465</v>
      </c>
      <c r="J218" s="18">
        <v>0.49974537037037037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76"/>
      <c r="Y218">
        <v>4</v>
      </c>
      <c r="Z218" t="s">
        <v>7</v>
      </c>
      <c r="AA218">
        <v>25600</v>
      </c>
      <c r="AB218">
        <v>160</v>
      </c>
      <c r="AC218">
        <v>4</v>
      </c>
      <c r="AD218">
        <v>4</v>
      </c>
      <c r="AE218">
        <v>1068.46</v>
      </c>
      <c r="AF218" s="21">
        <v>10.468999999999999</v>
      </c>
      <c r="AG218" s="26">
        <v>45473</v>
      </c>
      <c r="AH218" s="27">
        <v>0.40324074074074073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s="77"/>
    </row>
    <row r="219" spans="1:47" x14ac:dyDescent="0.25">
      <c r="A219" s="42">
        <v>0</v>
      </c>
      <c r="B219" s="42" t="s">
        <v>7</v>
      </c>
      <c r="C219" s="43">
        <v>27200</v>
      </c>
      <c r="D219" s="43">
        <v>160</v>
      </c>
      <c r="E219" s="43">
        <v>4</v>
      </c>
      <c r="F219" s="43">
        <v>4</v>
      </c>
      <c r="G219" s="43">
        <v>1265.6300000000001</v>
      </c>
      <c r="H219" s="50">
        <v>10.601000000000001</v>
      </c>
      <c r="I219" s="23">
        <v>45459</v>
      </c>
      <c r="J219" s="24">
        <v>0.37493055555555554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76">
        <f t="shared" ref="W219" si="86">AVERAGE(H219:H223)</f>
        <v>10.591800000000001</v>
      </c>
      <c r="Y219">
        <v>0</v>
      </c>
      <c r="Z219" t="s">
        <v>7</v>
      </c>
      <c r="AA219">
        <v>27200</v>
      </c>
      <c r="AB219">
        <v>160</v>
      </c>
      <c r="AC219">
        <v>4</v>
      </c>
      <c r="AD219">
        <v>4</v>
      </c>
      <c r="AE219">
        <v>1236.25</v>
      </c>
      <c r="AF219" s="21">
        <v>10.853</v>
      </c>
      <c r="AG219" s="26">
        <v>45469</v>
      </c>
      <c r="AH219" s="27">
        <v>0.18299768518518519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s="77">
        <f t="shared" ref="AU219" si="87">AVERAGE(AF219:AF223)</f>
        <v>10.814400000000001</v>
      </c>
    </row>
    <row r="220" spans="1:47" x14ac:dyDescent="0.25">
      <c r="A220" s="44">
        <v>1</v>
      </c>
      <c r="B220" s="44" t="s">
        <v>7</v>
      </c>
      <c r="C220" s="45">
        <v>27200</v>
      </c>
      <c r="D220" s="45">
        <v>160</v>
      </c>
      <c r="E220" s="45">
        <v>4</v>
      </c>
      <c r="F220" s="45">
        <v>4</v>
      </c>
      <c r="G220" s="45">
        <v>1263.27</v>
      </c>
      <c r="H220" s="51">
        <v>10.621</v>
      </c>
      <c r="I220" s="17">
        <v>45460</v>
      </c>
      <c r="J220" s="18">
        <v>0.39390046296296294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s="76"/>
      <c r="Y220">
        <v>1</v>
      </c>
      <c r="Z220" t="s">
        <v>7</v>
      </c>
      <c r="AA220">
        <v>27200</v>
      </c>
      <c r="AB220">
        <v>160</v>
      </c>
      <c r="AC220">
        <v>4</v>
      </c>
      <c r="AD220">
        <v>4</v>
      </c>
      <c r="AE220">
        <v>1232.8</v>
      </c>
      <c r="AF220" s="21">
        <v>10.882999999999999</v>
      </c>
      <c r="AG220" s="26">
        <v>45470</v>
      </c>
      <c r="AH220" s="27">
        <v>0.23297453703703705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s="77"/>
    </row>
    <row r="221" spans="1:47" x14ac:dyDescent="0.25">
      <c r="A221" s="44">
        <v>2</v>
      </c>
      <c r="B221" s="44" t="s">
        <v>7</v>
      </c>
      <c r="C221" s="46">
        <v>27200</v>
      </c>
      <c r="D221" s="46">
        <v>160</v>
      </c>
      <c r="E221" s="46">
        <v>4</v>
      </c>
      <c r="F221" s="46">
        <v>4</v>
      </c>
      <c r="G221" s="47">
        <v>1271.0899999999999</v>
      </c>
      <c r="H221" s="51">
        <v>10.555</v>
      </c>
      <c r="I221" s="17">
        <v>45461</v>
      </c>
      <c r="J221" s="18">
        <v>0.72628472222222218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s="76"/>
      <c r="Y221">
        <v>2</v>
      </c>
      <c r="Z221" t="s">
        <v>7</v>
      </c>
      <c r="AA221">
        <v>27200</v>
      </c>
      <c r="AB221">
        <v>160</v>
      </c>
      <c r="AC221">
        <v>4</v>
      </c>
      <c r="AD221">
        <v>4</v>
      </c>
      <c r="AE221">
        <v>1240.75</v>
      </c>
      <c r="AF221" s="21">
        <v>10.814</v>
      </c>
      <c r="AG221" s="26">
        <v>45471</v>
      </c>
      <c r="AH221" s="27">
        <v>0.62653935185185183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s="77"/>
    </row>
    <row r="222" spans="1:47" x14ac:dyDescent="0.25">
      <c r="A222" s="44">
        <v>3</v>
      </c>
      <c r="B222" s="44" t="s">
        <v>7</v>
      </c>
      <c r="C222" s="46">
        <v>27200</v>
      </c>
      <c r="D222" s="46">
        <v>160</v>
      </c>
      <c r="E222" s="46">
        <v>4</v>
      </c>
      <c r="F222" s="46">
        <v>4</v>
      </c>
      <c r="G222" s="47">
        <v>1265.6400000000001</v>
      </c>
      <c r="H222" s="51">
        <v>10.601000000000001</v>
      </c>
      <c r="I222" s="17">
        <v>45464</v>
      </c>
      <c r="J222" s="18">
        <v>0.80291666666666661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s="76"/>
      <c r="Y222">
        <v>3</v>
      </c>
      <c r="Z222" t="s">
        <v>7</v>
      </c>
      <c r="AA222">
        <v>27200</v>
      </c>
      <c r="AB222">
        <v>160</v>
      </c>
      <c r="AC222">
        <v>4</v>
      </c>
      <c r="AD222">
        <v>4</v>
      </c>
      <c r="AE222">
        <v>1249.9100000000001</v>
      </c>
      <c r="AF222" s="21">
        <v>10.734</v>
      </c>
      <c r="AG222" s="26">
        <v>45472</v>
      </c>
      <c r="AH222" s="27">
        <v>0.68090277777777775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s="77"/>
    </row>
    <row r="223" spans="1:47" x14ac:dyDescent="0.25">
      <c r="A223" s="44">
        <v>4</v>
      </c>
      <c r="B223" s="44" t="s">
        <v>7</v>
      </c>
      <c r="C223" s="46">
        <v>27200</v>
      </c>
      <c r="D223" s="46">
        <v>160</v>
      </c>
      <c r="E223" s="46">
        <v>4</v>
      </c>
      <c r="F223" s="46">
        <v>4</v>
      </c>
      <c r="G223" s="47">
        <v>1268.01</v>
      </c>
      <c r="H223" s="51">
        <v>10.581</v>
      </c>
      <c r="I223" s="17">
        <v>45465</v>
      </c>
      <c r="J223" s="18">
        <v>0.8208333333333333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s="76"/>
      <c r="Y223">
        <v>4</v>
      </c>
      <c r="Z223" t="s">
        <v>7</v>
      </c>
      <c r="AA223">
        <v>27200</v>
      </c>
      <c r="AB223">
        <v>160</v>
      </c>
      <c r="AC223">
        <v>4</v>
      </c>
      <c r="AD223">
        <v>4</v>
      </c>
      <c r="AE223">
        <v>1243.67</v>
      </c>
      <c r="AF223" s="21">
        <v>10.788</v>
      </c>
      <c r="AG223" s="26">
        <v>45473</v>
      </c>
      <c r="AH223" s="27">
        <v>0.73511574074074071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s="77"/>
    </row>
    <row r="224" spans="1:47" x14ac:dyDescent="0.25">
      <c r="A224" s="42">
        <v>0</v>
      </c>
      <c r="B224" s="42" t="s">
        <v>7</v>
      </c>
      <c r="C224" s="43">
        <v>28800</v>
      </c>
      <c r="D224" s="43">
        <v>160</v>
      </c>
      <c r="E224" s="43">
        <v>4</v>
      </c>
      <c r="F224" s="43">
        <v>4</v>
      </c>
      <c r="G224" s="43">
        <v>1467.84</v>
      </c>
      <c r="H224" s="50">
        <v>10.85</v>
      </c>
      <c r="I224" s="23">
        <v>45459</v>
      </c>
      <c r="J224" s="24">
        <v>0.74594907407407407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76">
        <f t="shared" ref="W224" si="88">AVERAGE(H224:H228)</f>
        <v>10.8582</v>
      </c>
      <c r="Y224">
        <v>0</v>
      </c>
      <c r="Z224" t="s">
        <v>7</v>
      </c>
      <c r="AA224">
        <v>28800</v>
      </c>
      <c r="AB224">
        <v>160</v>
      </c>
      <c r="AC224">
        <v>4</v>
      </c>
      <c r="AD224">
        <v>4</v>
      </c>
      <c r="AE224">
        <v>1431.37</v>
      </c>
      <c r="AF224" s="21">
        <v>11.127000000000001</v>
      </c>
      <c r="AG224" s="26">
        <v>45469</v>
      </c>
      <c r="AH224" s="27">
        <v>0.56380787037037039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s="77">
        <f t="shared" ref="AU224" si="89">AVERAGE(AF224:AF228)</f>
        <v>11.077400000000001</v>
      </c>
    </row>
    <row r="225" spans="1:47" x14ac:dyDescent="0.25">
      <c r="A225" s="44">
        <v>1</v>
      </c>
      <c r="B225" s="44" t="s">
        <v>7</v>
      </c>
      <c r="C225" s="46">
        <v>28800</v>
      </c>
      <c r="D225" s="46">
        <v>160</v>
      </c>
      <c r="E225" s="46">
        <v>4</v>
      </c>
      <c r="F225" s="46">
        <v>4</v>
      </c>
      <c r="G225" s="47">
        <v>1467</v>
      </c>
      <c r="H225" s="51">
        <v>10.856999999999999</v>
      </c>
      <c r="I225" s="17">
        <v>45460</v>
      </c>
      <c r="J225" s="18">
        <v>0.76430555555555557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s="76"/>
      <c r="Y225">
        <v>1</v>
      </c>
      <c r="Z225" t="s">
        <v>7</v>
      </c>
      <c r="AA225">
        <v>28800</v>
      </c>
      <c r="AB225">
        <v>160</v>
      </c>
      <c r="AC225">
        <v>4</v>
      </c>
      <c r="AD225">
        <v>4</v>
      </c>
      <c r="AE225">
        <v>1443.81</v>
      </c>
      <c r="AF225" s="21">
        <v>11.031000000000001</v>
      </c>
      <c r="AG225" s="26">
        <v>45470</v>
      </c>
      <c r="AH225" s="27">
        <v>0.95362268518518523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s="77"/>
    </row>
    <row r="226" spans="1:47" x14ac:dyDescent="0.25">
      <c r="A226" s="44">
        <v>2</v>
      </c>
      <c r="B226" s="44" t="s">
        <v>7</v>
      </c>
      <c r="C226" s="46">
        <v>28800</v>
      </c>
      <c r="D226" s="46">
        <v>160</v>
      </c>
      <c r="E226" s="46">
        <v>4</v>
      </c>
      <c r="F226" s="46">
        <v>4</v>
      </c>
      <c r="G226" s="47">
        <v>1468.56</v>
      </c>
      <c r="H226" s="51">
        <v>10.845000000000001</v>
      </c>
      <c r="I226" s="17">
        <v>45462</v>
      </c>
      <c r="J226" s="18">
        <v>9.6782407407407414E-2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76"/>
      <c r="Y226">
        <v>2</v>
      </c>
      <c r="Z226" t="s">
        <v>7</v>
      </c>
      <c r="AA226">
        <v>28800</v>
      </c>
      <c r="AB226">
        <v>160</v>
      </c>
      <c r="AC226">
        <v>4</v>
      </c>
      <c r="AD226">
        <v>4</v>
      </c>
      <c r="AE226">
        <v>1438.1</v>
      </c>
      <c r="AF226" s="21">
        <v>11.074999999999999</v>
      </c>
      <c r="AG226" s="26">
        <v>45472</v>
      </c>
      <c r="AH226" s="27">
        <v>7.9166666666666673E-3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s="77"/>
    </row>
    <row r="227" spans="1:47" x14ac:dyDescent="0.25">
      <c r="A227" s="44">
        <v>3</v>
      </c>
      <c r="B227" s="44" t="s">
        <v>7</v>
      </c>
      <c r="C227" s="46">
        <v>28800</v>
      </c>
      <c r="D227" s="46">
        <v>160</v>
      </c>
      <c r="E227" s="46">
        <v>4</v>
      </c>
      <c r="F227" s="46">
        <v>4</v>
      </c>
      <c r="G227" s="47">
        <v>1462.59</v>
      </c>
      <c r="H227" s="51">
        <v>10.888999999999999</v>
      </c>
      <c r="I227" s="17">
        <v>45465</v>
      </c>
      <c r="J227" s="18">
        <v>0.17348379629629629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76"/>
      <c r="Y227">
        <v>3</v>
      </c>
      <c r="Z227" t="s">
        <v>7</v>
      </c>
      <c r="AA227">
        <v>28800</v>
      </c>
      <c r="AB227">
        <v>160</v>
      </c>
      <c r="AC227">
        <v>4</v>
      </c>
      <c r="AD227">
        <v>4</v>
      </c>
      <c r="AE227">
        <v>1442.76</v>
      </c>
      <c r="AF227" s="21">
        <v>11.039</v>
      </c>
      <c r="AG227" s="26">
        <v>45473</v>
      </c>
      <c r="AH227" s="27">
        <v>6.2824074074074074E-2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s="77"/>
    </row>
    <row r="228" spans="1:47" x14ac:dyDescent="0.25">
      <c r="A228" s="44">
        <v>4</v>
      </c>
      <c r="B228" s="44" t="s">
        <v>7</v>
      </c>
      <c r="C228" s="46">
        <v>28800</v>
      </c>
      <c r="D228" s="46">
        <v>160</v>
      </c>
      <c r="E228" s="46">
        <v>4</v>
      </c>
      <c r="F228" s="46">
        <v>4</v>
      </c>
      <c r="G228" s="47">
        <v>1467.91</v>
      </c>
      <c r="H228" s="51">
        <v>10.85</v>
      </c>
      <c r="I228" s="17">
        <v>45466</v>
      </c>
      <c r="J228" s="18">
        <v>0.19083333333333333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76"/>
      <c r="Y228">
        <v>4</v>
      </c>
      <c r="Z228" t="s">
        <v>7</v>
      </c>
      <c r="AA228">
        <v>28800</v>
      </c>
      <c r="AB228">
        <v>160</v>
      </c>
      <c r="AC228">
        <v>4</v>
      </c>
      <c r="AD228">
        <v>4</v>
      </c>
      <c r="AE228">
        <v>1432.87</v>
      </c>
      <c r="AF228" s="21">
        <v>11.115</v>
      </c>
      <c r="AG228" s="26">
        <v>45474</v>
      </c>
      <c r="AH228" s="27">
        <v>0.11679398148148148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s="77"/>
    </row>
    <row r="229" spans="1:47" x14ac:dyDescent="0.25">
      <c r="A229" s="42">
        <v>0</v>
      </c>
      <c r="B229" s="42" t="s">
        <v>7</v>
      </c>
      <c r="C229" s="43">
        <v>25728</v>
      </c>
      <c r="D229" s="43">
        <v>192</v>
      </c>
      <c r="E229" s="43">
        <v>1</v>
      </c>
      <c r="F229" s="43">
        <v>16</v>
      </c>
      <c r="G229" s="43">
        <v>1057.4000000000001</v>
      </c>
      <c r="H229" s="50">
        <v>10.738</v>
      </c>
      <c r="I229" s="23">
        <v>45459</v>
      </c>
      <c r="J229" s="24">
        <v>6.6076388888888893E-2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76">
        <f t="shared" ref="W229" si="90">AVERAGE(H229:H233)</f>
        <v>10.7842</v>
      </c>
      <c r="Y229">
        <v>0</v>
      </c>
      <c r="Z229" t="s">
        <v>7</v>
      </c>
      <c r="AA229">
        <v>25728</v>
      </c>
      <c r="AB229">
        <v>192</v>
      </c>
      <c r="AC229">
        <v>1</v>
      </c>
      <c r="AD229">
        <v>16</v>
      </c>
      <c r="AE229">
        <v>933.27</v>
      </c>
      <c r="AF229" s="21">
        <v>12.166</v>
      </c>
      <c r="AG229" s="26">
        <v>45468</v>
      </c>
      <c r="AH229" s="27">
        <v>0.86295138888888889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s="77">
        <f t="shared" ref="AU229" si="91">AVERAGE(AF229:AF233)</f>
        <v>12.1508</v>
      </c>
    </row>
    <row r="230" spans="1:47" x14ac:dyDescent="0.25">
      <c r="A230" s="44">
        <v>1</v>
      </c>
      <c r="B230" s="44" t="s">
        <v>7</v>
      </c>
      <c r="C230" s="45">
        <v>25728</v>
      </c>
      <c r="D230" s="45">
        <v>192</v>
      </c>
      <c r="E230" s="45">
        <v>1</v>
      </c>
      <c r="F230" s="45">
        <v>16</v>
      </c>
      <c r="G230" s="45">
        <v>1047.6199999999999</v>
      </c>
      <c r="H230" s="51">
        <v>10.837999999999999</v>
      </c>
      <c r="I230" s="17">
        <v>45460</v>
      </c>
      <c r="J230" s="18">
        <v>8.5590277777777779E-2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s="76"/>
      <c r="Y230">
        <v>1</v>
      </c>
      <c r="Z230" t="s">
        <v>7</v>
      </c>
      <c r="AA230">
        <v>25728</v>
      </c>
      <c r="AB230">
        <v>192</v>
      </c>
      <c r="AC230">
        <v>1</v>
      </c>
      <c r="AD230">
        <v>16</v>
      </c>
      <c r="AE230">
        <v>940.25</v>
      </c>
      <c r="AF230" s="21">
        <v>12.076000000000001</v>
      </c>
      <c r="AG230" s="26">
        <v>45469</v>
      </c>
      <c r="AH230" s="27">
        <v>0.91416666666666668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s="77"/>
    </row>
    <row r="231" spans="1:47" x14ac:dyDescent="0.25">
      <c r="A231" s="44">
        <v>2</v>
      </c>
      <c r="B231" s="44" t="s">
        <v>7</v>
      </c>
      <c r="C231" s="46">
        <v>25728</v>
      </c>
      <c r="D231" s="46">
        <v>192</v>
      </c>
      <c r="E231" s="46">
        <v>1</v>
      </c>
      <c r="F231" s="46">
        <v>16</v>
      </c>
      <c r="G231" s="47">
        <v>1052.96</v>
      </c>
      <c r="H231" s="51">
        <v>10.782999999999999</v>
      </c>
      <c r="I231" s="17">
        <v>45461</v>
      </c>
      <c r="J231" s="18">
        <v>0.10547453703703703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76"/>
      <c r="Y231">
        <v>2</v>
      </c>
      <c r="Z231" t="s">
        <v>7</v>
      </c>
      <c r="AA231">
        <v>25728</v>
      </c>
      <c r="AB231">
        <v>192</v>
      </c>
      <c r="AC231">
        <v>1</v>
      </c>
      <c r="AD231">
        <v>16</v>
      </c>
      <c r="AE231">
        <v>936.42</v>
      </c>
      <c r="AF231" s="21">
        <v>12.125</v>
      </c>
      <c r="AG231" s="26">
        <v>45471</v>
      </c>
      <c r="AH231" s="27">
        <v>0.30616898148148147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s="77"/>
    </row>
    <row r="232" spans="1:47" x14ac:dyDescent="0.25">
      <c r="A232" s="44">
        <v>3</v>
      </c>
      <c r="B232" s="44" t="s">
        <v>7</v>
      </c>
      <c r="C232" s="46">
        <v>25728</v>
      </c>
      <c r="D232" s="46">
        <v>192</v>
      </c>
      <c r="E232" s="46">
        <v>1</v>
      </c>
      <c r="F232" s="46">
        <v>16</v>
      </c>
      <c r="G232" s="47">
        <v>1051.3800000000001</v>
      </c>
      <c r="H232" s="51">
        <v>10.798999999999999</v>
      </c>
      <c r="I232" s="17">
        <v>45462</v>
      </c>
      <c r="J232" s="18">
        <v>0.43581018518518516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76"/>
      <c r="Y232">
        <v>3</v>
      </c>
      <c r="Z232" t="s">
        <v>7</v>
      </c>
      <c r="AA232">
        <v>25728</v>
      </c>
      <c r="AB232">
        <v>192</v>
      </c>
      <c r="AC232">
        <v>1</v>
      </c>
      <c r="AD232">
        <v>16</v>
      </c>
      <c r="AE232">
        <v>932.19</v>
      </c>
      <c r="AF232" s="21">
        <v>12.18</v>
      </c>
      <c r="AG232" s="26">
        <v>45472</v>
      </c>
      <c r="AH232" s="27">
        <v>0.36023148148148149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s="77"/>
    </row>
    <row r="233" spans="1:47" x14ac:dyDescent="0.25">
      <c r="A233" s="44">
        <v>4</v>
      </c>
      <c r="B233" s="44" t="s">
        <v>7</v>
      </c>
      <c r="C233" s="46">
        <v>25728</v>
      </c>
      <c r="D233" s="46">
        <v>192</v>
      </c>
      <c r="E233" s="46">
        <v>1</v>
      </c>
      <c r="F233" s="46">
        <v>16</v>
      </c>
      <c r="G233" s="47">
        <v>1054.96</v>
      </c>
      <c r="H233" s="51">
        <v>10.763</v>
      </c>
      <c r="I233" s="17">
        <v>45465</v>
      </c>
      <c r="J233" s="18">
        <v>0.51225694444444447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s="76"/>
      <c r="Y233">
        <v>4</v>
      </c>
      <c r="Z233" t="s">
        <v>7</v>
      </c>
      <c r="AA233">
        <v>25728</v>
      </c>
      <c r="AB233">
        <v>192</v>
      </c>
      <c r="AC233">
        <v>1</v>
      </c>
      <c r="AD233">
        <v>16</v>
      </c>
      <c r="AE233">
        <v>930.18</v>
      </c>
      <c r="AF233" s="21">
        <v>12.207000000000001</v>
      </c>
      <c r="AG233" s="26">
        <v>45473</v>
      </c>
      <c r="AH233" s="27">
        <v>0.41513888888888889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s="77"/>
    </row>
    <row r="234" spans="1:47" x14ac:dyDescent="0.25">
      <c r="A234" s="42">
        <v>0</v>
      </c>
      <c r="B234" s="42" t="s">
        <v>7</v>
      </c>
      <c r="C234" s="43">
        <v>27264</v>
      </c>
      <c r="D234" s="43">
        <v>192</v>
      </c>
      <c r="E234" s="43">
        <v>1</v>
      </c>
      <c r="F234" s="43">
        <v>16</v>
      </c>
      <c r="G234" s="43">
        <v>1231.8900000000001</v>
      </c>
      <c r="H234" s="50">
        <v>10.968</v>
      </c>
      <c r="I234" s="23">
        <v>45459</v>
      </c>
      <c r="J234" s="24">
        <v>0.38953703703703701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76">
        <f t="shared" ref="W234" si="92">AVERAGE(H234:H238)</f>
        <v>10.953399999999998</v>
      </c>
      <c r="Y234">
        <v>0</v>
      </c>
      <c r="Z234" t="s">
        <v>7</v>
      </c>
      <c r="AA234">
        <v>27264</v>
      </c>
      <c r="AB234">
        <v>192</v>
      </c>
      <c r="AC234">
        <v>1</v>
      </c>
      <c r="AD234">
        <v>16</v>
      </c>
      <c r="AE234">
        <v>1084.19</v>
      </c>
      <c r="AF234" s="21">
        <v>12.462999999999999</v>
      </c>
      <c r="AG234" s="26">
        <v>45469</v>
      </c>
      <c r="AH234" s="27">
        <v>0.19678240740740741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s="77">
        <f t="shared" ref="AU234" si="93">AVERAGE(AF234:AF238)</f>
        <v>12.351599999999999</v>
      </c>
    </row>
    <row r="235" spans="1:47" x14ac:dyDescent="0.25">
      <c r="A235" s="44">
        <v>1</v>
      </c>
      <c r="B235" s="44" t="s">
        <v>7</v>
      </c>
      <c r="C235" s="45">
        <v>27264</v>
      </c>
      <c r="D235" s="45">
        <v>192</v>
      </c>
      <c r="E235" s="45">
        <v>1</v>
      </c>
      <c r="F235" s="45">
        <v>16</v>
      </c>
      <c r="G235" s="45">
        <v>1231.6300000000001</v>
      </c>
      <c r="H235" s="51">
        <v>10.971</v>
      </c>
      <c r="I235" s="17">
        <v>45460</v>
      </c>
      <c r="J235" s="18">
        <v>0.40846064814814814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s="76"/>
      <c r="Y235">
        <v>1</v>
      </c>
      <c r="Z235" t="s">
        <v>7</v>
      </c>
      <c r="AA235">
        <v>27264</v>
      </c>
      <c r="AB235">
        <v>192</v>
      </c>
      <c r="AC235">
        <v>1</v>
      </c>
      <c r="AD235">
        <v>16</v>
      </c>
      <c r="AE235">
        <v>1082.92</v>
      </c>
      <c r="AF235" s="21">
        <v>12.477</v>
      </c>
      <c r="AG235" s="26">
        <v>45470</v>
      </c>
      <c r="AH235" s="27">
        <v>0.2467013888888889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s="77"/>
    </row>
    <row r="236" spans="1:47" x14ac:dyDescent="0.25">
      <c r="A236" s="44">
        <v>2</v>
      </c>
      <c r="B236" s="44" t="s">
        <v>7</v>
      </c>
      <c r="C236" s="46">
        <v>27264</v>
      </c>
      <c r="D236" s="46">
        <v>192</v>
      </c>
      <c r="E236" s="46">
        <v>1</v>
      </c>
      <c r="F236" s="46">
        <v>16</v>
      </c>
      <c r="G236" s="47">
        <v>1242.03</v>
      </c>
      <c r="H236" s="51">
        <v>10.879</v>
      </c>
      <c r="I236" s="17">
        <v>45461</v>
      </c>
      <c r="J236" s="18">
        <v>0.74100694444444448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76"/>
      <c r="Y236">
        <v>2</v>
      </c>
      <c r="Z236" t="s">
        <v>7</v>
      </c>
      <c r="AA236">
        <v>27264</v>
      </c>
      <c r="AB236">
        <v>192</v>
      </c>
      <c r="AC236">
        <v>1</v>
      </c>
      <c r="AD236">
        <v>16</v>
      </c>
      <c r="AE236">
        <v>1099.6099999999999</v>
      </c>
      <c r="AF236" s="21">
        <v>12.288</v>
      </c>
      <c r="AG236" s="26">
        <v>45471</v>
      </c>
      <c r="AH236" s="27">
        <v>0.64048611111111109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s="77"/>
    </row>
    <row r="237" spans="1:47" x14ac:dyDescent="0.25">
      <c r="A237" s="44">
        <v>3</v>
      </c>
      <c r="B237" s="44" t="s">
        <v>7</v>
      </c>
      <c r="C237" s="46">
        <v>27264</v>
      </c>
      <c r="D237" s="46">
        <v>192</v>
      </c>
      <c r="E237" s="46">
        <v>1</v>
      </c>
      <c r="F237" s="46">
        <v>16</v>
      </c>
      <c r="G237" s="47">
        <v>1235.44</v>
      </c>
      <c r="H237" s="51">
        <v>10.936999999999999</v>
      </c>
      <c r="I237" s="17">
        <v>45464</v>
      </c>
      <c r="J237" s="18">
        <v>0.81753472222222223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s="76"/>
      <c r="Y237">
        <v>3</v>
      </c>
      <c r="Z237" t="s">
        <v>7</v>
      </c>
      <c r="AA237">
        <v>27264</v>
      </c>
      <c r="AB237">
        <v>192</v>
      </c>
      <c r="AC237">
        <v>1</v>
      </c>
      <c r="AD237">
        <v>16</v>
      </c>
      <c r="AE237">
        <v>1105.4000000000001</v>
      </c>
      <c r="AF237" s="21">
        <v>12.223000000000001</v>
      </c>
      <c r="AG237" s="26">
        <v>45472</v>
      </c>
      <c r="AH237" s="27">
        <v>0.69489583333333338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s="77"/>
    </row>
    <row r="238" spans="1:47" x14ac:dyDescent="0.25">
      <c r="A238" s="44">
        <v>4</v>
      </c>
      <c r="B238" s="44" t="s">
        <v>7</v>
      </c>
      <c r="C238" s="46">
        <v>27264</v>
      </c>
      <c r="D238" s="46">
        <v>192</v>
      </c>
      <c r="E238" s="46">
        <v>1</v>
      </c>
      <c r="F238" s="46">
        <v>16</v>
      </c>
      <c r="G238" s="47">
        <v>1226.98</v>
      </c>
      <c r="H238" s="51">
        <v>11.012</v>
      </c>
      <c r="I238" s="17">
        <v>45465</v>
      </c>
      <c r="J238" s="18">
        <v>0.83535879629629628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76"/>
      <c r="Y238">
        <v>4</v>
      </c>
      <c r="Z238" t="s">
        <v>7</v>
      </c>
      <c r="AA238">
        <v>27264</v>
      </c>
      <c r="AB238">
        <v>192</v>
      </c>
      <c r="AC238">
        <v>1</v>
      </c>
      <c r="AD238">
        <v>16</v>
      </c>
      <c r="AE238">
        <v>1097.8599999999999</v>
      </c>
      <c r="AF238" s="21">
        <v>12.307</v>
      </c>
      <c r="AG238" s="26">
        <v>45473</v>
      </c>
      <c r="AH238" s="27">
        <v>0.74902777777777774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s="77"/>
    </row>
    <row r="239" spans="1:47" x14ac:dyDescent="0.25">
      <c r="A239" s="42">
        <v>0</v>
      </c>
      <c r="B239" s="42" t="s">
        <v>7</v>
      </c>
      <c r="C239" s="43">
        <v>28800</v>
      </c>
      <c r="D239" s="43">
        <v>192</v>
      </c>
      <c r="E239" s="43">
        <v>1</v>
      </c>
      <c r="F239" s="43">
        <v>16</v>
      </c>
      <c r="G239" s="43">
        <v>1426.55</v>
      </c>
      <c r="H239" s="50">
        <v>11.164</v>
      </c>
      <c r="I239" s="23">
        <v>45459</v>
      </c>
      <c r="J239" s="24">
        <v>0.76298611111111114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76">
        <f t="shared" ref="W239" si="94">AVERAGE(H239:H243)</f>
        <v>11.012380000000002</v>
      </c>
      <c r="Y239">
        <v>0</v>
      </c>
      <c r="Z239" t="s">
        <v>7</v>
      </c>
      <c r="AA239">
        <v>28800</v>
      </c>
      <c r="AB239">
        <v>192</v>
      </c>
      <c r="AC239">
        <v>1</v>
      </c>
      <c r="AD239">
        <v>16</v>
      </c>
      <c r="AE239">
        <v>1256.6300000000001</v>
      </c>
      <c r="AF239" s="21">
        <v>12.673999999999999</v>
      </c>
      <c r="AG239" s="26">
        <v>45469</v>
      </c>
      <c r="AH239" s="27">
        <v>0.57988425925925924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s="77">
        <f t="shared" ref="AU239" si="95">AVERAGE(AF239:AF243)</f>
        <v>12.6662</v>
      </c>
    </row>
    <row r="240" spans="1:47" x14ac:dyDescent="0.25">
      <c r="A240" s="44">
        <v>1</v>
      </c>
      <c r="B240" s="44" t="s">
        <v>7</v>
      </c>
      <c r="C240" s="46">
        <v>28800</v>
      </c>
      <c r="D240" s="46">
        <v>192</v>
      </c>
      <c r="E240" s="46">
        <v>1</v>
      </c>
      <c r="F240" s="46">
        <v>16</v>
      </c>
      <c r="G240" s="47">
        <v>1601.63</v>
      </c>
      <c r="H240" s="51">
        <v>9.9438999999999993</v>
      </c>
      <c r="I240" s="17">
        <v>45460</v>
      </c>
      <c r="J240" s="18">
        <v>0.78344907407407405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76"/>
      <c r="Y240">
        <v>1</v>
      </c>
      <c r="Z240" t="s">
        <v>7</v>
      </c>
      <c r="AA240">
        <v>28800</v>
      </c>
      <c r="AB240">
        <v>192</v>
      </c>
      <c r="AC240">
        <v>1</v>
      </c>
      <c r="AD240">
        <v>16</v>
      </c>
      <c r="AE240">
        <v>1244.75</v>
      </c>
      <c r="AF240" s="21">
        <v>12.795</v>
      </c>
      <c r="AG240" s="26">
        <v>45470</v>
      </c>
      <c r="AH240" s="27">
        <v>0.96956018518518516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s="77"/>
    </row>
    <row r="241" spans="1:47" x14ac:dyDescent="0.25">
      <c r="A241" s="44">
        <v>2</v>
      </c>
      <c r="B241" s="44" t="s">
        <v>7</v>
      </c>
      <c r="C241" s="46">
        <v>28800</v>
      </c>
      <c r="D241" s="46">
        <v>192</v>
      </c>
      <c r="E241" s="46">
        <v>1</v>
      </c>
      <c r="F241" s="46">
        <v>16</v>
      </c>
      <c r="G241" s="47">
        <v>1401.82</v>
      </c>
      <c r="H241" s="51">
        <v>11.361000000000001</v>
      </c>
      <c r="I241" s="17">
        <v>45462</v>
      </c>
      <c r="J241" s="18">
        <v>0.1135300925925926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s="76"/>
      <c r="Y241">
        <v>2</v>
      </c>
      <c r="Z241" t="s">
        <v>7</v>
      </c>
      <c r="AA241">
        <v>28800</v>
      </c>
      <c r="AB241">
        <v>192</v>
      </c>
      <c r="AC241">
        <v>1</v>
      </c>
      <c r="AD241">
        <v>16</v>
      </c>
      <c r="AE241">
        <v>1262.57</v>
      </c>
      <c r="AF241" s="21">
        <v>12.614000000000001</v>
      </c>
      <c r="AG241" s="26">
        <v>45472</v>
      </c>
      <c r="AH241" s="27">
        <v>2.4097222222222221E-2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s="77"/>
    </row>
    <row r="242" spans="1:47" x14ac:dyDescent="0.25">
      <c r="A242" s="44">
        <v>3</v>
      </c>
      <c r="B242" s="44" t="s">
        <v>7</v>
      </c>
      <c r="C242" s="46">
        <v>28800</v>
      </c>
      <c r="D242" s="46">
        <v>192</v>
      </c>
      <c r="E242" s="46">
        <v>1</v>
      </c>
      <c r="F242" s="46">
        <v>16</v>
      </c>
      <c r="G242" s="47">
        <v>1409.49</v>
      </c>
      <c r="H242" s="51">
        <v>11.298999999999999</v>
      </c>
      <c r="I242" s="17">
        <v>45465</v>
      </c>
      <c r="J242" s="18">
        <v>0.19028935185185186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76"/>
      <c r="Y242">
        <v>3</v>
      </c>
      <c r="Z242" t="s">
        <v>7</v>
      </c>
      <c r="AA242">
        <v>28800</v>
      </c>
      <c r="AB242">
        <v>192</v>
      </c>
      <c r="AC242">
        <v>1</v>
      </c>
      <c r="AD242">
        <v>16</v>
      </c>
      <c r="AE242">
        <v>1268.02</v>
      </c>
      <c r="AF242" s="21">
        <v>12.56</v>
      </c>
      <c r="AG242" s="26">
        <v>45473</v>
      </c>
      <c r="AH242" s="27">
        <v>7.9097222222222222E-2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s="77"/>
    </row>
    <row r="243" spans="1:47" x14ac:dyDescent="0.25">
      <c r="A243" s="44">
        <v>4</v>
      </c>
      <c r="B243" s="44" t="s">
        <v>7</v>
      </c>
      <c r="C243" s="46">
        <v>28800</v>
      </c>
      <c r="D243" s="46">
        <v>192</v>
      </c>
      <c r="E243" s="46">
        <v>1</v>
      </c>
      <c r="F243" s="46">
        <v>16</v>
      </c>
      <c r="G243" s="47">
        <v>1410.2</v>
      </c>
      <c r="H243" s="51">
        <v>11.294</v>
      </c>
      <c r="I243" s="17">
        <v>45466</v>
      </c>
      <c r="J243" s="18">
        <v>0.20766203703703703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s="76"/>
      <c r="Y243">
        <v>4</v>
      </c>
      <c r="Z243" t="s">
        <v>7</v>
      </c>
      <c r="AA243">
        <v>28800</v>
      </c>
      <c r="AB243">
        <v>192</v>
      </c>
      <c r="AC243">
        <v>1</v>
      </c>
      <c r="AD243">
        <v>16</v>
      </c>
      <c r="AE243">
        <v>1255.26</v>
      </c>
      <c r="AF243" s="21">
        <v>12.688000000000001</v>
      </c>
      <c r="AG243" s="26">
        <v>45474</v>
      </c>
      <c r="AH243" s="27">
        <v>0.13285879629629629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s="77"/>
    </row>
    <row r="244" spans="1:47" x14ac:dyDescent="0.25">
      <c r="A244" s="42">
        <v>0</v>
      </c>
      <c r="B244" s="42" t="s">
        <v>7</v>
      </c>
      <c r="C244" s="43">
        <v>25728</v>
      </c>
      <c r="D244" s="43">
        <v>192</v>
      </c>
      <c r="E244" s="43">
        <v>2</v>
      </c>
      <c r="F244" s="43">
        <v>8</v>
      </c>
      <c r="G244" s="43">
        <v>932.24</v>
      </c>
      <c r="H244" s="50">
        <v>12.18</v>
      </c>
      <c r="I244" s="23">
        <v>45459</v>
      </c>
      <c r="J244" s="24">
        <v>7.7141203703703698E-2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76">
        <f t="shared" ref="W244" si="96">AVERAGE(H244:H248)</f>
        <v>12.1928</v>
      </c>
      <c r="Y244">
        <v>0</v>
      </c>
      <c r="Z244" t="s">
        <v>7</v>
      </c>
      <c r="AA244">
        <v>25728</v>
      </c>
      <c r="AB244">
        <v>192</v>
      </c>
      <c r="AC244">
        <v>2</v>
      </c>
      <c r="AD244">
        <v>8</v>
      </c>
      <c r="AE244">
        <v>913.79</v>
      </c>
      <c r="AF244" s="21">
        <v>12.426</v>
      </c>
      <c r="AG244" s="26">
        <v>45468</v>
      </c>
      <c r="AH244" s="27">
        <v>0.87459490740740742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s="77">
        <f t="shared" ref="AU244" si="97">AVERAGE(AF244:AF248)</f>
        <v>12.388999999999999</v>
      </c>
    </row>
    <row r="245" spans="1:47" x14ac:dyDescent="0.25">
      <c r="A245" s="44">
        <v>1</v>
      </c>
      <c r="B245" s="44" t="s">
        <v>7</v>
      </c>
      <c r="C245" s="45">
        <v>25728</v>
      </c>
      <c r="D245" s="45">
        <v>192</v>
      </c>
      <c r="E245" s="45">
        <v>2</v>
      </c>
      <c r="F245" s="45">
        <v>8</v>
      </c>
      <c r="G245" s="45">
        <v>931.96</v>
      </c>
      <c r="H245" s="51">
        <v>12.183</v>
      </c>
      <c r="I245" s="17">
        <v>45460</v>
      </c>
      <c r="J245" s="18">
        <v>9.6655092592592598E-2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s="76"/>
      <c r="Y245">
        <v>1</v>
      </c>
      <c r="Z245" t="s">
        <v>7</v>
      </c>
      <c r="AA245">
        <v>25728</v>
      </c>
      <c r="AB245">
        <v>192</v>
      </c>
      <c r="AC245">
        <v>2</v>
      </c>
      <c r="AD245">
        <v>8</v>
      </c>
      <c r="AE245">
        <v>908.26</v>
      </c>
      <c r="AF245" s="21">
        <v>12.500999999999999</v>
      </c>
      <c r="AG245" s="26">
        <v>45469</v>
      </c>
      <c r="AH245" s="27">
        <v>0.92578703703703702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s="77"/>
    </row>
    <row r="246" spans="1:47" x14ac:dyDescent="0.25">
      <c r="A246" s="44">
        <v>2</v>
      </c>
      <c r="B246" s="44" t="s">
        <v>7</v>
      </c>
      <c r="C246" s="46">
        <v>25728</v>
      </c>
      <c r="D246" s="46">
        <v>192</v>
      </c>
      <c r="E246" s="46">
        <v>2</v>
      </c>
      <c r="F246" s="46">
        <v>8</v>
      </c>
      <c r="G246" s="47">
        <v>931.64</v>
      </c>
      <c r="H246" s="51">
        <v>12.188000000000001</v>
      </c>
      <c r="I246" s="17">
        <v>45461</v>
      </c>
      <c r="J246" s="18">
        <v>0.11652777777777777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76"/>
      <c r="Y246">
        <v>2</v>
      </c>
      <c r="Z246" t="s">
        <v>7</v>
      </c>
      <c r="AA246">
        <v>25728</v>
      </c>
      <c r="AB246">
        <v>192</v>
      </c>
      <c r="AC246">
        <v>2</v>
      </c>
      <c r="AD246">
        <v>8</v>
      </c>
      <c r="AE246">
        <v>918.95</v>
      </c>
      <c r="AF246" s="21">
        <v>12.356</v>
      </c>
      <c r="AG246" s="26">
        <v>45471</v>
      </c>
      <c r="AH246" s="27">
        <v>0.31785879629629632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s="77"/>
    </row>
    <row r="247" spans="1:47" x14ac:dyDescent="0.25">
      <c r="A247" s="44">
        <v>3</v>
      </c>
      <c r="B247" s="44" t="s">
        <v>7</v>
      </c>
      <c r="C247" s="46">
        <v>25728</v>
      </c>
      <c r="D247" s="46">
        <v>192</v>
      </c>
      <c r="E247" s="46">
        <v>2</v>
      </c>
      <c r="F247" s="46">
        <v>8</v>
      </c>
      <c r="G247" s="47">
        <v>931.57</v>
      </c>
      <c r="H247" s="51">
        <v>12.189</v>
      </c>
      <c r="I247" s="17">
        <v>45462</v>
      </c>
      <c r="J247" s="18">
        <v>0.44687500000000002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s="76"/>
      <c r="Y247">
        <v>3</v>
      </c>
      <c r="Z247" t="s">
        <v>7</v>
      </c>
      <c r="AA247">
        <v>25728</v>
      </c>
      <c r="AB247">
        <v>192</v>
      </c>
      <c r="AC247">
        <v>2</v>
      </c>
      <c r="AD247">
        <v>8</v>
      </c>
      <c r="AE247">
        <v>919.8</v>
      </c>
      <c r="AF247" s="21">
        <v>12.343999999999999</v>
      </c>
      <c r="AG247" s="26">
        <v>45472</v>
      </c>
      <c r="AH247" s="27">
        <v>0.37194444444444447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s="77"/>
    </row>
    <row r="248" spans="1:47" x14ac:dyDescent="0.25">
      <c r="A248" s="44">
        <v>4</v>
      </c>
      <c r="B248" s="44" t="s">
        <v>7</v>
      </c>
      <c r="C248" s="46">
        <v>25728</v>
      </c>
      <c r="D248" s="46">
        <v>192</v>
      </c>
      <c r="E248" s="46">
        <v>2</v>
      </c>
      <c r="F248" s="46">
        <v>8</v>
      </c>
      <c r="G248" s="47">
        <v>928.86</v>
      </c>
      <c r="H248" s="51">
        <v>12.224</v>
      </c>
      <c r="I248" s="17">
        <v>45465</v>
      </c>
      <c r="J248" s="18">
        <v>0.52327546296296301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s="76"/>
      <c r="Y248">
        <v>4</v>
      </c>
      <c r="Z248" t="s">
        <v>7</v>
      </c>
      <c r="AA248">
        <v>25728</v>
      </c>
      <c r="AB248">
        <v>192</v>
      </c>
      <c r="AC248">
        <v>2</v>
      </c>
      <c r="AD248">
        <v>8</v>
      </c>
      <c r="AE248">
        <v>921.75</v>
      </c>
      <c r="AF248" s="21">
        <v>12.318</v>
      </c>
      <c r="AG248" s="26">
        <v>45473</v>
      </c>
      <c r="AH248" s="27">
        <v>0.4268865740740741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s="77"/>
    </row>
    <row r="249" spans="1:47" x14ac:dyDescent="0.25">
      <c r="A249" s="42">
        <v>0</v>
      </c>
      <c r="B249" s="42" t="s">
        <v>7</v>
      </c>
      <c r="C249" s="43">
        <v>27264</v>
      </c>
      <c r="D249" s="43">
        <v>192</v>
      </c>
      <c r="E249" s="43">
        <v>2</v>
      </c>
      <c r="F249" s="43">
        <v>8</v>
      </c>
      <c r="G249" s="43">
        <v>1108.73</v>
      </c>
      <c r="H249" s="50">
        <v>12.186999999999999</v>
      </c>
      <c r="I249" s="23">
        <v>45459</v>
      </c>
      <c r="J249" s="24">
        <v>0.40266203703703701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76">
        <f t="shared" ref="W249" si="98">AVERAGE(H249:H253)</f>
        <v>12.2774</v>
      </c>
      <c r="Y249">
        <v>0</v>
      </c>
      <c r="Z249" t="s">
        <v>7</v>
      </c>
      <c r="AA249">
        <v>27264</v>
      </c>
      <c r="AB249">
        <v>192</v>
      </c>
      <c r="AC249">
        <v>2</v>
      </c>
      <c r="AD249">
        <v>8</v>
      </c>
      <c r="AE249">
        <v>1059.08</v>
      </c>
      <c r="AF249" s="21">
        <v>12.757999999999999</v>
      </c>
      <c r="AG249" s="26">
        <v>45469</v>
      </c>
      <c r="AH249" s="27">
        <v>0.21025462962962962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s="77">
        <f t="shared" ref="AU249" si="99">AVERAGE(AF249:AF253)</f>
        <v>12.729800000000001</v>
      </c>
    </row>
    <row r="250" spans="1:47" x14ac:dyDescent="0.25">
      <c r="A250" s="44">
        <v>1</v>
      </c>
      <c r="B250" s="44" t="s">
        <v>7</v>
      </c>
      <c r="C250" s="45">
        <v>27264</v>
      </c>
      <c r="D250" s="45">
        <v>192</v>
      </c>
      <c r="E250" s="45">
        <v>2</v>
      </c>
      <c r="F250" s="45">
        <v>8</v>
      </c>
      <c r="G250" s="45">
        <v>1097.31</v>
      </c>
      <c r="H250" s="51">
        <v>12.314</v>
      </c>
      <c r="I250" s="17">
        <v>45460</v>
      </c>
      <c r="J250" s="18">
        <v>0.42146990740740742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s="76"/>
      <c r="Y250">
        <v>1</v>
      </c>
      <c r="Z250" t="s">
        <v>7</v>
      </c>
      <c r="AA250">
        <v>27264</v>
      </c>
      <c r="AB250">
        <v>192</v>
      </c>
      <c r="AC250">
        <v>2</v>
      </c>
      <c r="AD250">
        <v>8</v>
      </c>
      <c r="AE250">
        <v>1054.98</v>
      </c>
      <c r="AF250" s="21">
        <v>12.808</v>
      </c>
      <c r="AG250" s="26">
        <v>45470</v>
      </c>
      <c r="AH250" s="27">
        <v>0.26010416666666669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s="77"/>
    </row>
    <row r="251" spans="1:47" x14ac:dyDescent="0.25">
      <c r="A251" s="44">
        <v>2</v>
      </c>
      <c r="B251" s="44" t="s">
        <v>7</v>
      </c>
      <c r="C251" s="46">
        <v>27264</v>
      </c>
      <c r="D251" s="46">
        <v>192</v>
      </c>
      <c r="E251" s="46">
        <v>2</v>
      </c>
      <c r="F251" s="46">
        <v>8</v>
      </c>
      <c r="G251" s="47">
        <v>1096.3499999999999</v>
      </c>
      <c r="H251" s="51">
        <v>12.324</v>
      </c>
      <c r="I251" s="17">
        <v>45461</v>
      </c>
      <c r="J251" s="18">
        <v>0.75399305555555551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s="76"/>
      <c r="Y251">
        <v>2</v>
      </c>
      <c r="Z251" t="s">
        <v>7</v>
      </c>
      <c r="AA251">
        <v>27264</v>
      </c>
      <c r="AB251">
        <v>192</v>
      </c>
      <c r="AC251">
        <v>2</v>
      </c>
      <c r="AD251">
        <v>8</v>
      </c>
      <c r="AE251">
        <v>1064.01</v>
      </c>
      <c r="AF251" s="21">
        <v>12.699</v>
      </c>
      <c r="AG251" s="26">
        <v>45471</v>
      </c>
      <c r="AH251" s="27">
        <v>0.65400462962962957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s="77"/>
    </row>
    <row r="252" spans="1:47" x14ac:dyDescent="0.25">
      <c r="A252" s="44">
        <v>3</v>
      </c>
      <c r="B252" s="44" t="s">
        <v>7</v>
      </c>
      <c r="C252" s="46">
        <v>27264</v>
      </c>
      <c r="D252" s="46">
        <v>192</v>
      </c>
      <c r="E252" s="46">
        <v>2</v>
      </c>
      <c r="F252" s="46">
        <v>8</v>
      </c>
      <c r="G252" s="47">
        <v>1100.17</v>
      </c>
      <c r="H252" s="51">
        <v>12.282</v>
      </c>
      <c r="I252" s="17">
        <v>45464</v>
      </c>
      <c r="J252" s="18">
        <v>0.83057870370370368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76"/>
      <c r="Y252">
        <v>3</v>
      </c>
      <c r="Z252" t="s">
        <v>7</v>
      </c>
      <c r="AA252">
        <v>27264</v>
      </c>
      <c r="AB252">
        <v>192</v>
      </c>
      <c r="AC252">
        <v>2</v>
      </c>
      <c r="AD252">
        <v>8</v>
      </c>
      <c r="AE252">
        <v>1070.51</v>
      </c>
      <c r="AF252" s="21">
        <v>12.622</v>
      </c>
      <c r="AG252" s="26">
        <v>45472</v>
      </c>
      <c r="AH252" s="27">
        <v>0.7085069444444444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s="77"/>
    </row>
    <row r="253" spans="1:47" x14ac:dyDescent="0.25">
      <c r="A253" s="44">
        <v>4</v>
      </c>
      <c r="B253" s="44" t="s">
        <v>7</v>
      </c>
      <c r="C253" s="46">
        <v>27264</v>
      </c>
      <c r="D253" s="46">
        <v>192</v>
      </c>
      <c r="E253" s="46">
        <v>2</v>
      </c>
      <c r="F253" s="46">
        <v>8</v>
      </c>
      <c r="G253" s="47">
        <v>1100.28</v>
      </c>
      <c r="H253" s="51">
        <v>12.28</v>
      </c>
      <c r="I253" s="17">
        <v>45465</v>
      </c>
      <c r="J253" s="18">
        <v>0.84839120370370369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s="76"/>
      <c r="Y253">
        <v>4</v>
      </c>
      <c r="Z253" t="s">
        <v>7</v>
      </c>
      <c r="AA253">
        <v>27264</v>
      </c>
      <c r="AB253">
        <v>192</v>
      </c>
      <c r="AC253">
        <v>2</v>
      </c>
      <c r="AD253">
        <v>8</v>
      </c>
      <c r="AE253">
        <v>1058.79</v>
      </c>
      <c r="AF253" s="21">
        <v>12.762</v>
      </c>
      <c r="AG253" s="26">
        <v>45473</v>
      </c>
      <c r="AH253" s="27">
        <v>0.76246527777777773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s="77"/>
    </row>
    <row r="254" spans="1:47" x14ac:dyDescent="0.25">
      <c r="A254" s="42">
        <v>0</v>
      </c>
      <c r="B254" s="42" t="s">
        <v>7</v>
      </c>
      <c r="C254" s="43">
        <v>28800</v>
      </c>
      <c r="D254" s="43">
        <v>192</v>
      </c>
      <c r="E254" s="43">
        <v>2</v>
      </c>
      <c r="F254" s="43">
        <v>8</v>
      </c>
      <c r="G254" s="43">
        <v>1277.19</v>
      </c>
      <c r="H254" s="50">
        <v>12.47</v>
      </c>
      <c r="I254" s="23">
        <v>45459</v>
      </c>
      <c r="J254" s="24">
        <v>0.77815972222222218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76">
        <f t="shared" ref="W254" si="100">AVERAGE(H254:H258)</f>
        <v>12.6652</v>
      </c>
      <c r="Y254">
        <v>0</v>
      </c>
      <c r="Z254" t="s">
        <v>7</v>
      </c>
      <c r="AA254">
        <v>28800</v>
      </c>
      <c r="AB254">
        <v>192</v>
      </c>
      <c r="AC254">
        <v>2</v>
      </c>
      <c r="AD254">
        <v>8</v>
      </c>
      <c r="AE254">
        <v>1215.24</v>
      </c>
      <c r="AF254" s="21">
        <v>13.106</v>
      </c>
      <c r="AG254" s="26">
        <v>45469</v>
      </c>
      <c r="AH254" s="27">
        <v>0.59528935185185183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1293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s="77">
        <f t="shared" ref="AU254" si="101">AVERAGE(AF254:AF258)</f>
        <v>13.0482</v>
      </c>
    </row>
    <row r="255" spans="1:47" x14ac:dyDescent="0.25">
      <c r="A255" s="44">
        <v>1</v>
      </c>
      <c r="B255" s="44" t="s">
        <v>7</v>
      </c>
      <c r="C255" s="46">
        <v>28800</v>
      </c>
      <c r="D255" s="46">
        <v>192</v>
      </c>
      <c r="E255" s="46">
        <v>2</v>
      </c>
      <c r="F255" s="46">
        <v>8</v>
      </c>
      <c r="G255" s="47">
        <v>1247.97</v>
      </c>
      <c r="H255" s="51">
        <v>12.762</v>
      </c>
      <c r="I255" s="17">
        <v>45460</v>
      </c>
      <c r="J255" s="18">
        <v>0.79822916666666666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76"/>
      <c r="Y255">
        <v>1</v>
      </c>
      <c r="Z255" t="s">
        <v>7</v>
      </c>
      <c r="AA255">
        <v>28800</v>
      </c>
      <c r="AB255">
        <v>192</v>
      </c>
      <c r="AC255">
        <v>2</v>
      </c>
      <c r="AD255">
        <v>8</v>
      </c>
      <c r="AE255">
        <v>1226.81</v>
      </c>
      <c r="AF255" s="21">
        <v>12.981999999999999</v>
      </c>
      <c r="AG255" s="26">
        <v>45470</v>
      </c>
      <c r="AH255" s="27">
        <v>0.9851388888888889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s="77"/>
    </row>
    <row r="256" spans="1:47" x14ac:dyDescent="0.25">
      <c r="A256" s="44">
        <v>2</v>
      </c>
      <c r="B256" s="44" t="s">
        <v>7</v>
      </c>
      <c r="C256" s="46">
        <v>28800</v>
      </c>
      <c r="D256" s="46">
        <v>192</v>
      </c>
      <c r="E256" s="46">
        <v>2</v>
      </c>
      <c r="F256" s="46">
        <v>8</v>
      </c>
      <c r="G256" s="47">
        <v>1258.26</v>
      </c>
      <c r="H256" s="51">
        <v>12.657999999999999</v>
      </c>
      <c r="I256" s="17">
        <v>45462</v>
      </c>
      <c r="J256" s="18">
        <v>0.12846064814814814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76"/>
      <c r="Y256">
        <v>2</v>
      </c>
      <c r="Z256" t="s">
        <v>7</v>
      </c>
      <c r="AA256">
        <v>28800</v>
      </c>
      <c r="AB256">
        <v>192</v>
      </c>
      <c r="AC256">
        <v>2</v>
      </c>
      <c r="AD256">
        <v>8</v>
      </c>
      <c r="AE256">
        <v>1222.98</v>
      </c>
      <c r="AF256" s="21">
        <v>13.023</v>
      </c>
      <c r="AG256" s="26">
        <v>45472</v>
      </c>
      <c r="AH256" s="27">
        <v>3.9606481481481479E-2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s="77"/>
    </row>
    <row r="257" spans="1:47" x14ac:dyDescent="0.25">
      <c r="A257" s="44">
        <v>3</v>
      </c>
      <c r="B257" s="44" t="s">
        <v>7</v>
      </c>
      <c r="C257" s="46">
        <v>28800</v>
      </c>
      <c r="D257" s="46">
        <v>192</v>
      </c>
      <c r="E257" s="46">
        <v>2</v>
      </c>
      <c r="F257" s="46">
        <v>8</v>
      </c>
      <c r="G257" s="47">
        <v>1255.24</v>
      </c>
      <c r="H257" s="51">
        <v>12.688000000000001</v>
      </c>
      <c r="I257" s="17">
        <v>45465</v>
      </c>
      <c r="J257" s="18">
        <v>0.20516203703703703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76"/>
      <c r="Y257">
        <v>3</v>
      </c>
      <c r="Z257" t="s">
        <v>7</v>
      </c>
      <c r="AA257">
        <v>28800</v>
      </c>
      <c r="AB257">
        <v>192</v>
      </c>
      <c r="AC257">
        <v>2</v>
      </c>
      <c r="AD257">
        <v>8</v>
      </c>
      <c r="AE257">
        <v>1223.5999999999999</v>
      </c>
      <c r="AF257" s="21">
        <v>13.016</v>
      </c>
      <c r="AG257" s="26">
        <v>45473</v>
      </c>
      <c r="AH257" s="27">
        <v>9.4618055555555552E-2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s="77"/>
    </row>
    <row r="258" spans="1:47" x14ac:dyDescent="0.25">
      <c r="A258" s="44">
        <v>4</v>
      </c>
      <c r="B258" s="44" t="s">
        <v>7</v>
      </c>
      <c r="C258" s="46">
        <v>28800</v>
      </c>
      <c r="D258" s="46">
        <v>192</v>
      </c>
      <c r="E258" s="46">
        <v>2</v>
      </c>
      <c r="F258" s="46">
        <v>8</v>
      </c>
      <c r="G258" s="47">
        <v>1249.32</v>
      </c>
      <c r="H258" s="51">
        <v>12.747999999999999</v>
      </c>
      <c r="I258" s="17">
        <v>45466</v>
      </c>
      <c r="J258" s="18">
        <v>0.22246527777777778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s="76"/>
      <c r="Y258">
        <v>4</v>
      </c>
      <c r="Z258" t="s">
        <v>7</v>
      </c>
      <c r="AA258">
        <v>28800</v>
      </c>
      <c r="AB258">
        <v>192</v>
      </c>
      <c r="AC258">
        <v>2</v>
      </c>
      <c r="AD258">
        <v>8</v>
      </c>
      <c r="AE258">
        <v>1214.49</v>
      </c>
      <c r="AF258" s="21">
        <v>13.114000000000001</v>
      </c>
      <c r="AG258" s="26">
        <v>45474</v>
      </c>
      <c r="AH258" s="27">
        <v>0.14824074074074073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s="77"/>
    </row>
    <row r="259" spans="1:47" x14ac:dyDescent="0.25">
      <c r="A259" s="42">
        <v>0</v>
      </c>
      <c r="B259" s="42" t="s">
        <v>7</v>
      </c>
      <c r="C259" s="43">
        <v>25728</v>
      </c>
      <c r="D259" s="43">
        <v>192</v>
      </c>
      <c r="E259" s="43">
        <v>4</v>
      </c>
      <c r="F259" s="43">
        <v>4</v>
      </c>
      <c r="G259" s="43">
        <v>1092.46</v>
      </c>
      <c r="H259" s="50">
        <v>10.393000000000001</v>
      </c>
      <c r="I259" s="23">
        <v>45459</v>
      </c>
      <c r="J259" s="24">
        <v>9.0057870370370371E-2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76">
        <f t="shared" ref="W259" si="102">AVERAGE(H259:H263)</f>
        <v>10.436600000000002</v>
      </c>
      <c r="Y259">
        <v>0</v>
      </c>
      <c r="Z259" t="s">
        <v>7</v>
      </c>
      <c r="AA259">
        <v>25728</v>
      </c>
      <c r="AB259">
        <v>192</v>
      </c>
      <c r="AC259">
        <v>4</v>
      </c>
      <c r="AD259">
        <v>4</v>
      </c>
      <c r="AE259">
        <v>1093.04</v>
      </c>
      <c r="AF259" s="21">
        <v>10.388</v>
      </c>
      <c r="AG259" s="26">
        <v>45468</v>
      </c>
      <c r="AH259" s="27">
        <v>0.88832175925925927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s="77">
        <f t="shared" ref="AU259" si="103">AVERAGE(AF259:AF263)</f>
        <v>10.350399999999999</v>
      </c>
    </row>
    <row r="260" spans="1:47" x14ac:dyDescent="0.25">
      <c r="A260" s="44">
        <v>1</v>
      </c>
      <c r="B260" s="44" t="s">
        <v>7</v>
      </c>
      <c r="C260" s="45">
        <v>25728</v>
      </c>
      <c r="D260" s="45">
        <v>192</v>
      </c>
      <c r="E260" s="45">
        <v>4</v>
      </c>
      <c r="F260" s="45">
        <v>4</v>
      </c>
      <c r="G260" s="45">
        <v>1086.1400000000001</v>
      </c>
      <c r="H260" s="51">
        <v>10.454000000000001</v>
      </c>
      <c r="I260" s="17">
        <v>45460</v>
      </c>
      <c r="J260" s="18">
        <v>0.10950231481481482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76"/>
      <c r="Y260">
        <v>1</v>
      </c>
      <c r="Z260" t="s">
        <v>7</v>
      </c>
      <c r="AA260">
        <v>25728</v>
      </c>
      <c r="AB260">
        <v>192</v>
      </c>
      <c r="AC260">
        <v>4</v>
      </c>
      <c r="AD260">
        <v>4</v>
      </c>
      <c r="AE260">
        <v>1089.8499999999999</v>
      </c>
      <c r="AF260" s="21">
        <v>10.417999999999999</v>
      </c>
      <c r="AG260" s="26">
        <v>45469</v>
      </c>
      <c r="AH260" s="27">
        <v>0.93950231481481483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s="77"/>
    </row>
    <row r="261" spans="1:47" x14ac:dyDescent="0.25">
      <c r="A261" s="44">
        <v>2</v>
      </c>
      <c r="B261" s="44" t="s">
        <v>7</v>
      </c>
      <c r="C261" s="46">
        <v>25728</v>
      </c>
      <c r="D261" s="46">
        <v>192</v>
      </c>
      <c r="E261" s="46">
        <v>4</v>
      </c>
      <c r="F261" s="46">
        <v>4</v>
      </c>
      <c r="G261" s="47">
        <v>1086.75</v>
      </c>
      <c r="H261" s="51">
        <v>10.448</v>
      </c>
      <c r="I261" s="17">
        <v>45461</v>
      </c>
      <c r="J261" s="18">
        <v>0.12937499999999999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s="76"/>
      <c r="Y261">
        <v>2</v>
      </c>
      <c r="Z261" t="s">
        <v>7</v>
      </c>
      <c r="AA261">
        <v>25728</v>
      </c>
      <c r="AB261">
        <v>192</v>
      </c>
      <c r="AC261">
        <v>4</v>
      </c>
      <c r="AD261">
        <v>4</v>
      </c>
      <c r="AE261">
        <v>1104.8800000000001</v>
      </c>
      <c r="AF261" s="21">
        <v>10.276999999999999</v>
      </c>
      <c r="AG261" s="26">
        <v>45471</v>
      </c>
      <c r="AH261" s="27">
        <v>0.33172453703703703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s="77"/>
    </row>
    <row r="262" spans="1:47" x14ac:dyDescent="0.25">
      <c r="A262" s="44">
        <v>3</v>
      </c>
      <c r="B262" s="44" t="s">
        <v>7</v>
      </c>
      <c r="C262" s="46">
        <v>25728</v>
      </c>
      <c r="D262" s="46">
        <v>192</v>
      </c>
      <c r="E262" s="46">
        <v>4</v>
      </c>
      <c r="F262" s="46">
        <v>4</v>
      </c>
      <c r="G262" s="47">
        <v>1085.6099999999999</v>
      </c>
      <c r="H262" s="51">
        <v>10.459</v>
      </c>
      <c r="I262" s="17">
        <v>45462</v>
      </c>
      <c r="J262" s="18">
        <v>0.4597222222222222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s="76"/>
      <c r="Y262">
        <v>3</v>
      </c>
      <c r="Z262" t="s">
        <v>7</v>
      </c>
      <c r="AA262">
        <v>25728</v>
      </c>
      <c r="AB262">
        <v>192</v>
      </c>
      <c r="AC262">
        <v>4</v>
      </c>
      <c r="AD262">
        <v>4</v>
      </c>
      <c r="AE262">
        <v>1100.52</v>
      </c>
      <c r="AF262" s="21">
        <v>10.317</v>
      </c>
      <c r="AG262" s="26">
        <v>45472</v>
      </c>
      <c r="AH262" s="27">
        <v>0.38575231481481481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s="77"/>
    </row>
    <row r="263" spans="1:47" x14ac:dyDescent="0.25">
      <c r="A263" s="44">
        <v>4</v>
      </c>
      <c r="B263" s="44" t="s">
        <v>7</v>
      </c>
      <c r="C263" s="46">
        <v>25728</v>
      </c>
      <c r="D263" s="46">
        <v>192</v>
      </c>
      <c r="E263" s="46">
        <v>4</v>
      </c>
      <c r="F263" s="46">
        <v>4</v>
      </c>
      <c r="G263" s="47">
        <v>1088.75</v>
      </c>
      <c r="H263" s="51">
        <v>10.429</v>
      </c>
      <c r="I263" s="17">
        <v>45465</v>
      </c>
      <c r="J263" s="18">
        <v>0.53614583333333332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s="76"/>
      <c r="Y263">
        <v>4</v>
      </c>
      <c r="Z263" t="s">
        <v>7</v>
      </c>
      <c r="AA263">
        <v>25728</v>
      </c>
      <c r="AB263">
        <v>192</v>
      </c>
      <c r="AC263">
        <v>4</v>
      </c>
      <c r="AD263">
        <v>4</v>
      </c>
      <c r="AE263">
        <v>1096.8399999999999</v>
      </c>
      <c r="AF263" s="21">
        <v>10.352</v>
      </c>
      <c r="AG263" s="26">
        <v>45473</v>
      </c>
      <c r="AH263" s="27">
        <v>0.44065972222222222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s="77"/>
    </row>
    <row r="264" spans="1:47" x14ac:dyDescent="0.25">
      <c r="A264" s="42">
        <v>0</v>
      </c>
      <c r="B264" s="42" t="s">
        <v>7</v>
      </c>
      <c r="C264" s="43">
        <v>27264</v>
      </c>
      <c r="D264" s="43">
        <v>192</v>
      </c>
      <c r="E264" s="43">
        <v>4</v>
      </c>
      <c r="F264" s="43">
        <v>4</v>
      </c>
      <c r="G264" s="43">
        <v>1266.52</v>
      </c>
      <c r="H264" s="50">
        <v>10.667999999999999</v>
      </c>
      <c r="I264" s="23">
        <v>45459</v>
      </c>
      <c r="J264" s="24">
        <v>0.41760416666666667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76">
        <f t="shared" ref="W264" si="104">AVERAGE(H264:H268)</f>
        <v>10.7042</v>
      </c>
      <c r="Y264">
        <v>0</v>
      </c>
      <c r="Z264" t="s">
        <v>7</v>
      </c>
      <c r="AA264">
        <v>27264</v>
      </c>
      <c r="AB264">
        <v>192</v>
      </c>
      <c r="AC264">
        <v>4</v>
      </c>
      <c r="AD264">
        <v>4</v>
      </c>
      <c r="AE264">
        <v>1245.48</v>
      </c>
      <c r="AF264" s="21">
        <v>10.849</v>
      </c>
      <c r="AG264" s="26">
        <v>45469</v>
      </c>
      <c r="AH264" s="27">
        <v>0.22586805555555556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s="77">
        <f t="shared" ref="AU264" si="105">AVERAGE(AF264:AF268)</f>
        <v>10.745199999999999</v>
      </c>
    </row>
    <row r="265" spans="1:47" x14ac:dyDescent="0.25">
      <c r="A265" s="44">
        <v>1</v>
      </c>
      <c r="B265" s="44" t="s">
        <v>7</v>
      </c>
      <c r="C265" s="45">
        <v>27264</v>
      </c>
      <c r="D265" s="45">
        <v>192</v>
      </c>
      <c r="E265" s="45">
        <v>4</v>
      </c>
      <c r="F265" s="45">
        <v>4</v>
      </c>
      <c r="G265" s="45">
        <v>1262.1600000000001</v>
      </c>
      <c r="H265" s="51">
        <v>10.705</v>
      </c>
      <c r="I265" s="17">
        <v>45460</v>
      </c>
      <c r="J265" s="18">
        <v>0.43636574074074075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76"/>
      <c r="Y265">
        <v>1</v>
      </c>
      <c r="Z265" t="s">
        <v>7</v>
      </c>
      <c r="AA265">
        <v>27264</v>
      </c>
      <c r="AB265">
        <v>192</v>
      </c>
      <c r="AC265">
        <v>4</v>
      </c>
      <c r="AD265">
        <v>4</v>
      </c>
      <c r="AE265">
        <v>1257.4000000000001</v>
      </c>
      <c r="AF265" s="21">
        <v>10.746</v>
      </c>
      <c r="AG265" s="26">
        <v>45470</v>
      </c>
      <c r="AH265" s="27">
        <v>0.27585648148148151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s="77"/>
    </row>
    <row r="266" spans="1:47" x14ac:dyDescent="0.25">
      <c r="A266" s="44">
        <v>2</v>
      </c>
      <c r="B266" s="44" t="s">
        <v>7</v>
      </c>
      <c r="C266" s="46">
        <v>27264</v>
      </c>
      <c r="D266" s="46">
        <v>192</v>
      </c>
      <c r="E266" s="46">
        <v>4</v>
      </c>
      <c r="F266" s="46">
        <v>4</v>
      </c>
      <c r="G266" s="47">
        <v>1257.6300000000001</v>
      </c>
      <c r="H266" s="51">
        <v>10.744</v>
      </c>
      <c r="I266" s="17">
        <v>45461</v>
      </c>
      <c r="J266" s="18">
        <v>0.76884259259259258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s="76"/>
      <c r="Y266">
        <v>2</v>
      </c>
      <c r="Z266" t="s">
        <v>7</v>
      </c>
      <c r="AA266">
        <v>27264</v>
      </c>
      <c r="AB266">
        <v>192</v>
      </c>
      <c r="AC266">
        <v>4</v>
      </c>
      <c r="AD266">
        <v>4</v>
      </c>
      <c r="AE266">
        <v>1256.1400000000001</v>
      </c>
      <c r="AF266" s="21">
        <v>10.757</v>
      </c>
      <c r="AG266" s="26">
        <v>45471</v>
      </c>
      <c r="AH266" s="27">
        <v>0.66974537037037041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s="77"/>
    </row>
    <row r="267" spans="1:47" x14ac:dyDescent="0.25">
      <c r="A267" s="44">
        <v>3</v>
      </c>
      <c r="B267" s="44" t="s">
        <v>7</v>
      </c>
      <c r="C267" s="46">
        <v>27264</v>
      </c>
      <c r="D267" s="46">
        <v>192</v>
      </c>
      <c r="E267" s="46">
        <v>4</v>
      </c>
      <c r="F267" s="46">
        <v>4</v>
      </c>
      <c r="G267" s="47">
        <v>1263.01</v>
      </c>
      <c r="H267" s="51">
        <v>10.698</v>
      </c>
      <c r="I267" s="17">
        <v>45464</v>
      </c>
      <c r="J267" s="18">
        <v>0.8454976851851852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s="76"/>
      <c r="Y267">
        <v>3</v>
      </c>
      <c r="Z267" t="s">
        <v>7</v>
      </c>
      <c r="AA267">
        <v>27264</v>
      </c>
      <c r="AB267">
        <v>192</v>
      </c>
      <c r="AC267">
        <v>4</v>
      </c>
      <c r="AD267">
        <v>4</v>
      </c>
      <c r="AE267">
        <v>1261.02</v>
      </c>
      <c r="AF267" s="21">
        <v>10.715</v>
      </c>
      <c r="AG267" s="26">
        <v>45472</v>
      </c>
      <c r="AH267" s="27">
        <v>0.7242939814814815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s="77"/>
    </row>
    <row r="268" spans="1:47" x14ac:dyDescent="0.25">
      <c r="A268" s="44">
        <v>4</v>
      </c>
      <c r="B268" s="44" t="s">
        <v>7</v>
      </c>
      <c r="C268" s="46">
        <v>27264</v>
      </c>
      <c r="D268" s="46">
        <v>192</v>
      </c>
      <c r="E268" s="46">
        <v>4</v>
      </c>
      <c r="F268" s="46">
        <v>4</v>
      </c>
      <c r="G268" s="47">
        <v>1262.07</v>
      </c>
      <c r="H268" s="51">
        <v>10.706</v>
      </c>
      <c r="I268" s="17">
        <v>45465</v>
      </c>
      <c r="J268" s="18">
        <v>0.86328703703703702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s="76"/>
      <c r="Y268">
        <v>4</v>
      </c>
      <c r="Z268" t="s">
        <v>7</v>
      </c>
      <c r="AA268">
        <v>27264</v>
      </c>
      <c r="AB268">
        <v>192</v>
      </c>
      <c r="AC268">
        <v>4</v>
      </c>
      <c r="AD268">
        <v>4</v>
      </c>
      <c r="AE268">
        <v>1267.69</v>
      </c>
      <c r="AF268" s="21">
        <v>10.659000000000001</v>
      </c>
      <c r="AG268" s="26">
        <v>45473</v>
      </c>
      <c r="AH268" s="27">
        <v>0.77834490740740736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s="77"/>
    </row>
    <row r="269" spans="1:47" x14ac:dyDescent="0.25">
      <c r="A269" s="42">
        <v>0</v>
      </c>
      <c r="B269" s="42" t="s">
        <v>7</v>
      </c>
      <c r="C269" s="43">
        <v>28800</v>
      </c>
      <c r="D269" s="43">
        <v>192</v>
      </c>
      <c r="E269" s="43">
        <v>4</v>
      </c>
      <c r="F269" s="43">
        <v>4</v>
      </c>
      <c r="G269" s="43">
        <v>1453.21</v>
      </c>
      <c r="H269" s="50">
        <v>10.96</v>
      </c>
      <c r="I269" s="23">
        <v>45459</v>
      </c>
      <c r="J269" s="24">
        <v>0.79532407407407413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76">
        <f t="shared" ref="W269" si="106">AVERAGE(H269:H273)</f>
        <v>10.973600000000001</v>
      </c>
      <c r="Y269">
        <v>0</v>
      </c>
      <c r="Z269" t="s">
        <v>7</v>
      </c>
      <c r="AA269">
        <v>28800</v>
      </c>
      <c r="AB269">
        <v>192</v>
      </c>
      <c r="AC269">
        <v>4</v>
      </c>
      <c r="AD269">
        <v>4</v>
      </c>
      <c r="AE269">
        <v>1436.57</v>
      </c>
      <c r="AF269" s="21">
        <v>11.086</v>
      </c>
      <c r="AG269" s="26">
        <v>45469</v>
      </c>
      <c r="AH269" s="27">
        <v>0.61325231481481479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s="77">
        <f t="shared" ref="AU269" si="107">AVERAGE(AF269:AF273)</f>
        <v>11.033799999999999</v>
      </c>
    </row>
    <row r="270" spans="1:47" x14ac:dyDescent="0.25">
      <c r="A270" s="44">
        <v>1</v>
      </c>
      <c r="B270" s="44" t="s">
        <v>7</v>
      </c>
      <c r="C270" s="46">
        <v>28800</v>
      </c>
      <c r="D270" s="46">
        <v>192</v>
      </c>
      <c r="E270" s="46">
        <v>4</v>
      </c>
      <c r="F270" s="46">
        <v>4</v>
      </c>
      <c r="G270" s="47">
        <v>1451.02</v>
      </c>
      <c r="H270" s="51">
        <v>10.976000000000001</v>
      </c>
      <c r="I270" s="17">
        <v>45460</v>
      </c>
      <c r="J270" s="18">
        <v>0.81534722222222222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76"/>
      <c r="Y270">
        <v>1</v>
      </c>
      <c r="Z270" t="s">
        <v>7</v>
      </c>
      <c r="AA270">
        <v>28800</v>
      </c>
      <c r="AB270">
        <v>192</v>
      </c>
      <c r="AC270">
        <v>4</v>
      </c>
      <c r="AD270">
        <v>4</v>
      </c>
      <c r="AE270">
        <v>1446.3</v>
      </c>
      <c r="AF270" s="21">
        <v>11.012</v>
      </c>
      <c r="AG270" s="26">
        <v>45471</v>
      </c>
      <c r="AH270" s="27">
        <v>3.1944444444444446E-3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s="77"/>
    </row>
    <row r="271" spans="1:47" x14ac:dyDescent="0.25">
      <c r="A271" s="44">
        <v>2</v>
      </c>
      <c r="B271" s="44" t="s">
        <v>7</v>
      </c>
      <c r="C271" s="46">
        <v>28800</v>
      </c>
      <c r="D271" s="46">
        <v>192</v>
      </c>
      <c r="E271" s="46">
        <v>4</v>
      </c>
      <c r="F271" s="46">
        <v>4</v>
      </c>
      <c r="G271" s="47">
        <v>1451.79</v>
      </c>
      <c r="H271" s="51">
        <v>10.97</v>
      </c>
      <c r="I271" s="17">
        <v>45462</v>
      </c>
      <c r="J271" s="18">
        <v>0.145625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76"/>
      <c r="Y271">
        <v>2</v>
      </c>
      <c r="Z271" t="s">
        <v>7</v>
      </c>
      <c r="AA271">
        <v>28800</v>
      </c>
      <c r="AB271">
        <v>192</v>
      </c>
      <c r="AC271">
        <v>4</v>
      </c>
      <c r="AD271">
        <v>4</v>
      </c>
      <c r="AE271">
        <v>1446.66</v>
      </c>
      <c r="AF271" s="21">
        <v>11.009</v>
      </c>
      <c r="AG271" s="26">
        <v>45472</v>
      </c>
      <c r="AH271" s="27">
        <v>5.7685185185185187E-2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s="77"/>
    </row>
    <row r="272" spans="1:47" x14ac:dyDescent="0.25">
      <c r="A272" s="44">
        <v>3</v>
      </c>
      <c r="B272" s="44" t="s">
        <v>7</v>
      </c>
      <c r="C272" s="46">
        <v>28800</v>
      </c>
      <c r="D272" s="46">
        <v>192</v>
      </c>
      <c r="E272" s="46">
        <v>4</v>
      </c>
      <c r="F272" s="46">
        <v>4</v>
      </c>
      <c r="G272" s="47">
        <v>1444.66</v>
      </c>
      <c r="H272" s="51">
        <v>11.023999999999999</v>
      </c>
      <c r="I272" s="17">
        <v>45465</v>
      </c>
      <c r="J272" s="18">
        <v>0.22221064814814814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s="76"/>
      <c r="Y272">
        <v>3</v>
      </c>
      <c r="Z272" t="s">
        <v>7</v>
      </c>
      <c r="AA272">
        <v>28800</v>
      </c>
      <c r="AB272">
        <v>192</v>
      </c>
      <c r="AC272">
        <v>4</v>
      </c>
      <c r="AD272">
        <v>4</v>
      </c>
      <c r="AE272">
        <v>1442.26</v>
      </c>
      <c r="AF272" s="21">
        <v>11.042999999999999</v>
      </c>
      <c r="AG272" s="26">
        <v>45473</v>
      </c>
      <c r="AH272" s="27">
        <v>0.11266203703703703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s="77"/>
    </row>
    <row r="273" spans="1:47" x14ac:dyDescent="0.25">
      <c r="A273" s="44">
        <v>4</v>
      </c>
      <c r="B273" s="44" t="s">
        <v>7</v>
      </c>
      <c r="C273" s="46">
        <v>28800</v>
      </c>
      <c r="D273" s="46">
        <v>192</v>
      </c>
      <c r="E273" s="46">
        <v>4</v>
      </c>
      <c r="F273" s="46">
        <v>4</v>
      </c>
      <c r="G273" s="47">
        <v>1456.01</v>
      </c>
      <c r="H273" s="51">
        <v>10.938000000000001</v>
      </c>
      <c r="I273" s="17">
        <v>45466</v>
      </c>
      <c r="J273" s="18">
        <v>0.2396412037037037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s="76"/>
      <c r="Y273">
        <v>4</v>
      </c>
      <c r="Z273" t="s">
        <v>7</v>
      </c>
      <c r="AA273">
        <v>28800</v>
      </c>
      <c r="AB273">
        <v>192</v>
      </c>
      <c r="AC273">
        <v>4</v>
      </c>
      <c r="AD273">
        <v>4</v>
      </c>
      <c r="AE273">
        <v>1445.37</v>
      </c>
      <c r="AF273" s="21">
        <v>11.019</v>
      </c>
      <c r="AG273" s="26">
        <v>45474</v>
      </c>
      <c r="AH273" s="27">
        <v>0.16630787037037037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s="77"/>
    </row>
    <row r="274" spans="1:47" x14ac:dyDescent="0.25">
      <c r="A274" s="42">
        <v>0</v>
      </c>
      <c r="B274" s="42" t="s">
        <v>7</v>
      </c>
      <c r="C274" s="43">
        <v>25536</v>
      </c>
      <c r="D274" s="43">
        <v>224</v>
      </c>
      <c r="E274" s="43">
        <v>1</v>
      </c>
      <c r="F274" s="43">
        <v>16</v>
      </c>
      <c r="G274" s="43">
        <v>1035.6400000000001</v>
      </c>
      <c r="H274" s="50">
        <v>10.72</v>
      </c>
      <c r="I274" s="23">
        <v>45459</v>
      </c>
      <c r="J274" s="24">
        <v>0.10233796296296296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76">
        <f t="shared" ref="W274" si="108">AVERAGE(H274:H278)</f>
        <v>10.721399999999999</v>
      </c>
      <c r="Y274">
        <v>0</v>
      </c>
      <c r="Z274" t="s">
        <v>7</v>
      </c>
      <c r="AA274">
        <v>25536</v>
      </c>
      <c r="AB274">
        <v>224</v>
      </c>
      <c r="AC274">
        <v>1</v>
      </c>
      <c r="AD274">
        <v>16</v>
      </c>
      <c r="AE274">
        <v>940.79</v>
      </c>
      <c r="AF274" s="21">
        <v>11.801</v>
      </c>
      <c r="AG274" s="26">
        <v>45468</v>
      </c>
      <c r="AH274" s="27">
        <v>0.90035879629629634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s="77">
        <f t="shared" ref="AU274" si="109">AVERAGE(AF274:AF278)</f>
        <v>11.847</v>
      </c>
    </row>
    <row r="275" spans="1:47" x14ac:dyDescent="0.25">
      <c r="A275" s="44">
        <v>1</v>
      </c>
      <c r="B275" s="44" t="s">
        <v>7</v>
      </c>
      <c r="C275" s="45">
        <v>25536</v>
      </c>
      <c r="D275" s="45">
        <v>224</v>
      </c>
      <c r="E275" s="45">
        <v>1</v>
      </c>
      <c r="F275" s="45">
        <v>16</v>
      </c>
      <c r="G275" s="45">
        <v>1033.5899999999999</v>
      </c>
      <c r="H275" s="51">
        <v>10.741</v>
      </c>
      <c r="I275" s="17">
        <v>45460</v>
      </c>
      <c r="J275" s="18">
        <v>0.12175925925925926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s="76"/>
      <c r="Y275">
        <v>1</v>
      </c>
      <c r="Z275" t="s">
        <v>7</v>
      </c>
      <c r="AA275">
        <v>25536</v>
      </c>
      <c r="AB275">
        <v>224</v>
      </c>
      <c r="AC275">
        <v>1</v>
      </c>
      <c r="AD275">
        <v>16</v>
      </c>
      <c r="AE275">
        <v>931.81</v>
      </c>
      <c r="AF275" s="21">
        <v>11.914999999999999</v>
      </c>
      <c r="AG275" s="26">
        <v>45469</v>
      </c>
      <c r="AH275" s="27">
        <v>0.95144675925925926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s="77"/>
    </row>
    <row r="276" spans="1:47" x14ac:dyDescent="0.25">
      <c r="A276" s="44">
        <v>2</v>
      </c>
      <c r="B276" s="44" t="s">
        <v>7</v>
      </c>
      <c r="C276" s="46">
        <v>25536</v>
      </c>
      <c r="D276" s="46">
        <v>224</v>
      </c>
      <c r="E276" s="46">
        <v>1</v>
      </c>
      <c r="F276" s="46">
        <v>16</v>
      </c>
      <c r="G276" s="47">
        <v>1032.76</v>
      </c>
      <c r="H276" s="51">
        <v>10.75</v>
      </c>
      <c r="I276" s="17">
        <v>45461</v>
      </c>
      <c r="J276" s="18">
        <v>0.14163194444444444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s="76"/>
      <c r="Y276">
        <v>2</v>
      </c>
      <c r="Z276" t="s">
        <v>7</v>
      </c>
      <c r="AA276">
        <v>25536</v>
      </c>
      <c r="AB276">
        <v>224</v>
      </c>
      <c r="AC276">
        <v>1</v>
      </c>
      <c r="AD276">
        <v>16</v>
      </c>
      <c r="AE276">
        <v>942.4</v>
      </c>
      <c r="AF276" s="21">
        <v>11.781000000000001</v>
      </c>
      <c r="AG276" s="26">
        <v>45471</v>
      </c>
      <c r="AH276" s="27">
        <v>0.34378472222222223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s="77"/>
    </row>
    <row r="277" spans="1:47" x14ac:dyDescent="0.25">
      <c r="A277" s="44">
        <v>3</v>
      </c>
      <c r="B277" s="44" t="s">
        <v>7</v>
      </c>
      <c r="C277" s="46">
        <v>25536</v>
      </c>
      <c r="D277" s="46">
        <v>224</v>
      </c>
      <c r="E277" s="46">
        <v>1</v>
      </c>
      <c r="F277" s="46">
        <v>16</v>
      </c>
      <c r="G277" s="47">
        <v>1040.58</v>
      </c>
      <c r="H277" s="51">
        <v>10.669</v>
      </c>
      <c r="I277" s="17">
        <v>45462</v>
      </c>
      <c r="J277" s="18">
        <v>0.47207175925925926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s="76"/>
      <c r="Y277">
        <v>3</v>
      </c>
      <c r="Z277" t="s">
        <v>7</v>
      </c>
      <c r="AA277">
        <v>25536</v>
      </c>
      <c r="AB277">
        <v>224</v>
      </c>
      <c r="AC277">
        <v>1</v>
      </c>
      <c r="AD277">
        <v>16</v>
      </c>
      <c r="AE277">
        <v>934.03</v>
      </c>
      <c r="AF277" s="21">
        <v>11.885999999999999</v>
      </c>
      <c r="AG277" s="26">
        <v>45472</v>
      </c>
      <c r="AH277" s="27">
        <v>0.39771990740740742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s="77"/>
    </row>
    <row r="278" spans="1:47" x14ac:dyDescent="0.25">
      <c r="A278" s="44">
        <v>4</v>
      </c>
      <c r="B278" s="44" t="s">
        <v>7</v>
      </c>
      <c r="C278" s="46">
        <v>25536</v>
      </c>
      <c r="D278" s="46">
        <v>224</v>
      </c>
      <c r="E278" s="46">
        <v>1</v>
      </c>
      <c r="F278" s="46">
        <v>16</v>
      </c>
      <c r="G278" s="47">
        <v>1034.99</v>
      </c>
      <c r="H278" s="51">
        <v>10.727</v>
      </c>
      <c r="I278" s="17">
        <v>45465</v>
      </c>
      <c r="J278" s="18">
        <v>0.54842592592592587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s="76"/>
      <c r="Y278">
        <v>4</v>
      </c>
      <c r="Z278" t="s">
        <v>7</v>
      </c>
      <c r="AA278">
        <v>25536</v>
      </c>
      <c r="AB278">
        <v>224</v>
      </c>
      <c r="AC278">
        <v>1</v>
      </c>
      <c r="AD278">
        <v>16</v>
      </c>
      <c r="AE278">
        <v>936.7</v>
      </c>
      <c r="AF278" s="21">
        <v>11.852</v>
      </c>
      <c r="AG278" s="26">
        <v>45473</v>
      </c>
      <c r="AH278" s="27">
        <v>0.4526736111111111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s="77"/>
    </row>
    <row r="279" spans="1:47" x14ac:dyDescent="0.25">
      <c r="A279" s="42">
        <v>0</v>
      </c>
      <c r="B279" s="42" t="s">
        <v>7</v>
      </c>
      <c r="C279" s="43">
        <v>27104</v>
      </c>
      <c r="D279" s="43">
        <v>224</v>
      </c>
      <c r="E279" s="43">
        <v>1</v>
      </c>
      <c r="F279" s="43">
        <v>16</v>
      </c>
      <c r="G279" s="43">
        <v>1221.04</v>
      </c>
      <c r="H279" s="50">
        <v>10.872</v>
      </c>
      <c r="I279" s="23">
        <v>45459</v>
      </c>
      <c r="J279" s="24">
        <v>0.43211805555555555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76">
        <f t="shared" ref="W279" si="110">AVERAGE(H279:H283)</f>
        <v>10.877200000000002</v>
      </c>
      <c r="Y279">
        <v>0</v>
      </c>
      <c r="Z279" t="s">
        <v>7</v>
      </c>
      <c r="AA279">
        <v>27104</v>
      </c>
      <c r="AB279">
        <v>224</v>
      </c>
      <c r="AC279">
        <v>1</v>
      </c>
      <c r="AD279">
        <v>16</v>
      </c>
      <c r="AE279">
        <v>1092.07</v>
      </c>
      <c r="AF279" s="21">
        <v>12.156000000000001</v>
      </c>
      <c r="AG279" s="26">
        <v>45469</v>
      </c>
      <c r="AH279" s="27">
        <v>0.23974537037037036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s="77">
        <f t="shared" ref="AU279" si="111">AVERAGE(AF279:AF283)</f>
        <v>12.082800000000001</v>
      </c>
    </row>
    <row r="280" spans="1:47" x14ac:dyDescent="0.25">
      <c r="A280" s="44">
        <v>1</v>
      </c>
      <c r="B280" s="44" t="s">
        <v>7</v>
      </c>
      <c r="C280" s="45">
        <v>27104</v>
      </c>
      <c r="D280" s="45">
        <v>224</v>
      </c>
      <c r="E280" s="45">
        <v>1</v>
      </c>
      <c r="F280" s="45">
        <v>16</v>
      </c>
      <c r="G280" s="45">
        <v>1220.53</v>
      </c>
      <c r="H280" s="51">
        <v>10.877000000000001</v>
      </c>
      <c r="I280" s="17">
        <v>45460</v>
      </c>
      <c r="J280" s="18">
        <v>0.45082175925925927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s="76"/>
      <c r="Y280">
        <v>1</v>
      </c>
      <c r="Z280" t="s">
        <v>7</v>
      </c>
      <c r="AA280">
        <v>27104</v>
      </c>
      <c r="AB280">
        <v>224</v>
      </c>
      <c r="AC280">
        <v>1</v>
      </c>
      <c r="AD280">
        <v>16</v>
      </c>
      <c r="AE280">
        <v>1106.52</v>
      </c>
      <c r="AF280" s="21">
        <v>11.997</v>
      </c>
      <c r="AG280" s="26">
        <v>45470</v>
      </c>
      <c r="AH280" s="27">
        <v>0.28991898148148149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s="77"/>
    </row>
    <row r="281" spans="1:47" x14ac:dyDescent="0.25">
      <c r="A281" s="44">
        <v>2</v>
      </c>
      <c r="B281" s="44" t="s">
        <v>7</v>
      </c>
      <c r="C281" s="46">
        <v>27104</v>
      </c>
      <c r="D281" s="46">
        <v>224</v>
      </c>
      <c r="E281" s="46">
        <v>1</v>
      </c>
      <c r="F281" s="46">
        <v>16</v>
      </c>
      <c r="G281" s="47">
        <v>1219.52</v>
      </c>
      <c r="H281" s="51">
        <v>10.885999999999999</v>
      </c>
      <c r="I281" s="17">
        <v>45461</v>
      </c>
      <c r="J281" s="18">
        <v>0.7832986111111111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s="76"/>
      <c r="Y281">
        <v>2</v>
      </c>
      <c r="Z281" t="s">
        <v>7</v>
      </c>
      <c r="AA281">
        <v>27104</v>
      </c>
      <c r="AB281">
        <v>224</v>
      </c>
      <c r="AC281">
        <v>1</v>
      </c>
      <c r="AD281">
        <v>16</v>
      </c>
      <c r="AE281">
        <v>1096.6199999999999</v>
      </c>
      <c r="AF281" s="21">
        <v>12.106</v>
      </c>
      <c r="AG281" s="26">
        <v>45471</v>
      </c>
      <c r="AH281" s="27">
        <v>0.68368055555555551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s="77"/>
    </row>
    <row r="282" spans="1:47" x14ac:dyDescent="0.25">
      <c r="A282" s="44">
        <v>3</v>
      </c>
      <c r="B282" s="44" t="s">
        <v>7</v>
      </c>
      <c r="C282" s="46">
        <v>27104</v>
      </c>
      <c r="D282" s="46">
        <v>224</v>
      </c>
      <c r="E282" s="46">
        <v>1</v>
      </c>
      <c r="F282" s="46">
        <v>16</v>
      </c>
      <c r="G282" s="47">
        <v>1225.01</v>
      </c>
      <c r="H282" s="51">
        <v>10.837</v>
      </c>
      <c r="I282" s="17">
        <v>45464</v>
      </c>
      <c r="J282" s="18">
        <v>0.86002314814814818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76"/>
      <c r="Y282">
        <v>3</v>
      </c>
      <c r="Z282" t="s">
        <v>7</v>
      </c>
      <c r="AA282">
        <v>27104</v>
      </c>
      <c r="AB282">
        <v>224</v>
      </c>
      <c r="AC282">
        <v>1</v>
      </c>
      <c r="AD282">
        <v>16</v>
      </c>
      <c r="AE282">
        <v>1100.4000000000001</v>
      </c>
      <c r="AF282" s="21">
        <v>12.064</v>
      </c>
      <c r="AG282" s="26">
        <v>45472</v>
      </c>
      <c r="AH282" s="27">
        <v>0.73826388888888894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s="77"/>
    </row>
    <row r="283" spans="1:47" x14ac:dyDescent="0.25">
      <c r="A283" s="44">
        <v>4</v>
      </c>
      <c r="B283" s="44" t="s">
        <v>7</v>
      </c>
      <c r="C283" s="46">
        <v>27104</v>
      </c>
      <c r="D283" s="46">
        <v>224</v>
      </c>
      <c r="E283" s="46">
        <v>1</v>
      </c>
      <c r="F283" s="46">
        <v>16</v>
      </c>
      <c r="G283" s="47">
        <v>1216.3499999999999</v>
      </c>
      <c r="H283" s="51">
        <v>10.914</v>
      </c>
      <c r="I283" s="17">
        <v>45465</v>
      </c>
      <c r="J283" s="18">
        <v>0.87769675925925927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s="76"/>
      <c r="Y283">
        <v>4</v>
      </c>
      <c r="Z283" t="s">
        <v>7</v>
      </c>
      <c r="AA283">
        <v>27104</v>
      </c>
      <c r="AB283">
        <v>224</v>
      </c>
      <c r="AC283">
        <v>1</v>
      </c>
      <c r="AD283">
        <v>16</v>
      </c>
      <c r="AE283">
        <v>1097.92</v>
      </c>
      <c r="AF283" s="21">
        <v>12.090999999999999</v>
      </c>
      <c r="AG283" s="26">
        <v>45473</v>
      </c>
      <c r="AH283" s="27">
        <v>0.79230324074074077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s="77"/>
    </row>
    <row r="284" spans="1:47" x14ac:dyDescent="0.25">
      <c r="A284" s="42">
        <v>0</v>
      </c>
      <c r="B284" s="42" t="s">
        <v>7</v>
      </c>
      <c r="C284" s="43">
        <v>28672</v>
      </c>
      <c r="D284" s="43">
        <v>224</v>
      </c>
      <c r="E284" s="43">
        <v>1</v>
      </c>
      <c r="F284" s="43">
        <v>16</v>
      </c>
      <c r="G284" s="43">
        <v>1399.11</v>
      </c>
      <c r="H284" s="50">
        <v>11.231999999999999</v>
      </c>
      <c r="I284" s="23">
        <v>45459</v>
      </c>
      <c r="J284" s="24">
        <v>0.812037037037037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76">
        <f t="shared" ref="W284" si="112">AVERAGE(H284:H288)</f>
        <v>11.268599999999998</v>
      </c>
      <c r="Y284">
        <v>0</v>
      </c>
      <c r="Z284" t="s">
        <v>7</v>
      </c>
      <c r="AA284">
        <v>28672</v>
      </c>
      <c r="AB284">
        <v>224</v>
      </c>
      <c r="AC284">
        <v>1</v>
      </c>
      <c r="AD284">
        <v>16</v>
      </c>
      <c r="AE284">
        <v>1257.8800000000001</v>
      </c>
      <c r="AF284" s="21">
        <v>12.493</v>
      </c>
      <c r="AG284" s="26">
        <v>45469</v>
      </c>
      <c r="AH284" s="27">
        <v>0.62930555555555556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s="77">
        <f t="shared" ref="AU284" si="113">AVERAGE(AF284:AF288)</f>
        <v>12.4124</v>
      </c>
    </row>
    <row r="285" spans="1:47" x14ac:dyDescent="0.25">
      <c r="A285" s="44">
        <v>1</v>
      </c>
      <c r="B285" s="44" t="s">
        <v>7</v>
      </c>
      <c r="C285" s="46">
        <v>28672</v>
      </c>
      <c r="D285" s="46">
        <v>224</v>
      </c>
      <c r="E285" s="46">
        <v>1</v>
      </c>
      <c r="F285" s="46">
        <v>16</v>
      </c>
      <c r="G285" s="47">
        <v>1392.13</v>
      </c>
      <c r="H285" s="51">
        <v>11.289</v>
      </c>
      <c r="I285" s="17">
        <v>45460</v>
      </c>
      <c r="J285" s="18">
        <v>0.83195601851851853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76"/>
      <c r="Y285">
        <v>1</v>
      </c>
      <c r="Z285" t="s">
        <v>7</v>
      </c>
      <c r="AA285">
        <v>28672</v>
      </c>
      <c r="AB285">
        <v>224</v>
      </c>
      <c r="AC285">
        <v>1</v>
      </c>
      <c r="AD285">
        <v>16</v>
      </c>
      <c r="AE285">
        <v>1276.3699999999999</v>
      </c>
      <c r="AF285" s="21">
        <v>12.311999999999999</v>
      </c>
      <c r="AG285" s="26">
        <v>45471</v>
      </c>
      <c r="AH285" s="27">
        <v>1.9409722222222221E-2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s="77"/>
    </row>
    <row r="286" spans="1:47" x14ac:dyDescent="0.25">
      <c r="A286" s="44">
        <v>2</v>
      </c>
      <c r="B286" s="44" t="s">
        <v>7</v>
      </c>
      <c r="C286" s="46">
        <v>28672</v>
      </c>
      <c r="D286" s="46">
        <v>224</v>
      </c>
      <c r="E286" s="46">
        <v>1</v>
      </c>
      <c r="F286" s="46">
        <v>16</v>
      </c>
      <c r="G286" s="47">
        <v>1395.15</v>
      </c>
      <c r="H286" s="51">
        <v>11.263999999999999</v>
      </c>
      <c r="I286" s="17">
        <v>45462</v>
      </c>
      <c r="J286" s="18">
        <v>0.16226851851851851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s="76"/>
      <c r="Y286">
        <v>2</v>
      </c>
      <c r="Z286" t="s">
        <v>7</v>
      </c>
      <c r="AA286">
        <v>28672</v>
      </c>
      <c r="AB286">
        <v>224</v>
      </c>
      <c r="AC286">
        <v>1</v>
      </c>
      <c r="AD286">
        <v>16</v>
      </c>
      <c r="AE286">
        <v>1261.6199999999999</v>
      </c>
      <c r="AF286" s="21">
        <v>12.456</v>
      </c>
      <c r="AG286" s="26">
        <v>45472</v>
      </c>
      <c r="AH286" s="27">
        <v>7.3807870370370371E-2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s="77"/>
    </row>
    <row r="287" spans="1:47" x14ac:dyDescent="0.25">
      <c r="A287" s="44">
        <v>3</v>
      </c>
      <c r="B287" s="44" t="s">
        <v>7</v>
      </c>
      <c r="C287" s="46">
        <v>28672</v>
      </c>
      <c r="D287" s="46">
        <v>224</v>
      </c>
      <c r="E287" s="46">
        <v>1</v>
      </c>
      <c r="F287" s="46">
        <v>16</v>
      </c>
      <c r="G287" s="47">
        <v>1392.6</v>
      </c>
      <c r="H287" s="51">
        <v>11.285</v>
      </c>
      <c r="I287" s="17">
        <v>45465</v>
      </c>
      <c r="J287" s="18">
        <v>0.23883101851851851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76"/>
      <c r="Y287">
        <v>3</v>
      </c>
      <c r="Z287" t="s">
        <v>7</v>
      </c>
      <c r="AA287">
        <v>28672</v>
      </c>
      <c r="AB287">
        <v>224</v>
      </c>
      <c r="AC287">
        <v>1</v>
      </c>
      <c r="AD287">
        <v>16</v>
      </c>
      <c r="AE287">
        <v>1261.8699999999999</v>
      </c>
      <c r="AF287" s="21">
        <v>12.454000000000001</v>
      </c>
      <c r="AG287" s="26">
        <v>45473</v>
      </c>
      <c r="AH287" s="27">
        <v>0.12876157407407407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s="77"/>
    </row>
    <row r="288" spans="1:47" x14ac:dyDescent="0.25">
      <c r="A288" s="44">
        <v>4</v>
      </c>
      <c r="B288" s="44" t="s">
        <v>7</v>
      </c>
      <c r="C288" s="46">
        <v>28672</v>
      </c>
      <c r="D288" s="46">
        <v>224</v>
      </c>
      <c r="E288" s="46">
        <v>1</v>
      </c>
      <c r="F288" s="46">
        <v>16</v>
      </c>
      <c r="G288" s="47">
        <v>1394.02</v>
      </c>
      <c r="H288" s="51">
        <v>11.273</v>
      </c>
      <c r="I288" s="17">
        <v>45466</v>
      </c>
      <c r="J288" s="18">
        <v>0.25631944444444443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76"/>
      <c r="Y288">
        <v>4</v>
      </c>
      <c r="Z288" t="s">
        <v>7</v>
      </c>
      <c r="AA288">
        <v>28672</v>
      </c>
      <c r="AB288">
        <v>224</v>
      </c>
      <c r="AC288">
        <v>1</v>
      </c>
      <c r="AD288">
        <v>16</v>
      </c>
      <c r="AE288">
        <v>1272.74</v>
      </c>
      <c r="AF288" s="21">
        <v>12.347</v>
      </c>
      <c r="AG288" s="26">
        <v>45474</v>
      </c>
      <c r="AH288" s="27">
        <v>0.18247685185185186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s="77"/>
    </row>
    <row r="289" spans="1:47" x14ac:dyDescent="0.25">
      <c r="A289" s="42">
        <v>0</v>
      </c>
      <c r="B289" s="42" t="s">
        <v>7</v>
      </c>
      <c r="C289" s="43">
        <v>25536</v>
      </c>
      <c r="D289" s="43">
        <v>224</v>
      </c>
      <c r="E289" s="43">
        <v>2</v>
      </c>
      <c r="F289" s="43">
        <v>8</v>
      </c>
      <c r="G289" s="43">
        <v>921.12</v>
      </c>
      <c r="H289" s="50">
        <v>12.053000000000001</v>
      </c>
      <c r="I289" s="23">
        <v>45459</v>
      </c>
      <c r="J289" s="24">
        <v>0.11327546296296297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76">
        <f t="shared" ref="W289" si="114">AVERAGE(H289:H293)</f>
        <v>12.022</v>
      </c>
      <c r="Y289">
        <v>0</v>
      </c>
      <c r="Z289" t="s">
        <v>7</v>
      </c>
      <c r="AA289">
        <v>25536</v>
      </c>
      <c r="AB289">
        <v>224</v>
      </c>
      <c r="AC289">
        <v>2</v>
      </c>
      <c r="AD289">
        <v>8</v>
      </c>
      <c r="AE289">
        <v>909.65</v>
      </c>
      <c r="AF289" s="21">
        <v>12.205</v>
      </c>
      <c r="AG289" s="26">
        <v>45468</v>
      </c>
      <c r="AH289" s="27">
        <v>0.91200231481481486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s="77">
        <f t="shared" ref="AU289" si="115">AVERAGE(AF289:AF293)</f>
        <v>12.178599999999999</v>
      </c>
    </row>
    <row r="290" spans="1:47" x14ac:dyDescent="0.25">
      <c r="A290" s="44">
        <v>1</v>
      </c>
      <c r="B290" s="44" t="s">
        <v>7</v>
      </c>
      <c r="C290" s="45">
        <v>25536</v>
      </c>
      <c r="D290" s="45">
        <v>224</v>
      </c>
      <c r="E290" s="45">
        <v>2</v>
      </c>
      <c r="F290" s="45">
        <v>8</v>
      </c>
      <c r="G290" s="45">
        <v>926.32</v>
      </c>
      <c r="H290" s="51">
        <v>11.984999999999999</v>
      </c>
      <c r="I290" s="17">
        <v>45460</v>
      </c>
      <c r="J290" s="18">
        <v>0.13275462962962964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76"/>
      <c r="Y290">
        <v>1</v>
      </c>
      <c r="Z290" t="s">
        <v>7</v>
      </c>
      <c r="AA290">
        <v>25536</v>
      </c>
      <c r="AB290">
        <v>224</v>
      </c>
      <c r="AC290">
        <v>2</v>
      </c>
      <c r="AD290">
        <v>8</v>
      </c>
      <c r="AE290">
        <v>908.91</v>
      </c>
      <c r="AF290" s="21">
        <v>12.215</v>
      </c>
      <c r="AG290" s="26">
        <v>45469</v>
      </c>
      <c r="AH290" s="27">
        <v>0.96306712962962959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s="77"/>
    </row>
    <row r="291" spans="1:47" x14ac:dyDescent="0.25">
      <c r="A291" s="44">
        <v>2</v>
      </c>
      <c r="B291" s="44" t="s">
        <v>7</v>
      </c>
      <c r="C291" s="46">
        <v>25536</v>
      </c>
      <c r="D291" s="46">
        <v>224</v>
      </c>
      <c r="E291" s="46">
        <v>2</v>
      </c>
      <c r="F291" s="46">
        <v>8</v>
      </c>
      <c r="G291" s="47">
        <v>929.82</v>
      </c>
      <c r="H291" s="51">
        <v>11.94</v>
      </c>
      <c r="I291" s="17">
        <v>45461</v>
      </c>
      <c r="J291" s="18">
        <v>0.15266203703703704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76"/>
      <c r="Y291">
        <v>2</v>
      </c>
      <c r="Z291" t="s">
        <v>7</v>
      </c>
      <c r="AA291">
        <v>25536</v>
      </c>
      <c r="AB291">
        <v>224</v>
      </c>
      <c r="AC291">
        <v>2</v>
      </c>
      <c r="AD291">
        <v>8</v>
      </c>
      <c r="AE291">
        <v>920.88</v>
      </c>
      <c r="AF291" s="21">
        <v>12.055999999999999</v>
      </c>
      <c r="AG291" s="26">
        <v>45471</v>
      </c>
      <c r="AH291" s="27">
        <v>0.35555555555555557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s="77"/>
    </row>
    <row r="292" spans="1:47" x14ac:dyDescent="0.25">
      <c r="A292" s="44">
        <v>3</v>
      </c>
      <c r="B292" s="44" t="s">
        <v>7</v>
      </c>
      <c r="C292" s="46">
        <v>25536</v>
      </c>
      <c r="D292" s="46">
        <v>224</v>
      </c>
      <c r="E292" s="46">
        <v>2</v>
      </c>
      <c r="F292" s="46">
        <v>8</v>
      </c>
      <c r="G292" s="47">
        <v>919.31</v>
      </c>
      <c r="H292" s="51">
        <v>12.077</v>
      </c>
      <c r="I292" s="17">
        <v>45462</v>
      </c>
      <c r="J292" s="18">
        <v>0.48299768518518521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76"/>
      <c r="Y292">
        <v>3</v>
      </c>
      <c r="Z292" t="s">
        <v>7</v>
      </c>
      <c r="AA292">
        <v>25536</v>
      </c>
      <c r="AB292">
        <v>224</v>
      </c>
      <c r="AC292">
        <v>2</v>
      </c>
      <c r="AD292">
        <v>8</v>
      </c>
      <c r="AE292">
        <v>915.34</v>
      </c>
      <c r="AF292" s="21">
        <v>12.129</v>
      </c>
      <c r="AG292" s="26">
        <v>45472</v>
      </c>
      <c r="AH292" s="27">
        <v>0.40940972222222222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s="77"/>
    </row>
    <row r="293" spans="1:47" x14ac:dyDescent="0.25">
      <c r="A293" s="44">
        <v>4</v>
      </c>
      <c r="B293" s="44" t="s">
        <v>7</v>
      </c>
      <c r="C293" s="46">
        <v>25536</v>
      </c>
      <c r="D293" s="46">
        <v>224</v>
      </c>
      <c r="E293" s="46">
        <v>2</v>
      </c>
      <c r="F293" s="46">
        <v>8</v>
      </c>
      <c r="G293" s="47">
        <v>920.94</v>
      </c>
      <c r="H293" s="51">
        <v>12.055</v>
      </c>
      <c r="I293" s="17">
        <v>45465</v>
      </c>
      <c r="J293" s="18">
        <v>0.55935185185185188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76"/>
      <c r="Y293">
        <v>4</v>
      </c>
      <c r="Z293" t="s">
        <v>7</v>
      </c>
      <c r="AA293">
        <v>25536</v>
      </c>
      <c r="AB293">
        <v>224</v>
      </c>
      <c r="AC293">
        <v>2</v>
      </c>
      <c r="AD293">
        <v>8</v>
      </c>
      <c r="AE293">
        <v>903.5</v>
      </c>
      <c r="AF293" s="21">
        <v>12.288</v>
      </c>
      <c r="AG293" s="26">
        <v>45473</v>
      </c>
      <c r="AH293" s="27">
        <v>0.46422453703703703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s="77"/>
    </row>
    <row r="294" spans="1:47" x14ac:dyDescent="0.25">
      <c r="A294" s="42">
        <v>0</v>
      </c>
      <c r="B294" s="42" t="s">
        <v>7</v>
      </c>
      <c r="C294" s="43">
        <v>27104</v>
      </c>
      <c r="D294" s="43">
        <v>224</v>
      </c>
      <c r="E294" s="43">
        <v>2</v>
      </c>
      <c r="F294" s="43">
        <v>8</v>
      </c>
      <c r="G294" s="43">
        <v>1082.3699999999999</v>
      </c>
      <c r="H294" s="50">
        <v>12.265000000000001</v>
      </c>
      <c r="I294" s="23">
        <v>45459</v>
      </c>
      <c r="J294" s="24">
        <v>0.44495370370370368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76">
        <f t="shared" ref="W294" si="116">AVERAGE(H294:H298)</f>
        <v>12.329200000000002</v>
      </c>
      <c r="Y294">
        <v>0</v>
      </c>
      <c r="Z294" t="s">
        <v>7</v>
      </c>
      <c r="AA294">
        <v>27104</v>
      </c>
      <c r="AB294">
        <v>224</v>
      </c>
      <c r="AC294">
        <v>2</v>
      </c>
      <c r="AD294">
        <v>8</v>
      </c>
      <c r="AE294">
        <v>1063.22</v>
      </c>
      <c r="AF294" s="21">
        <v>12.486000000000001</v>
      </c>
      <c r="AG294" s="26">
        <v>45469</v>
      </c>
      <c r="AH294" s="27">
        <v>0.25327546296296294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s="77">
        <f t="shared" ref="AU294" si="117">AVERAGE(AF294:AF298)</f>
        <v>12.4742</v>
      </c>
    </row>
    <row r="295" spans="1:47" x14ac:dyDescent="0.25">
      <c r="A295" s="44">
        <v>1</v>
      </c>
      <c r="B295" s="44" t="s">
        <v>7</v>
      </c>
      <c r="C295" s="45">
        <v>27104</v>
      </c>
      <c r="D295" s="45">
        <v>224</v>
      </c>
      <c r="E295" s="45">
        <v>2</v>
      </c>
      <c r="F295" s="45">
        <v>8</v>
      </c>
      <c r="G295" s="45">
        <v>1076.82</v>
      </c>
      <c r="H295" s="51">
        <v>12.327999999999999</v>
      </c>
      <c r="I295" s="17">
        <v>45460</v>
      </c>
      <c r="J295" s="18">
        <v>0.46358796296296295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s="76"/>
      <c r="Y295">
        <v>1</v>
      </c>
      <c r="Z295" t="s">
        <v>7</v>
      </c>
      <c r="AA295">
        <v>27104</v>
      </c>
      <c r="AB295">
        <v>224</v>
      </c>
      <c r="AC295">
        <v>2</v>
      </c>
      <c r="AD295">
        <v>8</v>
      </c>
      <c r="AE295">
        <v>1064.1600000000001</v>
      </c>
      <c r="AF295" s="21">
        <v>12.475</v>
      </c>
      <c r="AG295" s="26">
        <v>45470</v>
      </c>
      <c r="AH295" s="27">
        <v>0.3034722222222222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s="77"/>
    </row>
    <row r="296" spans="1:47" x14ac:dyDescent="0.25">
      <c r="A296" s="44">
        <v>2</v>
      </c>
      <c r="B296" s="44" t="s">
        <v>7</v>
      </c>
      <c r="C296" s="46">
        <v>27104</v>
      </c>
      <c r="D296" s="46">
        <v>224</v>
      </c>
      <c r="E296" s="46">
        <v>2</v>
      </c>
      <c r="F296" s="46">
        <v>8</v>
      </c>
      <c r="G296" s="47">
        <v>1075.6099999999999</v>
      </c>
      <c r="H296" s="51">
        <v>12.342000000000001</v>
      </c>
      <c r="I296" s="17">
        <v>45461</v>
      </c>
      <c r="J296" s="18">
        <v>0.79604166666666665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s="76"/>
      <c r="Y296">
        <v>2</v>
      </c>
      <c r="Z296" t="s">
        <v>7</v>
      </c>
      <c r="AA296">
        <v>27104</v>
      </c>
      <c r="AB296">
        <v>224</v>
      </c>
      <c r="AC296">
        <v>2</v>
      </c>
      <c r="AD296">
        <v>8</v>
      </c>
      <c r="AE296">
        <v>1067.78</v>
      </c>
      <c r="AF296" s="21">
        <v>12.433</v>
      </c>
      <c r="AG296" s="26">
        <v>45471</v>
      </c>
      <c r="AH296" s="27">
        <v>0.69725694444444442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s="77"/>
    </row>
    <row r="297" spans="1:47" x14ac:dyDescent="0.25">
      <c r="A297" s="44">
        <v>3</v>
      </c>
      <c r="B297" s="44" t="s">
        <v>7</v>
      </c>
      <c r="C297" s="46">
        <v>27104</v>
      </c>
      <c r="D297" s="46">
        <v>224</v>
      </c>
      <c r="E297" s="46">
        <v>2</v>
      </c>
      <c r="F297" s="46">
        <v>8</v>
      </c>
      <c r="G297" s="47">
        <v>1075.55</v>
      </c>
      <c r="H297" s="51">
        <v>12.343</v>
      </c>
      <c r="I297" s="17">
        <v>45464</v>
      </c>
      <c r="J297" s="18">
        <v>0.87277777777777776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s="76"/>
      <c r="Y297">
        <v>3</v>
      </c>
      <c r="Z297" t="s">
        <v>7</v>
      </c>
      <c r="AA297">
        <v>27104</v>
      </c>
      <c r="AB297">
        <v>224</v>
      </c>
      <c r="AC297">
        <v>2</v>
      </c>
      <c r="AD297">
        <v>8</v>
      </c>
      <c r="AE297">
        <v>1063.8699999999999</v>
      </c>
      <c r="AF297" s="21">
        <v>12.478</v>
      </c>
      <c r="AG297" s="26">
        <v>45472</v>
      </c>
      <c r="AH297" s="27">
        <v>0.75182870370370369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s="77"/>
    </row>
    <row r="298" spans="1:47" x14ac:dyDescent="0.25">
      <c r="A298" s="44">
        <v>4</v>
      </c>
      <c r="B298" s="44" t="s">
        <v>7</v>
      </c>
      <c r="C298" s="46">
        <v>27104</v>
      </c>
      <c r="D298" s="46">
        <v>224</v>
      </c>
      <c r="E298" s="46">
        <v>2</v>
      </c>
      <c r="F298" s="46">
        <v>8</v>
      </c>
      <c r="G298" s="47">
        <v>1073.3399999999999</v>
      </c>
      <c r="H298" s="51">
        <v>12.368</v>
      </c>
      <c r="I298" s="17">
        <v>45465</v>
      </c>
      <c r="J298" s="18">
        <v>0.89041666666666663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76"/>
      <c r="Y298">
        <v>4</v>
      </c>
      <c r="Z298" t="s">
        <v>7</v>
      </c>
      <c r="AA298">
        <v>27104</v>
      </c>
      <c r="AB298">
        <v>224</v>
      </c>
      <c r="AC298">
        <v>2</v>
      </c>
      <c r="AD298">
        <v>8</v>
      </c>
      <c r="AE298">
        <v>1062.1199999999999</v>
      </c>
      <c r="AF298" s="21">
        <v>12.499000000000001</v>
      </c>
      <c r="AG298" s="26">
        <v>45473</v>
      </c>
      <c r="AH298" s="27">
        <v>0.80583333333333329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s="77"/>
    </row>
    <row r="299" spans="1:47" x14ac:dyDescent="0.25">
      <c r="A299" s="42">
        <v>0</v>
      </c>
      <c r="B299" s="42" t="s">
        <v>7</v>
      </c>
      <c r="C299" s="43">
        <v>28672</v>
      </c>
      <c r="D299" s="43">
        <v>224</v>
      </c>
      <c r="E299" s="43">
        <v>2</v>
      </c>
      <c r="F299" s="43">
        <v>8</v>
      </c>
      <c r="G299" s="43">
        <v>1257.1199999999999</v>
      </c>
      <c r="H299" s="50">
        <v>12.500999999999999</v>
      </c>
      <c r="I299" s="23">
        <v>45459</v>
      </c>
      <c r="J299" s="24">
        <v>0.82693287037037033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76">
        <f t="shared" ref="W299" si="118">AVERAGE(H299:H303)</f>
        <v>12.555800000000001</v>
      </c>
      <c r="Y299">
        <v>0</v>
      </c>
      <c r="Z299" t="s">
        <v>7</v>
      </c>
      <c r="AA299">
        <v>28672</v>
      </c>
      <c r="AB299">
        <v>224</v>
      </c>
      <c r="AC299">
        <v>2</v>
      </c>
      <c r="AD299">
        <v>8</v>
      </c>
      <c r="AE299">
        <v>1227.4000000000001</v>
      </c>
      <c r="AF299" s="21">
        <v>12.804</v>
      </c>
      <c r="AG299" s="26">
        <v>45469</v>
      </c>
      <c r="AH299" s="27">
        <v>0.64482638888888888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815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s="77">
        <f t="shared" ref="AU299" si="119">AVERAGE(AF299:AF303)</f>
        <v>12.756600000000001</v>
      </c>
    </row>
    <row r="300" spans="1:47" x14ac:dyDescent="0.25">
      <c r="A300" s="44">
        <v>1</v>
      </c>
      <c r="B300" s="44" t="s">
        <v>7</v>
      </c>
      <c r="C300" s="46">
        <v>28672</v>
      </c>
      <c r="D300" s="46">
        <v>224</v>
      </c>
      <c r="E300" s="46">
        <v>2</v>
      </c>
      <c r="F300" s="46">
        <v>8</v>
      </c>
      <c r="G300" s="47">
        <v>1252.79</v>
      </c>
      <c r="H300" s="51">
        <v>12.544</v>
      </c>
      <c r="I300" s="17">
        <v>45460</v>
      </c>
      <c r="J300" s="18">
        <v>0.84679398148148144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s="76"/>
      <c r="Y300">
        <v>1</v>
      </c>
      <c r="Z300" t="s">
        <v>7</v>
      </c>
      <c r="AA300">
        <v>28672</v>
      </c>
      <c r="AB300">
        <v>224</v>
      </c>
      <c r="AC300">
        <v>2</v>
      </c>
      <c r="AD300">
        <v>8</v>
      </c>
      <c r="AE300">
        <v>1241.8499999999999</v>
      </c>
      <c r="AF300" s="21">
        <v>12.654999999999999</v>
      </c>
      <c r="AG300" s="26">
        <v>45471</v>
      </c>
      <c r="AH300" s="27">
        <v>3.5127314814814813E-2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s="77"/>
    </row>
    <row r="301" spans="1:47" x14ac:dyDescent="0.25">
      <c r="A301" s="44">
        <v>2</v>
      </c>
      <c r="B301" s="44" t="s">
        <v>7</v>
      </c>
      <c r="C301" s="46">
        <v>28672</v>
      </c>
      <c r="D301" s="46">
        <v>224</v>
      </c>
      <c r="E301" s="46">
        <v>2</v>
      </c>
      <c r="F301" s="46">
        <v>8</v>
      </c>
      <c r="G301" s="47">
        <v>1247.6400000000001</v>
      </c>
      <c r="H301" s="51">
        <v>12.596</v>
      </c>
      <c r="I301" s="17">
        <v>45462</v>
      </c>
      <c r="J301" s="18">
        <v>0.17703703703703705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76"/>
      <c r="Y301">
        <v>2</v>
      </c>
      <c r="Z301" t="s">
        <v>7</v>
      </c>
      <c r="AA301">
        <v>28672</v>
      </c>
      <c r="AB301">
        <v>224</v>
      </c>
      <c r="AC301">
        <v>2</v>
      </c>
      <c r="AD301">
        <v>8</v>
      </c>
      <c r="AE301">
        <v>1230.95</v>
      </c>
      <c r="AF301" s="21">
        <v>12.766999999999999</v>
      </c>
      <c r="AG301" s="26">
        <v>45472</v>
      </c>
      <c r="AH301" s="27">
        <v>8.9386574074074077E-2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s="77"/>
    </row>
    <row r="302" spans="1:47" x14ac:dyDescent="0.25">
      <c r="A302" s="44">
        <v>3</v>
      </c>
      <c r="B302" s="44" t="s">
        <v>7</v>
      </c>
      <c r="C302" s="46">
        <v>28672</v>
      </c>
      <c r="D302" s="46">
        <v>224</v>
      </c>
      <c r="E302" s="46">
        <v>2</v>
      </c>
      <c r="F302" s="46">
        <v>8</v>
      </c>
      <c r="G302" s="47">
        <v>1242.44</v>
      </c>
      <c r="H302" s="51">
        <v>12.648999999999999</v>
      </c>
      <c r="I302" s="17">
        <v>45465</v>
      </c>
      <c r="J302" s="18">
        <v>0.25353009259259257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76"/>
      <c r="Y302">
        <v>3</v>
      </c>
      <c r="Z302" t="s">
        <v>7</v>
      </c>
      <c r="AA302">
        <v>28672</v>
      </c>
      <c r="AB302">
        <v>224</v>
      </c>
      <c r="AC302">
        <v>2</v>
      </c>
      <c r="AD302">
        <v>8</v>
      </c>
      <c r="AE302">
        <v>1238.56</v>
      </c>
      <c r="AF302" s="21">
        <v>12.688000000000001</v>
      </c>
      <c r="AG302" s="26">
        <v>45473</v>
      </c>
      <c r="AH302" s="27">
        <v>0.14444444444444443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s="77"/>
    </row>
    <row r="303" spans="1:47" x14ac:dyDescent="0.25">
      <c r="A303" s="44">
        <v>4</v>
      </c>
      <c r="B303" s="44" t="s">
        <v>7</v>
      </c>
      <c r="C303" s="46">
        <v>28672</v>
      </c>
      <c r="D303" s="46">
        <v>224</v>
      </c>
      <c r="E303" s="46">
        <v>2</v>
      </c>
      <c r="F303" s="46">
        <v>8</v>
      </c>
      <c r="G303" s="47">
        <v>1258.3499999999999</v>
      </c>
      <c r="H303" s="51">
        <v>12.489000000000001</v>
      </c>
      <c r="I303" s="17">
        <v>45466</v>
      </c>
      <c r="J303" s="18">
        <v>0.27120370370370372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76"/>
      <c r="Y303">
        <v>4</v>
      </c>
      <c r="Z303" t="s">
        <v>7</v>
      </c>
      <c r="AA303">
        <v>28672</v>
      </c>
      <c r="AB303">
        <v>224</v>
      </c>
      <c r="AC303">
        <v>2</v>
      </c>
      <c r="AD303">
        <v>8</v>
      </c>
      <c r="AE303">
        <v>1221.18</v>
      </c>
      <c r="AF303" s="21">
        <v>12.869</v>
      </c>
      <c r="AG303" s="26">
        <v>45474</v>
      </c>
      <c r="AH303" s="27">
        <v>0.19790509259259259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s="77"/>
    </row>
    <row r="304" spans="1:47" x14ac:dyDescent="0.25">
      <c r="A304" s="42">
        <v>0</v>
      </c>
      <c r="B304" s="42" t="s">
        <v>7</v>
      </c>
      <c r="C304" s="43">
        <v>25536</v>
      </c>
      <c r="D304" s="43">
        <v>224</v>
      </c>
      <c r="E304" s="43">
        <v>4</v>
      </c>
      <c r="F304" s="43">
        <v>4</v>
      </c>
      <c r="G304" s="43">
        <v>1079.52</v>
      </c>
      <c r="H304" s="50">
        <v>10.284000000000001</v>
      </c>
      <c r="I304" s="23">
        <v>45459</v>
      </c>
      <c r="J304" s="24">
        <v>0.1260300925925926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76">
        <f t="shared" ref="W304" si="120">AVERAGE(H304:H308)</f>
        <v>10.300800000000001</v>
      </c>
      <c r="Y304">
        <v>0</v>
      </c>
      <c r="Z304" t="s">
        <v>7</v>
      </c>
      <c r="AA304">
        <v>25536</v>
      </c>
      <c r="AB304">
        <v>224</v>
      </c>
      <c r="AC304">
        <v>4</v>
      </c>
      <c r="AD304">
        <v>4</v>
      </c>
      <c r="AE304">
        <v>1084.83</v>
      </c>
      <c r="AF304" s="21">
        <v>10.234</v>
      </c>
      <c r="AG304" s="26">
        <v>45468</v>
      </c>
      <c r="AH304" s="27">
        <v>0.92563657407407407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s="77">
        <f t="shared" ref="AU304" si="121">AVERAGE(AF304:AF308)</f>
        <v>10.220000000000002</v>
      </c>
    </row>
    <row r="305" spans="1:47" x14ac:dyDescent="0.25">
      <c r="A305" s="44">
        <v>1</v>
      </c>
      <c r="B305" s="44" t="s">
        <v>7</v>
      </c>
      <c r="C305" s="45">
        <v>25536</v>
      </c>
      <c r="D305" s="45">
        <v>224</v>
      </c>
      <c r="E305" s="45">
        <v>4</v>
      </c>
      <c r="F305" s="45">
        <v>4</v>
      </c>
      <c r="G305" s="45">
        <v>1081.4000000000001</v>
      </c>
      <c r="H305" s="51">
        <v>10.266</v>
      </c>
      <c r="I305" s="17">
        <v>45460</v>
      </c>
      <c r="J305" s="18">
        <v>0.14553240740740742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s="76"/>
      <c r="Y305">
        <v>1</v>
      </c>
      <c r="Z305" t="s">
        <v>7</v>
      </c>
      <c r="AA305">
        <v>25536</v>
      </c>
      <c r="AB305">
        <v>224</v>
      </c>
      <c r="AC305">
        <v>4</v>
      </c>
      <c r="AD305">
        <v>4</v>
      </c>
      <c r="AE305">
        <v>1082.97</v>
      </c>
      <c r="AF305" s="21">
        <v>10.250999999999999</v>
      </c>
      <c r="AG305" s="26">
        <v>45469</v>
      </c>
      <c r="AH305" s="27">
        <v>0.97667824074074072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s="77"/>
    </row>
    <row r="306" spans="1:47" x14ac:dyDescent="0.25">
      <c r="A306" s="44">
        <v>2</v>
      </c>
      <c r="B306" s="44" t="s">
        <v>7</v>
      </c>
      <c r="C306" s="46">
        <v>25536</v>
      </c>
      <c r="D306" s="46">
        <v>224</v>
      </c>
      <c r="E306" s="46">
        <v>4</v>
      </c>
      <c r="F306" s="46">
        <v>4</v>
      </c>
      <c r="G306" s="47">
        <v>1076.5999999999999</v>
      </c>
      <c r="H306" s="51">
        <v>10.311999999999999</v>
      </c>
      <c r="I306" s="17">
        <v>45461</v>
      </c>
      <c r="J306" s="18">
        <v>0.16539351851851852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76"/>
      <c r="Y306">
        <v>2</v>
      </c>
      <c r="Z306" t="s">
        <v>7</v>
      </c>
      <c r="AA306">
        <v>25536</v>
      </c>
      <c r="AB306">
        <v>224</v>
      </c>
      <c r="AC306">
        <v>4</v>
      </c>
      <c r="AD306">
        <v>4</v>
      </c>
      <c r="AE306">
        <v>1083.51</v>
      </c>
      <c r="AF306" s="21">
        <v>10.246</v>
      </c>
      <c r="AG306" s="26">
        <v>45471</v>
      </c>
      <c r="AH306" s="27">
        <v>0.36916666666666664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s="77"/>
    </row>
    <row r="307" spans="1:47" x14ac:dyDescent="0.25">
      <c r="A307" s="44">
        <v>3</v>
      </c>
      <c r="B307" s="44" t="s">
        <v>7</v>
      </c>
      <c r="C307" s="46">
        <v>25536</v>
      </c>
      <c r="D307" s="46">
        <v>224</v>
      </c>
      <c r="E307" s="46">
        <v>4</v>
      </c>
      <c r="F307" s="46">
        <v>4</v>
      </c>
      <c r="G307" s="47">
        <v>1076.79</v>
      </c>
      <c r="H307" s="51">
        <v>10.31</v>
      </c>
      <c r="I307" s="17">
        <v>45462</v>
      </c>
      <c r="J307" s="18">
        <v>0.49572916666666667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76"/>
      <c r="Y307">
        <v>3</v>
      </c>
      <c r="Z307" t="s">
        <v>7</v>
      </c>
      <c r="AA307">
        <v>25536</v>
      </c>
      <c r="AB307">
        <v>224</v>
      </c>
      <c r="AC307">
        <v>4</v>
      </c>
      <c r="AD307">
        <v>4</v>
      </c>
      <c r="AE307">
        <v>1091.1300000000001</v>
      </c>
      <c r="AF307" s="21">
        <v>10.175000000000001</v>
      </c>
      <c r="AG307" s="26">
        <v>45472</v>
      </c>
      <c r="AH307" s="27">
        <v>0.42311342592592593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s="77"/>
    </row>
    <row r="308" spans="1:47" x14ac:dyDescent="0.25">
      <c r="A308" s="44">
        <v>4</v>
      </c>
      <c r="B308" s="44" t="s">
        <v>7</v>
      </c>
      <c r="C308" s="46">
        <v>25536</v>
      </c>
      <c r="D308" s="46">
        <v>224</v>
      </c>
      <c r="E308" s="46">
        <v>4</v>
      </c>
      <c r="F308" s="46">
        <v>4</v>
      </c>
      <c r="G308" s="47">
        <v>1074.54</v>
      </c>
      <c r="H308" s="51">
        <v>10.332000000000001</v>
      </c>
      <c r="I308" s="17">
        <v>45465</v>
      </c>
      <c r="J308" s="18">
        <v>0.5720601851851852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s="76"/>
      <c r="Y308">
        <v>4</v>
      </c>
      <c r="Z308" t="s">
        <v>7</v>
      </c>
      <c r="AA308">
        <v>25536</v>
      </c>
      <c r="AB308">
        <v>224</v>
      </c>
      <c r="AC308">
        <v>4</v>
      </c>
      <c r="AD308">
        <v>4</v>
      </c>
      <c r="AE308">
        <v>1089.07</v>
      </c>
      <c r="AF308" s="21">
        <v>10.194000000000001</v>
      </c>
      <c r="AG308" s="26">
        <v>45473</v>
      </c>
      <c r="AH308" s="27">
        <v>0.47790509259259262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s="77"/>
    </row>
    <row r="309" spans="1:47" x14ac:dyDescent="0.25">
      <c r="A309" s="42">
        <v>0</v>
      </c>
      <c r="B309" s="42" t="s">
        <v>7</v>
      </c>
      <c r="C309" s="43">
        <v>27104</v>
      </c>
      <c r="D309" s="43">
        <v>224</v>
      </c>
      <c r="E309" s="43">
        <v>4</v>
      </c>
      <c r="F309" s="43">
        <v>4</v>
      </c>
      <c r="G309" s="43">
        <v>1258.54</v>
      </c>
      <c r="H309" s="50">
        <v>10.548</v>
      </c>
      <c r="I309" s="23">
        <v>45459</v>
      </c>
      <c r="J309" s="24">
        <v>0.45981481481481479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76">
        <f t="shared" ref="W309" si="122">AVERAGE(H309:H313)</f>
        <v>10.602599999999999</v>
      </c>
      <c r="Y309">
        <v>0</v>
      </c>
      <c r="Z309" t="s">
        <v>7</v>
      </c>
      <c r="AA309">
        <v>27104</v>
      </c>
      <c r="AB309">
        <v>224</v>
      </c>
      <c r="AC309">
        <v>4</v>
      </c>
      <c r="AD309">
        <v>4</v>
      </c>
      <c r="AE309">
        <v>1260.93</v>
      </c>
      <c r="AF309" s="21">
        <v>10.528</v>
      </c>
      <c r="AG309" s="26">
        <v>45469</v>
      </c>
      <c r="AH309" s="27">
        <v>0.26907407407407408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s="77">
        <f t="shared" ref="AU309" si="123">AVERAGE(AF309:AF313)</f>
        <v>10.5314</v>
      </c>
    </row>
    <row r="310" spans="1:47" x14ac:dyDescent="0.25">
      <c r="A310" s="44">
        <v>1</v>
      </c>
      <c r="B310" s="44" t="s">
        <v>7</v>
      </c>
      <c r="C310" s="45">
        <v>27104</v>
      </c>
      <c r="D310" s="45">
        <v>224</v>
      </c>
      <c r="E310" s="45">
        <v>4</v>
      </c>
      <c r="F310" s="45">
        <v>4</v>
      </c>
      <c r="G310" s="45">
        <v>1249.1600000000001</v>
      </c>
      <c r="H310" s="51">
        <v>10.627000000000001</v>
      </c>
      <c r="I310" s="17">
        <v>45460</v>
      </c>
      <c r="J310" s="18">
        <v>0.47833333333333333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76"/>
      <c r="Y310">
        <v>1</v>
      </c>
      <c r="Z310" t="s">
        <v>7</v>
      </c>
      <c r="AA310">
        <v>27104</v>
      </c>
      <c r="AB310">
        <v>224</v>
      </c>
      <c r="AC310">
        <v>4</v>
      </c>
      <c r="AD310">
        <v>4</v>
      </c>
      <c r="AE310">
        <v>1252.94</v>
      </c>
      <c r="AF310" s="21">
        <v>10.595000000000001</v>
      </c>
      <c r="AG310" s="26">
        <v>45470</v>
      </c>
      <c r="AH310" s="27">
        <v>0.31918981481481479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s="77"/>
    </row>
    <row r="311" spans="1:47" x14ac:dyDescent="0.25">
      <c r="A311" s="44">
        <v>2</v>
      </c>
      <c r="B311" s="44" t="s">
        <v>7</v>
      </c>
      <c r="C311" s="46">
        <v>27104</v>
      </c>
      <c r="D311" s="46">
        <v>224</v>
      </c>
      <c r="E311" s="46">
        <v>4</v>
      </c>
      <c r="F311" s="46">
        <v>4</v>
      </c>
      <c r="G311" s="47">
        <v>1253.83</v>
      </c>
      <c r="H311" s="51">
        <v>10.587999999999999</v>
      </c>
      <c r="I311" s="17">
        <v>45461</v>
      </c>
      <c r="J311" s="18">
        <v>0.81084490740740744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s="76"/>
      <c r="Y311">
        <v>2</v>
      </c>
      <c r="Z311" t="s">
        <v>7</v>
      </c>
      <c r="AA311">
        <v>27104</v>
      </c>
      <c r="AB311">
        <v>224</v>
      </c>
      <c r="AC311">
        <v>4</v>
      </c>
      <c r="AD311">
        <v>4</v>
      </c>
      <c r="AE311">
        <v>1265.67</v>
      </c>
      <c r="AF311" s="21">
        <v>10.489000000000001</v>
      </c>
      <c r="AG311" s="26">
        <v>45471</v>
      </c>
      <c r="AH311" s="27">
        <v>0.71311342592592597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s="77"/>
    </row>
    <row r="312" spans="1:47" x14ac:dyDescent="0.25">
      <c r="A312" s="44">
        <v>3</v>
      </c>
      <c r="B312" s="44" t="s">
        <v>7</v>
      </c>
      <c r="C312" s="46">
        <v>27104</v>
      </c>
      <c r="D312" s="46">
        <v>224</v>
      </c>
      <c r="E312" s="46">
        <v>4</v>
      </c>
      <c r="F312" s="46">
        <v>4</v>
      </c>
      <c r="G312" s="47">
        <v>1250.81</v>
      </c>
      <c r="H312" s="51">
        <v>10.613</v>
      </c>
      <c r="I312" s="17">
        <v>45464</v>
      </c>
      <c r="J312" s="18">
        <v>0.88755787037037037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s="76"/>
      <c r="Y312">
        <v>3</v>
      </c>
      <c r="Z312" t="s">
        <v>7</v>
      </c>
      <c r="AA312">
        <v>27104</v>
      </c>
      <c r="AB312">
        <v>224</v>
      </c>
      <c r="AC312">
        <v>4</v>
      </c>
      <c r="AD312">
        <v>4</v>
      </c>
      <c r="AE312">
        <v>1263.49</v>
      </c>
      <c r="AF312" s="21">
        <v>10.507</v>
      </c>
      <c r="AG312" s="26">
        <v>45472</v>
      </c>
      <c r="AH312" s="27">
        <v>0.76765046296296291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s="77"/>
    </row>
    <row r="313" spans="1:47" x14ac:dyDescent="0.25">
      <c r="A313" s="44">
        <v>4</v>
      </c>
      <c r="B313" s="44" t="s">
        <v>7</v>
      </c>
      <c r="C313" s="46">
        <v>27104</v>
      </c>
      <c r="D313" s="46">
        <v>224</v>
      </c>
      <c r="E313" s="46">
        <v>4</v>
      </c>
      <c r="F313" s="46">
        <v>4</v>
      </c>
      <c r="G313" s="47">
        <v>1248.02</v>
      </c>
      <c r="H313" s="51">
        <v>10.637</v>
      </c>
      <c r="I313" s="17">
        <v>45465</v>
      </c>
      <c r="J313" s="18">
        <v>0.90516203703703701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s="76"/>
      <c r="Y313">
        <v>4</v>
      </c>
      <c r="Z313" t="s">
        <v>7</v>
      </c>
      <c r="AA313">
        <v>27104</v>
      </c>
      <c r="AB313">
        <v>224</v>
      </c>
      <c r="AC313">
        <v>4</v>
      </c>
      <c r="AD313">
        <v>4</v>
      </c>
      <c r="AE313">
        <v>1259.81</v>
      </c>
      <c r="AF313" s="21">
        <v>10.538</v>
      </c>
      <c r="AG313" s="26">
        <v>45473</v>
      </c>
      <c r="AH313" s="27">
        <v>0.82162037037037039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s="77"/>
    </row>
    <row r="314" spans="1:47" x14ac:dyDescent="0.25">
      <c r="A314" s="42">
        <v>0</v>
      </c>
      <c r="B314" s="42" t="s">
        <v>7</v>
      </c>
      <c r="C314" s="43">
        <v>28672</v>
      </c>
      <c r="D314" s="43">
        <v>224</v>
      </c>
      <c r="E314" s="43">
        <v>4</v>
      </c>
      <c r="F314" s="43">
        <v>4</v>
      </c>
      <c r="G314" s="43">
        <v>1450.7</v>
      </c>
      <c r="H314" s="50">
        <v>10.833</v>
      </c>
      <c r="I314" s="23">
        <v>45459</v>
      </c>
      <c r="J314" s="24">
        <v>0.84402777777777782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76">
        <f t="shared" ref="W314" si="124">AVERAGE(H314:H318)</f>
        <v>10.823600000000001</v>
      </c>
      <c r="Y314">
        <v>0</v>
      </c>
      <c r="Z314" t="s">
        <v>7</v>
      </c>
      <c r="AA314">
        <v>28672</v>
      </c>
      <c r="AB314">
        <v>224</v>
      </c>
      <c r="AC314">
        <v>4</v>
      </c>
      <c r="AD314">
        <v>4</v>
      </c>
      <c r="AE314">
        <v>1443.06</v>
      </c>
      <c r="AF314" s="21">
        <v>10.89</v>
      </c>
      <c r="AG314" s="26">
        <v>45469</v>
      </c>
      <c r="AH314" s="27">
        <v>0.66284722222222225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s="77">
        <f t="shared" ref="AU314" si="125">AVERAGE(AF314:AF318)</f>
        <v>10.860000000000001</v>
      </c>
    </row>
    <row r="315" spans="1:47" x14ac:dyDescent="0.25">
      <c r="A315" s="44">
        <v>1</v>
      </c>
      <c r="B315" s="44" t="s">
        <v>7</v>
      </c>
      <c r="C315" s="46">
        <v>28672</v>
      </c>
      <c r="D315" s="46">
        <v>224</v>
      </c>
      <c r="E315" s="46">
        <v>4</v>
      </c>
      <c r="F315" s="46">
        <v>4</v>
      </c>
      <c r="G315" s="47">
        <v>1449.12</v>
      </c>
      <c r="H315" s="51">
        <v>10.845000000000001</v>
      </c>
      <c r="I315" s="17">
        <v>45460</v>
      </c>
      <c r="J315" s="18">
        <v>0.86387731481481478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s="76"/>
      <c r="Y315">
        <v>1</v>
      </c>
      <c r="Z315" t="s">
        <v>7</v>
      </c>
      <c r="AA315">
        <v>28672</v>
      </c>
      <c r="AB315">
        <v>224</v>
      </c>
      <c r="AC315">
        <v>4</v>
      </c>
      <c r="AD315">
        <v>4</v>
      </c>
      <c r="AE315">
        <v>1438.17</v>
      </c>
      <c r="AF315" s="21">
        <v>10.927</v>
      </c>
      <c r="AG315" s="26">
        <v>45471</v>
      </c>
      <c r="AH315" s="27">
        <v>5.3043981481481484E-2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s="77"/>
    </row>
    <row r="316" spans="1:47" x14ac:dyDescent="0.25">
      <c r="A316" s="44">
        <v>2</v>
      </c>
      <c r="B316" s="44" t="s">
        <v>7</v>
      </c>
      <c r="C316" s="46">
        <v>28672</v>
      </c>
      <c r="D316" s="46">
        <v>224</v>
      </c>
      <c r="E316" s="46">
        <v>4</v>
      </c>
      <c r="F316" s="46">
        <v>4</v>
      </c>
      <c r="G316" s="47">
        <v>1442.06</v>
      </c>
      <c r="H316" s="51">
        <v>10.898</v>
      </c>
      <c r="I316" s="17">
        <v>45462</v>
      </c>
      <c r="J316" s="18">
        <v>0.19403935185185187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s="76"/>
      <c r="Y316">
        <v>2</v>
      </c>
      <c r="Z316" t="s">
        <v>7</v>
      </c>
      <c r="AA316">
        <v>28672</v>
      </c>
      <c r="AB316">
        <v>224</v>
      </c>
      <c r="AC316">
        <v>4</v>
      </c>
      <c r="AD316">
        <v>4</v>
      </c>
      <c r="AE316">
        <v>1457.64</v>
      </c>
      <c r="AF316" s="21">
        <v>10.781000000000001</v>
      </c>
      <c r="AG316" s="26">
        <v>45472</v>
      </c>
      <c r="AH316" s="27">
        <v>0.10754629629629629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s="77"/>
    </row>
    <row r="317" spans="1:47" x14ac:dyDescent="0.25">
      <c r="A317" s="44">
        <v>3</v>
      </c>
      <c r="B317" s="44" t="s">
        <v>7</v>
      </c>
      <c r="C317" s="46">
        <v>28672</v>
      </c>
      <c r="D317" s="46">
        <v>224</v>
      </c>
      <c r="E317" s="46">
        <v>4</v>
      </c>
      <c r="F317" s="46">
        <v>4</v>
      </c>
      <c r="G317" s="47">
        <v>1450.38</v>
      </c>
      <c r="H317" s="51">
        <v>10.835000000000001</v>
      </c>
      <c r="I317" s="17">
        <v>45465</v>
      </c>
      <c r="J317" s="18">
        <v>0.270625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s="76"/>
      <c r="Y317">
        <v>3</v>
      </c>
      <c r="Z317" t="s">
        <v>7</v>
      </c>
      <c r="AA317">
        <v>28672</v>
      </c>
      <c r="AB317">
        <v>224</v>
      </c>
      <c r="AC317">
        <v>4</v>
      </c>
      <c r="AD317">
        <v>4</v>
      </c>
      <c r="AE317">
        <v>1449.67</v>
      </c>
      <c r="AF317" s="21">
        <v>10.84</v>
      </c>
      <c r="AG317" s="26">
        <v>45473</v>
      </c>
      <c r="AH317" s="27">
        <v>0.16250000000000001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s="77"/>
    </row>
    <row r="318" spans="1:47" x14ac:dyDescent="0.25">
      <c r="A318" s="44">
        <v>4</v>
      </c>
      <c r="B318" s="44" t="s">
        <v>7</v>
      </c>
      <c r="C318" s="46">
        <v>28672</v>
      </c>
      <c r="D318" s="46">
        <v>224</v>
      </c>
      <c r="E318" s="46">
        <v>4</v>
      </c>
      <c r="F318" s="46">
        <v>4</v>
      </c>
      <c r="G318" s="47">
        <v>1467.7</v>
      </c>
      <c r="H318" s="51">
        <v>10.707000000000001</v>
      </c>
      <c r="I318" s="17">
        <v>45466</v>
      </c>
      <c r="J318" s="18">
        <v>0.28850694444444447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76"/>
      <c r="Y318">
        <v>4</v>
      </c>
      <c r="Z318" t="s">
        <v>7</v>
      </c>
      <c r="AA318">
        <v>28672</v>
      </c>
      <c r="AB318">
        <v>224</v>
      </c>
      <c r="AC318">
        <v>4</v>
      </c>
      <c r="AD318">
        <v>4</v>
      </c>
      <c r="AE318">
        <v>1446.79</v>
      </c>
      <c r="AF318" s="21">
        <v>10.862</v>
      </c>
      <c r="AG318" s="26">
        <v>45474</v>
      </c>
      <c r="AH318" s="27">
        <v>0.21592592592592594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s="77"/>
    </row>
    <row r="319" spans="1:47" x14ac:dyDescent="0.25">
      <c r="A319" s="42">
        <v>0</v>
      </c>
      <c r="B319" s="42" t="s">
        <v>7</v>
      </c>
      <c r="C319" s="43">
        <v>25600</v>
      </c>
      <c r="D319" s="43">
        <v>256</v>
      </c>
      <c r="E319" s="43">
        <v>1</v>
      </c>
      <c r="F319" s="43">
        <v>16</v>
      </c>
      <c r="G319" s="43">
        <v>1048.6400000000001</v>
      </c>
      <c r="H319" s="50">
        <v>10.667</v>
      </c>
      <c r="I319" s="23">
        <v>45459</v>
      </c>
      <c r="J319" s="24">
        <v>0.13847222222222222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76">
        <f t="shared" ref="W319" si="126">AVERAGE(H319:H323)</f>
        <v>10.6852</v>
      </c>
      <c r="Y319">
        <v>0</v>
      </c>
      <c r="Z319" t="s">
        <v>7</v>
      </c>
      <c r="AA319">
        <v>25600</v>
      </c>
      <c r="AB319">
        <v>256</v>
      </c>
      <c r="AC319">
        <v>1</v>
      </c>
      <c r="AD319">
        <v>16</v>
      </c>
      <c r="AE319">
        <v>933.78</v>
      </c>
      <c r="AF319" s="21">
        <v>11.978999999999999</v>
      </c>
      <c r="AG319" s="26">
        <v>45468</v>
      </c>
      <c r="AH319" s="27">
        <v>0.93760416666666668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s="77">
        <f t="shared" ref="AU319" si="127">AVERAGE(AF319:AF323)</f>
        <v>11.9488</v>
      </c>
    </row>
    <row r="320" spans="1:47" x14ac:dyDescent="0.25">
      <c r="A320" s="44">
        <v>1</v>
      </c>
      <c r="B320" s="44" t="s">
        <v>7</v>
      </c>
      <c r="C320" s="45">
        <v>25600</v>
      </c>
      <c r="D320" s="45">
        <v>256</v>
      </c>
      <c r="E320" s="45">
        <v>1</v>
      </c>
      <c r="F320" s="45">
        <v>16</v>
      </c>
      <c r="G320" s="45">
        <v>1044.8399999999999</v>
      </c>
      <c r="H320" s="51">
        <v>10.706</v>
      </c>
      <c r="I320" s="17">
        <v>45460</v>
      </c>
      <c r="J320" s="18">
        <v>0.15792824074074074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s="76"/>
      <c r="Y320">
        <v>1</v>
      </c>
      <c r="Z320" t="s">
        <v>7</v>
      </c>
      <c r="AA320">
        <v>25600</v>
      </c>
      <c r="AB320">
        <v>256</v>
      </c>
      <c r="AC320">
        <v>1</v>
      </c>
      <c r="AD320">
        <v>16</v>
      </c>
      <c r="AE320">
        <v>928.08</v>
      </c>
      <c r="AF320" s="21">
        <v>12.053000000000001</v>
      </c>
      <c r="AG320" s="26">
        <v>45469</v>
      </c>
      <c r="AH320" s="27">
        <v>0.98857638888888888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s="77"/>
    </row>
    <row r="321" spans="1:47" x14ac:dyDescent="0.25">
      <c r="A321" s="44">
        <v>2</v>
      </c>
      <c r="B321" s="44" t="s">
        <v>7</v>
      </c>
      <c r="C321" s="46">
        <v>25600</v>
      </c>
      <c r="D321" s="46">
        <v>256</v>
      </c>
      <c r="E321" s="46">
        <v>1</v>
      </c>
      <c r="F321" s="46">
        <v>16</v>
      </c>
      <c r="G321" s="47">
        <v>1051.01</v>
      </c>
      <c r="H321" s="51">
        <v>10.643000000000001</v>
      </c>
      <c r="I321" s="17">
        <v>45461</v>
      </c>
      <c r="J321" s="18">
        <v>0.17785879629629631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s="76"/>
      <c r="Y321">
        <v>2</v>
      </c>
      <c r="Z321" t="s">
        <v>7</v>
      </c>
      <c r="AA321">
        <v>25600</v>
      </c>
      <c r="AB321">
        <v>256</v>
      </c>
      <c r="AC321">
        <v>1</v>
      </c>
      <c r="AD321">
        <v>16</v>
      </c>
      <c r="AE321">
        <v>939.43</v>
      </c>
      <c r="AF321" s="21">
        <v>11.907</v>
      </c>
      <c r="AG321" s="26">
        <v>45471</v>
      </c>
      <c r="AH321" s="27">
        <v>0.38121527777777775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s="77"/>
    </row>
    <row r="322" spans="1:47" x14ac:dyDescent="0.25">
      <c r="A322" s="44">
        <v>3</v>
      </c>
      <c r="B322" s="44" t="s">
        <v>7</v>
      </c>
      <c r="C322" s="46">
        <v>25600</v>
      </c>
      <c r="D322" s="46">
        <v>256</v>
      </c>
      <c r="E322" s="46">
        <v>1</v>
      </c>
      <c r="F322" s="46">
        <v>16</v>
      </c>
      <c r="G322" s="47">
        <v>1048.3699999999999</v>
      </c>
      <c r="H322" s="51">
        <v>10.67</v>
      </c>
      <c r="I322" s="17">
        <v>45462</v>
      </c>
      <c r="J322" s="18">
        <v>0.50818287037037035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s="76"/>
      <c r="Y322">
        <v>3</v>
      </c>
      <c r="Z322" t="s">
        <v>7</v>
      </c>
      <c r="AA322">
        <v>25600</v>
      </c>
      <c r="AB322">
        <v>256</v>
      </c>
      <c r="AC322">
        <v>1</v>
      </c>
      <c r="AD322">
        <v>16</v>
      </c>
      <c r="AE322">
        <v>943.63</v>
      </c>
      <c r="AF322" s="21">
        <v>11.853999999999999</v>
      </c>
      <c r="AG322" s="26">
        <v>45472</v>
      </c>
      <c r="AH322" s="27">
        <v>0.43518518518518517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s="77"/>
    </row>
    <row r="323" spans="1:47" x14ac:dyDescent="0.25">
      <c r="A323" s="44">
        <v>4</v>
      </c>
      <c r="B323" s="44" t="s">
        <v>7</v>
      </c>
      <c r="C323" s="46">
        <v>25600</v>
      </c>
      <c r="D323" s="46">
        <v>256</v>
      </c>
      <c r="E323" s="46">
        <v>1</v>
      </c>
      <c r="F323" s="46">
        <v>16</v>
      </c>
      <c r="G323" s="47">
        <v>1041.52</v>
      </c>
      <c r="H323" s="51">
        <v>10.74</v>
      </c>
      <c r="I323" s="17">
        <v>45465</v>
      </c>
      <c r="J323" s="18">
        <v>0.58440972222222221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s="76"/>
      <c r="Y323">
        <v>4</v>
      </c>
      <c r="Z323" t="s">
        <v>7</v>
      </c>
      <c r="AA323">
        <v>25600</v>
      </c>
      <c r="AB323">
        <v>256</v>
      </c>
      <c r="AC323">
        <v>1</v>
      </c>
      <c r="AD323">
        <v>16</v>
      </c>
      <c r="AE323">
        <v>935.95</v>
      </c>
      <c r="AF323" s="21">
        <v>11.951000000000001</v>
      </c>
      <c r="AG323" s="26">
        <v>45473</v>
      </c>
      <c r="AH323" s="27">
        <v>0.4899074074074074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s="77"/>
    </row>
    <row r="324" spans="1:47" x14ac:dyDescent="0.25">
      <c r="A324" s="42">
        <v>0</v>
      </c>
      <c r="B324" s="42" t="s">
        <v>7</v>
      </c>
      <c r="C324" s="43">
        <v>27136</v>
      </c>
      <c r="D324" s="43">
        <v>256</v>
      </c>
      <c r="E324" s="43">
        <v>1</v>
      </c>
      <c r="F324" s="43">
        <v>16</v>
      </c>
      <c r="G324" s="43">
        <v>1240.22</v>
      </c>
      <c r="H324" s="50">
        <v>10.742000000000001</v>
      </c>
      <c r="I324" s="23">
        <v>45459</v>
      </c>
      <c r="J324" s="24">
        <v>0.4745138888888889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76">
        <f t="shared" ref="W324" si="128">AVERAGE(H324:H328)</f>
        <v>10.7662</v>
      </c>
      <c r="Y324">
        <v>0</v>
      </c>
      <c r="Z324" t="s">
        <v>7</v>
      </c>
      <c r="AA324">
        <v>27136</v>
      </c>
      <c r="AB324">
        <v>256</v>
      </c>
      <c r="AC324">
        <v>1</v>
      </c>
      <c r="AD324">
        <v>16</v>
      </c>
      <c r="AE324">
        <v>1106.53</v>
      </c>
      <c r="AF324" s="21">
        <v>12.04</v>
      </c>
      <c r="AG324" s="26">
        <v>45469</v>
      </c>
      <c r="AH324" s="27">
        <v>0.28312500000000002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s="77">
        <f t="shared" ref="AU324" si="129">AVERAGE(AF324:AF328)</f>
        <v>12.119</v>
      </c>
    </row>
    <row r="325" spans="1:47" x14ac:dyDescent="0.25">
      <c r="A325" s="44">
        <v>1</v>
      </c>
      <c r="B325" s="44" t="s">
        <v>7</v>
      </c>
      <c r="C325" s="45">
        <v>27136</v>
      </c>
      <c r="D325" s="45">
        <v>256</v>
      </c>
      <c r="E325" s="45">
        <v>1</v>
      </c>
      <c r="F325" s="45">
        <v>16</v>
      </c>
      <c r="G325" s="45">
        <v>1243.24</v>
      </c>
      <c r="H325" s="51">
        <v>10.715999999999999</v>
      </c>
      <c r="I325" s="17">
        <v>45460</v>
      </c>
      <c r="J325" s="18">
        <v>0.49305555555555558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s="76"/>
      <c r="Y325">
        <v>1</v>
      </c>
      <c r="Z325" t="s">
        <v>7</v>
      </c>
      <c r="AA325">
        <v>27136</v>
      </c>
      <c r="AB325">
        <v>256</v>
      </c>
      <c r="AC325">
        <v>1</v>
      </c>
      <c r="AD325">
        <v>16</v>
      </c>
      <c r="AE325">
        <v>1101.6199999999999</v>
      </c>
      <c r="AF325" s="21">
        <v>12.093</v>
      </c>
      <c r="AG325" s="26">
        <v>45470</v>
      </c>
      <c r="AH325" s="27">
        <v>0.33318287037037037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s="77"/>
    </row>
    <row r="326" spans="1:47" x14ac:dyDescent="0.25">
      <c r="A326" s="44">
        <v>2</v>
      </c>
      <c r="B326" s="44" t="s">
        <v>7</v>
      </c>
      <c r="C326" s="46">
        <v>27136</v>
      </c>
      <c r="D326" s="46">
        <v>256</v>
      </c>
      <c r="E326" s="46">
        <v>1</v>
      </c>
      <c r="F326" s="46">
        <v>16</v>
      </c>
      <c r="G326" s="47">
        <v>1235.49</v>
      </c>
      <c r="H326" s="51">
        <v>10.782999999999999</v>
      </c>
      <c r="I326" s="17">
        <v>45461</v>
      </c>
      <c r="J326" s="18">
        <v>0.82546296296296295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76"/>
      <c r="Y326">
        <v>2</v>
      </c>
      <c r="Z326" t="s">
        <v>7</v>
      </c>
      <c r="AA326">
        <v>27136</v>
      </c>
      <c r="AB326">
        <v>256</v>
      </c>
      <c r="AC326">
        <v>1</v>
      </c>
      <c r="AD326">
        <v>16</v>
      </c>
      <c r="AE326">
        <v>1091.58</v>
      </c>
      <c r="AF326" s="21">
        <v>12.205</v>
      </c>
      <c r="AG326" s="26">
        <v>45471</v>
      </c>
      <c r="AH326" s="27">
        <v>0.72697916666666662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s="77"/>
    </row>
    <row r="327" spans="1:47" x14ac:dyDescent="0.25">
      <c r="A327" s="44">
        <v>3</v>
      </c>
      <c r="B327" s="44" t="s">
        <v>7</v>
      </c>
      <c r="C327" s="46">
        <v>27136</v>
      </c>
      <c r="D327" s="46">
        <v>256</v>
      </c>
      <c r="E327" s="46">
        <v>1</v>
      </c>
      <c r="F327" s="46">
        <v>16</v>
      </c>
      <c r="G327" s="47">
        <v>1236.3800000000001</v>
      </c>
      <c r="H327" s="51">
        <v>10.775</v>
      </c>
      <c r="I327" s="17">
        <v>45464</v>
      </c>
      <c r="J327" s="18">
        <v>0.90222222222222226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76"/>
      <c r="Y327">
        <v>3</v>
      </c>
      <c r="Z327" t="s">
        <v>7</v>
      </c>
      <c r="AA327">
        <v>27136</v>
      </c>
      <c r="AB327">
        <v>256</v>
      </c>
      <c r="AC327">
        <v>1</v>
      </c>
      <c r="AD327">
        <v>16</v>
      </c>
      <c r="AE327">
        <v>1098.93</v>
      </c>
      <c r="AF327" s="21">
        <v>12.122999999999999</v>
      </c>
      <c r="AG327" s="26">
        <v>45472</v>
      </c>
      <c r="AH327" s="27">
        <v>0.78160879629629632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s="77"/>
    </row>
    <row r="328" spans="1:47" x14ac:dyDescent="0.25">
      <c r="A328" s="44">
        <v>4</v>
      </c>
      <c r="B328" s="44" t="s">
        <v>7</v>
      </c>
      <c r="C328" s="46">
        <v>27136</v>
      </c>
      <c r="D328" s="46">
        <v>256</v>
      </c>
      <c r="E328" s="46">
        <v>1</v>
      </c>
      <c r="F328" s="46">
        <v>16</v>
      </c>
      <c r="G328" s="47">
        <v>1231.8699999999999</v>
      </c>
      <c r="H328" s="51">
        <v>10.815</v>
      </c>
      <c r="I328" s="17">
        <v>45465</v>
      </c>
      <c r="J328" s="18">
        <v>0.91974537037037041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s="76"/>
      <c r="Y328">
        <v>4</v>
      </c>
      <c r="Z328" t="s">
        <v>7</v>
      </c>
      <c r="AA328">
        <v>27136</v>
      </c>
      <c r="AB328">
        <v>256</v>
      </c>
      <c r="AC328">
        <v>1</v>
      </c>
      <c r="AD328">
        <v>16</v>
      </c>
      <c r="AE328">
        <v>1097.93</v>
      </c>
      <c r="AF328" s="21">
        <v>12.134</v>
      </c>
      <c r="AG328" s="26">
        <v>45473</v>
      </c>
      <c r="AH328" s="27">
        <v>0.83555555555555561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s="77"/>
    </row>
    <row r="329" spans="1:47" x14ac:dyDescent="0.25">
      <c r="A329" s="42">
        <v>0</v>
      </c>
      <c r="B329" s="42" t="s">
        <v>7</v>
      </c>
      <c r="C329" s="43">
        <v>28672</v>
      </c>
      <c r="D329" s="43">
        <v>256</v>
      </c>
      <c r="E329" s="43">
        <v>1</v>
      </c>
      <c r="F329" s="43">
        <v>16</v>
      </c>
      <c r="G329" s="43">
        <v>1398.7</v>
      </c>
      <c r="H329" s="50">
        <v>11.234999999999999</v>
      </c>
      <c r="I329" s="23">
        <v>45459</v>
      </c>
      <c r="J329" s="24">
        <v>0.8607407407407407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76">
        <f t="shared" ref="W329" si="130">AVERAGE(H329:H333)</f>
        <v>11.217600000000001</v>
      </c>
      <c r="Y329">
        <v>0</v>
      </c>
      <c r="Z329" t="s">
        <v>7</v>
      </c>
      <c r="AA329">
        <v>28672</v>
      </c>
      <c r="AB329">
        <v>256</v>
      </c>
      <c r="AC329">
        <v>1</v>
      </c>
      <c r="AD329">
        <v>16</v>
      </c>
      <c r="AE329">
        <v>1267.4000000000001</v>
      </c>
      <c r="AF329" s="21">
        <v>12.398999999999999</v>
      </c>
      <c r="AG329" s="26">
        <v>45469</v>
      </c>
      <c r="AH329" s="27">
        <v>0.6790046296296296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s="77">
        <f t="shared" ref="AU329" si="131">AVERAGE(AF329:AF333)</f>
        <v>12.279199999999999</v>
      </c>
    </row>
    <row r="330" spans="1:47" x14ac:dyDescent="0.25">
      <c r="A330" s="44">
        <v>1</v>
      </c>
      <c r="B330" s="44" t="s">
        <v>7</v>
      </c>
      <c r="C330" s="46">
        <v>28672</v>
      </c>
      <c r="D330" s="46">
        <v>256</v>
      </c>
      <c r="E330" s="46">
        <v>1</v>
      </c>
      <c r="F330" s="46">
        <v>16</v>
      </c>
      <c r="G330" s="47">
        <v>1401.7</v>
      </c>
      <c r="H330" s="51">
        <v>11.211</v>
      </c>
      <c r="I330" s="17">
        <v>45460</v>
      </c>
      <c r="J330" s="18">
        <v>0.88069444444444445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76"/>
      <c r="Y330">
        <v>1</v>
      </c>
      <c r="Z330" t="s">
        <v>7</v>
      </c>
      <c r="AA330">
        <v>28672</v>
      </c>
      <c r="AB330">
        <v>256</v>
      </c>
      <c r="AC330">
        <v>1</v>
      </c>
      <c r="AD330">
        <v>16</v>
      </c>
      <c r="AE330">
        <v>1279.92</v>
      </c>
      <c r="AF330" s="21">
        <v>12.278</v>
      </c>
      <c r="AG330" s="26">
        <v>45471</v>
      </c>
      <c r="AH330" s="27">
        <v>6.9490740740740742E-2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s="77"/>
    </row>
    <row r="331" spans="1:47" x14ac:dyDescent="0.25">
      <c r="A331" s="44">
        <v>2</v>
      </c>
      <c r="B331" s="44" t="s">
        <v>7</v>
      </c>
      <c r="C331" s="46">
        <v>28672</v>
      </c>
      <c r="D331" s="46">
        <v>256</v>
      </c>
      <c r="E331" s="46">
        <v>1</v>
      </c>
      <c r="F331" s="46">
        <v>16</v>
      </c>
      <c r="G331" s="47">
        <v>1403.1</v>
      </c>
      <c r="H331" s="51">
        <v>11.2</v>
      </c>
      <c r="I331" s="17">
        <v>45462</v>
      </c>
      <c r="J331" s="18">
        <v>0.21078703703703705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76"/>
      <c r="Y331">
        <v>2</v>
      </c>
      <c r="Z331" t="s">
        <v>7</v>
      </c>
      <c r="AA331">
        <v>28672</v>
      </c>
      <c r="AB331">
        <v>256</v>
      </c>
      <c r="AC331">
        <v>1</v>
      </c>
      <c r="AD331">
        <v>16</v>
      </c>
      <c r="AE331">
        <v>1296.27</v>
      </c>
      <c r="AF331" s="21">
        <v>12.122999999999999</v>
      </c>
      <c r="AG331" s="26">
        <v>45472</v>
      </c>
      <c r="AH331" s="27">
        <v>0.12408564814814815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s="77"/>
    </row>
    <row r="332" spans="1:47" x14ac:dyDescent="0.25">
      <c r="A332" s="44">
        <v>3</v>
      </c>
      <c r="B332" s="44" t="s">
        <v>7</v>
      </c>
      <c r="C332" s="46">
        <v>28672</v>
      </c>
      <c r="D332" s="46">
        <v>256</v>
      </c>
      <c r="E332" s="46">
        <v>1</v>
      </c>
      <c r="F332" s="46">
        <v>16</v>
      </c>
      <c r="G332" s="47">
        <v>1405.63</v>
      </c>
      <c r="H332" s="51">
        <v>11.18</v>
      </c>
      <c r="I332" s="17">
        <v>45465</v>
      </c>
      <c r="J332" s="18">
        <v>0.28738425925925926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76"/>
      <c r="Y332">
        <v>3</v>
      </c>
      <c r="Z332" t="s">
        <v>7</v>
      </c>
      <c r="AA332">
        <v>28672</v>
      </c>
      <c r="AB332">
        <v>256</v>
      </c>
      <c r="AC332">
        <v>1</v>
      </c>
      <c r="AD332">
        <v>16</v>
      </c>
      <c r="AE332">
        <v>1286.52</v>
      </c>
      <c r="AF332" s="21">
        <v>12.215</v>
      </c>
      <c r="AG332" s="26">
        <v>45473</v>
      </c>
      <c r="AH332" s="27">
        <v>0.17887731481481481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s="77"/>
    </row>
    <row r="333" spans="1:47" x14ac:dyDescent="0.25">
      <c r="A333" s="44">
        <v>4</v>
      </c>
      <c r="B333" s="44" t="s">
        <v>7</v>
      </c>
      <c r="C333" s="46">
        <v>28672</v>
      </c>
      <c r="D333" s="46">
        <v>256</v>
      </c>
      <c r="E333" s="46">
        <v>1</v>
      </c>
      <c r="F333" s="46">
        <v>16</v>
      </c>
      <c r="G333" s="47">
        <v>1395.38</v>
      </c>
      <c r="H333" s="51">
        <v>11.262</v>
      </c>
      <c r="I333" s="17">
        <v>45466</v>
      </c>
      <c r="J333" s="18">
        <v>0.30518518518518517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76"/>
      <c r="Y333">
        <v>4</v>
      </c>
      <c r="Z333" t="s">
        <v>7</v>
      </c>
      <c r="AA333">
        <v>28672</v>
      </c>
      <c r="AB333">
        <v>256</v>
      </c>
      <c r="AC333">
        <v>1</v>
      </c>
      <c r="AD333">
        <v>16</v>
      </c>
      <c r="AE333">
        <v>1269.3399999999999</v>
      </c>
      <c r="AF333" s="21">
        <v>12.381</v>
      </c>
      <c r="AG333" s="26">
        <v>45474</v>
      </c>
      <c r="AH333" s="27">
        <v>0.23221064814814815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s="77"/>
    </row>
    <row r="334" spans="1:47" x14ac:dyDescent="0.25">
      <c r="A334" s="42">
        <v>0</v>
      </c>
      <c r="B334" s="42" t="s">
        <v>7</v>
      </c>
      <c r="C334" s="43">
        <v>25600</v>
      </c>
      <c r="D334" s="43">
        <v>256</v>
      </c>
      <c r="E334" s="43">
        <v>2</v>
      </c>
      <c r="F334" s="43">
        <v>8</v>
      </c>
      <c r="G334" s="43">
        <v>924</v>
      </c>
      <c r="H334" s="50">
        <v>12.106</v>
      </c>
      <c r="I334" s="23">
        <v>45459</v>
      </c>
      <c r="J334" s="24">
        <v>0.14944444444444444</v>
      </c>
      <c r="K334" s="22">
        <v>0</v>
      </c>
      <c r="L334" s="22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76">
        <f t="shared" ref="W334" si="132">AVERAGE(H334:H338)</f>
        <v>12.046599999999998</v>
      </c>
      <c r="Y334">
        <v>0</v>
      </c>
      <c r="Z334" t="s">
        <v>7</v>
      </c>
      <c r="AA334">
        <v>25600</v>
      </c>
      <c r="AB334">
        <v>256</v>
      </c>
      <c r="AC334">
        <v>2</v>
      </c>
      <c r="AD334">
        <v>8</v>
      </c>
      <c r="AE334">
        <v>931.13</v>
      </c>
      <c r="AF334" s="21">
        <v>12.013</v>
      </c>
      <c r="AG334" s="26">
        <v>45468</v>
      </c>
      <c r="AH334" s="27">
        <v>0.94945601851851846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s="77">
        <f t="shared" ref="AU334" si="133">AVERAGE(AF334:AF338)</f>
        <v>12.028</v>
      </c>
    </row>
    <row r="335" spans="1:47" x14ac:dyDescent="0.25">
      <c r="A335" s="44">
        <v>1</v>
      </c>
      <c r="B335" s="44" t="s">
        <v>7</v>
      </c>
      <c r="C335" s="45">
        <v>25600</v>
      </c>
      <c r="D335" s="45">
        <v>256</v>
      </c>
      <c r="E335" s="45">
        <v>2</v>
      </c>
      <c r="F335" s="45">
        <v>8</v>
      </c>
      <c r="G335" s="45">
        <v>934.91</v>
      </c>
      <c r="H335" s="51">
        <v>11.965</v>
      </c>
      <c r="I335" s="17">
        <v>45460</v>
      </c>
      <c r="J335" s="18">
        <v>0.16902777777777778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s="76"/>
      <c r="Y335">
        <v>1</v>
      </c>
      <c r="Z335" t="s">
        <v>7</v>
      </c>
      <c r="AA335">
        <v>25600</v>
      </c>
      <c r="AB335">
        <v>256</v>
      </c>
      <c r="AC335">
        <v>2</v>
      </c>
      <c r="AD335">
        <v>8</v>
      </c>
      <c r="AE335">
        <v>923.82</v>
      </c>
      <c r="AF335" s="21">
        <v>12.108000000000001</v>
      </c>
      <c r="AG335" s="26">
        <v>45470</v>
      </c>
      <c r="AH335" s="27">
        <v>3.5879629629629629E-4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s="77"/>
    </row>
    <row r="336" spans="1:47" x14ac:dyDescent="0.25">
      <c r="A336" s="44">
        <v>2</v>
      </c>
      <c r="B336" s="44" t="s">
        <v>7</v>
      </c>
      <c r="C336" s="46">
        <v>25600</v>
      </c>
      <c r="D336" s="46">
        <v>256</v>
      </c>
      <c r="E336" s="46">
        <v>2</v>
      </c>
      <c r="F336" s="46">
        <v>8</v>
      </c>
      <c r="G336" s="47">
        <v>928.55</v>
      </c>
      <c r="H336" s="51">
        <v>12.047000000000001</v>
      </c>
      <c r="I336" s="17">
        <v>45461</v>
      </c>
      <c r="J336" s="18">
        <v>0.18887731481481482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76"/>
      <c r="Y336">
        <v>2</v>
      </c>
      <c r="Z336" t="s">
        <v>7</v>
      </c>
      <c r="AA336">
        <v>25600</v>
      </c>
      <c r="AB336">
        <v>256</v>
      </c>
      <c r="AC336">
        <v>2</v>
      </c>
      <c r="AD336">
        <v>8</v>
      </c>
      <c r="AE336">
        <v>929.28</v>
      </c>
      <c r="AF336" s="21">
        <v>12.037000000000001</v>
      </c>
      <c r="AG336" s="26">
        <v>45471</v>
      </c>
      <c r="AH336" s="27">
        <v>0.39304398148148151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s="77"/>
    </row>
    <row r="337" spans="1:47" x14ac:dyDescent="0.25">
      <c r="A337" s="44">
        <v>3</v>
      </c>
      <c r="B337" s="44" t="s">
        <v>7</v>
      </c>
      <c r="C337" s="46">
        <v>25600</v>
      </c>
      <c r="D337" s="46">
        <v>256</v>
      </c>
      <c r="E337" s="46">
        <v>2</v>
      </c>
      <c r="F337" s="46">
        <v>8</v>
      </c>
      <c r="G337" s="47">
        <v>931.12</v>
      </c>
      <c r="H337" s="51">
        <v>12.013</v>
      </c>
      <c r="I337" s="17">
        <v>45462</v>
      </c>
      <c r="J337" s="18">
        <v>0.51924768518518516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s="76"/>
      <c r="Y337">
        <v>3</v>
      </c>
      <c r="Z337" t="s">
        <v>7</v>
      </c>
      <c r="AA337">
        <v>25600</v>
      </c>
      <c r="AB337">
        <v>256</v>
      </c>
      <c r="AC337">
        <v>2</v>
      </c>
      <c r="AD337">
        <v>8</v>
      </c>
      <c r="AE337">
        <v>934.29</v>
      </c>
      <c r="AF337" s="21">
        <v>11.973000000000001</v>
      </c>
      <c r="AG337" s="26">
        <v>45472</v>
      </c>
      <c r="AH337" s="27">
        <v>0.44708333333333333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s="77"/>
    </row>
    <row r="338" spans="1:47" x14ac:dyDescent="0.25">
      <c r="A338" s="44">
        <v>4</v>
      </c>
      <c r="B338" s="44" t="s">
        <v>7</v>
      </c>
      <c r="C338" s="46">
        <v>25600</v>
      </c>
      <c r="D338" s="46">
        <v>256</v>
      </c>
      <c r="E338" s="46">
        <v>2</v>
      </c>
      <c r="F338" s="46">
        <v>8</v>
      </c>
      <c r="G338" s="47">
        <v>924.3</v>
      </c>
      <c r="H338" s="51">
        <v>12.102</v>
      </c>
      <c r="I338" s="17">
        <v>45465</v>
      </c>
      <c r="J338" s="18">
        <v>0.59538194444444448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s="76"/>
      <c r="Y338">
        <v>4</v>
      </c>
      <c r="Z338" t="s">
        <v>7</v>
      </c>
      <c r="AA338">
        <v>25600</v>
      </c>
      <c r="AB338">
        <v>256</v>
      </c>
      <c r="AC338">
        <v>2</v>
      </c>
      <c r="AD338">
        <v>8</v>
      </c>
      <c r="AE338">
        <v>931.48</v>
      </c>
      <c r="AF338" s="21">
        <v>12.009</v>
      </c>
      <c r="AG338" s="26">
        <v>45473</v>
      </c>
      <c r="AH338" s="27">
        <v>0.50178240740740743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s="77"/>
    </row>
    <row r="339" spans="1:47" x14ac:dyDescent="0.25">
      <c r="A339" s="42">
        <v>0</v>
      </c>
      <c r="B339" s="42" t="s">
        <v>7</v>
      </c>
      <c r="C339" s="43">
        <v>27136</v>
      </c>
      <c r="D339" s="43">
        <v>256</v>
      </c>
      <c r="E339" s="43">
        <v>2</v>
      </c>
      <c r="F339" s="43">
        <v>8</v>
      </c>
      <c r="G339" s="43">
        <v>1096.26</v>
      </c>
      <c r="H339" s="50">
        <v>12.153</v>
      </c>
      <c r="I339" s="23">
        <v>45459</v>
      </c>
      <c r="J339" s="24">
        <v>0.48751157407407408</v>
      </c>
      <c r="K339" s="22">
        <v>0</v>
      </c>
      <c r="L339" s="22">
        <v>0</v>
      </c>
      <c r="M339" s="22">
        <v>0</v>
      </c>
      <c r="N339" s="22">
        <v>0</v>
      </c>
      <c r="O339" s="22">
        <v>0</v>
      </c>
      <c r="P339" s="22">
        <v>0</v>
      </c>
      <c r="Q339" s="22">
        <v>0</v>
      </c>
      <c r="R339" s="22">
        <v>0</v>
      </c>
      <c r="S339" s="22">
        <v>0</v>
      </c>
      <c r="T339" s="22">
        <v>0</v>
      </c>
      <c r="U339" s="22">
        <v>0</v>
      </c>
      <c r="V339" s="22">
        <v>0</v>
      </c>
      <c r="W339" s="76">
        <f t="shared" ref="W339" si="134">AVERAGE(H339:H343)</f>
        <v>12.130599999999999</v>
      </c>
      <c r="Y339">
        <v>0</v>
      </c>
      <c r="Z339" t="s">
        <v>7</v>
      </c>
      <c r="AA339">
        <v>27136</v>
      </c>
      <c r="AB339">
        <v>256</v>
      </c>
      <c r="AC339">
        <v>2</v>
      </c>
      <c r="AD339">
        <v>8</v>
      </c>
      <c r="AE339">
        <v>1082.82</v>
      </c>
      <c r="AF339" s="21">
        <v>12.303000000000001</v>
      </c>
      <c r="AG339" s="26">
        <v>45469</v>
      </c>
      <c r="AH339" s="27">
        <v>0.296875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s="77">
        <f t="shared" ref="AU339" si="135">AVERAGE(AF339:AF343)</f>
        <v>12.323399999999999</v>
      </c>
    </row>
    <row r="340" spans="1:47" x14ac:dyDescent="0.25">
      <c r="A340" s="44">
        <v>1</v>
      </c>
      <c r="B340" s="44" t="s">
        <v>7</v>
      </c>
      <c r="C340" s="45">
        <v>27136</v>
      </c>
      <c r="D340" s="45">
        <v>256</v>
      </c>
      <c r="E340" s="45">
        <v>2</v>
      </c>
      <c r="F340" s="45">
        <v>8</v>
      </c>
      <c r="G340" s="45">
        <v>1099.17</v>
      </c>
      <c r="H340" s="51">
        <v>12.12</v>
      </c>
      <c r="I340" s="17">
        <v>45460</v>
      </c>
      <c r="J340" s="18">
        <v>0.5060648148148148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s="76"/>
      <c r="Y340">
        <v>1</v>
      </c>
      <c r="Z340" t="s">
        <v>7</v>
      </c>
      <c r="AA340">
        <v>27136</v>
      </c>
      <c r="AB340">
        <v>256</v>
      </c>
      <c r="AC340">
        <v>2</v>
      </c>
      <c r="AD340">
        <v>8</v>
      </c>
      <c r="AE340">
        <v>1082.55</v>
      </c>
      <c r="AF340" s="21">
        <v>12.305999999999999</v>
      </c>
      <c r="AG340" s="26">
        <v>45470</v>
      </c>
      <c r="AH340" s="27">
        <v>0.34694444444444444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s="77"/>
    </row>
    <row r="341" spans="1:47" x14ac:dyDescent="0.25">
      <c r="A341" s="44">
        <v>2</v>
      </c>
      <c r="B341" s="44" t="s">
        <v>7</v>
      </c>
      <c r="C341" s="46">
        <v>27136</v>
      </c>
      <c r="D341" s="46">
        <v>256</v>
      </c>
      <c r="E341" s="46">
        <v>2</v>
      </c>
      <c r="F341" s="46">
        <v>8</v>
      </c>
      <c r="G341" s="47">
        <v>1103.33</v>
      </c>
      <c r="H341" s="51">
        <v>12.074999999999999</v>
      </c>
      <c r="I341" s="17">
        <v>45461</v>
      </c>
      <c r="J341" s="18">
        <v>0.83853009259259259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s="76"/>
      <c r="Y341">
        <v>2</v>
      </c>
      <c r="Z341" t="s">
        <v>7</v>
      </c>
      <c r="AA341">
        <v>27136</v>
      </c>
      <c r="AB341">
        <v>256</v>
      </c>
      <c r="AC341">
        <v>2</v>
      </c>
      <c r="AD341">
        <v>8</v>
      </c>
      <c r="AE341">
        <v>1087.74</v>
      </c>
      <c r="AF341" s="21">
        <v>12.247999999999999</v>
      </c>
      <c r="AG341" s="26">
        <v>45471</v>
      </c>
      <c r="AH341" s="27">
        <v>0.74078703703703708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s="77"/>
    </row>
    <row r="342" spans="1:47" x14ac:dyDescent="0.25">
      <c r="A342" s="44">
        <v>3</v>
      </c>
      <c r="B342" s="44" t="s">
        <v>7</v>
      </c>
      <c r="C342" s="46">
        <v>27136</v>
      </c>
      <c r="D342" s="46">
        <v>256</v>
      </c>
      <c r="E342" s="46">
        <v>2</v>
      </c>
      <c r="F342" s="46">
        <v>8</v>
      </c>
      <c r="G342" s="47">
        <v>1093.57</v>
      </c>
      <c r="H342" s="51">
        <v>12.182</v>
      </c>
      <c r="I342" s="17">
        <v>45464</v>
      </c>
      <c r="J342" s="18">
        <v>0.91519675925925925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s="76"/>
      <c r="Y342">
        <v>3</v>
      </c>
      <c r="Z342" t="s">
        <v>7</v>
      </c>
      <c r="AA342">
        <v>27136</v>
      </c>
      <c r="AB342">
        <v>256</v>
      </c>
      <c r="AC342">
        <v>2</v>
      </c>
      <c r="AD342">
        <v>8</v>
      </c>
      <c r="AE342">
        <v>1077.3800000000001</v>
      </c>
      <c r="AF342" s="21">
        <v>12.366</v>
      </c>
      <c r="AG342" s="26">
        <v>45472</v>
      </c>
      <c r="AH342" s="27">
        <v>0.7952893518518519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s="77"/>
    </row>
    <row r="343" spans="1:47" x14ac:dyDescent="0.25">
      <c r="A343" s="44">
        <v>4</v>
      </c>
      <c r="B343" s="44" t="s">
        <v>7</v>
      </c>
      <c r="C343" s="46">
        <v>27136</v>
      </c>
      <c r="D343" s="46">
        <v>256</v>
      </c>
      <c r="E343" s="46">
        <v>2</v>
      </c>
      <c r="F343" s="46">
        <v>8</v>
      </c>
      <c r="G343" s="47">
        <v>1098.8900000000001</v>
      </c>
      <c r="H343" s="51">
        <v>12.122999999999999</v>
      </c>
      <c r="I343" s="17">
        <v>45465</v>
      </c>
      <c r="J343" s="18">
        <v>0.93275462962962963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76"/>
      <c r="Y343">
        <v>4</v>
      </c>
      <c r="Z343" t="s">
        <v>7</v>
      </c>
      <c r="AA343">
        <v>27136</v>
      </c>
      <c r="AB343">
        <v>256</v>
      </c>
      <c r="AC343">
        <v>2</v>
      </c>
      <c r="AD343">
        <v>8</v>
      </c>
      <c r="AE343">
        <v>1074.94</v>
      </c>
      <c r="AF343" s="21">
        <v>12.394</v>
      </c>
      <c r="AG343" s="26">
        <v>45473</v>
      </c>
      <c r="AH343" s="27">
        <v>0.84923611111111108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s="77"/>
    </row>
    <row r="344" spans="1:47" x14ac:dyDescent="0.25">
      <c r="A344" s="42">
        <v>0</v>
      </c>
      <c r="B344" s="42" t="s">
        <v>7</v>
      </c>
      <c r="C344" s="43">
        <v>28672</v>
      </c>
      <c r="D344" s="43">
        <v>256</v>
      </c>
      <c r="E344" s="43">
        <v>2</v>
      </c>
      <c r="F344" s="43">
        <v>8</v>
      </c>
      <c r="G344" s="43">
        <v>1252.26</v>
      </c>
      <c r="H344" s="50">
        <v>12.548999999999999</v>
      </c>
      <c r="I344" s="23">
        <v>45459</v>
      </c>
      <c r="J344" s="24">
        <v>0.87565972222222221</v>
      </c>
      <c r="K344" s="22">
        <v>0</v>
      </c>
      <c r="L344" s="22">
        <v>0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22">
        <v>0</v>
      </c>
      <c r="S344" s="22">
        <v>0</v>
      </c>
      <c r="T344" s="22">
        <v>0</v>
      </c>
      <c r="U344" s="22">
        <v>0</v>
      </c>
      <c r="V344" s="22">
        <v>0</v>
      </c>
      <c r="W344" s="76">
        <f t="shared" ref="W344" si="136">AVERAGE(H344:H348)</f>
        <v>12.562999999999999</v>
      </c>
      <c r="Y344">
        <v>0</v>
      </c>
      <c r="Z344" t="s">
        <v>7</v>
      </c>
      <c r="AA344">
        <v>28672</v>
      </c>
      <c r="AB344">
        <v>256</v>
      </c>
      <c r="AC344">
        <v>2</v>
      </c>
      <c r="AD344">
        <v>8</v>
      </c>
      <c r="AE344">
        <v>1233.3499999999999</v>
      </c>
      <c r="AF344" s="21">
        <v>12.742000000000001</v>
      </c>
      <c r="AG344" s="26">
        <v>45469</v>
      </c>
      <c r="AH344" s="27">
        <v>0.69460648148148152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s="77">
        <f t="shared" ref="AU344" si="137">AVERAGE(AF344:AF348)</f>
        <v>12.6668</v>
      </c>
    </row>
    <row r="345" spans="1:47" x14ac:dyDescent="0.25">
      <c r="A345" s="44">
        <v>1</v>
      </c>
      <c r="B345" s="44" t="s">
        <v>7</v>
      </c>
      <c r="C345" s="46">
        <v>28672</v>
      </c>
      <c r="D345" s="46">
        <v>256</v>
      </c>
      <c r="E345" s="46">
        <v>2</v>
      </c>
      <c r="F345" s="46">
        <v>8</v>
      </c>
      <c r="G345" s="47">
        <v>1245.6199999999999</v>
      </c>
      <c r="H345" s="51">
        <v>12.616</v>
      </c>
      <c r="I345" s="17">
        <v>45460</v>
      </c>
      <c r="J345" s="18">
        <v>0.89548611111111109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76"/>
      <c r="Y345">
        <v>1</v>
      </c>
      <c r="Z345" t="s">
        <v>7</v>
      </c>
      <c r="AA345">
        <v>28672</v>
      </c>
      <c r="AB345">
        <v>256</v>
      </c>
      <c r="AC345">
        <v>2</v>
      </c>
      <c r="AD345">
        <v>8</v>
      </c>
      <c r="AE345">
        <v>1242.01</v>
      </c>
      <c r="AF345" s="21">
        <v>12.653</v>
      </c>
      <c r="AG345" s="26">
        <v>45471</v>
      </c>
      <c r="AH345" s="27">
        <v>8.5243055555555558E-2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s="77"/>
    </row>
    <row r="346" spans="1:47" x14ac:dyDescent="0.25">
      <c r="A346" s="44">
        <v>2</v>
      </c>
      <c r="B346" s="44" t="s">
        <v>7</v>
      </c>
      <c r="C346" s="46">
        <v>28672</v>
      </c>
      <c r="D346" s="46">
        <v>256</v>
      </c>
      <c r="E346" s="46">
        <v>2</v>
      </c>
      <c r="F346" s="46">
        <v>8</v>
      </c>
      <c r="G346" s="47">
        <v>1247.3399999999999</v>
      </c>
      <c r="H346" s="51">
        <v>12.599</v>
      </c>
      <c r="I346" s="17">
        <v>45462</v>
      </c>
      <c r="J346" s="18">
        <v>0.22556712962962963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s="76"/>
      <c r="Y346">
        <v>2</v>
      </c>
      <c r="Z346" t="s">
        <v>7</v>
      </c>
      <c r="AA346">
        <v>28672</v>
      </c>
      <c r="AB346">
        <v>256</v>
      </c>
      <c r="AC346">
        <v>2</v>
      </c>
      <c r="AD346">
        <v>8</v>
      </c>
      <c r="AE346">
        <v>1241.04</v>
      </c>
      <c r="AF346" s="21">
        <v>12.663</v>
      </c>
      <c r="AG346" s="26">
        <v>45472</v>
      </c>
      <c r="AH346" s="27">
        <v>0.13979166666666668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s="77"/>
    </row>
    <row r="347" spans="1:47" x14ac:dyDescent="0.25">
      <c r="A347" s="44">
        <v>3</v>
      </c>
      <c r="B347" s="44" t="s">
        <v>7</v>
      </c>
      <c r="C347" s="46">
        <v>28672</v>
      </c>
      <c r="D347" s="46">
        <v>256</v>
      </c>
      <c r="E347" s="46">
        <v>2</v>
      </c>
      <c r="F347" s="46">
        <v>8</v>
      </c>
      <c r="G347" s="47">
        <v>1249.0899999999999</v>
      </c>
      <c r="H347" s="51">
        <v>12.581</v>
      </c>
      <c r="I347" s="17">
        <v>45465</v>
      </c>
      <c r="J347" s="18">
        <v>0.30222222222222223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s="76"/>
      <c r="Y347">
        <v>3</v>
      </c>
      <c r="Z347" t="s">
        <v>7</v>
      </c>
      <c r="AA347">
        <v>28672</v>
      </c>
      <c r="AB347">
        <v>256</v>
      </c>
      <c r="AC347">
        <v>2</v>
      </c>
      <c r="AD347">
        <v>8</v>
      </c>
      <c r="AE347">
        <v>1241.1300000000001</v>
      </c>
      <c r="AF347" s="21">
        <v>12.662000000000001</v>
      </c>
      <c r="AG347" s="26">
        <v>45473</v>
      </c>
      <c r="AH347" s="27">
        <v>0.19466435185185185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s="77"/>
    </row>
    <row r="348" spans="1:47" x14ac:dyDescent="0.25">
      <c r="A348" s="44">
        <v>4</v>
      </c>
      <c r="B348" s="44" t="s">
        <v>7</v>
      </c>
      <c r="C348" s="46">
        <v>28672</v>
      </c>
      <c r="D348" s="46">
        <v>256</v>
      </c>
      <c r="E348" s="46">
        <v>2</v>
      </c>
      <c r="F348" s="46">
        <v>8</v>
      </c>
      <c r="G348" s="47">
        <v>1260.23</v>
      </c>
      <c r="H348" s="51">
        <v>12.47</v>
      </c>
      <c r="I348" s="17">
        <v>45466</v>
      </c>
      <c r="J348" s="18">
        <v>0.32015046296296296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76"/>
      <c r="Y348">
        <v>4</v>
      </c>
      <c r="Z348" t="s">
        <v>7</v>
      </c>
      <c r="AA348">
        <v>28672</v>
      </c>
      <c r="AB348">
        <v>256</v>
      </c>
      <c r="AC348">
        <v>2</v>
      </c>
      <c r="AD348">
        <v>8</v>
      </c>
      <c r="AE348">
        <v>1245.8900000000001</v>
      </c>
      <c r="AF348" s="21">
        <v>12.614000000000001</v>
      </c>
      <c r="AG348" s="26">
        <v>45474</v>
      </c>
      <c r="AH348" s="27">
        <v>0.2479976851851852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s="77"/>
    </row>
    <row r="349" spans="1:47" x14ac:dyDescent="0.25">
      <c r="A349" s="42">
        <v>0</v>
      </c>
      <c r="B349" s="42" t="s">
        <v>7</v>
      </c>
      <c r="C349" s="43">
        <v>25600</v>
      </c>
      <c r="D349" s="43">
        <v>256</v>
      </c>
      <c r="E349" s="43">
        <v>4</v>
      </c>
      <c r="F349" s="43">
        <v>4</v>
      </c>
      <c r="G349" s="43">
        <v>1097.67</v>
      </c>
      <c r="H349" s="50">
        <v>10.19</v>
      </c>
      <c r="I349" s="23">
        <v>45459</v>
      </c>
      <c r="J349" s="24">
        <v>0.16241898148148148</v>
      </c>
      <c r="K349" s="22">
        <v>0</v>
      </c>
      <c r="L349" s="22">
        <v>0</v>
      </c>
      <c r="M349" s="22">
        <v>0</v>
      </c>
      <c r="N349" s="22">
        <v>0</v>
      </c>
      <c r="O349" s="22">
        <v>0</v>
      </c>
      <c r="P349" s="22">
        <v>0</v>
      </c>
      <c r="Q349" s="22">
        <v>0</v>
      </c>
      <c r="R349" s="22">
        <v>0</v>
      </c>
      <c r="S349" s="22">
        <v>0</v>
      </c>
      <c r="T349" s="22">
        <v>0</v>
      </c>
      <c r="U349" s="22">
        <v>0</v>
      </c>
      <c r="V349" s="22">
        <v>0</v>
      </c>
      <c r="W349" s="76">
        <f t="shared" ref="W349" si="138">AVERAGE(H349:H353)</f>
        <v>10.223800000000001</v>
      </c>
      <c r="Y349">
        <v>0</v>
      </c>
      <c r="Z349" t="s">
        <v>7</v>
      </c>
      <c r="AA349">
        <v>25600</v>
      </c>
      <c r="AB349">
        <v>256</v>
      </c>
      <c r="AC349">
        <v>4</v>
      </c>
      <c r="AD349">
        <v>4</v>
      </c>
      <c r="AE349">
        <v>1106.45</v>
      </c>
      <c r="AF349" s="21">
        <v>10.11</v>
      </c>
      <c r="AG349" s="26">
        <v>45468</v>
      </c>
      <c r="AH349" s="27">
        <v>0.96329861111111115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s="77">
        <f t="shared" ref="AU349" si="139">AVERAGE(AF349:AF353)</f>
        <v>10.1158</v>
      </c>
    </row>
    <row r="350" spans="1:47" x14ac:dyDescent="0.25">
      <c r="A350" s="44">
        <v>1</v>
      </c>
      <c r="B350" s="44" t="s">
        <v>7</v>
      </c>
      <c r="C350" s="45">
        <v>25600</v>
      </c>
      <c r="D350" s="45">
        <v>256</v>
      </c>
      <c r="E350" s="45">
        <v>4</v>
      </c>
      <c r="F350" s="45">
        <v>4</v>
      </c>
      <c r="G350" s="45">
        <v>1089.48</v>
      </c>
      <c r="H350" s="51">
        <v>10.266999999999999</v>
      </c>
      <c r="I350" s="17">
        <v>45460</v>
      </c>
      <c r="J350" s="18">
        <v>0.18189814814814814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s="76"/>
      <c r="Y350">
        <v>1</v>
      </c>
      <c r="Z350" t="s">
        <v>7</v>
      </c>
      <c r="AA350">
        <v>25600</v>
      </c>
      <c r="AB350">
        <v>256</v>
      </c>
      <c r="AC350">
        <v>4</v>
      </c>
      <c r="AD350">
        <v>4</v>
      </c>
      <c r="AE350">
        <v>1108.3499999999999</v>
      </c>
      <c r="AF350" s="21">
        <v>10.092000000000001</v>
      </c>
      <c r="AG350" s="26">
        <v>45470</v>
      </c>
      <c r="AH350" s="27">
        <v>1.4236111111111111E-2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s="77"/>
    </row>
    <row r="351" spans="1:47" x14ac:dyDescent="0.25">
      <c r="A351" s="44">
        <v>2</v>
      </c>
      <c r="B351" s="44" t="s">
        <v>7</v>
      </c>
      <c r="C351" s="46">
        <v>25600</v>
      </c>
      <c r="D351" s="46">
        <v>256</v>
      </c>
      <c r="E351" s="46">
        <v>4</v>
      </c>
      <c r="F351" s="46">
        <v>4</v>
      </c>
      <c r="G351" s="47">
        <v>1097.29</v>
      </c>
      <c r="H351" s="51">
        <v>10.194000000000001</v>
      </c>
      <c r="I351" s="17">
        <v>45461</v>
      </c>
      <c r="J351" s="18">
        <v>0.20184027777777777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s="76"/>
      <c r="Y351">
        <v>2</v>
      </c>
      <c r="Z351" t="s">
        <v>7</v>
      </c>
      <c r="AA351">
        <v>25600</v>
      </c>
      <c r="AB351">
        <v>256</v>
      </c>
      <c r="AC351">
        <v>4</v>
      </c>
      <c r="AD351">
        <v>4</v>
      </c>
      <c r="AE351">
        <v>1111.3</v>
      </c>
      <c r="AF351" s="21">
        <v>10.066000000000001</v>
      </c>
      <c r="AG351" s="26">
        <v>45471</v>
      </c>
      <c r="AH351" s="27">
        <v>0.40694444444444444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s="77"/>
    </row>
    <row r="352" spans="1:47" x14ac:dyDescent="0.25">
      <c r="A352" s="44">
        <v>3</v>
      </c>
      <c r="B352" s="44" t="s">
        <v>7</v>
      </c>
      <c r="C352" s="46">
        <v>25600</v>
      </c>
      <c r="D352" s="46">
        <v>256</v>
      </c>
      <c r="E352" s="46">
        <v>4</v>
      </c>
      <c r="F352" s="46">
        <v>4</v>
      </c>
      <c r="G352" s="47">
        <v>1093.1300000000001</v>
      </c>
      <c r="H352" s="51">
        <v>10.233000000000001</v>
      </c>
      <c r="I352" s="17">
        <v>45462</v>
      </c>
      <c r="J352" s="18">
        <v>0.53216435185185185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s="76"/>
      <c r="Y352">
        <v>3</v>
      </c>
      <c r="Z352" t="s">
        <v>7</v>
      </c>
      <c r="AA352">
        <v>25600</v>
      </c>
      <c r="AB352">
        <v>256</v>
      </c>
      <c r="AC352">
        <v>4</v>
      </c>
      <c r="AD352">
        <v>4</v>
      </c>
      <c r="AE352">
        <v>1103.96</v>
      </c>
      <c r="AF352" s="21">
        <v>10.132</v>
      </c>
      <c r="AG352" s="26">
        <v>45472</v>
      </c>
      <c r="AH352" s="27">
        <v>0.46089120370370368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s="77"/>
    </row>
    <row r="353" spans="1:47" x14ac:dyDescent="0.25">
      <c r="A353" s="44">
        <v>4</v>
      </c>
      <c r="B353" s="44" t="s">
        <v>7</v>
      </c>
      <c r="C353" s="46">
        <v>25600</v>
      </c>
      <c r="D353" s="46">
        <v>256</v>
      </c>
      <c r="E353" s="46">
        <v>4</v>
      </c>
      <c r="F353" s="46">
        <v>4</v>
      </c>
      <c r="G353" s="47">
        <v>1092.8699999999999</v>
      </c>
      <c r="H353" s="51">
        <v>10.234999999999999</v>
      </c>
      <c r="I353" s="17">
        <v>45465</v>
      </c>
      <c r="J353" s="18">
        <v>0.60829861111111116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76"/>
      <c r="Y353">
        <v>4</v>
      </c>
      <c r="Z353" t="s">
        <v>7</v>
      </c>
      <c r="AA353">
        <v>25600</v>
      </c>
      <c r="AB353">
        <v>256</v>
      </c>
      <c r="AC353">
        <v>4</v>
      </c>
      <c r="AD353">
        <v>4</v>
      </c>
      <c r="AE353">
        <v>1098.94</v>
      </c>
      <c r="AF353" s="21">
        <v>10.179</v>
      </c>
      <c r="AG353" s="26">
        <v>45473</v>
      </c>
      <c r="AH353" s="27">
        <v>0.51556712962962958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s="77"/>
    </row>
    <row r="354" spans="1:47" x14ac:dyDescent="0.25">
      <c r="A354" s="42">
        <v>0</v>
      </c>
      <c r="B354" s="42" t="s">
        <v>7</v>
      </c>
      <c r="C354" s="43">
        <v>27136</v>
      </c>
      <c r="D354" s="43">
        <v>256</v>
      </c>
      <c r="E354" s="43">
        <v>4</v>
      </c>
      <c r="F354" s="43">
        <v>4</v>
      </c>
      <c r="G354" s="43">
        <v>1274.17</v>
      </c>
      <c r="H354" s="50">
        <v>10.456</v>
      </c>
      <c r="I354" s="23">
        <v>45459</v>
      </c>
      <c r="J354" s="24">
        <v>0.50254629629629632</v>
      </c>
      <c r="K354" s="22">
        <v>0</v>
      </c>
      <c r="L354" s="22">
        <v>0</v>
      </c>
      <c r="M354" s="22">
        <v>0</v>
      </c>
      <c r="N354" s="22">
        <v>0</v>
      </c>
      <c r="O354" s="22">
        <v>0</v>
      </c>
      <c r="P354" s="22">
        <v>0</v>
      </c>
      <c r="Q354" s="22">
        <v>0</v>
      </c>
      <c r="R354" s="22">
        <v>0</v>
      </c>
      <c r="S354" s="22">
        <v>0</v>
      </c>
      <c r="T354" s="22">
        <v>0</v>
      </c>
      <c r="U354" s="22">
        <v>0</v>
      </c>
      <c r="V354" s="22">
        <v>0</v>
      </c>
      <c r="W354" s="76">
        <f t="shared" ref="W354" si="140">AVERAGE(H354:H358)</f>
        <v>10.4788</v>
      </c>
      <c r="Y354">
        <v>0</v>
      </c>
      <c r="Z354" t="s">
        <v>7</v>
      </c>
      <c r="AA354">
        <v>27136</v>
      </c>
      <c r="AB354">
        <v>256</v>
      </c>
      <c r="AC354">
        <v>4</v>
      </c>
      <c r="AD354">
        <v>4</v>
      </c>
      <c r="AE354">
        <v>1262.73</v>
      </c>
      <c r="AF354" s="21">
        <v>10.55</v>
      </c>
      <c r="AG354" s="26">
        <v>45469</v>
      </c>
      <c r="AH354" s="27">
        <v>0.31268518518518518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s="77">
        <f t="shared" ref="AU354" si="141">AVERAGE(AF354:AF358)</f>
        <v>10.512600000000001</v>
      </c>
    </row>
    <row r="355" spans="1:47" x14ac:dyDescent="0.25">
      <c r="A355" s="44">
        <v>1</v>
      </c>
      <c r="B355" s="44" t="s">
        <v>7</v>
      </c>
      <c r="C355" s="45">
        <v>27136</v>
      </c>
      <c r="D355" s="45">
        <v>256</v>
      </c>
      <c r="E355" s="45">
        <v>4</v>
      </c>
      <c r="F355" s="45">
        <v>4</v>
      </c>
      <c r="G355" s="45">
        <v>1267.8800000000001</v>
      </c>
      <c r="H355" s="51">
        <v>10.507999999999999</v>
      </c>
      <c r="I355" s="17">
        <v>45460</v>
      </c>
      <c r="J355" s="18">
        <v>0.52103009259259259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76"/>
      <c r="Y355">
        <v>1</v>
      </c>
      <c r="Z355" t="s">
        <v>7</v>
      </c>
      <c r="AA355">
        <v>27136</v>
      </c>
      <c r="AB355">
        <v>256</v>
      </c>
      <c r="AC355">
        <v>4</v>
      </c>
      <c r="AD355">
        <v>4</v>
      </c>
      <c r="AE355">
        <v>1266.43</v>
      </c>
      <c r="AF355" s="21">
        <v>10.52</v>
      </c>
      <c r="AG355" s="26">
        <v>45470</v>
      </c>
      <c r="AH355" s="27">
        <v>0.36280092592592594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s="77"/>
    </row>
    <row r="356" spans="1:47" x14ac:dyDescent="0.25">
      <c r="A356" s="44">
        <v>2</v>
      </c>
      <c r="B356" s="44" t="s">
        <v>7</v>
      </c>
      <c r="C356" s="46">
        <v>27136</v>
      </c>
      <c r="D356" s="46">
        <v>256</v>
      </c>
      <c r="E356" s="46">
        <v>4</v>
      </c>
      <c r="F356" s="46">
        <v>4</v>
      </c>
      <c r="G356" s="47">
        <v>1272.3800000000001</v>
      </c>
      <c r="H356" s="51">
        <v>10.47</v>
      </c>
      <c r="I356" s="17">
        <v>45461</v>
      </c>
      <c r="J356" s="18">
        <v>0.85354166666666664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76"/>
      <c r="Y356">
        <v>2</v>
      </c>
      <c r="Z356" t="s">
        <v>7</v>
      </c>
      <c r="AA356">
        <v>27136</v>
      </c>
      <c r="AB356">
        <v>256</v>
      </c>
      <c r="AC356">
        <v>4</v>
      </c>
      <c r="AD356">
        <v>4</v>
      </c>
      <c r="AE356">
        <v>1274.3599999999999</v>
      </c>
      <c r="AF356" s="21">
        <v>10.454000000000001</v>
      </c>
      <c r="AG356" s="26">
        <v>45471</v>
      </c>
      <c r="AH356" s="27">
        <v>0.75675925925925924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s="77"/>
    </row>
    <row r="357" spans="1:47" x14ac:dyDescent="0.25">
      <c r="A357" s="44">
        <v>3</v>
      </c>
      <c r="B357" s="44" t="s">
        <v>7</v>
      </c>
      <c r="C357" s="46">
        <v>27136</v>
      </c>
      <c r="D357" s="46">
        <v>256</v>
      </c>
      <c r="E357" s="46">
        <v>4</v>
      </c>
      <c r="F357" s="46">
        <v>4</v>
      </c>
      <c r="G357" s="47">
        <v>1270.06</v>
      </c>
      <c r="H357" s="51">
        <v>10.49</v>
      </c>
      <c r="I357" s="17">
        <v>45464</v>
      </c>
      <c r="J357" s="18">
        <v>0.93018518518518523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76"/>
      <c r="Y357">
        <v>3</v>
      </c>
      <c r="Z357" t="s">
        <v>7</v>
      </c>
      <c r="AA357">
        <v>27136</v>
      </c>
      <c r="AB357">
        <v>256</v>
      </c>
      <c r="AC357">
        <v>4</v>
      </c>
      <c r="AD357">
        <v>4</v>
      </c>
      <c r="AE357">
        <v>1268.6300000000001</v>
      </c>
      <c r="AF357" s="21">
        <v>10.500999999999999</v>
      </c>
      <c r="AG357" s="26">
        <v>45472</v>
      </c>
      <c r="AH357" s="27">
        <v>0.81116898148148153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s="77"/>
    </row>
    <row r="358" spans="1:47" x14ac:dyDescent="0.25">
      <c r="A358" s="44">
        <v>4</v>
      </c>
      <c r="B358" s="44" t="s">
        <v>7</v>
      </c>
      <c r="C358" s="46">
        <v>27136</v>
      </c>
      <c r="D358" s="46">
        <v>256</v>
      </c>
      <c r="E358" s="46">
        <v>4</v>
      </c>
      <c r="F358" s="46">
        <v>4</v>
      </c>
      <c r="G358" s="47">
        <v>1272.47</v>
      </c>
      <c r="H358" s="51">
        <v>10.47</v>
      </c>
      <c r="I358" s="17">
        <v>45465</v>
      </c>
      <c r="J358" s="18">
        <v>0.94777777777777783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76"/>
      <c r="Y358">
        <v>4</v>
      </c>
      <c r="Z358" t="s">
        <v>7</v>
      </c>
      <c r="AA358">
        <v>27136</v>
      </c>
      <c r="AB358">
        <v>256</v>
      </c>
      <c r="AC358">
        <v>4</v>
      </c>
      <c r="AD358">
        <v>4</v>
      </c>
      <c r="AE358">
        <v>1264.21</v>
      </c>
      <c r="AF358" s="21">
        <v>10.538</v>
      </c>
      <c r="AG358" s="26">
        <v>45473</v>
      </c>
      <c r="AH358" s="27">
        <v>0.86506944444444445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 s="77"/>
    </row>
    <row r="359" spans="1:47" x14ac:dyDescent="0.25">
      <c r="A359" s="42">
        <v>0</v>
      </c>
      <c r="B359" s="42" t="s">
        <v>7</v>
      </c>
      <c r="C359" s="43">
        <v>28672</v>
      </c>
      <c r="D359" s="43">
        <v>256</v>
      </c>
      <c r="E359" s="43">
        <v>4</v>
      </c>
      <c r="F359" s="43">
        <v>4</v>
      </c>
      <c r="G359" s="43">
        <v>1461.12</v>
      </c>
      <c r="H359" s="50">
        <v>10.756</v>
      </c>
      <c r="I359" s="23">
        <v>45459</v>
      </c>
      <c r="J359" s="24">
        <v>0.89290509259259254</v>
      </c>
      <c r="K359" s="22">
        <v>0</v>
      </c>
      <c r="L359" s="22">
        <v>0</v>
      </c>
      <c r="M359" s="22">
        <v>0</v>
      </c>
      <c r="N359" s="22">
        <v>0</v>
      </c>
      <c r="O359" s="22">
        <v>0</v>
      </c>
      <c r="P359" s="22">
        <v>0</v>
      </c>
      <c r="Q359" s="22">
        <v>0</v>
      </c>
      <c r="R359" s="22">
        <v>0</v>
      </c>
      <c r="S359" s="22">
        <v>0</v>
      </c>
      <c r="T359" s="22">
        <v>0</v>
      </c>
      <c r="U359" s="22">
        <v>0</v>
      </c>
      <c r="V359" s="22">
        <v>0</v>
      </c>
      <c r="W359" s="76">
        <f t="shared" ref="W359" si="142">AVERAGE(H359:H363)</f>
        <v>10.750800000000002</v>
      </c>
      <c r="Y359">
        <v>0</v>
      </c>
      <c r="Z359" t="s">
        <v>7</v>
      </c>
      <c r="AA359">
        <v>28672</v>
      </c>
      <c r="AB359">
        <v>256</v>
      </c>
      <c r="AC359">
        <v>4</v>
      </c>
      <c r="AD359">
        <v>4</v>
      </c>
      <c r="AE359">
        <v>1445.95</v>
      </c>
      <c r="AF359" s="21">
        <v>10.868</v>
      </c>
      <c r="AG359" s="26">
        <v>45469</v>
      </c>
      <c r="AH359" s="27">
        <v>0.71262731481481478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s="77">
        <f t="shared" ref="AU359" si="143">AVERAGE(AF359:AF363)</f>
        <v>10.813800000000001</v>
      </c>
    </row>
    <row r="360" spans="1:47" x14ac:dyDescent="0.25">
      <c r="A360" s="44">
        <v>1</v>
      </c>
      <c r="B360" s="44" t="s">
        <v>7</v>
      </c>
      <c r="C360" s="46">
        <v>28672</v>
      </c>
      <c r="D360" s="46">
        <v>256</v>
      </c>
      <c r="E360" s="46">
        <v>4</v>
      </c>
      <c r="F360" s="46">
        <v>4</v>
      </c>
      <c r="G360" s="47">
        <v>1461.16</v>
      </c>
      <c r="H360" s="51">
        <v>10.755000000000001</v>
      </c>
      <c r="I360" s="17">
        <v>45460</v>
      </c>
      <c r="J360" s="18">
        <v>0.91270833333333334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76"/>
      <c r="Y360">
        <v>1</v>
      </c>
      <c r="Z360" t="s">
        <v>7</v>
      </c>
      <c r="AA360">
        <v>28672</v>
      </c>
      <c r="AB360">
        <v>256</v>
      </c>
      <c r="AC360">
        <v>4</v>
      </c>
      <c r="AD360">
        <v>4</v>
      </c>
      <c r="AE360">
        <v>1447.9</v>
      </c>
      <c r="AF360" s="21">
        <v>10.853999999999999</v>
      </c>
      <c r="AG360" s="26">
        <v>45471</v>
      </c>
      <c r="AH360" s="27">
        <v>0.10331018518518519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s="77"/>
    </row>
    <row r="361" spans="1:47" x14ac:dyDescent="0.25">
      <c r="A361" s="44">
        <v>2</v>
      </c>
      <c r="B361" s="44" t="s">
        <v>7</v>
      </c>
      <c r="C361" s="46">
        <v>28672</v>
      </c>
      <c r="D361" s="46">
        <v>256</v>
      </c>
      <c r="E361" s="46">
        <v>4</v>
      </c>
      <c r="F361" s="46">
        <v>4</v>
      </c>
      <c r="G361" s="47">
        <v>1457.36</v>
      </c>
      <c r="H361" s="51">
        <v>10.782999999999999</v>
      </c>
      <c r="I361" s="17">
        <v>45462</v>
      </c>
      <c r="J361" s="18">
        <v>0.24274305555555556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76"/>
      <c r="Y361">
        <v>2</v>
      </c>
      <c r="Z361" t="s">
        <v>7</v>
      </c>
      <c r="AA361">
        <v>28672</v>
      </c>
      <c r="AB361">
        <v>256</v>
      </c>
      <c r="AC361">
        <v>4</v>
      </c>
      <c r="AD361">
        <v>4</v>
      </c>
      <c r="AE361">
        <v>1452.86</v>
      </c>
      <c r="AF361" s="21">
        <v>10.817</v>
      </c>
      <c r="AG361" s="26">
        <v>45472</v>
      </c>
      <c r="AH361" s="27">
        <v>0.15788194444444445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s="77"/>
    </row>
    <row r="362" spans="1:47" x14ac:dyDescent="0.25">
      <c r="A362" s="44">
        <v>3</v>
      </c>
      <c r="B362" s="44" t="s">
        <v>7</v>
      </c>
      <c r="C362" s="46">
        <v>28672</v>
      </c>
      <c r="D362" s="46">
        <v>256</v>
      </c>
      <c r="E362" s="46">
        <v>4</v>
      </c>
      <c r="F362" s="46">
        <v>4</v>
      </c>
      <c r="G362" s="47">
        <v>1463.05</v>
      </c>
      <c r="H362" s="51">
        <v>10.741</v>
      </c>
      <c r="I362" s="17">
        <v>45465</v>
      </c>
      <c r="J362" s="18">
        <v>0.31947916666666665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s="76"/>
      <c r="Y362">
        <v>3</v>
      </c>
      <c r="Z362" t="s">
        <v>7</v>
      </c>
      <c r="AA362">
        <v>28672</v>
      </c>
      <c r="AB362">
        <v>256</v>
      </c>
      <c r="AC362">
        <v>4</v>
      </c>
      <c r="AD362">
        <v>4</v>
      </c>
      <c r="AE362">
        <v>1451.97</v>
      </c>
      <c r="AF362" s="21">
        <v>10.823</v>
      </c>
      <c r="AG362" s="26">
        <v>45473</v>
      </c>
      <c r="AH362" s="27">
        <v>0.21275462962962963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s="77"/>
    </row>
    <row r="363" spans="1:47" x14ac:dyDescent="0.25">
      <c r="A363" s="44">
        <v>4</v>
      </c>
      <c r="B363" s="44" t="s">
        <v>7</v>
      </c>
      <c r="C363" s="46">
        <v>28672</v>
      </c>
      <c r="D363" s="46">
        <v>256</v>
      </c>
      <c r="E363" s="46">
        <v>4</v>
      </c>
      <c r="F363" s="46">
        <v>4</v>
      </c>
      <c r="G363" s="47">
        <v>1466.07</v>
      </c>
      <c r="H363" s="51">
        <v>10.718999999999999</v>
      </c>
      <c r="I363" s="17">
        <v>45466</v>
      </c>
      <c r="J363" s="18">
        <v>0.33743055555555557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s="76"/>
      <c r="Y363">
        <v>4</v>
      </c>
      <c r="Z363" t="s">
        <v>7</v>
      </c>
      <c r="AA363">
        <v>28672</v>
      </c>
      <c r="AB363">
        <v>256</v>
      </c>
      <c r="AC363">
        <v>4</v>
      </c>
      <c r="AD363">
        <v>4</v>
      </c>
      <c r="AE363">
        <v>1467.75</v>
      </c>
      <c r="AF363" s="21">
        <v>10.707000000000001</v>
      </c>
      <c r="AG363" s="26">
        <v>45474</v>
      </c>
      <c r="AH363" s="27">
        <v>0.26627314814814818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s="77"/>
    </row>
  </sheetData>
  <sortState xmlns:xlrd2="http://schemas.microsoft.com/office/spreadsheetml/2017/richdata2" ref="A4:V363">
    <sortCondition ref="D4:D363"/>
    <sortCondition ref="E4:E363"/>
    <sortCondition ref="C4:C363"/>
    <sortCondition ref="A4:A363"/>
  </sortState>
  <mergeCells count="160">
    <mergeCell ref="A1:D1"/>
    <mergeCell ref="A2:B2"/>
    <mergeCell ref="AU4:AU8"/>
    <mergeCell ref="AU9:AU13"/>
    <mergeCell ref="AU14:AU18"/>
    <mergeCell ref="AU19:AU23"/>
    <mergeCell ref="AU24:AU28"/>
    <mergeCell ref="K2:M2"/>
    <mergeCell ref="N2:P2"/>
    <mergeCell ref="Q2:S2"/>
    <mergeCell ref="T2:V2"/>
    <mergeCell ref="AU54:AU58"/>
    <mergeCell ref="AU59:AU63"/>
    <mergeCell ref="AU64:AU68"/>
    <mergeCell ref="AU69:AU73"/>
    <mergeCell ref="AU74:AU78"/>
    <mergeCell ref="AU29:AU33"/>
    <mergeCell ref="AU34:AU38"/>
    <mergeCell ref="AU39:AU43"/>
    <mergeCell ref="AU44:AU48"/>
    <mergeCell ref="AU49:AU53"/>
    <mergeCell ref="AU104:AU108"/>
    <mergeCell ref="AU109:AU113"/>
    <mergeCell ref="AU114:AU118"/>
    <mergeCell ref="AU119:AU123"/>
    <mergeCell ref="AU124:AU128"/>
    <mergeCell ref="AU79:AU83"/>
    <mergeCell ref="AU84:AU88"/>
    <mergeCell ref="AU89:AU93"/>
    <mergeCell ref="AU94:AU98"/>
    <mergeCell ref="AU99:AU103"/>
    <mergeCell ref="AU154:AU158"/>
    <mergeCell ref="AU159:AU163"/>
    <mergeCell ref="AU164:AU168"/>
    <mergeCell ref="AU169:AU173"/>
    <mergeCell ref="AU174:AU178"/>
    <mergeCell ref="AU129:AU133"/>
    <mergeCell ref="AU134:AU138"/>
    <mergeCell ref="AU139:AU143"/>
    <mergeCell ref="AU144:AU148"/>
    <mergeCell ref="AU149:AU153"/>
    <mergeCell ref="AU204:AU208"/>
    <mergeCell ref="AU209:AU213"/>
    <mergeCell ref="AU214:AU218"/>
    <mergeCell ref="AU219:AU223"/>
    <mergeCell ref="AU224:AU228"/>
    <mergeCell ref="AU179:AU183"/>
    <mergeCell ref="AU184:AU188"/>
    <mergeCell ref="AU189:AU193"/>
    <mergeCell ref="AU194:AU198"/>
    <mergeCell ref="AU199:AU203"/>
    <mergeCell ref="AU254:AU258"/>
    <mergeCell ref="AU259:AU263"/>
    <mergeCell ref="AU264:AU268"/>
    <mergeCell ref="AU269:AU273"/>
    <mergeCell ref="AU274:AU278"/>
    <mergeCell ref="AU229:AU233"/>
    <mergeCell ref="AU234:AU238"/>
    <mergeCell ref="AU239:AU243"/>
    <mergeCell ref="AU244:AU248"/>
    <mergeCell ref="AU249:AU253"/>
    <mergeCell ref="AU354:AU358"/>
    <mergeCell ref="AU359:AU363"/>
    <mergeCell ref="Y1:AB1"/>
    <mergeCell ref="Y2:Z2"/>
    <mergeCell ref="AI2:AK2"/>
    <mergeCell ref="AL2:AN2"/>
    <mergeCell ref="AO2:AQ2"/>
    <mergeCell ref="AR2:AT2"/>
    <mergeCell ref="AI1:AT1"/>
    <mergeCell ref="AU329:AU333"/>
    <mergeCell ref="AU334:AU338"/>
    <mergeCell ref="AU339:AU343"/>
    <mergeCell ref="AU344:AU348"/>
    <mergeCell ref="AU349:AU353"/>
    <mergeCell ref="AU304:AU308"/>
    <mergeCell ref="AU309:AU313"/>
    <mergeCell ref="AU314:AU318"/>
    <mergeCell ref="AU319:AU323"/>
    <mergeCell ref="AU324:AU328"/>
    <mergeCell ref="AU279:AU283"/>
    <mergeCell ref="AU284:AU288"/>
    <mergeCell ref="AU289:AU293"/>
    <mergeCell ref="AU294:AU298"/>
    <mergeCell ref="AU299:AU303"/>
    <mergeCell ref="W29:W33"/>
    <mergeCell ref="W34:W38"/>
    <mergeCell ref="W39:W43"/>
    <mergeCell ref="W44:W48"/>
    <mergeCell ref="W49:W53"/>
    <mergeCell ref="W4:W8"/>
    <mergeCell ref="W9:W13"/>
    <mergeCell ref="W14:W18"/>
    <mergeCell ref="W19:W23"/>
    <mergeCell ref="W24:W28"/>
    <mergeCell ref="W79:W83"/>
    <mergeCell ref="W84:W88"/>
    <mergeCell ref="W89:W93"/>
    <mergeCell ref="W94:W98"/>
    <mergeCell ref="W99:W103"/>
    <mergeCell ref="W54:W58"/>
    <mergeCell ref="W59:W63"/>
    <mergeCell ref="W64:W68"/>
    <mergeCell ref="W69:W73"/>
    <mergeCell ref="W74:W78"/>
    <mergeCell ref="W129:W133"/>
    <mergeCell ref="W134:W138"/>
    <mergeCell ref="W139:W143"/>
    <mergeCell ref="W144:W148"/>
    <mergeCell ref="W149:W153"/>
    <mergeCell ref="W104:W108"/>
    <mergeCell ref="W109:W113"/>
    <mergeCell ref="W114:W118"/>
    <mergeCell ref="W119:W123"/>
    <mergeCell ref="W124:W128"/>
    <mergeCell ref="W179:W183"/>
    <mergeCell ref="W184:W188"/>
    <mergeCell ref="W189:W193"/>
    <mergeCell ref="W194:W198"/>
    <mergeCell ref="W199:W203"/>
    <mergeCell ref="W154:W158"/>
    <mergeCell ref="W159:W163"/>
    <mergeCell ref="W164:W168"/>
    <mergeCell ref="W169:W173"/>
    <mergeCell ref="W174:W178"/>
    <mergeCell ref="W274:W278"/>
    <mergeCell ref="W229:W233"/>
    <mergeCell ref="W234:W238"/>
    <mergeCell ref="W239:W243"/>
    <mergeCell ref="W244:W248"/>
    <mergeCell ref="W249:W253"/>
    <mergeCell ref="W204:W208"/>
    <mergeCell ref="W209:W213"/>
    <mergeCell ref="W214:W218"/>
    <mergeCell ref="W219:W223"/>
    <mergeCell ref="W224:W228"/>
    <mergeCell ref="W354:W358"/>
    <mergeCell ref="W359:W363"/>
    <mergeCell ref="K1:V1"/>
    <mergeCell ref="AU1:AU3"/>
    <mergeCell ref="W1:W3"/>
    <mergeCell ref="W329:W333"/>
    <mergeCell ref="W334:W338"/>
    <mergeCell ref="W339:W343"/>
    <mergeCell ref="W344:W348"/>
    <mergeCell ref="W349:W353"/>
    <mergeCell ref="W304:W308"/>
    <mergeCell ref="W309:W313"/>
    <mergeCell ref="W314:W318"/>
    <mergeCell ref="W319:W323"/>
    <mergeCell ref="W324:W328"/>
    <mergeCell ref="W279:W283"/>
    <mergeCell ref="W284:W288"/>
    <mergeCell ref="W289:W293"/>
    <mergeCell ref="W294:W298"/>
    <mergeCell ref="W299:W303"/>
    <mergeCell ref="W254:W258"/>
    <mergeCell ref="W259:W263"/>
    <mergeCell ref="W264:W268"/>
    <mergeCell ref="W269:W273"/>
  </mergeCells>
  <conditionalFormatting sqref="W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1048576 AU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A6C-CF56-4441-952D-DA7F847CB354}">
  <dimension ref="A1:Y308"/>
  <sheetViews>
    <sheetView workbookViewId="0">
      <selection activeCell="N3" sqref="N3:Y51"/>
    </sheetView>
  </sheetViews>
  <sheetFormatPr defaultRowHeight="15" x14ac:dyDescent="0.25"/>
  <cols>
    <col min="1" max="4" width="9.140625" style="25"/>
    <col min="7" max="10" width="9.140625" style="25"/>
    <col min="11" max="11" width="9.140625" style="60"/>
    <col min="12" max="12" width="9.140625" style="27"/>
  </cols>
  <sheetData>
    <row r="1" spans="1:25" x14ac:dyDescent="0.25">
      <c r="A1" s="73" t="s">
        <v>97</v>
      </c>
      <c r="B1" s="73"/>
      <c r="C1" s="73"/>
      <c r="D1" s="73"/>
      <c r="E1" s="73"/>
      <c r="G1" s="73" t="s">
        <v>86</v>
      </c>
      <c r="H1" s="73"/>
      <c r="I1" s="73"/>
      <c r="J1" s="73"/>
      <c r="K1" s="73"/>
    </row>
    <row r="2" spans="1:25" x14ac:dyDescent="0.25">
      <c r="A2" s="32">
        <f>INDEX(A4:A500,MATCH(MAX(E4:E500),E4:E500,0))</f>
        <v>14400</v>
      </c>
      <c r="B2" s="32">
        <f>INDEX(B4:B500,MATCH(MAX(E4:E500),E4:E500,0))</f>
        <v>96</v>
      </c>
      <c r="C2" s="32">
        <f>INDEX(C4:C500,MATCH(MAX(E4:E500),E4:E500,0))</f>
        <v>2</v>
      </c>
      <c r="D2" s="32">
        <f>INDEX(D4:D500,MATCH(MAX(E4:E500),E4:E500,0))</f>
        <v>2</v>
      </c>
      <c r="E2" s="31">
        <f>MAX(E4:E500)</f>
        <v>4.4801000000000002</v>
      </c>
      <c r="G2" s="32">
        <f>INDEX(G4:G500,MATCH(MAX(K4:K500),K4:K500,0))</f>
        <v>14400</v>
      </c>
      <c r="H2" s="32">
        <f>INDEX(H4:H500,MATCH(MAX(K4:K500),K4:K500,0))</f>
        <v>192</v>
      </c>
      <c r="I2" s="32">
        <f>INDEX(I4:I500,MATCH(MAX(K4:K500),K4:K500,0))</f>
        <v>1</v>
      </c>
      <c r="J2" s="32">
        <f>INDEX(J4:J500,MATCH(MAX(K4:K500),K4:K500,0))</f>
        <v>4</v>
      </c>
      <c r="K2" s="31">
        <f>MAX(K4:K500)</f>
        <v>4.4016999999999999</v>
      </c>
    </row>
    <row r="3" spans="1:25" x14ac:dyDescent="0.25">
      <c r="A3" s="32" t="s">
        <v>1</v>
      </c>
      <c r="B3" s="32" t="s">
        <v>2</v>
      </c>
      <c r="C3" s="32" t="s">
        <v>3</v>
      </c>
      <c r="D3" s="32" t="s">
        <v>4</v>
      </c>
      <c r="E3" s="38" t="s">
        <v>99</v>
      </c>
      <c r="G3" s="32" t="s">
        <v>1</v>
      </c>
      <c r="H3" s="32" t="s">
        <v>2</v>
      </c>
      <c r="I3" s="32" t="s">
        <v>3</v>
      </c>
      <c r="J3" s="32" t="s">
        <v>4</v>
      </c>
      <c r="K3" s="59" t="s">
        <v>99</v>
      </c>
      <c r="M3" t="s">
        <v>1</v>
      </c>
      <c r="O3" t="s">
        <v>2</v>
      </c>
      <c r="P3" t="s">
        <v>3</v>
      </c>
      <c r="Q3" t="s">
        <v>4</v>
      </c>
      <c r="R3" t="s">
        <v>99</v>
      </c>
      <c r="T3" t="s">
        <v>1</v>
      </c>
      <c r="V3" t="s">
        <v>2</v>
      </c>
      <c r="W3" t="s">
        <v>3</v>
      </c>
      <c r="X3" t="s">
        <v>4</v>
      </c>
      <c r="Y3" t="s">
        <v>99</v>
      </c>
    </row>
    <row r="4" spans="1:25" x14ac:dyDescent="0.25">
      <c r="A4" s="25" cm="1">
        <f t="array" ref="A4:E308">_xlfn.CHOOSECOLS(_xlfn._xlws.FILTER('1 node, params, RAW'!A4:N500,'1 node, params, RAW'!A4:A500=0),3,4,5,6,14)</f>
        <v>12864</v>
      </c>
      <c r="B4" s="25">
        <v>32</v>
      </c>
      <c r="C4" s="25">
        <v>1</v>
      </c>
      <c r="D4" s="25">
        <v>4</v>
      </c>
      <c r="E4">
        <v>3.93302</v>
      </c>
      <c r="G4" s="25" cm="1">
        <f t="array" ref="G4:K308">_xlfn.CHOOSECOLS(_xlfn._xlws.FILTER('1 node, params, RAW'!P4:AC500,'1 node, params, RAW'!P4:P500=0),3,4,5,6,14)</f>
        <v>12864</v>
      </c>
      <c r="H4" s="25">
        <v>32</v>
      </c>
      <c r="I4" s="25">
        <v>1</v>
      </c>
      <c r="J4" s="25">
        <v>4</v>
      </c>
      <c r="K4" s="60">
        <v>3.5624000000000002</v>
      </c>
      <c r="M4">
        <v>12864</v>
      </c>
      <c r="N4">
        <f>CHOOSE(IF(ABS(M4-12864) &lt;= ABS(M4-13632),IF(ABS(M4-12864) &lt;= ABS(M4-14400),1,3),IF(ABS(M4-13632) &lt;= ABS(M4-14400),2,3)),12864,13632,14400)</f>
        <v>12864</v>
      </c>
      <c r="O4">
        <v>32</v>
      </c>
      <c r="P4">
        <v>1</v>
      </c>
      <c r="Q4">
        <v>4</v>
      </c>
      <c r="R4">
        <v>3.93302</v>
      </c>
      <c r="T4">
        <v>12864</v>
      </c>
      <c r="U4">
        <f>CHOOSE(IF(ABS(T4-12864) &lt;= ABS(T4-13632),IF(ABS(T4-12864) &lt;= ABS(T4-14400),1,3),IF(ABS(T4-13632) &lt;= ABS(T4-14400),2,3)),12864,13632,14400)</f>
        <v>12864</v>
      </c>
      <c r="V4">
        <v>32</v>
      </c>
      <c r="W4">
        <v>1</v>
      </c>
      <c r="X4">
        <v>4</v>
      </c>
      <c r="Y4">
        <v>3.5624000000000002</v>
      </c>
    </row>
    <row r="5" spans="1:25" x14ac:dyDescent="0.25">
      <c r="A5" s="25">
        <v>13632</v>
      </c>
      <c r="B5" s="25">
        <v>32</v>
      </c>
      <c r="C5" s="25">
        <v>1</v>
      </c>
      <c r="D5" s="25">
        <v>4</v>
      </c>
      <c r="E5">
        <v>3.8563999999999998</v>
      </c>
      <c r="G5" s="25">
        <v>13632</v>
      </c>
      <c r="H5" s="25">
        <v>32</v>
      </c>
      <c r="I5" s="25">
        <v>1</v>
      </c>
      <c r="J5" s="25">
        <v>4</v>
      </c>
      <c r="K5" s="60">
        <v>3.6240600000000001</v>
      </c>
      <c r="M5">
        <v>13632</v>
      </c>
      <c r="N5">
        <f t="shared" ref="N5:N51" si="0">CHOOSE(IF(ABS(M5-12864) &lt;= ABS(M5-13632),IF(ABS(M5-12864) &lt;= ABS(M5-14400),1,3),IF(ABS(M5-13632) &lt;= ABS(M5-14400),2,3)),12864,13632,14400)</f>
        <v>13632</v>
      </c>
      <c r="O5">
        <v>32</v>
      </c>
      <c r="P5">
        <v>1</v>
      </c>
      <c r="Q5">
        <v>4</v>
      </c>
      <c r="R5">
        <v>3.8563999999999998</v>
      </c>
      <c r="T5">
        <v>13632</v>
      </c>
      <c r="U5">
        <f t="shared" ref="U5:U51" si="1">CHOOSE(IF(ABS(T5-12864) &lt;= ABS(T5-13632),IF(ABS(T5-12864) &lt;= ABS(T5-14400),1,3),IF(ABS(T5-13632) &lt;= ABS(T5-14400),2,3)),12864,13632,14400)</f>
        <v>13632</v>
      </c>
      <c r="V5">
        <v>32</v>
      </c>
      <c r="W5">
        <v>1</v>
      </c>
      <c r="X5">
        <v>4</v>
      </c>
      <c r="Y5">
        <v>3.6240600000000001</v>
      </c>
    </row>
    <row r="6" spans="1:25" x14ac:dyDescent="0.25">
      <c r="A6" s="25">
        <v>14400</v>
      </c>
      <c r="B6" s="25">
        <v>32</v>
      </c>
      <c r="C6" s="25">
        <v>1</v>
      </c>
      <c r="D6" s="25">
        <v>4</v>
      </c>
      <c r="E6">
        <v>3.9519799999999998</v>
      </c>
      <c r="G6" s="25">
        <v>14400</v>
      </c>
      <c r="H6" s="25">
        <v>32</v>
      </c>
      <c r="I6" s="25">
        <v>1</v>
      </c>
      <c r="J6" s="25">
        <v>4</v>
      </c>
      <c r="K6" s="60">
        <v>3.7233800000000001</v>
      </c>
      <c r="M6">
        <v>14400</v>
      </c>
      <c r="N6">
        <f t="shared" si="0"/>
        <v>14400</v>
      </c>
      <c r="O6">
        <v>32</v>
      </c>
      <c r="P6">
        <v>1</v>
      </c>
      <c r="Q6">
        <v>4</v>
      </c>
      <c r="R6">
        <v>3.9519799999999998</v>
      </c>
      <c r="T6">
        <v>14400</v>
      </c>
      <c r="U6">
        <f t="shared" si="1"/>
        <v>14400</v>
      </c>
      <c r="V6">
        <v>32</v>
      </c>
      <c r="W6">
        <v>1</v>
      </c>
      <c r="X6">
        <v>4</v>
      </c>
      <c r="Y6">
        <v>3.7233800000000001</v>
      </c>
    </row>
    <row r="7" spans="1:25" x14ac:dyDescent="0.25">
      <c r="A7" s="25">
        <v>12864</v>
      </c>
      <c r="B7" s="25">
        <v>32</v>
      </c>
      <c r="C7" s="25">
        <v>2</v>
      </c>
      <c r="D7" s="25">
        <v>2</v>
      </c>
      <c r="E7">
        <v>3.9397000000000006</v>
      </c>
      <c r="G7" s="25">
        <v>12864</v>
      </c>
      <c r="H7" s="25">
        <v>32</v>
      </c>
      <c r="I7" s="25">
        <v>2</v>
      </c>
      <c r="J7" s="25">
        <v>2</v>
      </c>
      <c r="K7" s="60">
        <v>3.5679799999999999</v>
      </c>
      <c r="M7">
        <v>12864</v>
      </c>
      <c r="N7">
        <f t="shared" si="0"/>
        <v>12864</v>
      </c>
      <c r="O7">
        <v>32</v>
      </c>
      <c r="P7">
        <v>2</v>
      </c>
      <c r="Q7">
        <v>2</v>
      </c>
      <c r="R7">
        <v>3.9397000000000006</v>
      </c>
      <c r="T7">
        <v>12864</v>
      </c>
      <c r="U7">
        <f t="shared" si="1"/>
        <v>12864</v>
      </c>
      <c r="V7">
        <v>32</v>
      </c>
      <c r="W7">
        <v>2</v>
      </c>
      <c r="X7">
        <v>2</v>
      </c>
      <c r="Y7">
        <v>3.5679799999999999</v>
      </c>
    </row>
    <row r="8" spans="1:25" x14ac:dyDescent="0.25">
      <c r="A8" s="25">
        <v>13632</v>
      </c>
      <c r="B8" s="25">
        <v>32</v>
      </c>
      <c r="C8" s="25">
        <v>2</v>
      </c>
      <c r="D8" s="25">
        <v>2</v>
      </c>
      <c r="E8">
        <v>3.89724</v>
      </c>
      <c r="G8" s="25">
        <v>13632</v>
      </c>
      <c r="H8" s="25">
        <v>32</v>
      </c>
      <c r="I8" s="25">
        <v>2</v>
      </c>
      <c r="J8" s="25">
        <v>2</v>
      </c>
      <c r="K8" s="60">
        <v>3.6387</v>
      </c>
      <c r="M8">
        <v>13632</v>
      </c>
      <c r="N8">
        <f t="shared" si="0"/>
        <v>13632</v>
      </c>
      <c r="O8">
        <v>32</v>
      </c>
      <c r="P8">
        <v>2</v>
      </c>
      <c r="Q8">
        <v>2</v>
      </c>
      <c r="R8">
        <v>3.89724</v>
      </c>
      <c r="T8">
        <v>13632</v>
      </c>
      <c r="U8">
        <f t="shared" si="1"/>
        <v>13632</v>
      </c>
      <c r="V8">
        <v>32</v>
      </c>
      <c r="W8">
        <v>2</v>
      </c>
      <c r="X8">
        <v>2</v>
      </c>
      <c r="Y8">
        <v>3.6387</v>
      </c>
    </row>
    <row r="9" spans="1:25" x14ac:dyDescent="0.25">
      <c r="A9" s="25">
        <v>14400</v>
      </c>
      <c r="B9" s="25">
        <v>32</v>
      </c>
      <c r="C9" s="25">
        <v>2</v>
      </c>
      <c r="D9" s="25">
        <v>2</v>
      </c>
      <c r="E9">
        <v>3.9259999999999997</v>
      </c>
      <c r="G9" s="25">
        <v>14400</v>
      </c>
      <c r="H9" s="25">
        <v>32</v>
      </c>
      <c r="I9" s="25">
        <v>2</v>
      </c>
      <c r="J9" s="25">
        <v>2</v>
      </c>
      <c r="K9" s="60">
        <v>3.7171799999999999</v>
      </c>
      <c r="M9">
        <v>14400</v>
      </c>
      <c r="N9">
        <f t="shared" si="0"/>
        <v>14400</v>
      </c>
      <c r="O9">
        <v>32</v>
      </c>
      <c r="P9">
        <v>2</v>
      </c>
      <c r="Q9">
        <v>2</v>
      </c>
      <c r="R9">
        <v>3.9259999999999997</v>
      </c>
      <c r="T9">
        <v>14400</v>
      </c>
      <c r="U9">
        <f t="shared" si="1"/>
        <v>14400</v>
      </c>
      <c r="V9">
        <v>32</v>
      </c>
      <c r="W9">
        <v>2</v>
      </c>
      <c r="X9">
        <v>2</v>
      </c>
      <c r="Y9">
        <v>3.7171799999999999</v>
      </c>
    </row>
    <row r="10" spans="1:25" x14ac:dyDescent="0.25">
      <c r="A10" s="25">
        <v>12864</v>
      </c>
      <c r="B10" s="25">
        <v>64</v>
      </c>
      <c r="C10" s="25">
        <v>1</v>
      </c>
      <c r="D10" s="25">
        <v>4</v>
      </c>
      <c r="E10">
        <v>4.3121799999999997</v>
      </c>
      <c r="G10" s="25">
        <v>12864</v>
      </c>
      <c r="H10" s="25">
        <v>64</v>
      </c>
      <c r="I10" s="25">
        <v>1</v>
      </c>
      <c r="J10" s="25">
        <v>4</v>
      </c>
      <c r="K10" s="60">
        <v>3.9990999999999999</v>
      </c>
      <c r="M10">
        <v>12864</v>
      </c>
      <c r="N10">
        <f t="shared" si="0"/>
        <v>12864</v>
      </c>
      <c r="O10">
        <v>64</v>
      </c>
      <c r="P10">
        <v>1</v>
      </c>
      <c r="Q10">
        <v>4</v>
      </c>
      <c r="R10">
        <v>4.3121799999999997</v>
      </c>
      <c r="T10">
        <v>12864</v>
      </c>
      <c r="U10">
        <f t="shared" si="1"/>
        <v>12864</v>
      </c>
      <c r="V10">
        <v>64</v>
      </c>
      <c r="W10">
        <v>1</v>
      </c>
      <c r="X10">
        <v>4</v>
      </c>
      <c r="Y10">
        <v>3.9990999999999999</v>
      </c>
    </row>
    <row r="11" spans="1:25" x14ac:dyDescent="0.25">
      <c r="A11" s="25">
        <v>13632</v>
      </c>
      <c r="B11" s="25">
        <v>64</v>
      </c>
      <c r="C11" s="25">
        <v>1</v>
      </c>
      <c r="D11" s="25">
        <v>4</v>
      </c>
      <c r="E11">
        <v>4.2312600000000007</v>
      </c>
      <c r="G11" s="25">
        <v>13632</v>
      </c>
      <c r="H11" s="25">
        <v>64</v>
      </c>
      <c r="I11" s="25">
        <v>1</v>
      </c>
      <c r="J11" s="25">
        <v>4</v>
      </c>
      <c r="K11" s="60">
        <v>4.0679800000000004</v>
      </c>
      <c r="M11">
        <v>13632</v>
      </c>
      <c r="N11">
        <f t="shared" si="0"/>
        <v>13632</v>
      </c>
      <c r="O11">
        <v>64</v>
      </c>
      <c r="P11">
        <v>1</v>
      </c>
      <c r="Q11">
        <v>4</v>
      </c>
      <c r="R11">
        <v>4.2312600000000007</v>
      </c>
      <c r="T11">
        <v>13632</v>
      </c>
      <c r="U11">
        <f t="shared" si="1"/>
        <v>13632</v>
      </c>
      <c r="V11">
        <v>64</v>
      </c>
      <c r="W11">
        <v>1</v>
      </c>
      <c r="X11">
        <v>4</v>
      </c>
      <c r="Y11">
        <v>4.0679800000000004</v>
      </c>
    </row>
    <row r="12" spans="1:25" x14ac:dyDescent="0.25">
      <c r="A12" s="25">
        <v>14400</v>
      </c>
      <c r="B12" s="25">
        <v>64</v>
      </c>
      <c r="C12" s="25">
        <v>1</v>
      </c>
      <c r="D12" s="25">
        <v>4</v>
      </c>
      <c r="E12">
        <v>4.3398200000000005</v>
      </c>
      <c r="G12" s="25">
        <v>14400</v>
      </c>
      <c r="H12" s="25">
        <v>64</v>
      </c>
      <c r="I12" s="25">
        <v>1</v>
      </c>
      <c r="J12" s="25">
        <v>4</v>
      </c>
      <c r="K12" s="60">
        <v>4.1592000000000002</v>
      </c>
      <c r="M12">
        <v>14400</v>
      </c>
      <c r="N12">
        <f t="shared" si="0"/>
        <v>14400</v>
      </c>
      <c r="O12">
        <v>64</v>
      </c>
      <c r="P12">
        <v>1</v>
      </c>
      <c r="Q12">
        <v>4</v>
      </c>
      <c r="R12">
        <v>4.3398200000000005</v>
      </c>
      <c r="T12">
        <v>14400</v>
      </c>
      <c r="U12">
        <f t="shared" si="1"/>
        <v>14400</v>
      </c>
      <c r="V12">
        <v>64</v>
      </c>
      <c r="W12">
        <v>1</v>
      </c>
      <c r="X12">
        <v>4</v>
      </c>
      <c r="Y12">
        <v>4.1592000000000002</v>
      </c>
    </row>
    <row r="13" spans="1:25" x14ac:dyDescent="0.25">
      <c r="A13" s="25">
        <v>12864</v>
      </c>
      <c r="B13" s="25">
        <v>64</v>
      </c>
      <c r="C13" s="25">
        <v>2</v>
      </c>
      <c r="D13" s="25">
        <v>2</v>
      </c>
      <c r="E13">
        <v>4.3160800000000004</v>
      </c>
      <c r="G13" s="25">
        <v>12864</v>
      </c>
      <c r="H13" s="25">
        <v>64</v>
      </c>
      <c r="I13" s="25">
        <v>2</v>
      </c>
      <c r="J13" s="25">
        <v>2</v>
      </c>
      <c r="K13" s="60">
        <v>3.9026199999999998</v>
      </c>
      <c r="M13">
        <v>12864</v>
      </c>
      <c r="N13">
        <f t="shared" si="0"/>
        <v>12864</v>
      </c>
      <c r="O13">
        <v>64</v>
      </c>
      <c r="P13">
        <v>2</v>
      </c>
      <c r="Q13">
        <v>2</v>
      </c>
      <c r="R13">
        <v>4.3160800000000004</v>
      </c>
      <c r="T13">
        <v>12864</v>
      </c>
      <c r="U13">
        <f t="shared" si="1"/>
        <v>12864</v>
      </c>
      <c r="V13">
        <v>64</v>
      </c>
      <c r="W13">
        <v>2</v>
      </c>
      <c r="X13">
        <v>2</v>
      </c>
      <c r="Y13">
        <v>3.9026199999999998</v>
      </c>
    </row>
    <row r="14" spans="1:25" x14ac:dyDescent="0.25">
      <c r="A14" s="25">
        <v>13632</v>
      </c>
      <c r="B14" s="25">
        <v>64</v>
      </c>
      <c r="C14" s="25">
        <v>2</v>
      </c>
      <c r="D14" s="25">
        <v>2</v>
      </c>
      <c r="E14">
        <v>4.29148</v>
      </c>
      <c r="G14" s="25">
        <v>13632</v>
      </c>
      <c r="H14" s="25">
        <v>64</v>
      </c>
      <c r="I14" s="25">
        <v>2</v>
      </c>
      <c r="J14" s="25">
        <v>2</v>
      </c>
      <c r="K14" s="60">
        <v>3.9962399999999993</v>
      </c>
      <c r="M14">
        <v>13632</v>
      </c>
      <c r="N14">
        <f t="shared" si="0"/>
        <v>13632</v>
      </c>
      <c r="O14">
        <v>64</v>
      </c>
      <c r="P14">
        <v>2</v>
      </c>
      <c r="Q14">
        <v>2</v>
      </c>
      <c r="R14">
        <v>4.29148</v>
      </c>
      <c r="T14">
        <v>13632</v>
      </c>
      <c r="U14">
        <f t="shared" si="1"/>
        <v>13632</v>
      </c>
      <c r="V14">
        <v>64</v>
      </c>
      <c r="W14">
        <v>2</v>
      </c>
      <c r="X14">
        <v>2</v>
      </c>
      <c r="Y14">
        <v>3.9962399999999993</v>
      </c>
    </row>
    <row r="15" spans="1:25" x14ac:dyDescent="0.25">
      <c r="A15" s="25">
        <v>14400</v>
      </c>
      <c r="B15" s="25">
        <v>64</v>
      </c>
      <c r="C15" s="25">
        <v>2</v>
      </c>
      <c r="D15" s="25">
        <v>2</v>
      </c>
      <c r="E15">
        <v>4.3010399999999995</v>
      </c>
      <c r="G15" s="25">
        <v>14400</v>
      </c>
      <c r="H15" s="25">
        <v>64</v>
      </c>
      <c r="I15" s="25">
        <v>2</v>
      </c>
      <c r="J15" s="25">
        <v>2</v>
      </c>
      <c r="K15" s="60">
        <v>4.0763000000000007</v>
      </c>
      <c r="M15">
        <v>14400</v>
      </c>
      <c r="N15">
        <f t="shared" si="0"/>
        <v>14400</v>
      </c>
      <c r="O15">
        <v>64</v>
      </c>
      <c r="P15">
        <v>2</v>
      </c>
      <c r="Q15">
        <v>2</v>
      </c>
      <c r="R15">
        <v>4.3010399999999995</v>
      </c>
      <c r="T15">
        <v>14400</v>
      </c>
      <c r="U15">
        <f t="shared" si="1"/>
        <v>14400</v>
      </c>
      <c r="V15">
        <v>64</v>
      </c>
      <c r="W15">
        <v>2</v>
      </c>
      <c r="X15">
        <v>2</v>
      </c>
      <c r="Y15">
        <v>4.0763000000000007</v>
      </c>
    </row>
    <row r="16" spans="1:25" x14ac:dyDescent="0.25">
      <c r="A16" s="25">
        <v>12864</v>
      </c>
      <c r="B16" s="25">
        <v>96</v>
      </c>
      <c r="C16" s="25">
        <v>1</v>
      </c>
      <c r="D16" s="25">
        <v>4</v>
      </c>
      <c r="E16">
        <v>4.4285800000000002</v>
      </c>
      <c r="G16" s="25">
        <v>12864</v>
      </c>
      <c r="H16" s="25">
        <v>96</v>
      </c>
      <c r="I16" s="25">
        <v>1</v>
      </c>
      <c r="J16" s="25">
        <v>4</v>
      </c>
      <c r="K16" s="60">
        <v>4.1486800000000006</v>
      </c>
      <c r="M16">
        <v>12864</v>
      </c>
      <c r="N16">
        <f t="shared" si="0"/>
        <v>12864</v>
      </c>
      <c r="O16">
        <v>96</v>
      </c>
      <c r="P16">
        <v>1</v>
      </c>
      <c r="Q16">
        <v>4</v>
      </c>
      <c r="R16">
        <v>4.4285800000000002</v>
      </c>
      <c r="T16">
        <v>12864</v>
      </c>
      <c r="U16">
        <f t="shared" si="1"/>
        <v>12864</v>
      </c>
      <c r="V16">
        <v>96</v>
      </c>
      <c r="W16">
        <v>1</v>
      </c>
      <c r="X16">
        <v>4</v>
      </c>
      <c r="Y16">
        <v>4.1486800000000006</v>
      </c>
    </row>
    <row r="17" spans="1:25" x14ac:dyDescent="0.25">
      <c r="A17" s="25">
        <v>13632</v>
      </c>
      <c r="B17" s="25">
        <v>96</v>
      </c>
      <c r="C17" s="25">
        <v>1</v>
      </c>
      <c r="D17" s="25">
        <v>4</v>
      </c>
      <c r="E17">
        <v>4.38828</v>
      </c>
      <c r="G17" s="25">
        <v>13632</v>
      </c>
      <c r="H17" s="25">
        <v>96</v>
      </c>
      <c r="I17" s="25">
        <v>1</v>
      </c>
      <c r="J17" s="25">
        <v>4</v>
      </c>
      <c r="K17" s="60">
        <v>4.2507199999999994</v>
      </c>
      <c r="M17">
        <v>13632</v>
      </c>
      <c r="N17">
        <f t="shared" si="0"/>
        <v>13632</v>
      </c>
      <c r="O17">
        <v>96</v>
      </c>
      <c r="P17">
        <v>1</v>
      </c>
      <c r="Q17">
        <v>4</v>
      </c>
      <c r="R17">
        <v>4.38828</v>
      </c>
      <c r="T17">
        <v>13632</v>
      </c>
      <c r="U17">
        <f t="shared" si="1"/>
        <v>13632</v>
      </c>
      <c r="V17">
        <v>96</v>
      </c>
      <c r="W17">
        <v>1</v>
      </c>
      <c r="X17">
        <v>4</v>
      </c>
      <c r="Y17">
        <v>4.2507199999999994</v>
      </c>
    </row>
    <row r="18" spans="1:25" x14ac:dyDescent="0.25">
      <c r="A18" s="25">
        <v>14400</v>
      </c>
      <c r="B18" s="25">
        <v>96</v>
      </c>
      <c r="C18" s="25">
        <v>1</v>
      </c>
      <c r="D18" s="25">
        <v>4</v>
      </c>
      <c r="E18">
        <v>4.4596399999999994</v>
      </c>
      <c r="G18" s="25">
        <v>14400</v>
      </c>
      <c r="H18" s="25">
        <v>96</v>
      </c>
      <c r="I18" s="25">
        <v>1</v>
      </c>
      <c r="J18" s="25">
        <v>4</v>
      </c>
      <c r="K18" s="60">
        <v>4.2878600000000002</v>
      </c>
      <c r="M18">
        <v>14400</v>
      </c>
      <c r="N18">
        <f t="shared" si="0"/>
        <v>14400</v>
      </c>
      <c r="O18">
        <v>96</v>
      </c>
      <c r="P18">
        <v>1</v>
      </c>
      <c r="Q18">
        <v>4</v>
      </c>
      <c r="R18">
        <v>4.4596399999999994</v>
      </c>
      <c r="T18">
        <v>14400</v>
      </c>
      <c r="U18">
        <f t="shared" si="1"/>
        <v>14400</v>
      </c>
      <c r="V18">
        <v>96</v>
      </c>
      <c r="W18">
        <v>1</v>
      </c>
      <c r="X18">
        <v>4</v>
      </c>
      <c r="Y18">
        <v>4.2878600000000002</v>
      </c>
    </row>
    <row r="19" spans="1:25" x14ac:dyDescent="0.25">
      <c r="A19" s="25">
        <v>12864</v>
      </c>
      <c r="B19" s="25">
        <v>96</v>
      </c>
      <c r="C19" s="25">
        <v>2</v>
      </c>
      <c r="D19" s="25">
        <v>2</v>
      </c>
      <c r="E19">
        <v>4.4529000000000005</v>
      </c>
      <c r="G19" s="25">
        <v>12864</v>
      </c>
      <c r="H19" s="25">
        <v>96</v>
      </c>
      <c r="I19" s="25">
        <v>2</v>
      </c>
      <c r="J19" s="25">
        <v>2</v>
      </c>
      <c r="K19" s="60">
        <v>3.9684799999999996</v>
      </c>
      <c r="M19">
        <v>12864</v>
      </c>
      <c r="N19">
        <f t="shared" si="0"/>
        <v>12864</v>
      </c>
      <c r="O19">
        <v>96</v>
      </c>
      <c r="P19">
        <v>2</v>
      </c>
      <c r="Q19">
        <v>2</v>
      </c>
      <c r="R19">
        <v>4.4529000000000005</v>
      </c>
      <c r="T19">
        <v>12864</v>
      </c>
      <c r="U19">
        <f t="shared" si="1"/>
        <v>12864</v>
      </c>
      <c r="V19">
        <v>96</v>
      </c>
      <c r="W19">
        <v>2</v>
      </c>
      <c r="X19">
        <v>2</v>
      </c>
      <c r="Y19">
        <v>3.9684799999999996</v>
      </c>
    </row>
    <row r="20" spans="1:25" x14ac:dyDescent="0.25">
      <c r="A20" s="25">
        <v>13632</v>
      </c>
      <c r="B20" s="25">
        <v>96</v>
      </c>
      <c r="C20" s="25">
        <v>2</v>
      </c>
      <c r="D20" s="25">
        <v>2</v>
      </c>
      <c r="E20">
        <v>4.4370399999999997</v>
      </c>
      <c r="G20" s="25">
        <v>13632</v>
      </c>
      <c r="H20" s="25">
        <v>96</v>
      </c>
      <c r="I20" s="25">
        <v>2</v>
      </c>
      <c r="J20" s="25">
        <v>2</v>
      </c>
      <c r="K20" s="60">
        <v>4.0605799999999999</v>
      </c>
      <c r="M20">
        <v>13632</v>
      </c>
      <c r="N20">
        <f t="shared" si="0"/>
        <v>13632</v>
      </c>
      <c r="O20">
        <v>96</v>
      </c>
      <c r="P20">
        <v>2</v>
      </c>
      <c r="Q20">
        <v>2</v>
      </c>
      <c r="R20">
        <v>4.4370399999999997</v>
      </c>
      <c r="T20">
        <v>13632</v>
      </c>
      <c r="U20">
        <f t="shared" si="1"/>
        <v>13632</v>
      </c>
      <c r="V20">
        <v>96</v>
      </c>
      <c r="W20">
        <v>2</v>
      </c>
      <c r="X20">
        <v>2</v>
      </c>
      <c r="Y20">
        <v>4.0605799999999999</v>
      </c>
    </row>
    <row r="21" spans="1:25" x14ac:dyDescent="0.25">
      <c r="A21" s="25">
        <v>14400</v>
      </c>
      <c r="B21" s="25">
        <v>96</v>
      </c>
      <c r="C21" s="25">
        <v>2</v>
      </c>
      <c r="D21" s="25">
        <v>2</v>
      </c>
      <c r="E21">
        <v>4.4801000000000002</v>
      </c>
      <c r="G21" s="25">
        <v>14400</v>
      </c>
      <c r="H21" s="25">
        <v>96</v>
      </c>
      <c r="I21" s="25">
        <v>2</v>
      </c>
      <c r="J21" s="25">
        <v>2</v>
      </c>
      <c r="K21" s="60">
        <v>4.1349800000000005</v>
      </c>
      <c r="M21">
        <v>14400</v>
      </c>
      <c r="N21">
        <f t="shared" si="0"/>
        <v>14400</v>
      </c>
      <c r="O21">
        <v>96</v>
      </c>
      <c r="P21">
        <v>2</v>
      </c>
      <c r="Q21">
        <v>2</v>
      </c>
      <c r="R21">
        <v>4.4801000000000002</v>
      </c>
      <c r="T21">
        <v>14400</v>
      </c>
      <c r="U21">
        <f t="shared" si="1"/>
        <v>14400</v>
      </c>
      <c r="V21">
        <v>96</v>
      </c>
      <c r="W21">
        <v>2</v>
      </c>
      <c r="X21">
        <v>2</v>
      </c>
      <c r="Y21">
        <v>4.1349800000000005</v>
      </c>
    </row>
    <row r="22" spans="1:25" x14ac:dyDescent="0.25">
      <c r="A22" s="25">
        <v>12800</v>
      </c>
      <c r="B22" s="25">
        <v>128</v>
      </c>
      <c r="C22" s="25">
        <v>1</v>
      </c>
      <c r="D22" s="25">
        <v>4</v>
      </c>
      <c r="E22">
        <v>4.2024200000000009</v>
      </c>
      <c r="G22" s="25">
        <v>12800</v>
      </c>
      <c r="H22" s="25">
        <v>128</v>
      </c>
      <c r="I22" s="25">
        <v>1</v>
      </c>
      <c r="J22" s="25">
        <v>4</v>
      </c>
      <c r="K22" s="60">
        <v>4.1307399999999994</v>
      </c>
      <c r="M22">
        <v>12800</v>
      </c>
      <c r="N22">
        <f t="shared" si="0"/>
        <v>12864</v>
      </c>
      <c r="O22">
        <v>128</v>
      </c>
      <c r="P22">
        <v>1</v>
      </c>
      <c r="Q22">
        <v>4</v>
      </c>
      <c r="R22">
        <v>4.2024200000000009</v>
      </c>
      <c r="T22">
        <v>12800</v>
      </c>
      <c r="U22">
        <f t="shared" si="1"/>
        <v>12864</v>
      </c>
      <c r="V22">
        <v>128</v>
      </c>
      <c r="W22">
        <v>1</v>
      </c>
      <c r="X22">
        <v>4</v>
      </c>
      <c r="Y22">
        <v>4.1307399999999994</v>
      </c>
    </row>
    <row r="23" spans="1:25" x14ac:dyDescent="0.25">
      <c r="A23" s="25">
        <v>13568</v>
      </c>
      <c r="B23" s="25">
        <v>128</v>
      </c>
      <c r="C23" s="25">
        <v>1</v>
      </c>
      <c r="D23" s="25">
        <v>4</v>
      </c>
      <c r="E23">
        <v>4.1646000000000001</v>
      </c>
      <c r="G23" s="25">
        <v>13568</v>
      </c>
      <c r="H23" s="25">
        <v>128</v>
      </c>
      <c r="I23" s="25">
        <v>1</v>
      </c>
      <c r="J23" s="25">
        <v>4</v>
      </c>
      <c r="K23" s="60">
        <v>4.2298600000000004</v>
      </c>
      <c r="M23">
        <v>13568</v>
      </c>
      <c r="N23">
        <f t="shared" si="0"/>
        <v>13632</v>
      </c>
      <c r="O23">
        <v>128</v>
      </c>
      <c r="P23">
        <v>1</v>
      </c>
      <c r="Q23">
        <v>4</v>
      </c>
      <c r="R23">
        <v>4.1646000000000001</v>
      </c>
      <c r="T23">
        <v>13568</v>
      </c>
      <c r="U23">
        <f t="shared" si="1"/>
        <v>13632</v>
      </c>
      <c r="V23">
        <v>128</v>
      </c>
      <c r="W23">
        <v>1</v>
      </c>
      <c r="X23">
        <v>4</v>
      </c>
      <c r="Y23">
        <v>4.2298600000000004</v>
      </c>
    </row>
    <row r="24" spans="1:25" x14ac:dyDescent="0.25">
      <c r="A24" s="25">
        <v>14336</v>
      </c>
      <c r="B24" s="25">
        <v>128</v>
      </c>
      <c r="C24" s="25">
        <v>1</v>
      </c>
      <c r="D24" s="25">
        <v>4</v>
      </c>
      <c r="E24">
        <v>4.2236799999999999</v>
      </c>
      <c r="G24" s="25">
        <v>14336</v>
      </c>
      <c r="H24" s="25">
        <v>128</v>
      </c>
      <c r="I24" s="25">
        <v>1</v>
      </c>
      <c r="J24" s="25">
        <v>4</v>
      </c>
      <c r="K24" s="60">
        <v>4.28024</v>
      </c>
      <c r="M24">
        <v>14336</v>
      </c>
      <c r="N24">
        <f t="shared" si="0"/>
        <v>14400</v>
      </c>
      <c r="O24">
        <v>128</v>
      </c>
      <c r="P24">
        <v>1</v>
      </c>
      <c r="Q24">
        <v>4</v>
      </c>
      <c r="R24">
        <v>4.2236799999999999</v>
      </c>
      <c r="T24">
        <v>14336</v>
      </c>
      <c r="U24">
        <f t="shared" si="1"/>
        <v>14400</v>
      </c>
      <c r="V24">
        <v>128</v>
      </c>
      <c r="W24">
        <v>1</v>
      </c>
      <c r="X24">
        <v>4</v>
      </c>
      <c r="Y24">
        <v>4.28024</v>
      </c>
    </row>
    <row r="25" spans="1:25" x14ac:dyDescent="0.25">
      <c r="A25" s="25">
        <v>12800</v>
      </c>
      <c r="B25" s="25">
        <v>128</v>
      </c>
      <c r="C25" s="25">
        <v>2</v>
      </c>
      <c r="D25" s="25">
        <v>2</v>
      </c>
      <c r="E25">
        <v>4.3564999999999996</v>
      </c>
      <c r="G25" s="25">
        <v>12800</v>
      </c>
      <c r="H25" s="25">
        <v>128</v>
      </c>
      <c r="I25" s="25">
        <v>2</v>
      </c>
      <c r="J25" s="25">
        <v>2</v>
      </c>
      <c r="K25" s="60">
        <v>3.9404599999999994</v>
      </c>
      <c r="M25">
        <v>12800</v>
      </c>
      <c r="N25">
        <f t="shared" si="0"/>
        <v>12864</v>
      </c>
      <c r="O25">
        <v>128</v>
      </c>
      <c r="P25">
        <v>2</v>
      </c>
      <c r="Q25">
        <v>2</v>
      </c>
      <c r="R25">
        <v>4.3564999999999996</v>
      </c>
      <c r="T25">
        <v>12800</v>
      </c>
      <c r="U25">
        <f t="shared" si="1"/>
        <v>12864</v>
      </c>
      <c r="V25">
        <v>128</v>
      </c>
      <c r="W25">
        <v>2</v>
      </c>
      <c r="X25">
        <v>2</v>
      </c>
      <c r="Y25">
        <v>3.9404599999999994</v>
      </c>
    </row>
    <row r="26" spans="1:25" x14ac:dyDescent="0.25">
      <c r="A26" s="25">
        <v>13568</v>
      </c>
      <c r="B26" s="25">
        <v>128</v>
      </c>
      <c r="C26" s="25">
        <v>2</v>
      </c>
      <c r="D26" s="25">
        <v>2</v>
      </c>
      <c r="E26">
        <v>4.33866</v>
      </c>
      <c r="G26" s="25">
        <v>13568</v>
      </c>
      <c r="H26" s="25">
        <v>128</v>
      </c>
      <c r="I26" s="25">
        <v>2</v>
      </c>
      <c r="J26" s="25">
        <v>2</v>
      </c>
      <c r="K26" s="60">
        <v>4.0388999999999999</v>
      </c>
      <c r="M26">
        <v>13568</v>
      </c>
      <c r="N26">
        <f t="shared" si="0"/>
        <v>13632</v>
      </c>
      <c r="O26">
        <v>128</v>
      </c>
      <c r="P26">
        <v>2</v>
      </c>
      <c r="Q26">
        <v>2</v>
      </c>
      <c r="R26">
        <v>4.33866</v>
      </c>
      <c r="T26">
        <v>13568</v>
      </c>
      <c r="U26">
        <f t="shared" si="1"/>
        <v>13632</v>
      </c>
      <c r="V26">
        <v>128</v>
      </c>
      <c r="W26">
        <v>2</v>
      </c>
      <c r="X26">
        <v>2</v>
      </c>
      <c r="Y26">
        <v>4.0388999999999999</v>
      </c>
    </row>
    <row r="27" spans="1:25" x14ac:dyDescent="0.25">
      <c r="A27" s="25">
        <v>14336</v>
      </c>
      <c r="B27" s="25">
        <v>128</v>
      </c>
      <c r="C27" s="25">
        <v>2</v>
      </c>
      <c r="D27" s="25">
        <v>2</v>
      </c>
      <c r="E27">
        <v>4.3237199999999998</v>
      </c>
      <c r="G27" s="25">
        <v>14336</v>
      </c>
      <c r="H27" s="25">
        <v>128</v>
      </c>
      <c r="I27" s="25">
        <v>2</v>
      </c>
      <c r="J27" s="25">
        <v>2</v>
      </c>
      <c r="K27" s="60">
        <v>4.1041000000000007</v>
      </c>
      <c r="M27">
        <v>14336</v>
      </c>
      <c r="N27">
        <f t="shared" si="0"/>
        <v>14400</v>
      </c>
      <c r="O27">
        <v>128</v>
      </c>
      <c r="P27">
        <v>2</v>
      </c>
      <c r="Q27">
        <v>2</v>
      </c>
      <c r="R27">
        <v>4.3237199999999998</v>
      </c>
      <c r="T27">
        <v>14336</v>
      </c>
      <c r="U27">
        <f t="shared" si="1"/>
        <v>14400</v>
      </c>
      <c r="V27">
        <v>128</v>
      </c>
      <c r="W27">
        <v>2</v>
      </c>
      <c r="X27">
        <v>2</v>
      </c>
      <c r="Y27">
        <v>4.1041000000000007</v>
      </c>
    </row>
    <row r="28" spans="1:25" x14ac:dyDescent="0.25">
      <c r="A28" s="25">
        <v>12800</v>
      </c>
      <c r="B28" s="25">
        <v>160</v>
      </c>
      <c r="C28" s="25">
        <v>1</v>
      </c>
      <c r="D28" s="25">
        <v>4</v>
      </c>
      <c r="E28">
        <v>3.9701599999999999</v>
      </c>
      <c r="G28" s="25">
        <v>12800</v>
      </c>
      <c r="H28" s="25">
        <v>160</v>
      </c>
      <c r="I28" s="25">
        <v>1</v>
      </c>
      <c r="J28" s="25">
        <v>4</v>
      </c>
      <c r="K28" s="60">
        <v>4.1875200000000001</v>
      </c>
      <c r="M28">
        <v>12800</v>
      </c>
      <c r="N28">
        <f t="shared" si="0"/>
        <v>12864</v>
      </c>
      <c r="O28">
        <v>160</v>
      </c>
      <c r="P28">
        <v>1</v>
      </c>
      <c r="Q28">
        <v>4</v>
      </c>
      <c r="R28">
        <v>3.9701599999999999</v>
      </c>
      <c r="T28">
        <v>12800</v>
      </c>
      <c r="U28">
        <f t="shared" si="1"/>
        <v>12864</v>
      </c>
      <c r="V28">
        <v>160</v>
      </c>
      <c r="W28">
        <v>1</v>
      </c>
      <c r="X28">
        <v>4</v>
      </c>
      <c r="Y28">
        <v>4.1875200000000001</v>
      </c>
    </row>
    <row r="29" spans="1:25" x14ac:dyDescent="0.25">
      <c r="A29" s="25">
        <v>13600</v>
      </c>
      <c r="B29" s="25">
        <v>160</v>
      </c>
      <c r="C29" s="25">
        <v>1</v>
      </c>
      <c r="D29" s="25">
        <v>4</v>
      </c>
      <c r="E29">
        <v>3.9654799999999994</v>
      </c>
      <c r="G29" s="25">
        <v>13600</v>
      </c>
      <c r="H29" s="25">
        <v>160</v>
      </c>
      <c r="I29" s="25">
        <v>1</v>
      </c>
      <c r="J29" s="25">
        <v>4</v>
      </c>
      <c r="K29" s="60">
        <v>4.2817999999999996</v>
      </c>
      <c r="M29">
        <v>13600</v>
      </c>
      <c r="N29">
        <f t="shared" si="0"/>
        <v>13632</v>
      </c>
      <c r="O29">
        <v>160</v>
      </c>
      <c r="P29">
        <v>1</v>
      </c>
      <c r="Q29">
        <v>4</v>
      </c>
      <c r="R29">
        <v>3.9654799999999994</v>
      </c>
      <c r="T29">
        <v>13600</v>
      </c>
      <c r="U29">
        <f t="shared" si="1"/>
        <v>13632</v>
      </c>
      <c r="V29">
        <v>160</v>
      </c>
      <c r="W29">
        <v>1</v>
      </c>
      <c r="X29">
        <v>4</v>
      </c>
      <c r="Y29">
        <v>4.2817999999999996</v>
      </c>
    </row>
    <row r="30" spans="1:25" x14ac:dyDescent="0.25">
      <c r="A30" s="25">
        <v>14400</v>
      </c>
      <c r="B30" s="25">
        <v>160</v>
      </c>
      <c r="C30" s="25">
        <v>1</v>
      </c>
      <c r="D30" s="25">
        <v>4</v>
      </c>
      <c r="E30">
        <v>4.0021599999999999</v>
      </c>
      <c r="G30" s="25">
        <v>14400</v>
      </c>
      <c r="H30" s="25">
        <v>160</v>
      </c>
      <c r="I30" s="25">
        <v>1</v>
      </c>
      <c r="J30" s="25">
        <v>4</v>
      </c>
      <c r="K30" s="60">
        <v>4.3227600000000006</v>
      </c>
      <c r="M30">
        <v>14400</v>
      </c>
      <c r="N30">
        <f t="shared" si="0"/>
        <v>14400</v>
      </c>
      <c r="O30">
        <v>160</v>
      </c>
      <c r="P30">
        <v>1</v>
      </c>
      <c r="Q30">
        <v>4</v>
      </c>
      <c r="R30">
        <v>4.0021599999999999</v>
      </c>
      <c r="T30">
        <v>14400</v>
      </c>
      <c r="U30">
        <f t="shared" si="1"/>
        <v>14400</v>
      </c>
      <c r="V30">
        <v>160</v>
      </c>
      <c r="W30">
        <v>1</v>
      </c>
      <c r="X30">
        <v>4</v>
      </c>
      <c r="Y30">
        <v>4.3227600000000006</v>
      </c>
    </row>
    <row r="31" spans="1:25" x14ac:dyDescent="0.25">
      <c r="A31" s="25">
        <v>12800</v>
      </c>
      <c r="B31" s="25">
        <v>160</v>
      </c>
      <c r="C31" s="25">
        <v>2</v>
      </c>
      <c r="D31" s="25">
        <v>2</v>
      </c>
      <c r="E31">
        <v>4.1682999999999995</v>
      </c>
      <c r="G31" s="25">
        <v>12800</v>
      </c>
      <c r="H31" s="25">
        <v>160</v>
      </c>
      <c r="I31" s="25">
        <v>2</v>
      </c>
      <c r="J31" s="25">
        <v>2</v>
      </c>
      <c r="K31" s="60">
        <v>3.9776199999999995</v>
      </c>
      <c r="M31">
        <v>12800</v>
      </c>
      <c r="N31">
        <f t="shared" si="0"/>
        <v>12864</v>
      </c>
      <c r="O31">
        <v>160</v>
      </c>
      <c r="P31">
        <v>2</v>
      </c>
      <c r="Q31">
        <v>2</v>
      </c>
      <c r="R31">
        <v>4.1682999999999995</v>
      </c>
      <c r="T31">
        <v>12800</v>
      </c>
      <c r="U31">
        <f t="shared" si="1"/>
        <v>12864</v>
      </c>
      <c r="V31">
        <v>160</v>
      </c>
      <c r="W31">
        <v>2</v>
      </c>
      <c r="X31">
        <v>2</v>
      </c>
      <c r="Y31">
        <v>3.9776199999999995</v>
      </c>
    </row>
    <row r="32" spans="1:25" x14ac:dyDescent="0.25">
      <c r="A32" s="25">
        <v>13600</v>
      </c>
      <c r="B32" s="25">
        <v>160</v>
      </c>
      <c r="C32" s="25">
        <v>2</v>
      </c>
      <c r="D32" s="25">
        <v>2</v>
      </c>
      <c r="E32">
        <v>4.1798599999999997</v>
      </c>
      <c r="G32" s="25">
        <v>13600</v>
      </c>
      <c r="H32" s="25">
        <v>160</v>
      </c>
      <c r="I32" s="25">
        <v>2</v>
      </c>
      <c r="J32" s="25">
        <v>2</v>
      </c>
      <c r="K32" s="60">
        <v>4.0819799999999997</v>
      </c>
      <c r="M32">
        <v>13600</v>
      </c>
      <c r="N32">
        <f t="shared" si="0"/>
        <v>13632</v>
      </c>
      <c r="O32">
        <v>160</v>
      </c>
      <c r="P32">
        <v>2</v>
      </c>
      <c r="Q32">
        <v>2</v>
      </c>
      <c r="R32">
        <v>4.1798599999999997</v>
      </c>
      <c r="T32">
        <v>13600</v>
      </c>
      <c r="U32">
        <f t="shared" si="1"/>
        <v>13632</v>
      </c>
      <c r="V32">
        <v>160</v>
      </c>
      <c r="W32">
        <v>2</v>
      </c>
      <c r="X32">
        <v>2</v>
      </c>
      <c r="Y32">
        <v>4.0819799999999997</v>
      </c>
    </row>
    <row r="33" spans="1:25" x14ac:dyDescent="0.25">
      <c r="A33" s="25">
        <v>14400</v>
      </c>
      <c r="B33" s="25">
        <v>160</v>
      </c>
      <c r="C33" s="25">
        <v>2</v>
      </c>
      <c r="D33" s="25">
        <v>2</v>
      </c>
      <c r="E33">
        <v>4.2036199999999999</v>
      </c>
      <c r="G33" s="25">
        <v>14400</v>
      </c>
      <c r="H33" s="25">
        <v>160</v>
      </c>
      <c r="I33" s="25">
        <v>2</v>
      </c>
      <c r="J33" s="25">
        <v>2</v>
      </c>
      <c r="K33" s="60">
        <v>4.159460000000001</v>
      </c>
      <c r="M33">
        <v>14400</v>
      </c>
      <c r="N33">
        <f t="shared" si="0"/>
        <v>14400</v>
      </c>
      <c r="O33">
        <v>160</v>
      </c>
      <c r="P33">
        <v>2</v>
      </c>
      <c r="Q33">
        <v>2</v>
      </c>
      <c r="R33">
        <v>4.2036199999999999</v>
      </c>
      <c r="T33">
        <v>14400</v>
      </c>
      <c r="U33">
        <f t="shared" si="1"/>
        <v>14400</v>
      </c>
      <c r="V33">
        <v>160</v>
      </c>
      <c r="W33">
        <v>2</v>
      </c>
      <c r="X33">
        <v>2</v>
      </c>
      <c r="Y33">
        <v>4.159460000000001</v>
      </c>
    </row>
    <row r="34" spans="1:25" x14ac:dyDescent="0.25">
      <c r="A34" s="25">
        <v>12864</v>
      </c>
      <c r="B34" s="25">
        <v>192</v>
      </c>
      <c r="C34" s="25">
        <v>1</v>
      </c>
      <c r="D34" s="25">
        <v>4</v>
      </c>
      <c r="E34">
        <v>4.1167800000000003</v>
      </c>
      <c r="G34" s="25">
        <v>12864</v>
      </c>
      <c r="H34" s="25">
        <v>192</v>
      </c>
      <c r="I34" s="25">
        <v>1</v>
      </c>
      <c r="J34" s="25">
        <v>4</v>
      </c>
      <c r="K34" s="60">
        <v>4.2587799999999998</v>
      </c>
      <c r="M34">
        <v>12864</v>
      </c>
      <c r="N34">
        <f t="shared" si="0"/>
        <v>12864</v>
      </c>
      <c r="O34">
        <v>192</v>
      </c>
      <c r="P34">
        <v>1</v>
      </c>
      <c r="Q34">
        <v>4</v>
      </c>
      <c r="R34">
        <v>4.1167800000000003</v>
      </c>
      <c r="T34">
        <v>12864</v>
      </c>
      <c r="U34">
        <f t="shared" si="1"/>
        <v>12864</v>
      </c>
      <c r="V34">
        <v>192</v>
      </c>
      <c r="W34">
        <v>1</v>
      </c>
      <c r="X34">
        <v>4</v>
      </c>
      <c r="Y34">
        <v>4.2587799999999998</v>
      </c>
    </row>
    <row r="35" spans="1:25" x14ac:dyDescent="0.25">
      <c r="A35" s="25">
        <v>13632</v>
      </c>
      <c r="B35" s="25">
        <v>192</v>
      </c>
      <c r="C35" s="25">
        <v>1</v>
      </c>
      <c r="D35" s="25">
        <v>4</v>
      </c>
      <c r="E35">
        <v>4.0930200000000001</v>
      </c>
      <c r="G35" s="25">
        <v>13632</v>
      </c>
      <c r="H35" s="25">
        <v>192</v>
      </c>
      <c r="I35" s="25">
        <v>1</v>
      </c>
      <c r="J35" s="25">
        <v>4</v>
      </c>
      <c r="K35" s="60">
        <v>4.3285400000000003</v>
      </c>
      <c r="M35">
        <v>13632</v>
      </c>
      <c r="N35">
        <f t="shared" si="0"/>
        <v>13632</v>
      </c>
      <c r="O35">
        <v>192</v>
      </c>
      <c r="P35">
        <v>1</v>
      </c>
      <c r="Q35">
        <v>4</v>
      </c>
      <c r="R35">
        <v>4.0930200000000001</v>
      </c>
      <c r="T35">
        <v>13632</v>
      </c>
      <c r="U35">
        <f t="shared" si="1"/>
        <v>13632</v>
      </c>
      <c r="V35">
        <v>192</v>
      </c>
      <c r="W35">
        <v>1</v>
      </c>
      <c r="X35">
        <v>4</v>
      </c>
      <c r="Y35">
        <v>4.3285400000000003</v>
      </c>
    </row>
    <row r="36" spans="1:25" x14ac:dyDescent="0.25">
      <c r="A36" s="25">
        <v>14400</v>
      </c>
      <c r="B36" s="25">
        <v>192</v>
      </c>
      <c r="C36" s="25">
        <v>1</v>
      </c>
      <c r="D36" s="25">
        <v>4</v>
      </c>
      <c r="E36">
        <v>4.1676799999999998</v>
      </c>
      <c r="G36" s="25">
        <v>14400</v>
      </c>
      <c r="H36" s="25">
        <v>192</v>
      </c>
      <c r="I36" s="25">
        <v>1</v>
      </c>
      <c r="J36" s="25">
        <v>4</v>
      </c>
      <c r="K36" s="60">
        <v>4.4016999999999999</v>
      </c>
      <c r="M36">
        <v>14400</v>
      </c>
      <c r="N36">
        <f t="shared" si="0"/>
        <v>14400</v>
      </c>
      <c r="O36">
        <v>192</v>
      </c>
      <c r="P36">
        <v>1</v>
      </c>
      <c r="Q36">
        <v>4</v>
      </c>
      <c r="R36">
        <v>4.1676799999999998</v>
      </c>
      <c r="T36">
        <v>14400</v>
      </c>
      <c r="U36">
        <f t="shared" si="1"/>
        <v>14400</v>
      </c>
      <c r="V36">
        <v>192</v>
      </c>
      <c r="W36">
        <v>1</v>
      </c>
      <c r="X36">
        <v>4</v>
      </c>
      <c r="Y36">
        <v>4.4016999999999999</v>
      </c>
    </row>
    <row r="37" spans="1:25" x14ac:dyDescent="0.25">
      <c r="A37" s="25">
        <v>12864</v>
      </c>
      <c r="B37" s="25">
        <v>192</v>
      </c>
      <c r="C37" s="25">
        <v>2</v>
      </c>
      <c r="D37" s="25">
        <v>2</v>
      </c>
      <c r="E37">
        <v>4.2934600000000005</v>
      </c>
      <c r="G37" s="25">
        <v>12864</v>
      </c>
      <c r="H37" s="25">
        <v>192</v>
      </c>
      <c r="I37" s="25">
        <v>2</v>
      </c>
      <c r="J37" s="25">
        <v>2</v>
      </c>
      <c r="K37" s="60">
        <v>3.9741399999999998</v>
      </c>
      <c r="M37">
        <v>12864</v>
      </c>
      <c r="N37">
        <f t="shared" si="0"/>
        <v>12864</v>
      </c>
      <c r="O37">
        <v>192</v>
      </c>
      <c r="P37">
        <v>2</v>
      </c>
      <c r="Q37">
        <v>2</v>
      </c>
      <c r="R37">
        <v>4.2934600000000005</v>
      </c>
      <c r="T37">
        <v>12864</v>
      </c>
      <c r="U37">
        <f t="shared" si="1"/>
        <v>12864</v>
      </c>
      <c r="V37">
        <v>192</v>
      </c>
      <c r="W37">
        <v>2</v>
      </c>
      <c r="X37">
        <v>2</v>
      </c>
      <c r="Y37">
        <v>3.9741399999999998</v>
      </c>
    </row>
    <row r="38" spans="1:25" x14ac:dyDescent="0.25">
      <c r="A38" s="25">
        <v>13632</v>
      </c>
      <c r="B38" s="25">
        <v>192</v>
      </c>
      <c r="C38" s="25">
        <v>2</v>
      </c>
      <c r="D38" s="25">
        <v>2</v>
      </c>
      <c r="E38">
        <v>4.298</v>
      </c>
      <c r="G38" s="25">
        <v>13632</v>
      </c>
      <c r="H38" s="25">
        <v>192</v>
      </c>
      <c r="I38" s="25">
        <v>2</v>
      </c>
      <c r="J38" s="25">
        <v>2</v>
      </c>
      <c r="K38" s="60">
        <v>4.07064</v>
      </c>
      <c r="M38">
        <v>13632</v>
      </c>
      <c r="N38">
        <f t="shared" si="0"/>
        <v>13632</v>
      </c>
      <c r="O38">
        <v>192</v>
      </c>
      <c r="P38">
        <v>2</v>
      </c>
      <c r="Q38">
        <v>2</v>
      </c>
      <c r="R38">
        <v>4.298</v>
      </c>
      <c r="T38">
        <v>13632</v>
      </c>
      <c r="U38">
        <f t="shared" si="1"/>
        <v>13632</v>
      </c>
      <c r="V38">
        <v>192</v>
      </c>
      <c r="W38">
        <v>2</v>
      </c>
      <c r="X38">
        <v>2</v>
      </c>
      <c r="Y38">
        <v>4.07064</v>
      </c>
    </row>
    <row r="39" spans="1:25" x14ac:dyDescent="0.25">
      <c r="A39" s="25">
        <v>14400</v>
      </c>
      <c r="B39" s="25">
        <v>192</v>
      </c>
      <c r="C39" s="25">
        <v>2</v>
      </c>
      <c r="D39" s="25">
        <v>2</v>
      </c>
      <c r="E39">
        <v>4.3334600000000005</v>
      </c>
      <c r="G39" s="25">
        <v>14400</v>
      </c>
      <c r="H39" s="25">
        <v>192</v>
      </c>
      <c r="I39" s="25">
        <v>2</v>
      </c>
      <c r="J39" s="25">
        <v>2</v>
      </c>
      <c r="K39" s="60">
        <v>4.1398799999999998</v>
      </c>
      <c r="M39">
        <v>14400</v>
      </c>
      <c r="N39">
        <f t="shared" si="0"/>
        <v>14400</v>
      </c>
      <c r="O39">
        <v>192</v>
      </c>
      <c r="P39">
        <v>2</v>
      </c>
      <c r="Q39">
        <v>2</v>
      </c>
      <c r="R39">
        <v>4.3334600000000005</v>
      </c>
      <c r="T39">
        <v>14400</v>
      </c>
      <c r="U39">
        <f t="shared" si="1"/>
        <v>14400</v>
      </c>
      <c r="V39">
        <v>192</v>
      </c>
      <c r="W39">
        <v>2</v>
      </c>
      <c r="X39">
        <v>2</v>
      </c>
      <c r="Y39">
        <v>4.1398799999999998</v>
      </c>
    </row>
    <row r="40" spans="1:25" x14ac:dyDescent="0.25">
      <c r="A40" s="25">
        <v>12768</v>
      </c>
      <c r="B40" s="25">
        <v>224</v>
      </c>
      <c r="C40" s="25">
        <v>1</v>
      </c>
      <c r="D40" s="25">
        <v>4</v>
      </c>
      <c r="E40">
        <v>4.09856</v>
      </c>
      <c r="G40" s="25">
        <v>12768</v>
      </c>
      <c r="H40" s="25">
        <v>224</v>
      </c>
      <c r="I40" s="25">
        <v>1</v>
      </c>
      <c r="J40" s="25">
        <v>4</v>
      </c>
      <c r="K40" s="60">
        <v>4.2297400000000005</v>
      </c>
      <c r="M40">
        <v>12768</v>
      </c>
      <c r="N40">
        <f t="shared" si="0"/>
        <v>12864</v>
      </c>
      <c r="O40">
        <v>224</v>
      </c>
      <c r="P40">
        <v>1</v>
      </c>
      <c r="Q40">
        <v>4</v>
      </c>
      <c r="R40">
        <v>4.09856</v>
      </c>
      <c r="T40">
        <v>12768</v>
      </c>
      <c r="U40">
        <f t="shared" si="1"/>
        <v>12864</v>
      </c>
      <c r="V40">
        <v>224</v>
      </c>
      <c r="W40">
        <v>1</v>
      </c>
      <c r="X40">
        <v>4</v>
      </c>
      <c r="Y40">
        <v>4.2297400000000005</v>
      </c>
    </row>
    <row r="41" spans="1:25" x14ac:dyDescent="0.25">
      <c r="A41" s="25">
        <v>13440</v>
      </c>
      <c r="B41" s="25">
        <v>224</v>
      </c>
      <c r="C41" s="25">
        <v>1</v>
      </c>
      <c r="D41" s="25">
        <v>4</v>
      </c>
      <c r="E41">
        <v>4.0970199999999997</v>
      </c>
      <c r="G41" s="25">
        <v>13440</v>
      </c>
      <c r="H41" s="25">
        <v>224</v>
      </c>
      <c r="I41" s="25">
        <v>1</v>
      </c>
      <c r="J41" s="25">
        <v>4</v>
      </c>
      <c r="K41" s="60">
        <v>4.3135400000000006</v>
      </c>
      <c r="M41">
        <v>13440</v>
      </c>
      <c r="N41">
        <f t="shared" si="0"/>
        <v>13632</v>
      </c>
      <c r="O41">
        <v>224</v>
      </c>
      <c r="P41">
        <v>1</v>
      </c>
      <c r="Q41">
        <v>4</v>
      </c>
      <c r="R41">
        <v>4.0970199999999997</v>
      </c>
      <c r="T41">
        <v>13440</v>
      </c>
      <c r="U41">
        <f t="shared" si="1"/>
        <v>13632</v>
      </c>
      <c r="V41">
        <v>224</v>
      </c>
      <c r="W41">
        <v>1</v>
      </c>
      <c r="X41">
        <v>4</v>
      </c>
      <c r="Y41">
        <v>4.3135400000000006</v>
      </c>
    </row>
    <row r="42" spans="1:25" x14ac:dyDescent="0.25">
      <c r="A42" s="25">
        <v>14336</v>
      </c>
      <c r="B42" s="25">
        <v>224</v>
      </c>
      <c r="C42" s="25">
        <v>1</v>
      </c>
      <c r="D42" s="25">
        <v>4</v>
      </c>
      <c r="E42">
        <v>4.1102599999999994</v>
      </c>
      <c r="G42" s="25">
        <v>14336</v>
      </c>
      <c r="H42" s="25">
        <v>224</v>
      </c>
      <c r="I42" s="25">
        <v>1</v>
      </c>
      <c r="J42" s="25">
        <v>4</v>
      </c>
      <c r="K42" s="60">
        <v>4.3789999999999996</v>
      </c>
      <c r="M42">
        <v>14336</v>
      </c>
      <c r="N42">
        <f t="shared" si="0"/>
        <v>14400</v>
      </c>
      <c r="O42">
        <v>224</v>
      </c>
      <c r="P42">
        <v>1</v>
      </c>
      <c r="Q42">
        <v>4</v>
      </c>
      <c r="R42">
        <v>4.1102599999999994</v>
      </c>
      <c r="T42">
        <v>14336</v>
      </c>
      <c r="U42">
        <f t="shared" si="1"/>
        <v>14400</v>
      </c>
      <c r="V42">
        <v>224</v>
      </c>
      <c r="W42">
        <v>1</v>
      </c>
      <c r="X42">
        <v>4</v>
      </c>
      <c r="Y42">
        <v>4.3789999999999996</v>
      </c>
    </row>
    <row r="43" spans="1:25" x14ac:dyDescent="0.25">
      <c r="A43" s="25">
        <v>12768</v>
      </c>
      <c r="B43" s="25">
        <v>224</v>
      </c>
      <c r="C43" s="25">
        <v>2</v>
      </c>
      <c r="D43" s="25">
        <v>2</v>
      </c>
      <c r="E43">
        <v>4.2693599999999998</v>
      </c>
      <c r="G43" s="25">
        <v>12768</v>
      </c>
      <c r="H43" s="25">
        <v>224</v>
      </c>
      <c r="I43" s="25">
        <v>2</v>
      </c>
      <c r="J43" s="25">
        <v>2</v>
      </c>
      <c r="K43" s="60">
        <v>3.9180000000000001</v>
      </c>
      <c r="M43">
        <v>12768</v>
      </c>
      <c r="N43">
        <f t="shared" si="0"/>
        <v>12864</v>
      </c>
      <c r="O43">
        <v>224</v>
      </c>
      <c r="P43">
        <v>2</v>
      </c>
      <c r="Q43">
        <v>2</v>
      </c>
      <c r="R43">
        <v>4.2693599999999998</v>
      </c>
      <c r="T43">
        <v>12768</v>
      </c>
      <c r="U43">
        <f t="shared" si="1"/>
        <v>12864</v>
      </c>
      <c r="V43">
        <v>224</v>
      </c>
      <c r="W43">
        <v>2</v>
      </c>
      <c r="X43">
        <v>2</v>
      </c>
      <c r="Y43">
        <v>3.9180000000000001</v>
      </c>
    </row>
    <row r="44" spans="1:25" x14ac:dyDescent="0.25">
      <c r="A44" s="25">
        <v>13440</v>
      </c>
      <c r="B44" s="25">
        <v>224</v>
      </c>
      <c r="C44" s="25">
        <v>2</v>
      </c>
      <c r="D44" s="25">
        <v>2</v>
      </c>
      <c r="E44">
        <v>4.2614400000000003</v>
      </c>
      <c r="G44" s="25">
        <v>13440</v>
      </c>
      <c r="H44" s="25">
        <v>224</v>
      </c>
      <c r="I44" s="25">
        <v>2</v>
      </c>
      <c r="J44" s="25">
        <v>2</v>
      </c>
      <c r="K44" s="60">
        <v>3.9842199999999997</v>
      </c>
      <c r="M44">
        <v>13440</v>
      </c>
      <c r="N44">
        <f t="shared" si="0"/>
        <v>13632</v>
      </c>
      <c r="O44">
        <v>224</v>
      </c>
      <c r="P44">
        <v>2</v>
      </c>
      <c r="Q44">
        <v>2</v>
      </c>
      <c r="R44">
        <v>4.2614400000000003</v>
      </c>
      <c r="T44">
        <v>13440</v>
      </c>
      <c r="U44">
        <f t="shared" si="1"/>
        <v>13632</v>
      </c>
      <c r="V44">
        <v>224</v>
      </c>
      <c r="W44">
        <v>2</v>
      </c>
      <c r="X44">
        <v>2</v>
      </c>
      <c r="Y44">
        <v>3.9842199999999997</v>
      </c>
    </row>
    <row r="45" spans="1:25" x14ac:dyDescent="0.25">
      <c r="A45" s="25">
        <v>14336</v>
      </c>
      <c r="B45" s="25">
        <v>224</v>
      </c>
      <c r="C45" s="25">
        <v>2</v>
      </c>
      <c r="D45" s="25">
        <v>2</v>
      </c>
      <c r="E45">
        <v>4.25624</v>
      </c>
      <c r="G45" s="25">
        <v>14336</v>
      </c>
      <c r="H45" s="25">
        <v>224</v>
      </c>
      <c r="I45" s="25">
        <v>2</v>
      </c>
      <c r="J45" s="25">
        <v>2</v>
      </c>
      <c r="K45" s="60">
        <v>4.0967199999999995</v>
      </c>
      <c r="M45">
        <v>14336</v>
      </c>
      <c r="N45">
        <f t="shared" si="0"/>
        <v>14400</v>
      </c>
      <c r="O45">
        <v>224</v>
      </c>
      <c r="P45">
        <v>2</v>
      </c>
      <c r="Q45">
        <v>2</v>
      </c>
      <c r="R45">
        <v>4.25624</v>
      </c>
      <c r="T45">
        <v>14336</v>
      </c>
      <c r="U45">
        <f t="shared" si="1"/>
        <v>14400</v>
      </c>
      <c r="V45">
        <v>224</v>
      </c>
      <c r="W45">
        <v>2</v>
      </c>
      <c r="X45">
        <v>2</v>
      </c>
      <c r="Y45">
        <v>4.0967199999999995</v>
      </c>
    </row>
    <row r="46" spans="1:25" x14ac:dyDescent="0.25">
      <c r="A46" s="25">
        <v>12800</v>
      </c>
      <c r="B46" s="25">
        <v>256</v>
      </c>
      <c r="C46" s="25">
        <v>1</v>
      </c>
      <c r="D46" s="25">
        <v>4</v>
      </c>
      <c r="E46">
        <v>4.0521600000000007</v>
      </c>
      <c r="G46" s="25">
        <v>12800</v>
      </c>
      <c r="H46" s="25">
        <v>256</v>
      </c>
      <c r="I46" s="25">
        <v>1</v>
      </c>
      <c r="J46" s="25">
        <v>4</v>
      </c>
      <c r="K46" s="60">
        <v>4.204559999999999</v>
      </c>
      <c r="M46">
        <v>12800</v>
      </c>
      <c r="N46">
        <f t="shared" si="0"/>
        <v>12864</v>
      </c>
      <c r="O46">
        <v>256</v>
      </c>
      <c r="P46">
        <v>1</v>
      </c>
      <c r="Q46">
        <v>4</v>
      </c>
      <c r="R46">
        <v>4.0521600000000007</v>
      </c>
      <c r="T46">
        <v>12800</v>
      </c>
      <c r="U46">
        <f t="shared" si="1"/>
        <v>12864</v>
      </c>
      <c r="V46">
        <v>256</v>
      </c>
      <c r="W46">
        <v>1</v>
      </c>
      <c r="X46">
        <v>4</v>
      </c>
      <c r="Y46">
        <v>4.204559999999999</v>
      </c>
    </row>
    <row r="47" spans="1:25" x14ac:dyDescent="0.25">
      <c r="A47" s="25">
        <v>13568</v>
      </c>
      <c r="B47" s="25">
        <v>256</v>
      </c>
      <c r="C47" s="25">
        <v>1</v>
      </c>
      <c r="D47" s="25">
        <v>4</v>
      </c>
      <c r="E47">
        <v>4.0421199999999997</v>
      </c>
      <c r="G47" s="25">
        <v>13568</v>
      </c>
      <c r="H47" s="25">
        <v>256</v>
      </c>
      <c r="I47" s="25">
        <v>1</v>
      </c>
      <c r="J47" s="25">
        <v>4</v>
      </c>
      <c r="K47" s="60">
        <v>4.2875399999999999</v>
      </c>
      <c r="M47">
        <v>13568</v>
      </c>
      <c r="N47">
        <f t="shared" si="0"/>
        <v>13632</v>
      </c>
      <c r="O47">
        <v>256</v>
      </c>
      <c r="P47">
        <v>1</v>
      </c>
      <c r="Q47">
        <v>4</v>
      </c>
      <c r="R47">
        <v>4.0421199999999997</v>
      </c>
      <c r="T47">
        <v>13568</v>
      </c>
      <c r="U47">
        <f t="shared" si="1"/>
        <v>13632</v>
      </c>
      <c r="V47">
        <v>256</v>
      </c>
      <c r="W47">
        <v>1</v>
      </c>
      <c r="X47">
        <v>4</v>
      </c>
      <c r="Y47">
        <v>4.2875399999999999</v>
      </c>
    </row>
    <row r="48" spans="1:25" x14ac:dyDescent="0.25">
      <c r="A48" s="25">
        <v>14336</v>
      </c>
      <c r="B48" s="25">
        <v>256</v>
      </c>
      <c r="C48" s="25">
        <v>1</v>
      </c>
      <c r="D48" s="25">
        <v>4</v>
      </c>
      <c r="E48">
        <v>4.0876000000000001</v>
      </c>
      <c r="G48" s="25">
        <v>14336</v>
      </c>
      <c r="H48" s="25">
        <v>256</v>
      </c>
      <c r="I48" s="25">
        <v>1</v>
      </c>
      <c r="J48" s="25">
        <v>4</v>
      </c>
      <c r="K48" s="60">
        <v>4.3410599999999997</v>
      </c>
      <c r="M48">
        <v>14336</v>
      </c>
      <c r="N48">
        <f t="shared" si="0"/>
        <v>14400</v>
      </c>
      <c r="O48">
        <v>256</v>
      </c>
      <c r="P48">
        <v>1</v>
      </c>
      <c r="Q48">
        <v>4</v>
      </c>
      <c r="R48">
        <v>4.0876000000000001</v>
      </c>
      <c r="T48">
        <v>14336</v>
      </c>
      <c r="U48">
        <f t="shared" si="1"/>
        <v>14400</v>
      </c>
      <c r="V48">
        <v>256</v>
      </c>
      <c r="W48">
        <v>1</v>
      </c>
      <c r="X48">
        <v>4</v>
      </c>
      <c r="Y48">
        <v>4.3410599999999997</v>
      </c>
    </row>
    <row r="49" spans="1:25" x14ac:dyDescent="0.25">
      <c r="A49" s="25">
        <v>12800</v>
      </c>
      <c r="B49" s="25">
        <v>256</v>
      </c>
      <c r="C49" s="25">
        <v>2</v>
      </c>
      <c r="D49" s="25">
        <v>2</v>
      </c>
      <c r="E49">
        <v>4.2355999999999998</v>
      </c>
      <c r="G49" s="25">
        <v>12800</v>
      </c>
      <c r="H49" s="25">
        <v>256</v>
      </c>
      <c r="I49" s="25">
        <v>2</v>
      </c>
      <c r="J49" s="25">
        <v>2</v>
      </c>
      <c r="K49" s="60">
        <v>3.8787600000000007</v>
      </c>
      <c r="M49">
        <v>12800</v>
      </c>
      <c r="N49">
        <f t="shared" si="0"/>
        <v>12864</v>
      </c>
      <c r="O49">
        <v>256</v>
      </c>
      <c r="P49">
        <v>2</v>
      </c>
      <c r="Q49">
        <v>2</v>
      </c>
      <c r="R49">
        <v>4.2355999999999998</v>
      </c>
      <c r="T49">
        <v>12800</v>
      </c>
      <c r="U49">
        <f t="shared" si="1"/>
        <v>12864</v>
      </c>
      <c r="V49">
        <v>256</v>
      </c>
      <c r="W49">
        <v>2</v>
      </c>
      <c r="X49">
        <v>2</v>
      </c>
      <c r="Y49">
        <v>3.8787600000000007</v>
      </c>
    </row>
    <row r="50" spans="1:25" x14ac:dyDescent="0.25">
      <c r="A50" s="25">
        <v>13568</v>
      </c>
      <c r="B50" s="25">
        <v>256</v>
      </c>
      <c r="C50" s="25">
        <v>2</v>
      </c>
      <c r="D50" s="25">
        <v>2</v>
      </c>
      <c r="E50">
        <v>4.2350000000000003</v>
      </c>
      <c r="G50" s="25">
        <v>13568</v>
      </c>
      <c r="H50" s="25">
        <v>256</v>
      </c>
      <c r="I50" s="25">
        <v>2</v>
      </c>
      <c r="J50" s="25">
        <v>2</v>
      </c>
      <c r="K50" s="60">
        <v>3.9777399999999998</v>
      </c>
      <c r="M50">
        <v>13568</v>
      </c>
      <c r="N50">
        <f t="shared" si="0"/>
        <v>13632</v>
      </c>
      <c r="O50">
        <v>256</v>
      </c>
      <c r="P50">
        <v>2</v>
      </c>
      <c r="Q50">
        <v>2</v>
      </c>
      <c r="R50">
        <v>4.2350000000000003</v>
      </c>
      <c r="T50">
        <v>13568</v>
      </c>
      <c r="U50">
        <f t="shared" si="1"/>
        <v>13632</v>
      </c>
      <c r="V50">
        <v>256</v>
      </c>
      <c r="W50">
        <v>2</v>
      </c>
      <c r="X50">
        <v>2</v>
      </c>
      <c r="Y50">
        <v>3.9777399999999998</v>
      </c>
    </row>
    <row r="51" spans="1:25" x14ac:dyDescent="0.25">
      <c r="A51" s="25">
        <v>14336</v>
      </c>
      <c r="B51" s="25">
        <v>256</v>
      </c>
      <c r="C51" s="25">
        <v>2</v>
      </c>
      <c r="D51" s="25">
        <v>2</v>
      </c>
      <c r="E51">
        <v>4.2256200000000002</v>
      </c>
      <c r="G51" s="25">
        <v>14336</v>
      </c>
      <c r="H51" s="25">
        <v>256</v>
      </c>
      <c r="I51" s="25">
        <v>2</v>
      </c>
      <c r="J51" s="25">
        <v>2</v>
      </c>
      <c r="K51" s="60">
        <v>4.0524399999999998</v>
      </c>
      <c r="M51">
        <v>14336</v>
      </c>
      <c r="N51">
        <f t="shared" si="0"/>
        <v>14400</v>
      </c>
      <c r="O51">
        <v>256</v>
      </c>
      <c r="P51">
        <v>2</v>
      </c>
      <c r="Q51">
        <v>2</v>
      </c>
      <c r="R51">
        <v>4.2256200000000002</v>
      </c>
      <c r="T51">
        <v>14336</v>
      </c>
      <c r="U51">
        <f t="shared" si="1"/>
        <v>14400</v>
      </c>
      <c r="V51">
        <v>256</v>
      </c>
      <c r="W51">
        <v>2</v>
      </c>
      <c r="X51">
        <v>2</v>
      </c>
      <c r="Y51">
        <v>4.0524399999999998</v>
      </c>
    </row>
    <row r="52" spans="1:25" x14ac:dyDescent="0.25">
      <c r="A52" s="25">
        <v>0</v>
      </c>
      <c r="B52" s="25">
        <v>0</v>
      </c>
      <c r="C52" s="25">
        <v>0</v>
      </c>
      <c r="D52" s="25">
        <v>0</v>
      </c>
      <c r="E52">
        <v>0</v>
      </c>
      <c r="G52" s="25">
        <v>0</v>
      </c>
      <c r="H52" s="25">
        <v>0</v>
      </c>
      <c r="I52" s="25">
        <v>0</v>
      </c>
      <c r="J52" s="25">
        <v>0</v>
      </c>
      <c r="K52" s="60">
        <v>0</v>
      </c>
    </row>
    <row r="53" spans="1:25" x14ac:dyDescent="0.25">
      <c r="A53" s="25">
        <v>0</v>
      </c>
      <c r="B53" s="25">
        <v>0</v>
      </c>
      <c r="C53" s="25">
        <v>0</v>
      </c>
      <c r="D53" s="25">
        <v>0</v>
      </c>
      <c r="E53">
        <v>0</v>
      </c>
      <c r="G53" s="25">
        <v>0</v>
      </c>
      <c r="H53" s="25">
        <v>0</v>
      </c>
      <c r="I53" s="25">
        <v>0</v>
      </c>
      <c r="J53" s="25">
        <v>0</v>
      </c>
      <c r="K53" s="60">
        <v>0</v>
      </c>
    </row>
    <row r="54" spans="1:25" x14ac:dyDescent="0.25">
      <c r="A54" s="25">
        <v>0</v>
      </c>
      <c r="B54" s="25">
        <v>0</v>
      </c>
      <c r="C54" s="25">
        <v>0</v>
      </c>
      <c r="D54" s="25">
        <v>0</v>
      </c>
      <c r="E54">
        <v>0</v>
      </c>
      <c r="G54" s="25">
        <v>0</v>
      </c>
      <c r="H54" s="25">
        <v>0</v>
      </c>
      <c r="I54" s="25">
        <v>0</v>
      </c>
      <c r="J54" s="25">
        <v>0</v>
      </c>
      <c r="K54" s="60">
        <v>0</v>
      </c>
    </row>
    <row r="55" spans="1:25" x14ac:dyDescent="0.25">
      <c r="A55" s="25">
        <v>0</v>
      </c>
      <c r="B55" s="25">
        <v>0</v>
      </c>
      <c r="C55" s="25">
        <v>0</v>
      </c>
      <c r="D55" s="25">
        <v>0</v>
      </c>
      <c r="E55">
        <v>0</v>
      </c>
      <c r="G55" s="25">
        <v>0</v>
      </c>
      <c r="H55" s="25">
        <v>0</v>
      </c>
      <c r="I55" s="25">
        <v>0</v>
      </c>
      <c r="J55" s="25">
        <v>0</v>
      </c>
      <c r="K55" s="60">
        <v>0</v>
      </c>
    </row>
    <row r="56" spans="1:25" x14ac:dyDescent="0.25">
      <c r="A56" s="25">
        <v>0</v>
      </c>
      <c r="B56" s="25">
        <v>0</v>
      </c>
      <c r="C56" s="25">
        <v>0</v>
      </c>
      <c r="D56" s="25">
        <v>0</v>
      </c>
      <c r="E56">
        <v>0</v>
      </c>
      <c r="G56" s="25">
        <v>0</v>
      </c>
      <c r="H56" s="25">
        <v>0</v>
      </c>
      <c r="I56" s="25">
        <v>0</v>
      </c>
      <c r="J56" s="25">
        <v>0</v>
      </c>
      <c r="K56" s="60">
        <v>0</v>
      </c>
    </row>
    <row r="57" spans="1:25" x14ac:dyDescent="0.25">
      <c r="A57" s="25">
        <v>0</v>
      </c>
      <c r="B57" s="25">
        <v>0</v>
      </c>
      <c r="C57" s="25">
        <v>0</v>
      </c>
      <c r="D57" s="25">
        <v>0</v>
      </c>
      <c r="E57">
        <v>0</v>
      </c>
      <c r="G57" s="25">
        <v>0</v>
      </c>
      <c r="H57" s="25">
        <v>0</v>
      </c>
      <c r="I57" s="25">
        <v>0</v>
      </c>
      <c r="J57" s="25">
        <v>0</v>
      </c>
      <c r="K57" s="60">
        <v>0</v>
      </c>
    </row>
    <row r="58" spans="1:25" x14ac:dyDescent="0.25">
      <c r="A58" s="25">
        <v>0</v>
      </c>
      <c r="B58" s="25">
        <v>0</v>
      </c>
      <c r="C58" s="25">
        <v>0</v>
      </c>
      <c r="D58" s="25">
        <v>0</v>
      </c>
      <c r="E58">
        <v>0</v>
      </c>
      <c r="G58" s="25">
        <v>0</v>
      </c>
      <c r="H58" s="25">
        <v>0</v>
      </c>
      <c r="I58" s="25">
        <v>0</v>
      </c>
      <c r="J58" s="25">
        <v>0</v>
      </c>
      <c r="K58" s="60">
        <v>0</v>
      </c>
    </row>
    <row r="59" spans="1:25" x14ac:dyDescent="0.25">
      <c r="A59" s="25">
        <v>0</v>
      </c>
      <c r="B59" s="25">
        <v>0</v>
      </c>
      <c r="C59" s="25">
        <v>0</v>
      </c>
      <c r="D59" s="25">
        <v>0</v>
      </c>
      <c r="E59">
        <v>0</v>
      </c>
      <c r="G59" s="25">
        <v>0</v>
      </c>
      <c r="H59" s="25">
        <v>0</v>
      </c>
      <c r="I59" s="25">
        <v>0</v>
      </c>
      <c r="J59" s="25">
        <v>0</v>
      </c>
      <c r="K59" s="60">
        <v>0</v>
      </c>
    </row>
    <row r="60" spans="1:25" x14ac:dyDescent="0.25">
      <c r="A60" s="25">
        <v>0</v>
      </c>
      <c r="B60" s="25">
        <v>0</v>
      </c>
      <c r="C60" s="25">
        <v>0</v>
      </c>
      <c r="D60" s="25">
        <v>0</v>
      </c>
      <c r="E60">
        <v>0</v>
      </c>
      <c r="G60" s="25">
        <v>0</v>
      </c>
      <c r="H60" s="25">
        <v>0</v>
      </c>
      <c r="I60" s="25">
        <v>0</v>
      </c>
      <c r="J60" s="25">
        <v>0</v>
      </c>
      <c r="K60" s="60">
        <v>0</v>
      </c>
    </row>
    <row r="61" spans="1:25" x14ac:dyDescent="0.25">
      <c r="A61" s="25">
        <v>0</v>
      </c>
      <c r="B61" s="25">
        <v>0</v>
      </c>
      <c r="C61" s="25">
        <v>0</v>
      </c>
      <c r="D61" s="25">
        <v>0</v>
      </c>
      <c r="E61">
        <v>0</v>
      </c>
      <c r="G61" s="25">
        <v>0</v>
      </c>
      <c r="H61" s="25">
        <v>0</v>
      </c>
      <c r="I61" s="25">
        <v>0</v>
      </c>
      <c r="J61" s="25">
        <v>0</v>
      </c>
      <c r="K61" s="60">
        <v>0</v>
      </c>
    </row>
    <row r="62" spans="1:25" x14ac:dyDescent="0.25">
      <c r="A62" s="25">
        <v>0</v>
      </c>
      <c r="B62" s="25">
        <v>0</v>
      </c>
      <c r="C62" s="25">
        <v>0</v>
      </c>
      <c r="D62" s="25">
        <v>0</v>
      </c>
      <c r="E62">
        <v>0</v>
      </c>
      <c r="G62" s="25">
        <v>0</v>
      </c>
      <c r="H62" s="25">
        <v>0</v>
      </c>
      <c r="I62" s="25">
        <v>0</v>
      </c>
      <c r="J62" s="25">
        <v>0</v>
      </c>
      <c r="K62" s="60">
        <v>0</v>
      </c>
    </row>
    <row r="63" spans="1:25" x14ac:dyDescent="0.25">
      <c r="A63" s="25">
        <v>0</v>
      </c>
      <c r="B63" s="25">
        <v>0</v>
      </c>
      <c r="C63" s="25">
        <v>0</v>
      </c>
      <c r="D63" s="25">
        <v>0</v>
      </c>
      <c r="E63">
        <v>0</v>
      </c>
      <c r="G63" s="25">
        <v>0</v>
      </c>
      <c r="H63" s="25">
        <v>0</v>
      </c>
      <c r="I63" s="25">
        <v>0</v>
      </c>
      <c r="J63" s="25">
        <v>0</v>
      </c>
      <c r="K63" s="60">
        <v>0</v>
      </c>
    </row>
    <row r="64" spans="1:25" x14ac:dyDescent="0.25">
      <c r="A64" s="25">
        <v>0</v>
      </c>
      <c r="B64" s="25">
        <v>0</v>
      </c>
      <c r="C64" s="25">
        <v>0</v>
      </c>
      <c r="D64" s="25">
        <v>0</v>
      </c>
      <c r="E64">
        <v>0</v>
      </c>
      <c r="G64" s="25">
        <v>0</v>
      </c>
      <c r="H64" s="25">
        <v>0</v>
      </c>
      <c r="I64" s="25">
        <v>0</v>
      </c>
      <c r="J64" s="25">
        <v>0</v>
      </c>
      <c r="K64" s="60">
        <v>0</v>
      </c>
    </row>
    <row r="65" spans="1:11" x14ac:dyDescent="0.25">
      <c r="A65" s="25">
        <v>0</v>
      </c>
      <c r="B65" s="25">
        <v>0</v>
      </c>
      <c r="C65" s="25">
        <v>0</v>
      </c>
      <c r="D65" s="25">
        <v>0</v>
      </c>
      <c r="E65">
        <v>0</v>
      </c>
      <c r="G65" s="25">
        <v>0</v>
      </c>
      <c r="H65" s="25">
        <v>0</v>
      </c>
      <c r="I65" s="25">
        <v>0</v>
      </c>
      <c r="J65" s="25">
        <v>0</v>
      </c>
      <c r="K65" s="60">
        <v>0</v>
      </c>
    </row>
    <row r="66" spans="1:11" x14ac:dyDescent="0.25">
      <c r="A66" s="25">
        <v>0</v>
      </c>
      <c r="B66" s="25">
        <v>0</v>
      </c>
      <c r="C66" s="25">
        <v>0</v>
      </c>
      <c r="D66" s="25">
        <v>0</v>
      </c>
      <c r="E66">
        <v>0</v>
      </c>
      <c r="G66" s="25">
        <v>0</v>
      </c>
      <c r="H66" s="25">
        <v>0</v>
      </c>
      <c r="I66" s="25">
        <v>0</v>
      </c>
      <c r="J66" s="25">
        <v>0</v>
      </c>
      <c r="K66" s="60">
        <v>0</v>
      </c>
    </row>
    <row r="67" spans="1:11" x14ac:dyDescent="0.25">
      <c r="A67" s="25">
        <v>0</v>
      </c>
      <c r="B67" s="25">
        <v>0</v>
      </c>
      <c r="C67" s="25">
        <v>0</v>
      </c>
      <c r="D67" s="25">
        <v>0</v>
      </c>
      <c r="E67">
        <v>0</v>
      </c>
      <c r="G67" s="25">
        <v>0</v>
      </c>
      <c r="H67" s="25">
        <v>0</v>
      </c>
      <c r="I67" s="25">
        <v>0</v>
      </c>
      <c r="J67" s="25">
        <v>0</v>
      </c>
      <c r="K67" s="60">
        <v>0</v>
      </c>
    </row>
    <row r="68" spans="1:11" x14ac:dyDescent="0.25">
      <c r="A68" s="25">
        <v>0</v>
      </c>
      <c r="B68" s="25">
        <v>0</v>
      </c>
      <c r="C68" s="25">
        <v>0</v>
      </c>
      <c r="D68" s="25">
        <v>0</v>
      </c>
      <c r="E68">
        <v>0</v>
      </c>
      <c r="G68" s="25">
        <v>0</v>
      </c>
      <c r="H68" s="25">
        <v>0</v>
      </c>
      <c r="I68" s="25">
        <v>0</v>
      </c>
      <c r="J68" s="25">
        <v>0</v>
      </c>
      <c r="K68" s="60">
        <v>0</v>
      </c>
    </row>
    <row r="69" spans="1:11" x14ac:dyDescent="0.25">
      <c r="A69" s="25">
        <v>0</v>
      </c>
      <c r="B69" s="25">
        <v>0</v>
      </c>
      <c r="C69" s="25">
        <v>0</v>
      </c>
      <c r="D69" s="25">
        <v>0</v>
      </c>
      <c r="E69">
        <v>0</v>
      </c>
      <c r="G69" s="25">
        <v>0</v>
      </c>
      <c r="H69" s="25">
        <v>0</v>
      </c>
      <c r="I69" s="25">
        <v>0</v>
      </c>
      <c r="J69" s="25">
        <v>0</v>
      </c>
      <c r="K69" s="60">
        <v>0</v>
      </c>
    </row>
    <row r="70" spans="1:11" x14ac:dyDescent="0.25">
      <c r="A70" s="25">
        <v>0</v>
      </c>
      <c r="B70" s="25">
        <v>0</v>
      </c>
      <c r="C70" s="25">
        <v>0</v>
      </c>
      <c r="D70" s="25">
        <v>0</v>
      </c>
      <c r="E70">
        <v>0</v>
      </c>
      <c r="G70" s="25">
        <v>0</v>
      </c>
      <c r="H70" s="25">
        <v>0</v>
      </c>
      <c r="I70" s="25">
        <v>0</v>
      </c>
      <c r="J70" s="25">
        <v>0</v>
      </c>
      <c r="K70" s="60">
        <v>0</v>
      </c>
    </row>
    <row r="71" spans="1:11" x14ac:dyDescent="0.25">
      <c r="A71" s="25">
        <v>0</v>
      </c>
      <c r="B71" s="25">
        <v>0</v>
      </c>
      <c r="C71" s="25">
        <v>0</v>
      </c>
      <c r="D71" s="25">
        <v>0</v>
      </c>
      <c r="E71">
        <v>0</v>
      </c>
      <c r="G71" s="25">
        <v>0</v>
      </c>
      <c r="H71" s="25">
        <v>0</v>
      </c>
      <c r="I71" s="25">
        <v>0</v>
      </c>
      <c r="J71" s="25">
        <v>0</v>
      </c>
      <c r="K71" s="60">
        <v>0</v>
      </c>
    </row>
    <row r="72" spans="1:11" x14ac:dyDescent="0.25">
      <c r="A72" s="25">
        <v>0</v>
      </c>
      <c r="B72" s="25">
        <v>0</v>
      </c>
      <c r="C72" s="25">
        <v>0</v>
      </c>
      <c r="D72" s="25">
        <v>0</v>
      </c>
      <c r="E72">
        <v>0</v>
      </c>
      <c r="G72" s="25">
        <v>0</v>
      </c>
      <c r="H72" s="25">
        <v>0</v>
      </c>
      <c r="I72" s="25">
        <v>0</v>
      </c>
      <c r="J72" s="25">
        <v>0</v>
      </c>
      <c r="K72" s="60">
        <v>0</v>
      </c>
    </row>
    <row r="73" spans="1:11" x14ac:dyDescent="0.25">
      <c r="A73" s="25">
        <v>0</v>
      </c>
      <c r="B73" s="25">
        <v>0</v>
      </c>
      <c r="C73" s="25">
        <v>0</v>
      </c>
      <c r="D73" s="25">
        <v>0</v>
      </c>
      <c r="E73">
        <v>0</v>
      </c>
      <c r="G73" s="25">
        <v>0</v>
      </c>
      <c r="H73" s="25">
        <v>0</v>
      </c>
      <c r="I73" s="25">
        <v>0</v>
      </c>
      <c r="J73" s="25">
        <v>0</v>
      </c>
      <c r="K73" s="60">
        <v>0</v>
      </c>
    </row>
    <row r="74" spans="1:11" x14ac:dyDescent="0.25">
      <c r="A74" s="25">
        <v>0</v>
      </c>
      <c r="B74" s="25">
        <v>0</v>
      </c>
      <c r="C74" s="25">
        <v>0</v>
      </c>
      <c r="D74" s="25">
        <v>0</v>
      </c>
      <c r="E74">
        <v>0</v>
      </c>
      <c r="G74" s="25">
        <v>0</v>
      </c>
      <c r="H74" s="25">
        <v>0</v>
      </c>
      <c r="I74" s="25">
        <v>0</v>
      </c>
      <c r="J74" s="25">
        <v>0</v>
      </c>
      <c r="K74" s="60">
        <v>0</v>
      </c>
    </row>
    <row r="75" spans="1:11" x14ac:dyDescent="0.25">
      <c r="A75" s="25">
        <v>0</v>
      </c>
      <c r="B75" s="25">
        <v>0</v>
      </c>
      <c r="C75" s="25">
        <v>0</v>
      </c>
      <c r="D75" s="25">
        <v>0</v>
      </c>
      <c r="E75">
        <v>0</v>
      </c>
      <c r="G75" s="25">
        <v>0</v>
      </c>
      <c r="H75" s="25">
        <v>0</v>
      </c>
      <c r="I75" s="25">
        <v>0</v>
      </c>
      <c r="J75" s="25">
        <v>0</v>
      </c>
      <c r="K75" s="60">
        <v>0</v>
      </c>
    </row>
    <row r="76" spans="1:11" x14ac:dyDescent="0.25">
      <c r="A76" s="25">
        <v>0</v>
      </c>
      <c r="B76" s="25">
        <v>0</v>
      </c>
      <c r="C76" s="25">
        <v>0</v>
      </c>
      <c r="D76" s="25">
        <v>0</v>
      </c>
      <c r="E76">
        <v>0</v>
      </c>
      <c r="G76" s="25">
        <v>0</v>
      </c>
      <c r="H76" s="25">
        <v>0</v>
      </c>
      <c r="I76" s="25">
        <v>0</v>
      </c>
      <c r="J76" s="25">
        <v>0</v>
      </c>
      <c r="K76" s="60">
        <v>0</v>
      </c>
    </row>
    <row r="77" spans="1:11" x14ac:dyDescent="0.25">
      <c r="A77" s="25">
        <v>0</v>
      </c>
      <c r="B77" s="25">
        <v>0</v>
      </c>
      <c r="C77" s="25">
        <v>0</v>
      </c>
      <c r="D77" s="25">
        <v>0</v>
      </c>
      <c r="E77">
        <v>0</v>
      </c>
      <c r="G77" s="25">
        <v>0</v>
      </c>
      <c r="H77" s="25">
        <v>0</v>
      </c>
      <c r="I77" s="25">
        <v>0</v>
      </c>
      <c r="J77" s="25">
        <v>0</v>
      </c>
      <c r="K77" s="60">
        <v>0</v>
      </c>
    </row>
    <row r="78" spans="1:11" x14ac:dyDescent="0.25">
      <c r="A78" s="25">
        <v>0</v>
      </c>
      <c r="B78" s="25">
        <v>0</v>
      </c>
      <c r="C78" s="25">
        <v>0</v>
      </c>
      <c r="D78" s="25">
        <v>0</v>
      </c>
      <c r="E78">
        <v>0</v>
      </c>
      <c r="G78" s="25">
        <v>0</v>
      </c>
      <c r="H78" s="25">
        <v>0</v>
      </c>
      <c r="I78" s="25">
        <v>0</v>
      </c>
      <c r="J78" s="25">
        <v>0</v>
      </c>
      <c r="K78" s="60">
        <v>0</v>
      </c>
    </row>
    <row r="79" spans="1:11" x14ac:dyDescent="0.25">
      <c r="A79" s="25">
        <v>0</v>
      </c>
      <c r="B79" s="25">
        <v>0</v>
      </c>
      <c r="C79" s="25">
        <v>0</v>
      </c>
      <c r="D79" s="25">
        <v>0</v>
      </c>
      <c r="E79">
        <v>0</v>
      </c>
      <c r="G79" s="25">
        <v>0</v>
      </c>
      <c r="H79" s="25">
        <v>0</v>
      </c>
      <c r="I79" s="25">
        <v>0</v>
      </c>
      <c r="J79" s="25">
        <v>0</v>
      </c>
      <c r="K79" s="60">
        <v>0</v>
      </c>
    </row>
    <row r="80" spans="1:11" x14ac:dyDescent="0.25">
      <c r="A80" s="25">
        <v>0</v>
      </c>
      <c r="B80" s="25">
        <v>0</v>
      </c>
      <c r="C80" s="25">
        <v>0</v>
      </c>
      <c r="D80" s="25">
        <v>0</v>
      </c>
      <c r="E80">
        <v>0</v>
      </c>
      <c r="G80" s="25">
        <v>0</v>
      </c>
      <c r="H80" s="25">
        <v>0</v>
      </c>
      <c r="I80" s="25">
        <v>0</v>
      </c>
      <c r="J80" s="25">
        <v>0</v>
      </c>
      <c r="K80" s="60">
        <v>0</v>
      </c>
    </row>
    <row r="81" spans="1:11" x14ac:dyDescent="0.25">
      <c r="A81" s="25">
        <v>0</v>
      </c>
      <c r="B81" s="25">
        <v>0</v>
      </c>
      <c r="C81" s="25">
        <v>0</v>
      </c>
      <c r="D81" s="25">
        <v>0</v>
      </c>
      <c r="E81">
        <v>0</v>
      </c>
      <c r="G81" s="25">
        <v>0</v>
      </c>
      <c r="H81" s="25">
        <v>0</v>
      </c>
      <c r="I81" s="25">
        <v>0</v>
      </c>
      <c r="J81" s="25">
        <v>0</v>
      </c>
      <c r="K81" s="60">
        <v>0</v>
      </c>
    </row>
    <row r="82" spans="1:11" x14ac:dyDescent="0.25">
      <c r="A82" s="25">
        <v>0</v>
      </c>
      <c r="B82" s="25">
        <v>0</v>
      </c>
      <c r="C82" s="25">
        <v>0</v>
      </c>
      <c r="D82" s="25">
        <v>0</v>
      </c>
      <c r="E82">
        <v>0</v>
      </c>
      <c r="G82" s="25">
        <v>0</v>
      </c>
      <c r="H82" s="25">
        <v>0</v>
      </c>
      <c r="I82" s="25">
        <v>0</v>
      </c>
      <c r="J82" s="25">
        <v>0</v>
      </c>
      <c r="K82" s="60">
        <v>0</v>
      </c>
    </row>
    <row r="83" spans="1:11" x14ac:dyDescent="0.25">
      <c r="A83" s="25">
        <v>0</v>
      </c>
      <c r="B83" s="25">
        <v>0</v>
      </c>
      <c r="C83" s="25">
        <v>0</v>
      </c>
      <c r="D83" s="25">
        <v>0</v>
      </c>
      <c r="E83">
        <v>0</v>
      </c>
      <c r="G83" s="25">
        <v>0</v>
      </c>
      <c r="H83" s="25">
        <v>0</v>
      </c>
      <c r="I83" s="25">
        <v>0</v>
      </c>
      <c r="J83" s="25">
        <v>0</v>
      </c>
      <c r="K83" s="60">
        <v>0</v>
      </c>
    </row>
    <row r="84" spans="1:11" x14ac:dyDescent="0.25">
      <c r="A84" s="25">
        <v>0</v>
      </c>
      <c r="B84" s="25">
        <v>0</v>
      </c>
      <c r="C84" s="25">
        <v>0</v>
      </c>
      <c r="D84" s="25">
        <v>0</v>
      </c>
      <c r="E84">
        <v>0</v>
      </c>
      <c r="G84" s="25">
        <v>0</v>
      </c>
      <c r="H84" s="25">
        <v>0</v>
      </c>
      <c r="I84" s="25">
        <v>0</v>
      </c>
      <c r="J84" s="25">
        <v>0</v>
      </c>
      <c r="K84" s="60">
        <v>0</v>
      </c>
    </row>
    <row r="85" spans="1:11" x14ac:dyDescent="0.25">
      <c r="A85" s="25">
        <v>0</v>
      </c>
      <c r="B85" s="25">
        <v>0</v>
      </c>
      <c r="C85" s="25">
        <v>0</v>
      </c>
      <c r="D85" s="25">
        <v>0</v>
      </c>
      <c r="E85">
        <v>0</v>
      </c>
      <c r="G85" s="25">
        <v>0</v>
      </c>
      <c r="H85" s="25">
        <v>0</v>
      </c>
      <c r="I85" s="25">
        <v>0</v>
      </c>
      <c r="J85" s="25">
        <v>0</v>
      </c>
      <c r="K85" s="60">
        <v>0</v>
      </c>
    </row>
    <row r="86" spans="1:11" x14ac:dyDescent="0.25">
      <c r="A86" s="25">
        <v>0</v>
      </c>
      <c r="B86" s="25">
        <v>0</v>
      </c>
      <c r="C86" s="25">
        <v>0</v>
      </c>
      <c r="D86" s="25">
        <v>0</v>
      </c>
      <c r="E86">
        <v>0</v>
      </c>
      <c r="G86" s="25">
        <v>0</v>
      </c>
      <c r="H86" s="25">
        <v>0</v>
      </c>
      <c r="I86" s="25">
        <v>0</v>
      </c>
      <c r="J86" s="25">
        <v>0</v>
      </c>
      <c r="K86" s="60">
        <v>0</v>
      </c>
    </row>
    <row r="87" spans="1:11" x14ac:dyDescent="0.25">
      <c r="A87" s="25">
        <v>0</v>
      </c>
      <c r="B87" s="25">
        <v>0</v>
      </c>
      <c r="C87" s="25">
        <v>0</v>
      </c>
      <c r="D87" s="25">
        <v>0</v>
      </c>
      <c r="E87">
        <v>0</v>
      </c>
      <c r="G87" s="25">
        <v>0</v>
      </c>
      <c r="H87" s="25">
        <v>0</v>
      </c>
      <c r="I87" s="25">
        <v>0</v>
      </c>
      <c r="J87" s="25">
        <v>0</v>
      </c>
      <c r="K87" s="60">
        <v>0</v>
      </c>
    </row>
    <row r="88" spans="1:11" x14ac:dyDescent="0.25">
      <c r="A88" s="25">
        <v>0</v>
      </c>
      <c r="B88" s="25">
        <v>0</v>
      </c>
      <c r="C88" s="25">
        <v>0</v>
      </c>
      <c r="D88" s="25">
        <v>0</v>
      </c>
      <c r="E88">
        <v>0</v>
      </c>
      <c r="G88" s="25">
        <v>0</v>
      </c>
      <c r="H88" s="25">
        <v>0</v>
      </c>
      <c r="I88" s="25">
        <v>0</v>
      </c>
      <c r="J88" s="25">
        <v>0</v>
      </c>
      <c r="K88" s="60">
        <v>0</v>
      </c>
    </row>
    <row r="89" spans="1:11" x14ac:dyDescent="0.25">
      <c r="A89" s="25">
        <v>0</v>
      </c>
      <c r="B89" s="25">
        <v>0</v>
      </c>
      <c r="C89" s="25">
        <v>0</v>
      </c>
      <c r="D89" s="25">
        <v>0</v>
      </c>
      <c r="E89">
        <v>0</v>
      </c>
      <c r="G89" s="25">
        <v>0</v>
      </c>
      <c r="H89" s="25">
        <v>0</v>
      </c>
      <c r="I89" s="25">
        <v>0</v>
      </c>
      <c r="J89" s="25">
        <v>0</v>
      </c>
      <c r="K89" s="60">
        <v>0</v>
      </c>
    </row>
    <row r="90" spans="1:11" x14ac:dyDescent="0.25">
      <c r="A90" s="25">
        <v>0</v>
      </c>
      <c r="B90" s="25">
        <v>0</v>
      </c>
      <c r="C90" s="25">
        <v>0</v>
      </c>
      <c r="D90" s="25">
        <v>0</v>
      </c>
      <c r="E90">
        <v>0</v>
      </c>
      <c r="G90" s="25">
        <v>0</v>
      </c>
      <c r="H90" s="25">
        <v>0</v>
      </c>
      <c r="I90" s="25">
        <v>0</v>
      </c>
      <c r="J90" s="25">
        <v>0</v>
      </c>
      <c r="K90" s="60">
        <v>0</v>
      </c>
    </row>
    <row r="91" spans="1:11" x14ac:dyDescent="0.25">
      <c r="A91" s="25">
        <v>0</v>
      </c>
      <c r="B91" s="25">
        <v>0</v>
      </c>
      <c r="C91" s="25">
        <v>0</v>
      </c>
      <c r="D91" s="25">
        <v>0</v>
      </c>
      <c r="E91">
        <v>0</v>
      </c>
      <c r="G91" s="25">
        <v>0</v>
      </c>
      <c r="H91" s="25">
        <v>0</v>
      </c>
      <c r="I91" s="25">
        <v>0</v>
      </c>
      <c r="J91" s="25">
        <v>0</v>
      </c>
      <c r="K91" s="60">
        <v>0</v>
      </c>
    </row>
    <row r="92" spans="1:11" x14ac:dyDescent="0.25">
      <c r="A92" s="25">
        <v>0</v>
      </c>
      <c r="B92" s="25">
        <v>0</v>
      </c>
      <c r="C92" s="25">
        <v>0</v>
      </c>
      <c r="D92" s="25">
        <v>0</v>
      </c>
      <c r="E92">
        <v>0</v>
      </c>
      <c r="G92" s="25">
        <v>0</v>
      </c>
      <c r="H92" s="25">
        <v>0</v>
      </c>
      <c r="I92" s="25">
        <v>0</v>
      </c>
      <c r="J92" s="25">
        <v>0</v>
      </c>
      <c r="K92" s="60">
        <v>0</v>
      </c>
    </row>
    <row r="93" spans="1:11" x14ac:dyDescent="0.25">
      <c r="A93" s="25">
        <v>0</v>
      </c>
      <c r="B93" s="25">
        <v>0</v>
      </c>
      <c r="C93" s="25">
        <v>0</v>
      </c>
      <c r="D93" s="25">
        <v>0</v>
      </c>
      <c r="E93">
        <v>0</v>
      </c>
      <c r="G93" s="25">
        <v>0</v>
      </c>
      <c r="H93" s="25">
        <v>0</v>
      </c>
      <c r="I93" s="25">
        <v>0</v>
      </c>
      <c r="J93" s="25">
        <v>0</v>
      </c>
      <c r="K93" s="60">
        <v>0</v>
      </c>
    </row>
    <row r="94" spans="1:11" x14ac:dyDescent="0.25">
      <c r="A94" s="25">
        <v>0</v>
      </c>
      <c r="B94" s="25">
        <v>0</v>
      </c>
      <c r="C94" s="25">
        <v>0</v>
      </c>
      <c r="D94" s="25">
        <v>0</v>
      </c>
      <c r="E94">
        <v>0</v>
      </c>
      <c r="G94" s="25">
        <v>0</v>
      </c>
      <c r="H94" s="25">
        <v>0</v>
      </c>
      <c r="I94" s="25">
        <v>0</v>
      </c>
      <c r="J94" s="25">
        <v>0</v>
      </c>
      <c r="K94" s="60">
        <v>0</v>
      </c>
    </row>
    <row r="95" spans="1:11" x14ac:dyDescent="0.25">
      <c r="A95" s="25">
        <v>0</v>
      </c>
      <c r="B95" s="25">
        <v>0</v>
      </c>
      <c r="C95" s="25">
        <v>0</v>
      </c>
      <c r="D95" s="25">
        <v>0</v>
      </c>
      <c r="E95">
        <v>0</v>
      </c>
      <c r="G95" s="25">
        <v>0</v>
      </c>
      <c r="H95" s="25">
        <v>0</v>
      </c>
      <c r="I95" s="25">
        <v>0</v>
      </c>
      <c r="J95" s="25">
        <v>0</v>
      </c>
      <c r="K95" s="60">
        <v>0</v>
      </c>
    </row>
    <row r="96" spans="1:11" x14ac:dyDescent="0.25">
      <c r="A96" s="25">
        <v>0</v>
      </c>
      <c r="B96" s="25">
        <v>0</v>
      </c>
      <c r="C96" s="25">
        <v>0</v>
      </c>
      <c r="D96" s="25">
        <v>0</v>
      </c>
      <c r="E96">
        <v>0</v>
      </c>
      <c r="G96" s="25">
        <v>0</v>
      </c>
      <c r="H96" s="25">
        <v>0</v>
      </c>
      <c r="I96" s="25">
        <v>0</v>
      </c>
      <c r="J96" s="25">
        <v>0</v>
      </c>
      <c r="K96" s="60">
        <v>0</v>
      </c>
    </row>
    <row r="97" spans="1:11" x14ac:dyDescent="0.25">
      <c r="A97" s="25">
        <v>0</v>
      </c>
      <c r="B97" s="25">
        <v>0</v>
      </c>
      <c r="C97" s="25">
        <v>0</v>
      </c>
      <c r="D97" s="25">
        <v>0</v>
      </c>
      <c r="E97">
        <v>0</v>
      </c>
      <c r="G97" s="25">
        <v>0</v>
      </c>
      <c r="H97" s="25">
        <v>0</v>
      </c>
      <c r="I97" s="25">
        <v>0</v>
      </c>
      <c r="J97" s="25">
        <v>0</v>
      </c>
      <c r="K97" s="60">
        <v>0</v>
      </c>
    </row>
    <row r="98" spans="1:11" x14ac:dyDescent="0.25">
      <c r="A98" s="25">
        <v>0</v>
      </c>
      <c r="B98" s="25">
        <v>0</v>
      </c>
      <c r="C98" s="25">
        <v>0</v>
      </c>
      <c r="D98" s="25">
        <v>0</v>
      </c>
      <c r="E98">
        <v>0</v>
      </c>
      <c r="G98" s="25">
        <v>0</v>
      </c>
      <c r="H98" s="25">
        <v>0</v>
      </c>
      <c r="I98" s="25">
        <v>0</v>
      </c>
      <c r="J98" s="25">
        <v>0</v>
      </c>
      <c r="K98" s="60">
        <v>0</v>
      </c>
    </row>
    <row r="99" spans="1:11" x14ac:dyDescent="0.25">
      <c r="A99" s="25">
        <v>0</v>
      </c>
      <c r="B99" s="25">
        <v>0</v>
      </c>
      <c r="C99" s="25">
        <v>0</v>
      </c>
      <c r="D99" s="25">
        <v>0</v>
      </c>
      <c r="E99">
        <v>0</v>
      </c>
      <c r="G99" s="25">
        <v>0</v>
      </c>
      <c r="H99" s="25">
        <v>0</v>
      </c>
      <c r="I99" s="25">
        <v>0</v>
      </c>
      <c r="J99" s="25">
        <v>0</v>
      </c>
      <c r="K99" s="60">
        <v>0</v>
      </c>
    </row>
    <row r="100" spans="1:11" x14ac:dyDescent="0.25">
      <c r="A100" s="25">
        <v>0</v>
      </c>
      <c r="B100" s="25">
        <v>0</v>
      </c>
      <c r="C100" s="25">
        <v>0</v>
      </c>
      <c r="D100" s="25">
        <v>0</v>
      </c>
      <c r="E100">
        <v>0</v>
      </c>
      <c r="G100" s="25">
        <v>0</v>
      </c>
      <c r="H100" s="25">
        <v>0</v>
      </c>
      <c r="I100" s="25">
        <v>0</v>
      </c>
      <c r="J100" s="25">
        <v>0</v>
      </c>
      <c r="K100" s="60">
        <v>0</v>
      </c>
    </row>
    <row r="101" spans="1:11" x14ac:dyDescent="0.25">
      <c r="A101" s="25">
        <v>0</v>
      </c>
      <c r="B101" s="25">
        <v>0</v>
      </c>
      <c r="C101" s="25">
        <v>0</v>
      </c>
      <c r="D101" s="25">
        <v>0</v>
      </c>
      <c r="E101">
        <v>0</v>
      </c>
      <c r="G101" s="25">
        <v>0</v>
      </c>
      <c r="H101" s="25">
        <v>0</v>
      </c>
      <c r="I101" s="25">
        <v>0</v>
      </c>
      <c r="J101" s="25">
        <v>0</v>
      </c>
      <c r="K101" s="60">
        <v>0</v>
      </c>
    </row>
    <row r="102" spans="1:11" x14ac:dyDescent="0.25">
      <c r="A102" s="25">
        <v>0</v>
      </c>
      <c r="B102" s="25">
        <v>0</v>
      </c>
      <c r="C102" s="25">
        <v>0</v>
      </c>
      <c r="D102" s="25">
        <v>0</v>
      </c>
      <c r="E102">
        <v>0</v>
      </c>
      <c r="G102" s="25">
        <v>0</v>
      </c>
      <c r="H102" s="25">
        <v>0</v>
      </c>
      <c r="I102" s="25">
        <v>0</v>
      </c>
      <c r="J102" s="25">
        <v>0</v>
      </c>
      <c r="K102" s="60">
        <v>0</v>
      </c>
    </row>
    <row r="103" spans="1:11" x14ac:dyDescent="0.25">
      <c r="A103" s="25">
        <v>0</v>
      </c>
      <c r="B103" s="25">
        <v>0</v>
      </c>
      <c r="C103" s="25">
        <v>0</v>
      </c>
      <c r="D103" s="25">
        <v>0</v>
      </c>
      <c r="E103">
        <v>0</v>
      </c>
      <c r="G103" s="25">
        <v>0</v>
      </c>
      <c r="H103" s="25">
        <v>0</v>
      </c>
      <c r="I103" s="25">
        <v>0</v>
      </c>
      <c r="J103" s="25">
        <v>0</v>
      </c>
      <c r="K103" s="60">
        <v>0</v>
      </c>
    </row>
    <row r="104" spans="1:11" x14ac:dyDescent="0.25">
      <c r="A104" s="25">
        <v>0</v>
      </c>
      <c r="B104" s="25">
        <v>0</v>
      </c>
      <c r="C104" s="25">
        <v>0</v>
      </c>
      <c r="D104" s="25">
        <v>0</v>
      </c>
      <c r="E104">
        <v>0</v>
      </c>
      <c r="G104" s="25">
        <v>0</v>
      </c>
      <c r="H104" s="25">
        <v>0</v>
      </c>
      <c r="I104" s="25">
        <v>0</v>
      </c>
      <c r="J104" s="25">
        <v>0</v>
      </c>
      <c r="K104" s="60">
        <v>0</v>
      </c>
    </row>
    <row r="105" spans="1:11" x14ac:dyDescent="0.25">
      <c r="A105" s="25">
        <v>0</v>
      </c>
      <c r="B105" s="25">
        <v>0</v>
      </c>
      <c r="C105" s="25">
        <v>0</v>
      </c>
      <c r="D105" s="25">
        <v>0</v>
      </c>
      <c r="E105">
        <v>0</v>
      </c>
      <c r="G105" s="25">
        <v>0</v>
      </c>
      <c r="H105" s="25">
        <v>0</v>
      </c>
      <c r="I105" s="25">
        <v>0</v>
      </c>
      <c r="J105" s="25">
        <v>0</v>
      </c>
      <c r="K105" s="60">
        <v>0</v>
      </c>
    </row>
    <row r="106" spans="1:11" x14ac:dyDescent="0.25">
      <c r="A106" s="25">
        <v>0</v>
      </c>
      <c r="B106" s="25">
        <v>0</v>
      </c>
      <c r="C106" s="25">
        <v>0</v>
      </c>
      <c r="D106" s="25">
        <v>0</v>
      </c>
      <c r="E106">
        <v>0</v>
      </c>
      <c r="G106" s="25">
        <v>0</v>
      </c>
      <c r="H106" s="25">
        <v>0</v>
      </c>
      <c r="I106" s="25">
        <v>0</v>
      </c>
      <c r="J106" s="25">
        <v>0</v>
      </c>
      <c r="K106" s="60">
        <v>0</v>
      </c>
    </row>
    <row r="107" spans="1:11" x14ac:dyDescent="0.25">
      <c r="A107" s="25">
        <v>0</v>
      </c>
      <c r="B107" s="25">
        <v>0</v>
      </c>
      <c r="C107" s="25">
        <v>0</v>
      </c>
      <c r="D107" s="25">
        <v>0</v>
      </c>
      <c r="E107">
        <v>0</v>
      </c>
      <c r="G107" s="25">
        <v>0</v>
      </c>
      <c r="H107" s="25">
        <v>0</v>
      </c>
      <c r="I107" s="25">
        <v>0</v>
      </c>
      <c r="J107" s="25">
        <v>0</v>
      </c>
      <c r="K107" s="60">
        <v>0</v>
      </c>
    </row>
    <row r="108" spans="1:11" x14ac:dyDescent="0.25">
      <c r="A108" s="25">
        <v>0</v>
      </c>
      <c r="B108" s="25">
        <v>0</v>
      </c>
      <c r="C108" s="25">
        <v>0</v>
      </c>
      <c r="D108" s="25">
        <v>0</v>
      </c>
      <c r="E108">
        <v>0</v>
      </c>
      <c r="G108" s="25">
        <v>0</v>
      </c>
      <c r="H108" s="25">
        <v>0</v>
      </c>
      <c r="I108" s="25">
        <v>0</v>
      </c>
      <c r="J108" s="25">
        <v>0</v>
      </c>
      <c r="K108" s="60">
        <v>0</v>
      </c>
    </row>
    <row r="109" spans="1:11" x14ac:dyDescent="0.25">
      <c r="A109" s="25">
        <v>0</v>
      </c>
      <c r="B109" s="25">
        <v>0</v>
      </c>
      <c r="C109" s="25">
        <v>0</v>
      </c>
      <c r="D109" s="25">
        <v>0</v>
      </c>
      <c r="E109">
        <v>0</v>
      </c>
      <c r="G109" s="25">
        <v>0</v>
      </c>
      <c r="H109" s="25">
        <v>0</v>
      </c>
      <c r="I109" s="25">
        <v>0</v>
      </c>
      <c r="J109" s="25">
        <v>0</v>
      </c>
      <c r="K109" s="60">
        <v>0</v>
      </c>
    </row>
    <row r="110" spans="1:11" x14ac:dyDescent="0.25">
      <c r="A110" s="25">
        <v>0</v>
      </c>
      <c r="B110" s="25">
        <v>0</v>
      </c>
      <c r="C110" s="25">
        <v>0</v>
      </c>
      <c r="D110" s="25">
        <v>0</v>
      </c>
      <c r="E110">
        <v>0</v>
      </c>
      <c r="G110" s="25">
        <v>0</v>
      </c>
      <c r="H110" s="25">
        <v>0</v>
      </c>
      <c r="I110" s="25">
        <v>0</v>
      </c>
      <c r="J110" s="25">
        <v>0</v>
      </c>
      <c r="K110" s="60">
        <v>0</v>
      </c>
    </row>
    <row r="111" spans="1:11" x14ac:dyDescent="0.25">
      <c r="A111" s="25">
        <v>0</v>
      </c>
      <c r="B111" s="25">
        <v>0</v>
      </c>
      <c r="C111" s="25">
        <v>0</v>
      </c>
      <c r="D111" s="25">
        <v>0</v>
      </c>
      <c r="E111">
        <v>0</v>
      </c>
      <c r="G111" s="25">
        <v>0</v>
      </c>
      <c r="H111" s="25">
        <v>0</v>
      </c>
      <c r="I111" s="25">
        <v>0</v>
      </c>
      <c r="J111" s="25">
        <v>0</v>
      </c>
      <c r="K111" s="60">
        <v>0</v>
      </c>
    </row>
    <row r="112" spans="1:11" x14ac:dyDescent="0.25">
      <c r="A112" s="25">
        <v>0</v>
      </c>
      <c r="B112" s="25">
        <v>0</v>
      </c>
      <c r="C112" s="25">
        <v>0</v>
      </c>
      <c r="D112" s="25">
        <v>0</v>
      </c>
      <c r="E112">
        <v>0</v>
      </c>
      <c r="G112" s="25">
        <v>0</v>
      </c>
      <c r="H112" s="25">
        <v>0</v>
      </c>
      <c r="I112" s="25">
        <v>0</v>
      </c>
      <c r="J112" s="25">
        <v>0</v>
      </c>
      <c r="K112" s="60">
        <v>0</v>
      </c>
    </row>
    <row r="113" spans="1:11" x14ac:dyDescent="0.25">
      <c r="A113" s="25">
        <v>0</v>
      </c>
      <c r="B113" s="25">
        <v>0</v>
      </c>
      <c r="C113" s="25">
        <v>0</v>
      </c>
      <c r="D113" s="25">
        <v>0</v>
      </c>
      <c r="E113">
        <v>0</v>
      </c>
      <c r="G113" s="25">
        <v>0</v>
      </c>
      <c r="H113" s="25">
        <v>0</v>
      </c>
      <c r="I113" s="25">
        <v>0</v>
      </c>
      <c r="J113" s="25">
        <v>0</v>
      </c>
      <c r="K113" s="60">
        <v>0</v>
      </c>
    </row>
    <row r="114" spans="1:11" x14ac:dyDescent="0.25">
      <c r="A114" s="25">
        <v>0</v>
      </c>
      <c r="B114" s="25">
        <v>0</v>
      </c>
      <c r="C114" s="25">
        <v>0</v>
      </c>
      <c r="D114" s="25">
        <v>0</v>
      </c>
      <c r="E114">
        <v>0</v>
      </c>
      <c r="G114" s="25">
        <v>0</v>
      </c>
      <c r="H114" s="25">
        <v>0</v>
      </c>
      <c r="I114" s="25">
        <v>0</v>
      </c>
      <c r="J114" s="25">
        <v>0</v>
      </c>
      <c r="K114" s="60">
        <v>0</v>
      </c>
    </row>
    <row r="115" spans="1:11" x14ac:dyDescent="0.25">
      <c r="A115" s="25">
        <v>0</v>
      </c>
      <c r="B115" s="25">
        <v>0</v>
      </c>
      <c r="C115" s="25">
        <v>0</v>
      </c>
      <c r="D115" s="25">
        <v>0</v>
      </c>
      <c r="E115">
        <v>0</v>
      </c>
      <c r="G115" s="25">
        <v>0</v>
      </c>
      <c r="H115" s="25">
        <v>0</v>
      </c>
      <c r="I115" s="25">
        <v>0</v>
      </c>
      <c r="J115" s="25">
        <v>0</v>
      </c>
      <c r="K115" s="60">
        <v>0</v>
      </c>
    </row>
    <row r="116" spans="1:11" x14ac:dyDescent="0.25">
      <c r="A116" s="25">
        <v>0</v>
      </c>
      <c r="B116" s="25">
        <v>0</v>
      </c>
      <c r="C116" s="25">
        <v>0</v>
      </c>
      <c r="D116" s="25">
        <v>0</v>
      </c>
      <c r="E116">
        <v>0</v>
      </c>
      <c r="G116" s="25">
        <v>0</v>
      </c>
      <c r="H116" s="25">
        <v>0</v>
      </c>
      <c r="I116" s="25">
        <v>0</v>
      </c>
      <c r="J116" s="25">
        <v>0</v>
      </c>
      <c r="K116" s="60">
        <v>0</v>
      </c>
    </row>
    <row r="117" spans="1:11" x14ac:dyDescent="0.25">
      <c r="A117" s="25">
        <v>0</v>
      </c>
      <c r="B117" s="25">
        <v>0</v>
      </c>
      <c r="C117" s="25">
        <v>0</v>
      </c>
      <c r="D117" s="25">
        <v>0</v>
      </c>
      <c r="E117">
        <v>0</v>
      </c>
      <c r="G117" s="25">
        <v>0</v>
      </c>
      <c r="H117" s="25">
        <v>0</v>
      </c>
      <c r="I117" s="25">
        <v>0</v>
      </c>
      <c r="J117" s="25">
        <v>0</v>
      </c>
      <c r="K117" s="60">
        <v>0</v>
      </c>
    </row>
    <row r="118" spans="1:11" x14ac:dyDescent="0.25">
      <c r="A118" s="25">
        <v>0</v>
      </c>
      <c r="B118" s="25">
        <v>0</v>
      </c>
      <c r="C118" s="25">
        <v>0</v>
      </c>
      <c r="D118" s="25">
        <v>0</v>
      </c>
      <c r="E118">
        <v>0</v>
      </c>
      <c r="G118" s="25">
        <v>0</v>
      </c>
      <c r="H118" s="25">
        <v>0</v>
      </c>
      <c r="I118" s="25">
        <v>0</v>
      </c>
      <c r="J118" s="25">
        <v>0</v>
      </c>
      <c r="K118" s="60">
        <v>0</v>
      </c>
    </row>
    <row r="119" spans="1:11" x14ac:dyDescent="0.25">
      <c r="A119" s="25">
        <v>0</v>
      </c>
      <c r="B119" s="25">
        <v>0</v>
      </c>
      <c r="C119" s="25">
        <v>0</v>
      </c>
      <c r="D119" s="25">
        <v>0</v>
      </c>
      <c r="E119">
        <v>0</v>
      </c>
      <c r="G119" s="25">
        <v>0</v>
      </c>
      <c r="H119" s="25">
        <v>0</v>
      </c>
      <c r="I119" s="25">
        <v>0</v>
      </c>
      <c r="J119" s="25">
        <v>0</v>
      </c>
      <c r="K119" s="60">
        <v>0</v>
      </c>
    </row>
    <row r="120" spans="1:11" x14ac:dyDescent="0.25">
      <c r="A120" s="25">
        <v>0</v>
      </c>
      <c r="B120" s="25">
        <v>0</v>
      </c>
      <c r="C120" s="25">
        <v>0</v>
      </c>
      <c r="D120" s="25">
        <v>0</v>
      </c>
      <c r="E120">
        <v>0</v>
      </c>
      <c r="G120" s="25">
        <v>0</v>
      </c>
      <c r="H120" s="25">
        <v>0</v>
      </c>
      <c r="I120" s="25">
        <v>0</v>
      </c>
      <c r="J120" s="25">
        <v>0</v>
      </c>
      <c r="K120" s="60">
        <v>0</v>
      </c>
    </row>
    <row r="121" spans="1:11" x14ac:dyDescent="0.25">
      <c r="A121" s="25">
        <v>0</v>
      </c>
      <c r="B121" s="25">
        <v>0</v>
      </c>
      <c r="C121" s="25">
        <v>0</v>
      </c>
      <c r="D121" s="25">
        <v>0</v>
      </c>
      <c r="E121">
        <v>0</v>
      </c>
      <c r="G121" s="25">
        <v>0</v>
      </c>
      <c r="H121" s="25">
        <v>0</v>
      </c>
      <c r="I121" s="25">
        <v>0</v>
      </c>
      <c r="J121" s="25">
        <v>0</v>
      </c>
      <c r="K121" s="60">
        <v>0</v>
      </c>
    </row>
    <row r="122" spans="1:11" x14ac:dyDescent="0.25">
      <c r="A122" s="25">
        <v>0</v>
      </c>
      <c r="B122" s="25">
        <v>0</v>
      </c>
      <c r="C122" s="25">
        <v>0</v>
      </c>
      <c r="D122" s="25">
        <v>0</v>
      </c>
      <c r="E122">
        <v>0</v>
      </c>
      <c r="G122" s="25">
        <v>0</v>
      </c>
      <c r="H122" s="25">
        <v>0</v>
      </c>
      <c r="I122" s="25">
        <v>0</v>
      </c>
      <c r="J122" s="25">
        <v>0</v>
      </c>
      <c r="K122" s="60">
        <v>0</v>
      </c>
    </row>
    <row r="123" spans="1:11" x14ac:dyDescent="0.25">
      <c r="A123" s="25">
        <v>0</v>
      </c>
      <c r="B123" s="25">
        <v>0</v>
      </c>
      <c r="C123" s="25">
        <v>0</v>
      </c>
      <c r="D123" s="25">
        <v>0</v>
      </c>
      <c r="E123">
        <v>0</v>
      </c>
      <c r="G123" s="25">
        <v>0</v>
      </c>
      <c r="H123" s="25">
        <v>0</v>
      </c>
      <c r="I123" s="25">
        <v>0</v>
      </c>
      <c r="J123" s="25">
        <v>0</v>
      </c>
      <c r="K123" s="60">
        <v>0</v>
      </c>
    </row>
    <row r="124" spans="1:11" x14ac:dyDescent="0.25">
      <c r="A124" s="25">
        <v>0</v>
      </c>
      <c r="B124" s="25">
        <v>0</v>
      </c>
      <c r="C124" s="25">
        <v>0</v>
      </c>
      <c r="D124" s="25">
        <v>0</v>
      </c>
      <c r="E124">
        <v>0</v>
      </c>
      <c r="G124" s="25">
        <v>0</v>
      </c>
      <c r="H124" s="25">
        <v>0</v>
      </c>
      <c r="I124" s="25">
        <v>0</v>
      </c>
      <c r="J124" s="25">
        <v>0</v>
      </c>
      <c r="K124" s="60">
        <v>0</v>
      </c>
    </row>
    <row r="125" spans="1:11" x14ac:dyDescent="0.25">
      <c r="A125" s="25">
        <v>0</v>
      </c>
      <c r="B125" s="25">
        <v>0</v>
      </c>
      <c r="C125" s="25">
        <v>0</v>
      </c>
      <c r="D125" s="25">
        <v>0</v>
      </c>
      <c r="E125">
        <v>0</v>
      </c>
      <c r="G125" s="25">
        <v>0</v>
      </c>
      <c r="H125" s="25">
        <v>0</v>
      </c>
      <c r="I125" s="25">
        <v>0</v>
      </c>
      <c r="J125" s="25">
        <v>0</v>
      </c>
      <c r="K125" s="60">
        <v>0</v>
      </c>
    </row>
    <row r="126" spans="1:11" x14ac:dyDescent="0.25">
      <c r="A126" s="25">
        <v>0</v>
      </c>
      <c r="B126" s="25">
        <v>0</v>
      </c>
      <c r="C126" s="25">
        <v>0</v>
      </c>
      <c r="D126" s="25">
        <v>0</v>
      </c>
      <c r="E126">
        <v>0</v>
      </c>
      <c r="G126" s="25">
        <v>0</v>
      </c>
      <c r="H126" s="25">
        <v>0</v>
      </c>
      <c r="I126" s="25">
        <v>0</v>
      </c>
      <c r="J126" s="25">
        <v>0</v>
      </c>
      <c r="K126" s="60">
        <v>0</v>
      </c>
    </row>
    <row r="127" spans="1:11" x14ac:dyDescent="0.25">
      <c r="A127" s="25">
        <v>0</v>
      </c>
      <c r="B127" s="25">
        <v>0</v>
      </c>
      <c r="C127" s="25">
        <v>0</v>
      </c>
      <c r="D127" s="25">
        <v>0</v>
      </c>
      <c r="E127">
        <v>0</v>
      </c>
      <c r="G127" s="25">
        <v>0</v>
      </c>
      <c r="H127" s="25">
        <v>0</v>
      </c>
      <c r="I127" s="25">
        <v>0</v>
      </c>
      <c r="J127" s="25">
        <v>0</v>
      </c>
      <c r="K127" s="60">
        <v>0</v>
      </c>
    </row>
    <row r="128" spans="1:11" x14ac:dyDescent="0.25">
      <c r="A128" s="25">
        <v>0</v>
      </c>
      <c r="B128" s="25">
        <v>0</v>
      </c>
      <c r="C128" s="25">
        <v>0</v>
      </c>
      <c r="D128" s="25">
        <v>0</v>
      </c>
      <c r="E128">
        <v>0</v>
      </c>
      <c r="G128" s="25">
        <v>0</v>
      </c>
      <c r="H128" s="25">
        <v>0</v>
      </c>
      <c r="I128" s="25">
        <v>0</v>
      </c>
      <c r="J128" s="25">
        <v>0</v>
      </c>
      <c r="K128" s="60">
        <v>0</v>
      </c>
    </row>
    <row r="129" spans="1:11" x14ac:dyDescent="0.25">
      <c r="A129" s="25">
        <v>0</v>
      </c>
      <c r="B129" s="25">
        <v>0</v>
      </c>
      <c r="C129" s="25">
        <v>0</v>
      </c>
      <c r="D129" s="25">
        <v>0</v>
      </c>
      <c r="E129">
        <v>0</v>
      </c>
      <c r="G129" s="25">
        <v>0</v>
      </c>
      <c r="H129" s="25">
        <v>0</v>
      </c>
      <c r="I129" s="25">
        <v>0</v>
      </c>
      <c r="J129" s="25">
        <v>0</v>
      </c>
      <c r="K129" s="60">
        <v>0</v>
      </c>
    </row>
    <row r="130" spans="1:11" x14ac:dyDescent="0.25">
      <c r="A130" s="25">
        <v>0</v>
      </c>
      <c r="B130" s="25">
        <v>0</v>
      </c>
      <c r="C130" s="25">
        <v>0</v>
      </c>
      <c r="D130" s="25">
        <v>0</v>
      </c>
      <c r="E130">
        <v>0</v>
      </c>
      <c r="G130" s="25">
        <v>0</v>
      </c>
      <c r="H130" s="25">
        <v>0</v>
      </c>
      <c r="I130" s="25">
        <v>0</v>
      </c>
      <c r="J130" s="25">
        <v>0</v>
      </c>
      <c r="K130" s="60">
        <v>0</v>
      </c>
    </row>
    <row r="131" spans="1:11" x14ac:dyDescent="0.25">
      <c r="A131" s="25">
        <v>0</v>
      </c>
      <c r="B131" s="25">
        <v>0</v>
      </c>
      <c r="C131" s="25">
        <v>0</v>
      </c>
      <c r="D131" s="25">
        <v>0</v>
      </c>
      <c r="E131">
        <v>0</v>
      </c>
      <c r="G131" s="25">
        <v>0</v>
      </c>
      <c r="H131" s="25">
        <v>0</v>
      </c>
      <c r="I131" s="25">
        <v>0</v>
      </c>
      <c r="J131" s="25">
        <v>0</v>
      </c>
      <c r="K131" s="60">
        <v>0</v>
      </c>
    </row>
    <row r="132" spans="1:11" x14ac:dyDescent="0.25">
      <c r="A132" s="25">
        <v>0</v>
      </c>
      <c r="B132" s="25">
        <v>0</v>
      </c>
      <c r="C132" s="25">
        <v>0</v>
      </c>
      <c r="D132" s="25">
        <v>0</v>
      </c>
      <c r="E132">
        <v>0</v>
      </c>
      <c r="G132" s="25">
        <v>0</v>
      </c>
      <c r="H132" s="25">
        <v>0</v>
      </c>
      <c r="I132" s="25">
        <v>0</v>
      </c>
      <c r="J132" s="25">
        <v>0</v>
      </c>
      <c r="K132" s="60">
        <v>0</v>
      </c>
    </row>
    <row r="133" spans="1:11" x14ac:dyDescent="0.25">
      <c r="A133" s="25">
        <v>0</v>
      </c>
      <c r="B133" s="25">
        <v>0</v>
      </c>
      <c r="C133" s="25">
        <v>0</v>
      </c>
      <c r="D133" s="25">
        <v>0</v>
      </c>
      <c r="E133">
        <v>0</v>
      </c>
      <c r="G133" s="25">
        <v>0</v>
      </c>
      <c r="H133" s="25">
        <v>0</v>
      </c>
      <c r="I133" s="25">
        <v>0</v>
      </c>
      <c r="J133" s="25">
        <v>0</v>
      </c>
      <c r="K133" s="60">
        <v>0</v>
      </c>
    </row>
    <row r="134" spans="1:11" x14ac:dyDescent="0.25">
      <c r="A134" s="25">
        <v>0</v>
      </c>
      <c r="B134" s="25">
        <v>0</v>
      </c>
      <c r="C134" s="25">
        <v>0</v>
      </c>
      <c r="D134" s="25">
        <v>0</v>
      </c>
      <c r="E134">
        <v>0</v>
      </c>
      <c r="G134" s="25">
        <v>0</v>
      </c>
      <c r="H134" s="25">
        <v>0</v>
      </c>
      <c r="I134" s="25">
        <v>0</v>
      </c>
      <c r="J134" s="25">
        <v>0</v>
      </c>
      <c r="K134" s="60">
        <v>0</v>
      </c>
    </row>
    <row r="135" spans="1:11" x14ac:dyDescent="0.25">
      <c r="A135" s="25">
        <v>0</v>
      </c>
      <c r="B135" s="25">
        <v>0</v>
      </c>
      <c r="C135" s="25">
        <v>0</v>
      </c>
      <c r="D135" s="25">
        <v>0</v>
      </c>
      <c r="E135">
        <v>0</v>
      </c>
      <c r="G135" s="25">
        <v>0</v>
      </c>
      <c r="H135" s="25">
        <v>0</v>
      </c>
      <c r="I135" s="25">
        <v>0</v>
      </c>
      <c r="J135" s="25">
        <v>0</v>
      </c>
      <c r="K135" s="60">
        <v>0</v>
      </c>
    </row>
    <row r="136" spans="1:11" x14ac:dyDescent="0.25">
      <c r="A136" s="25">
        <v>0</v>
      </c>
      <c r="B136" s="25">
        <v>0</v>
      </c>
      <c r="C136" s="25">
        <v>0</v>
      </c>
      <c r="D136" s="25">
        <v>0</v>
      </c>
      <c r="E136">
        <v>0</v>
      </c>
      <c r="G136" s="25">
        <v>0</v>
      </c>
      <c r="H136" s="25">
        <v>0</v>
      </c>
      <c r="I136" s="25">
        <v>0</v>
      </c>
      <c r="J136" s="25">
        <v>0</v>
      </c>
      <c r="K136" s="60">
        <v>0</v>
      </c>
    </row>
    <row r="137" spans="1:11" x14ac:dyDescent="0.25">
      <c r="A137" s="25">
        <v>0</v>
      </c>
      <c r="B137" s="25">
        <v>0</v>
      </c>
      <c r="C137" s="25">
        <v>0</v>
      </c>
      <c r="D137" s="25">
        <v>0</v>
      </c>
      <c r="E137">
        <v>0</v>
      </c>
      <c r="G137" s="25">
        <v>0</v>
      </c>
      <c r="H137" s="25">
        <v>0</v>
      </c>
      <c r="I137" s="25">
        <v>0</v>
      </c>
      <c r="J137" s="25">
        <v>0</v>
      </c>
      <c r="K137" s="60">
        <v>0</v>
      </c>
    </row>
    <row r="138" spans="1:11" x14ac:dyDescent="0.25">
      <c r="A138" s="25">
        <v>0</v>
      </c>
      <c r="B138" s="25">
        <v>0</v>
      </c>
      <c r="C138" s="25">
        <v>0</v>
      </c>
      <c r="D138" s="25">
        <v>0</v>
      </c>
      <c r="E138">
        <v>0</v>
      </c>
      <c r="G138" s="25">
        <v>0</v>
      </c>
      <c r="H138" s="25">
        <v>0</v>
      </c>
      <c r="I138" s="25">
        <v>0</v>
      </c>
      <c r="J138" s="25">
        <v>0</v>
      </c>
      <c r="K138" s="60">
        <v>0</v>
      </c>
    </row>
    <row r="139" spans="1:11" x14ac:dyDescent="0.25">
      <c r="A139" s="25">
        <v>0</v>
      </c>
      <c r="B139" s="25">
        <v>0</v>
      </c>
      <c r="C139" s="25">
        <v>0</v>
      </c>
      <c r="D139" s="25">
        <v>0</v>
      </c>
      <c r="E139">
        <v>0</v>
      </c>
      <c r="G139" s="25">
        <v>0</v>
      </c>
      <c r="H139" s="25">
        <v>0</v>
      </c>
      <c r="I139" s="25">
        <v>0</v>
      </c>
      <c r="J139" s="25">
        <v>0</v>
      </c>
      <c r="K139" s="60">
        <v>0</v>
      </c>
    </row>
    <row r="140" spans="1:11" x14ac:dyDescent="0.25">
      <c r="A140" s="25">
        <v>0</v>
      </c>
      <c r="B140" s="25">
        <v>0</v>
      </c>
      <c r="C140" s="25">
        <v>0</v>
      </c>
      <c r="D140" s="25">
        <v>0</v>
      </c>
      <c r="E140">
        <v>0</v>
      </c>
      <c r="G140" s="25">
        <v>0</v>
      </c>
      <c r="H140" s="25">
        <v>0</v>
      </c>
      <c r="I140" s="25">
        <v>0</v>
      </c>
      <c r="J140" s="25">
        <v>0</v>
      </c>
      <c r="K140" s="60">
        <v>0</v>
      </c>
    </row>
    <row r="141" spans="1:11" x14ac:dyDescent="0.25">
      <c r="A141" s="25">
        <v>0</v>
      </c>
      <c r="B141" s="25">
        <v>0</v>
      </c>
      <c r="C141" s="25">
        <v>0</v>
      </c>
      <c r="D141" s="25">
        <v>0</v>
      </c>
      <c r="E141">
        <v>0</v>
      </c>
      <c r="G141" s="25">
        <v>0</v>
      </c>
      <c r="H141" s="25">
        <v>0</v>
      </c>
      <c r="I141" s="25">
        <v>0</v>
      </c>
      <c r="J141" s="25">
        <v>0</v>
      </c>
      <c r="K141" s="60">
        <v>0</v>
      </c>
    </row>
    <row r="142" spans="1:11" x14ac:dyDescent="0.25">
      <c r="A142" s="25">
        <v>0</v>
      </c>
      <c r="B142" s="25">
        <v>0</v>
      </c>
      <c r="C142" s="25">
        <v>0</v>
      </c>
      <c r="D142" s="25">
        <v>0</v>
      </c>
      <c r="E142">
        <v>0</v>
      </c>
      <c r="G142" s="25">
        <v>0</v>
      </c>
      <c r="H142" s="25">
        <v>0</v>
      </c>
      <c r="I142" s="25">
        <v>0</v>
      </c>
      <c r="J142" s="25">
        <v>0</v>
      </c>
      <c r="K142" s="60">
        <v>0</v>
      </c>
    </row>
    <row r="143" spans="1:11" x14ac:dyDescent="0.25">
      <c r="A143" s="25">
        <v>0</v>
      </c>
      <c r="B143" s="25">
        <v>0</v>
      </c>
      <c r="C143" s="25">
        <v>0</v>
      </c>
      <c r="D143" s="25">
        <v>0</v>
      </c>
      <c r="E143">
        <v>0</v>
      </c>
      <c r="G143" s="25">
        <v>0</v>
      </c>
      <c r="H143" s="25">
        <v>0</v>
      </c>
      <c r="I143" s="25">
        <v>0</v>
      </c>
      <c r="J143" s="25">
        <v>0</v>
      </c>
      <c r="K143" s="60">
        <v>0</v>
      </c>
    </row>
    <row r="144" spans="1:11" x14ac:dyDescent="0.25">
      <c r="A144" s="25">
        <v>0</v>
      </c>
      <c r="B144" s="25">
        <v>0</v>
      </c>
      <c r="C144" s="25">
        <v>0</v>
      </c>
      <c r="D144" s="25">
        <v>0</v>
      </c>
      <c r="E144">
        <v>0</v>
      </c>
      <c r="G144" s="25">
        <v>0</v>
      </c>
      <c r="H144" s="25">
        <v>0</v>
      </c>
      <c r="I144" s="25">
        <v>0</v>
      </c>
      <c r="J144" s="25">
        <v>0</v>
      </c>
      <c r="K144" s="60">
        <v>0</v>
      </c>
    </row>
    <row r="145" spans="1:11" x14ac:dyDescent="0.25">
      <c r="A145" s="25">
        <v>0</v>
      </c>
      <c r="B145" s="25">
        <v>0</v>
      </c>
      <c r="C145" s="25">
        <v>0</v>
      </c>
      <c r="D145" s="25">
        <v>0</v>
      </c>
      <c r="E145">
        <v>0</v>
      </c>
      <c r="G145" s="25">
        <v>0</v>
      </c>
      <c r="H145" s="25">
        <v>0</v>
      </c>
      <c r="I145" s="25">
        <v>0</v>
      </c>
      <c r="J145" s="25">
        <v>0</v>
      </c>
      <c r="K145" s="60">
        <v>0</v>
      </c>
    </row>
    <row r="146" spans="1:11" x14ac:dyDescent="0.25">
      <c r="A146" s="25">
        <v>0</v>
      </c>
      <c r="B146" s="25">
        <v>0</v>
      </c>
      <c r="C146" s="25">
        <v>0</v>
      </c>
      <c r="D146" s="25">
        <v>0</v>
      </c>
      <c r="E146">
        <v>0</v>
      </c>
      <c r="G146" s="25">
        <v>0</v>
      </c>
      <c r="H146" s="25">
        <v>0</v>
      </c>
      <c r="I146" s="25">
        <v>0</v>
      </c>
      <c r="J146" s="25">
        <v>0</v>
      </c>
      <c r="K146" s="60">
        <v>0</v>
      </c>
    </row>
    <row r="147" spans="1:11" x14ac:dyDescent="0.25">
      <c r="A147" s="25">
        <v>0</v>
      </c>
      <c r="B147" s="25">
        <v>0</v>
      </c>
      <c r="C147" s="25">
        <v>0</v>
      </c>
      <c r="D147" s="25">
        <v>0</v>
      </c>
      <c r="E147">
        <v>0</v>
      </c>
      <c r="G147" s="25">
        <v>0</v>
      </c>
      <c r="H147" s="25">
        <v>0</v>
      </c>
      <c r="I147" s="25">
        <v>0</v>
      </c>
      <c r="J147" s="25">
        <v>0</v>
      </c>
      <c r="K147" s="60">
        <v>0</v>
      </c>
    </row>
    <row r="148" spans="1:11" x14ac:dyDescent="0.25">
      <c r="A148" s="25">
        <v>0</v>
      </c>
      <c r="B148" s="25">
        <v>0</v>
      </c>
      <c r="C148" s="25">
        <v>0</v>
      </c>
      <c r="D148" s="25">
        <v>0</v>
      </c>
      <c r="E148">
        <v>0</v>
      </c>
      <c r="G148" s="25">
        <v>0</v>
      </c>
      <c r="H148" s="25">
        <v>0</v>
      </c>
      <c r="I148" s="25">
        <v>0</v>
      </c>
      <c r="J148" s="25">
        <v>0</v>
      </c>
      <c r="K148" s="60">
        <v>0</v>
      </c>
    </row>
    <row r="149" spans="1:11" x14ac:dyDescent="0.25">
      <c r="A149" s="25">
        <v>0</v>
      </c>
      <c r="B149" s="25">
        <v>0</v>
      </c>
      <c r="C149" s="25">
        <v>0</v>
      </c>
      <c r="D149" s="25">
        <v>0</v>
      </c>
      <c r="E149">
        <v>0</v>
      </c>
      <c r="G149" s="25">
        <v>0</v>
      </c>
      <c r="H149" s="25">
        <v>0</v>
      </c>
      <c r="I149" s="25">
        <v>0</v>
      </c>
      <c r="J149" s="25">
        <v>0</v>
      </c>
      <c r="K149" s="60">
        <v>0</v>
      </c>
    </row>
    <row r="150" spans="1:11" x14ac:dyDescent="0.25">
      <c r="A150" s="25">
        <v>0</v>
      </c>
      <c r="B150" s="25">
        <v>0</v>
      </c>
      <c r="C150" s="25">
        <v>0</v>
      </c>
      <c r="D150" s="25">
        <v>0</v>
      </c>
      <c r="E150">
        <v>0</v>
      </c>
      <c r="G150" s="25">
        <v>0</v>
      </c>
      <c r="H150" s="25">
        <v>0</v>
      </c>
      <c r="I150" s="25">
        <v>0</v>
      </c>
      <c r="J150" s="25">
        <v>0</v>
      </c>
      <c r="K150" s="60">
        <v>0</v>
      </c>
    </row>
    <row r="151" spans="1:11" x14ac:dyDescent="0.25">
      <c r="A151" s="25">
        <v>0</v>
      </c>
      <c r="B151" s="25">
        <v>0</v>
      </c>
      <c r="C151" s="25">
        <v>0</v>
      </c>
      <c r="D151" s="25">
        <v>0</v>
      </c>
      <c r="E151">
        <v>0</v>
      </c>
      <c r="G151" s="25">
        <v>0</v>
      </c>
      <c r="H151" s="25">
        <v>0</v>
      </c>
      <c r="I151" s="25">
        <v>0</v>
      </c>
      <c r="J151" s="25">
        <v>0</v>
      </c>
      <c r="K151" s="60">
        <v>0</v>
      </c>
    </row>
    <row r="152" spans="1:11" x14ac:dyDescent="0.25">
      <c r="A152" s="25">
        <v>0</v>
      </c>
      <c r="B152" s="25">
        <v>0</v>
      </c>
      <c r="C152" s="25">
        <v>0</v>
      </c>
      <c r="D152" s="25">
        <v>0</v>
      </c>
      <c r="E152">
        <v>0</v>
      </c>
      <c r="G152" s="25">
        <v>0</v>
      </c>
      <c r="H152" s="25">
        <v>0</v>
      </c>
      <c r="I152" s="25">
        <v>0</v>
      </c>
      <c r="J152" s="25">
        <v>0</v>
      </c>
      <c r="K152" s="60">
        <v>0</v>
      </c>
    </row>
    <row r="153" spans="1:11" x14ac:dyDescent="0.25">
      <c r="A153" s="25">
        <v>0</v>
      </c>
      <c r="B153" s="25">
        <v>0</v>
      </c>
      <c r="C153" s="25">
        <v>0</v>
      </c>
      <c r="D153" s="25">
        <v>0</v>
      </c>
      <c r="E153">
        <v>0</v>
      </c>
      <c r="G153" s="25">
        <v>0</v>
      </c>
      <c r="H153" s="25">
        <v>0</v>
      </c>
      <c r="I153" s="25">
        <v>0</v>
      </c>
      <c r="J153" s="25">
        <v>0</v>
      </c>
      <c r="K153" s="60">
        <v>0</v>
      </c>
    </row>
    <row r="154" spans="1:11" x14ac:dyDescent="0.25">
      <c r="A154" s="25">
        <v>0</v>
      </c>
      <c r="B154" s="25">
        <v>0</v>
      </c>
      <c r="C154" s="25">
        <v>0</v>
      </c>
      <c r="D154" s="25">
        <v>0</v>
      </c>
      <c r="E154">
        <v>0</v>
      </c>
      <c r="G154" s="25">
        <v>0</v>
      </c>
      <c r="H154" s="25">
        <v>0</v>
      </c>
      <c r="I154" s="25">
        <v>0</v>
      </c>
      <c r="J154" s="25">
        <v>0</v>
      </c>
      <c r="K154" s="60">
        <v>0</v>
      </c>
    </row>
    <row r="155" spans="1:11" x14ac:dyDescent="0.25">
      <c r="A155" s="25">
        <v>0</v>
      </c>
      <c r="B155" s="25">
        <v>0</v>
      </c>
      <c r="C155" s="25">
        <v>0</v>
      </c>
      <c r="D155" s="25">
        <v>0</v>
      </c>
      <c r="E155">
        <v>0</v>
      </c>
      <c r="G155" s="25">
        <v>0</v>
      </c>
      <c r="H155" s="25">
        <v>0</v>
      </c>
      <c r="I155" s="25">
        <v>0</v>
      </c>
      <c r="J155" s="25">
        <v>0</v>
      </c>
      <c r="K155" s="60">
        <v>0</v>
      </c>
    </row>
    <row r="156" spans="1:11" x14ac:dyDescent="0.25">
      <c r="A156" s="25">
        <v>0</v>
      </c>
      <c r="B156" s="25">
        <v>0</v>
      </c>
      <c r="C156" s="25">
        <v>0</v>
      </c>
      <c r="D156" s="25">
        <v>0</v>
      </c>
      <c r="E156">
        <v>0</v>
      </c>
      <c r="G156" s="25">
        <v>0</v>
      </c>
      <c r="H156" s="25">
        <v>0</v>
      </c>
      <c r="I156" s="25">
        <v>0</v>
      </c>
      <c r="J156" s="25">
        <v>0</v>
      </c>
      <c r="K156" s="60">
        <v>0</v>
      </c>
    </row>
    <row r="157" spans="1:11" x14ac:dyDescent="0.25">
      <c r="A157" s="25">
        <v>0</v>
      </c>
      <c r="B157" s="25">
        <v>0</v>
      </c>
      <c r="C157" s="25">
        <v>0</v>
      </c>
      <c r="D157" s="25">
        <v>0</v>
      </c>
      <c r="E157">
        <v>0</v>
      </c>
      <c r="G157" s="25">
        <v>0</v>
      </c>
      <c r="H157" s="25">
        <v>0</v>
      </c>
      <c r="I157" s="25">
        <v>0</v>
      </c>
      <c r="J157" s="25">
        <v>0</v>
      </c>
      <c r="K157" s="60">
        <v>0</v>
      </c>
    </row>
    <row r="158" spans="1:11" x14ac:dyDescent="0.25">
      <c r="A158" s="25">
        <v>0</v>
      </c>
      <c r="B158" s="25">
        <v>0</v>
      </c>
      <c r="C158" s="25">
        <v>0</v>
      </c>
      <c r="D158" s="25">
        <v>0</v>
      </c>
      <c r="E158">
        <v>0</v>
      </c>
      <c r="G158" s="25">
        <v>0</v>
      </c>
      <c r="H158" s="25">
        <v>0</v>
      </c>
      <c r="I158" s="25">
        <v>0</v>
      </c>
      <c r="J158" s="25">
        <v>0</v>
      </c>
      <c r="K158" s="60">
        <v>0</v>
      </c>
    </row>
    <row r="159" spans="1:11" x14ac:dyDescent="0.25">
      <c r="A159" s="25">
        <v>0</v>
      </c>
      <c r="B159" s="25">
        <v>0</v>
      </c>
      <c r="C159" s="25">
        <v>0</v>
      </c>
      <c r="D159" s="25">
        <v>0</v>
      </c>
      <c r="E159">
        <v>0</v>
      </c>
      <c r="G159" s="25">
        <v>0</v>
      </c>
      <c r="H159" s="25">
        <v>0</v>
      </c>
      <c r="I159" s="25">
        <v>0</v>
      </c>
      <c r="J159" s="25">
        <v>0</v>
      </c>
      <c r="K159" s="60">
        <v>0</v>
      </c>
    </row>
    <row r="160" spans="1:11" x14ac:dyDescent="0.25">
      <c r="A160" s="25">
        <v>0</v>
      </c>
      <c r="B160" s="25">
        <v>0</v>
      </c>
      <c r="C160" s="25">
        <v>0</v>
      </c>
      <c r="D160" s="25">
        <v>0</v>
      </c>
      <c r="E160">
        <v>0</v>
      </c>
      <c r="G160" s="25">
        <v>0</v>
      </c>
      <c r="H160" s="25">
        <v>0</v>
      </c>
      <c r="I160" s="25">
        <v>0</v>
      </c>
      <c r="J160" s="25">
        <v>0</v>
      </c>
      <c r="K160" s="60">
        <v>0</v>
      </c>
    </row>
    <row r="161" spans="1:11" x14ac:dyDescent="0.25">
      <c r="A161" s="25">
        <v>0</v>
      </c>
      <c r="B161" s="25">
        <v>0</v>
      </c>
      <c r="C161" s="25">
        <v>0</v>
      </c>
      <c r="D161" s="25">
        <v>0</v>
      </c>
      <c r="E161">
        <v>0</v>
      </c>
      <c r="G161" s="25">
        <v>0</v>
      </c>
      <c r="H161" s="25">
        <v>0</v>
      </c>
      <c r="I161" s="25">
        <v>0</v>
      </c>
      <c r="J161" s="25">
        <v>0</v>
      </c>
      <c r="K161" s="60">
        <v>0</v>
      </c>
    </row>
    <row r="162" spans="1:11" x14ac:dyDescent="0.25">
      <c r="A162" s="25">
        <v>0</v>
      </c>
      <c r="B162" s="25">
        <v>0</v>
      </c>
      <c r="C162" s="25">
        <v>0</v>
      </c>
      <c r="D162" s="25">
        <v>0</v>
      </c>
      <c r="E162">
        <v>0</v>
      </c>
      <c r="G162" s="25">
        <v>0</v>
      </c>
      <c r="H162" s="25">
        <v>0</v>
      </c>
      <c r="I162" s="25">
        <v>0</v>
      </c>
      <c r="J162" s="25">
        <v>0</v>
      </c>
      <c r="K162" s="60">
        <v>0</v>
      </c>
    </row>
    <row r="163" spans="1:11" x14ac:dyDescent="0.25">
      <c r="A163" s="25">
        <v>0</v>
      </c>
      <c r="B163" s="25">
        <v>0</v>
      </c>
      <c r="C163" s="25">
        <v>0</v>
      </c>
      <c r="D163" s="25">
        <v>0</v>
      </c>
      <c r="E163">
        <v>0</v>
      </c>
      <c r="G163" s="25">
        <v>0</v>
      </c>
      <c r="H163" s="25">
        <v>0</v>
      </c>
      <c r="I163" s="25">
        <v>0</v>
      </c>
      <c r="J163" s="25">
        <v>0</v>
      </c>
      <c r="K163" s="60">
        <v>0</v>
      </c>
    </row>
    <row r="164" spans="1:11" x14ac:dyDescent="0.25">
      <c r="A164" s="25">
        <v>0</v>
      </c>
      <c r="B164" s="25">
        <v>0</v>
      </c>
      <c r="C164" s="25">
        <v>0</v>
      </c>
      <c r="D164" s="25">
        <v>0</v>
      </c>
      <c r="E164">
        <v>0</v>
      </c>
      <c r="G164" s="25">
        <v>0</v>
      </c>
      <c r="H164" s="25">
        <v>0</v>
      </c>
      <c r="I164" s="25">
        <v>0</v>
      </c>
      <c r="J164" s="25">
        <v>0</v>
      </c>
      <c r="K164" s="60">
        <v>0</v>
      </c>
    </row>
    <row r="165" spans="1:11" x14ac:dyDescent="0.25">
      <c r="A165" s="25">
        <v>0</v>
      </c>
      <c r="B165" s="25">
        <v>0</v>
      </c>
      <c r="C165" s="25">
        <v>0</v>
      </c>
      <c r="D165" s="25">
        <v>0</v>
      </c>
      <c r="E165">
        <v>0</v>
      </c>
      <c r="G165" s="25">
        <v>0</v>
      </c>
      <c r="H165" s="25">
        <v>0</v>
      </c>
      <c r="I165" s="25">
        <v>0</v>
      </c>
      <c r="J165" s="25">
        <v>0</v>
      </c>
      <c r="K165" s="60">
        <v>0</v>
      </c>
    </row>
    <row r="166" spans="1:11" x14ac:dyDescent="0.25">
      <c r="A166" s="25">
        <v>0</v>
      </c>
      <c r="B166" s="25">
        <v>0</v>
      </c>
      <c r="C166" s="25">
        <v>0</v>
      </c>
      <c r="D166" s="25">
        <v>0</v>
      </c>
      <c r="E166">
        <v>0</v>
      </c>
      <c r="G166" s="25">
        <v>0</v>
      </c>
      <c r="H166" s="25">
        <v>0</v>
      </c>
      <c r="I166" s="25">
        <v>0</v>
      </c>
      <c r="J166" s="25">
        <v>0</v>
      </c>
      <c r="K166" s="60">
        <v>0</v>
      </c>
    </row>
    <row r="167" spans="1:11" x14ac:dyDescent="0.25">
      <c r="A167" s="25">
        <v>0</v>
      </c>
      <c r="B167" s="25">
        <v>0</v>
      </c>
      <c r="C167" s="25">
        <v>0</v>
      </c>
      <c r="D167" s="25">
        <v>0</v>
      </c>
      <c r="E167">
        <v>0</v>
      </c>
      <c r="G167" s="25">
        <v>0</v>
      </c>
      <c r="H167" s="25">
        <v>0</v>
      </c>
      <c r="I167" s="25">
        <v>0</v>
      </c>
      <c r="J167" s="25">
        <v>0</v>
      </c>
      <c r="K167" s="60">
        <v>0</v>
      </c>
    </row>
    <row r="168" spans="1:11" x14ac:dyDescent="0.25">
      <c r="A168" s="25">
        <v>0</v>
      </c>
      <c r="B168" s="25">
        <v>0</v>
      </c>
      <c r="C168" s="25">
        <v>0</v>
      </c>
      <c r="D168" s="25">
        <v>0</v>
      </c>
      <c r="E168">
        <v>0</v>
      </c>
      <c r="G168" s="25">
        <v>0</v>
      </c>
      <c r="H168" s="25">
        <v>0</v>
      </c>
      <c r="I168" s="25">
        <v>0</v>
      </c>
      <c r="J168" s="25">
        <v>0</v>
      </c>
      <c r="K168" s="60">
        <v>0</v>
      </c>
    </row>
    <row r="169" spans="1:11" x14ac:dyDescent="0.25">
      <c r="A169" s="25">
        <v>0</v>
      </c>
      <c r="B169" s="25">
        <v>0</v>
      </c>
      <c r="C169" s="25">
        <v>0</v>
      </c>
      <c r="D169" s="25">
        <v>0</v>
      </c>
      <c r="E169">
        <v>0</v>
      </c>
      <c r="G169" s="25">
        <v>0</v>
      </c>
      <c r="H169" s="25">
        <v>0</v>
      </c>
      <c r="I169" s="25">
        <v>0</v>
      </c>
      <c r="J169" s="25">
        <v>0</v>
      </c>
      <c r="K169" s="60">
        <v>0</v>
      </c>
    </row>
    <row r="170" spans="1:11" x14ac:dyDescent="0.25">
      <c r="A170" s="25">
        <v>0</v>
      </c>
      <c r="B170" s="25">
        <v>0</v>
      </c>
      <c r="C170" s="25">
        <v>0</v>
      </c>
      <c r="D170" s="25">
        <v>0</v>
      </c>
      <c r="E170">
        <v>0</v>
      </c>
      <c r="G170" s="25">
        <v>0</v>
      </c>
      <c r="H170" s="25">
        <v>0</v>
      </c>
      <c r="I170" s="25">
        <v>0</v>
      </c>
      <c r="J170" s="25">
        <v>0</v>
      </c>
      <c r="K170" s="60">
        <v>0</v>
      </c>
    </row>
    <row r="171" spans="1:11" x14ac:dyDescent="0.25">
      <c r="A171" s="25">
        <v>0</v>
      </c>
      <c r="B171" s="25">
        <v>0</v>
      </c>
      <c r="C171" s="25">
        <v>0</v>
      </c>
      <c r="D171" s="25">
        <v>0</v>
      </c>
      <c r="E171">
        <v>0</v>
      </c>
      <c r="G171" s="25">
        <v>0</v>
      </c>
      <c r="H171" s="25">
        <v>0</v>
      </c>
      <c r="I171" s="25">
        <v>0</v>
      </c>
      <c r="J171" s="25">
        <v>0</v>
      </c>
      <c r="K171" s="60">
        <v>0</v>
      </c>
    </row>
    <row r="172" spans="1:11" x14ac:dyDescent="0.25">
      <c r="A172" s="25">
        <v>0</v>
      </c>
      <c r="B172" s="25">
        <v>0</v>
      </c>
      <c r="C172" s="25">
        <v>0</v>
      </c>
      <c r="D172" s="25">
        <v>0</v>
      </c>
      <c r="E172">
        <v>0</v>
      </c>
      <c r="G172" s="25">
        <v>0</v>
      </c>
      <c r="H172" s="25">
        <v>0</v>
      </c>
      <c r="I172" s="25">
        <v>0</v>
      </c>
      <c r="J172" s="25">
        <v>0</v>
      </c>
      <c r="K172" s="60">
        <v>0</v>
      </c>
    </row>
    <row r="173" spans="1:11" x14ac:dyDescent="0.25">
      <c r="A173" s="25">
        <v>0</v>
      </c>
      <c r="B173" s="25">
        <v>0</v>
      </c>
      <c r="C173" s="25">
        <v>0</v>
      </c>
      <c r="D173" s="25">
        <v>0</v>
      </c>
      <c r="E173">
        <v>0</v>
      </c>
      <c r="G173" s="25">
        <v>0</v>
      </c>
      <c r="H173" s="25">
        <v>0</v>
      </c>
      <c r="I173" s="25">
        <v>0</v>
      </c>
      <c r="J173" s="25">
        <v>0</v>
      </c>
      <c r="K173" s="60">
        <v>0</v>
      </c>
    </row>
    <row r="174" spans="1:11" x14ac:dyDescent="0.25">
      <c r="A174" s="25">
        <v>0</v>
      </c>
      <c r="B174" s="25">
        <v>0</v>
      </c>
      <c r="C174" s="25">
        <v>0</v>
      </c>
      <c r="D174" s="25">
        <v>0</v>
      </c>
      <c r="E174">
        <v>0</v>
      </c>
      <c r="G174" s="25">
        <v>0</v>
      </c>
      <c r="H174" s="25">
        <v>0</v>
      </c>
      <c r="I174" s="25">
        <v>0</v>
      </c>
      <c r="J174" s="25">
        <v>0</v>
      </c>
      <c r="K174" s="60">
        <v>0</v>
      </c>
    </row>
    <row r="175" spans="1:11" x14ac:dyDescent="0.25">
      <c r="A175" s="25">
        <v>0</v>
      </c>
      <c r="B175" s="25">
        <v>0</v>
      </c>
      <c r="C175" s="25">
        <v>0</v>
      </c>
      <c r="D175" s="25">
        <v>0</v>
      </c>
      <c r="E175">
        <v>0</v>
      </c>
      <c r="G175" s="25">
        <v>0</v>
      </c>
      <c r="H175" s="25">
        <v>0</v>
      </c>
      <c r="I175" s="25">
        <v>0</v>
      </c>
      <c r="J175" s="25">
        <v>0</v>
      </c>
      <c r="K175" s="60">
        <v>0</v>
      </c>
    </row>
    <row r="176" spans="1:11" x14ac:dyDescent="0.25">
      <c r="A176" s="25">
        <v>0</v>
      </c>
      <c r="B176" s="25">
        <v>0</v>
      </c>
      <c r="C176" s="25">
        <v>0</v>
      </c>
      <c r="D176" s="25">
        <v>0</v>
      </c>
      <c r="E176">
        <v>0</v>
      </c>
      <c r="G176" s="25">
        <v>0</v>
      </c>
      <c r="H176" s="25">
        <v>0</v>
      </c>
      <c r="I176" s="25">
        <v>0</v>
      </c>
      <c r="J176" s="25">
        <v>0</v>
      </c>
      <c r="K176" s="60">
        <v>0</v>
      </c>
    </row>
    <row r="177" spans="1:11" x14ac:dyDescent="0.25">
      <c r="A177" s="25">
        <v>0</v>
      </c>
      <c r="B177" s="25">
        <v>0</v>
      </c>
      <c r="C177" s="25">
        <v>0</v>
      </c>
      <c r="D177" s="25">
        <v>0</v>
      </c>
      <c r="E177">
        <v>0</v>
      </c>
      <c r="G177" s="25">
        <v>0</v>
      </c>
      <c r="H177" s="25">
        <v>0</v>
      </c>
      <c r="I177" s="25">
        <v>0</v>
      </c>
      <c r="J177" s="25">
        <v>0</v>
      </c>
      <c r="K177" s="60">
        <v>0</v>
      </c>
    </row>
    <row r="178" spans="1:11" x14ac:dyDescent="0.25">
      <c r="A178" s="25">
        <v>0</v>
      </c>
      <c r="B178" s="25">
        <v>0</v>
      </c>
      <c r="C178" s="25">
        <v>0</v>
      </c>
      <c r="D178" s="25">
        <v>0</v>
      </c>
      <c r="E178">
        <v>0</v>
      </c>
      <c r="G178" s="25">
        <v>0</v>
      </c>
      <c r="H178" s="25">
        <v>0</v>
      </c>
      <c r="I178" s="25">
        <v>0</v>
      </c>
      <c r="J178" s="25">
        <v>0</v>
      </c>
      <c r="K178" s="60">
        <v>0</v>
      </c>
    </row>
    <row r="179" spans="1:11" x14ac:dyDescent="0.25">
      <c r="A179" s="25">
        <v>0</v>
      </c>
      <c r="B179" s="25">
        <v>0</v>
      </c>
      <c r="C179" s="25">
        <v>0</v>
      </c>
      <c r="D179" s="25">
        <v>0</v>
      </c>
      <c r="E179">
        <v>0</v>
      </c>
      <c r="G179" s="25">
        <v>0</v>
      </c>
      <c r="H179" s="25">
        <v>0</v>
      </c>
      <c r="I179" s="25">
        <v>0</v>
      </c>
      <c r="J179" s="25">
        <v>0</v>
      </c>
      <c r="K179" s="60">
        <v>0</v>
      </c>
    </row>
    <row r="180" spans="1:11" x14ac:dyDescent="0.25">
      <c r="A180" s="25">
        <v>0</v>
      </c>
      <c r="B180" s="25">
        <v>0</v>
      </c>
      <c r="C180" s="25">
        <v>0</v>
      </c>
      <c r="D180" s="25">
        <v>0</v>
      </c>
      <c r="E180">
        <v>0</v>
      </c>
      <c r="G180" s="25">
        <v>0</v>
      </c>
      <c r="H180" s="25">
        <v>0</v>
      </c>
      <c r="I180" s="25">
        <v>0</v>
      </c>
      <c r="J180" s="25">
        <v>0</v>
      </c>
      <c r="K180" s="60">
        <v>0</v>
      </c>
    </row>
    <row r="181" spans="1:11" x14ac:dyDescent="0.25">
      <c r="A181" s="25">
        <v>0</v>
      </c>
      <c r="B181" s="25">
        <v>0</v>
      </c>
      <c r="C181" s="25">
        <v>0</v>
      </c>
      <c r="D181" s="25">
        <v>0</v>
      </c>
      <c r="E181">
        <v>0</v>
      </c>
      <c r="G181" s="25">
        <v>0</v>
      </c>
      <c r="H181" s="25">
        <v>0</v>
      </c>
      <c r="I181" s="25">
        <v>0</v>
      </c>
      <c r="J181" s="25">
        <v>0</v>
      </c>
      <c r="K181" s="60">
        <v>0</v>
      </c>
    </row>
    <row r="182" spans="1:11" x14ac:dyDescent="0.25">
      <c r="A182" s="25">
        <v>0</v>
      </c>
      <c r="B182" s="25">
        <v>0</v>
      </c>
      <c r="C182" s="25">
        <v>0</v>
      </c>
      <c r="D182" s="25">
        <v>0</v>
      </c>
      <c r="E182">
        <v>0</v>
      </c>
      <c r="G182" s="25">
        <v>0</v>
      </c>
      <c r="H182" s="25">
        <v>0</v>
      </c>
      <c r="I182" s="25">
        <v>0</v>
      </c>
      <c r="J182" s="25">
        <v>0</v>
      </c>
      <c r="K182" s="60">
        <v>0</v>
      </c>
    </row>
    <row r="183" spans="1:11" x14ac:dyDescent="0.25">
      <c r="A183" s="25">
        <v>0</v>
      </c>
      <c r="B183" s="25">
        <v>0</v>
      </c>
      <c r="C183" s="25">
        <v>0</v>
      </c>
      <c r="D183" s="25">
        <v>0</v>
      </c>
      <c r="E183">
        <v>0</v>
      </c>
      <c r="G183" s="25">
        <v>0</v>
      </c>
      <c r="H183" s="25">
        <v>0</v>
      </c>
      <c r="I183" s="25">
        <v>0</v>
      </c>
      <c r="J183" s="25">
        <v>0</v>
      </c>
      <c r="K183" s="60">
        <v>0</v>
      </c>
    </row>
    <row r="184" spans="1:11" x14ac:dyDescent="0.25">
      <c r="A184" s="25">
        <v>0</v>
      </c>
      <c r="B184" s="25">
        <v>0</v>
      </c>
      <c r="C184" s="25">
        <v>0</v>
      </c>
      <c r="D184" s="25">
        <v>0</v>
      </c>
      <c r="E184">
        <v>0</v>
      </c>
      <c r="G184" s="25">
        <v>0</v>
      </c>
      <c r="H184" s="25">
        <v>0</v>
      </c>
      <c r="I184" s="25">
        <v>0</v>
      </c>
      <c r="J184" s="25">
        <v>0</v>
      </c>
      <c r="K184" s="60">
        <v>0</v>
      </c>
    </row>
    <row r="185" spans="1:11" x14ac:dyDescent="0.25">
      <c r="A185" s="25">
        <v>0</v>
      </c>
      <c r="B185" s="25">
        <v>0</v>
      </c>
      <c r="C185" s="25">
        <v>0</v>
      </c>
      <c r="D185" s="25">
        <v>0</v>
      </c>
      <c r="E185">
        <v>0</v>
      </c>
      <c r="G185" s="25">
        <v>0</v>
      </c>
      <c r="H185" s="25">
        <v>0</v>
      </c>
      <c r="I185" s="25">
        <v>0</v>
      </c>
      <c r="J185" s="25">
        <v>0</v>
      </c>
      <c r="K185" s="60">
        <v>0</v>
      </c>
    </row>
    <row r="186" spans="1:11" x14ac:dyDescent="0.25">
      <c r="A186" s="25">
        <v>0</v>
      </c>
      <c r="B186" s="25">
        <v>0</v>
      </c>
      <c r="C186" s="25">
        <v>0</v>
      </c>
      <c r="D186" s="25">
        <v>0</v>
      </c>
      <c r="E186">
        <v>0</v>
      </c>
      <c r="G186" s="25">
        <v>0</v>
      </c>
      <c r="H186" s="25">
        <v>0</v>
      </c>
      <c r="I186" s="25">
        <v>0</v>
      </c>
      <c r="J186" s="25">
        <v>0</v>
      </c>
      <c r="K186" s="60">
        <v>0</v>
      </c>
    </row>
    <row r="187" spans="1:11" x14ac:dyDescent="0.25">
      <c r="A187" s="25">
        <v>0</v>
      </c>
      <c r="B187" s="25">
        <v>0</v>
      </c>
      <c r="C187" s="25">
        <v>0</v>
      </c>
      <c r="D187" s="25">
        <v>0</v>
      </c>
      <c r="E187">
        <v>0</v>
      </c>
      <c r="G187" s="25">
        <v>0</v>
      </c>
      <c r="H187" s="25">
        <v>0</v>
      </c>
      <c r="I187" s="25">
        <v>0</v>
      </c>
      <c r="J187" s="25">
        <v>0</v>
      </c>
      <c r="K187" s="60">
        <v>0</v>
      </c>
    </row>
    <row r="188" spans="1:11" x14ac:dyDescent="0.25">
      <c r="A188" s="25">
        <v>0</v>
      </c>
      <c r="B188" s="25">
        <v>0</v>
      </c>
      <c r="C188" s="25">
        <v>0</v>
      </c>
      <c r="D188" s="25">
        <v>0</v>
      </c>
      <c r="E188">
        <v>0</v>
      </c>
      <c r="G188" s="25">
        <v>0</v>
      </c>
      <c r="H188" s="25">
        <v>0</v>
      </c>
      <c r="I188" s="25">
        <v>0</v>
      </c>
      <c r="J188" s="25">
        <v>0</v>
      </c>
      <c r="K188" s="60">
        <v>0</v>
      </c>
    </row>
    <row r="189" spans="1:11" x14ac:dyDescent="0.25">
      <c r="A189" s="25">
        <v>0</v>
      </c>
      <c r="B189" s="25">
        <v>0</v>
      </c>
      <c r="C189" s="25">
        <v>0</v>
      </c>
      <c r="D189" s="25">
        <v>0</v>
      </c>
      <c r="E189">
        <v>0</v>
      </c>
      <c r="G189" s="25">
        <v>0</v>
      </c>
      <c r="H189" s="25">
        <v>0</v>
      </c>
      <c r="I189" s="25">
        <v>0</v>
      </c>
      <c r="J189" s="25">
        <v>0</v>
      </c>
      <c r="K189" s="60">
        <v>0</v>
      </c>
    </row>
    <row r="190" spans="1:11" x14ac:dyDescent="0.25">
      <c r="A190" s="25">
        <v>0</v>
      </c>
      <c r="B190" s="25">
        <v>0</v>
      </c>
      <c r="C190" s="25">
        <v>0</v>
      </c>
      <c r="D190" s="25">
        <v>0</v>
      </c>
      <c r="E190">
        <v>0</v>
      </c>
      <c r="G190" s="25">
        <v>0</v>
      </c>
      <c r="H190" s="25">
        <v>0</v>
      </c>
      <c r="I190" s="25">
        <v>0</v>
      </c>
      <c r="J190" s="25">
        <v>0</v>
      </c>
      <c r="K190" s="60">
        <v>0</v>
      </c>
    </row>
    <row r="191" spans="1:11" x14ac:dyDescent="0.25">
      <c r="A191" s="25">
        <v>0</v>
      </c>
      <c r="B191" s="25">
        <v>0</v>
      </c>
      <c r="C191" s="25">
        <v>0</v>
      </c>
      <c r="D191" s="25">
        <v>0</v>
      </c>
      <c r="E191">
        <v>0</v>
      </c>
      <c r="G191" s="25">
        <v>0</v>
      </c>
      <c r="H191" s="25">
        <v>0</v>
      </c>
      <c r="I191" s="25">
        <v>0</v>
      </c>
      <c r="J191" s="25">
        <v>0</v>
      </c>
      <c r="K191" s="60">
        <v>0</v>
      </c>
    </row>
    <row r="192" spans="1:11" x14ac:dyDescent="0.25">
      <c r="A192" s="25">
        <v>0</v>
      </c>
      <c r="B192" s="25">
        <v>0</v>
      </c>
      <c r="C192" s="25">
        <v>0</v>
      </c>
      <c r="D192" s="25">
        <v>0</v>
      </c>
      <c r="E192">
        <v>0</v>
      </c>
      <c r="G192" s="25">
        <v>0</v>
      </c>
      <c r="H192" s="25">
        <v>0</v>
      </c>
      <c r="I192" s="25">
        <v>0</v>
      </c>
      <c r="J192" s="25">
        <v>0</v>
      </c>
      <c r="K192" s="60">
        <v>0</v>
      </c>
    </row>
    <row r="193" spans="1:11" x14ac:dyDescent="0.25">
      <c r="A193" s="25">
        <v>0</v>
      </c>
      <c r="B193" s="25">
        <v>0</v>
      </c>
      <c r="C193" s="25">
        <v>0</v>
      </c>
      <c r="D193" s="25">
        <v>0</v>
      </c>
      <c r="E193">
        <v>0</v>
      </c>
      <c r="G193" s="25">
        <v>0</v>
      </c>
      <c r="H193" s="25">
        <v>0</v>
      </c>
      <c r="I193" s="25">
        <v>0</v>
      </c>
      <c r="J193" s="25">
        <v>0</v>
      </c>
      <c r="K193" s="60">
        <v>0</v>
      </c>
    </row>
    <row r="194" spans="1:11" x14ac:dyDescent="0.25">
      <c r="A194" s="25">
        <v>0</v>
      </c>
      <c r="B194" s="25">
        <v>0</v>
      </c>
      <c r="C194" s="25">
        <v>0</v>
      </c>
      <c r="D194" s="25">
        <v>0</v>
      </c>
      <c r="E194">
        <v>0</v>
      </c>
      <c r="G194" s="25">
        <v>0</v>
      </c>
      <c r="H194" s="25">
        <v>0</v>
      </c>
      <c r="I194" s="25">
        <v>0</v>
      </c>
      <c r="J194" s="25">
        <v>0</v>
      </c>
      <c r="K194" s="60">
        <v>0</v>
      </c>
    </row>
    <row r="195" spans="1:11" x14ac:dyDescent="0.25">
      <c r="A195" s="25">
        <v>0</v>
      </c>
      <c r="B195" s="25">
        <v>0</v>
      </c>
      <c r="C195" s="25">
        <v>0</v>
      </c>
      <c r="D195" s="25">
        <v>0</v>
      </c>
      <c r="E195">
        <v>0</v>
      </c>
      <c r="G195" s="25">
        <v>0</v>
      </c>
      <c r="H195" s="25">
        <v>0</v>
      </c>
      <c r="I195" s="25">
        <v>0</v>
      </c>
      <c r="J195" s="25">
        <v>0</v>
      </c>
      <c r="K195" s="60">
        <v>0</v>
      </c>
    </row>
    <row r="196" spans="1:11" x14ac:dyDescent="0.25">
      <c r="A196" s="25">
        <v>0</v>
      </c>
      <c r="B196" s="25">
        <v>0</v>
      </c>
      <c r="C196" s="25">
        <v>0</v>
      </c>
      <c r="D196" s="25">
        <v>0</v>
      </c>
      <c r="E196">
        <v>0</v>
      </c>
      <c r="G196" s="25">
        <v>0</v>
      </c>
      <c r="H196" s="25">
        <v>0</v>
      </c>
      <c r="I196" s="25">
        <v>0</v>
      </c>
      <c r="J196" s="25">
        <v>0</v>
      </c>
      <c r="K196" s="60">
        <v>0</v>
      </c>
    </row>
    <row r="197" spans="1:11" x14ac:dyDescent="0.25">
      <c r="A197" s="25">
        <v>0</v>
      </c>
      <c r="B197" s="25">
        <v>0</v>
      </c>
      <c r="C197" s="25">
        <v>0</v>
      </c>
      <c r="D197" s="25">
        <v>0</v>
      </c>
      <c r="E197">
        <v>0</v>
      </c>
      <c r="G197" s="25">
        <v>0</v>
      </c>
      <c r="H197" s="25">
        <v>0</v>
      </c>
      <c r="I197" s="25">
        <v>0</v>
      </c>
      <c r="J197" s="25">
        <v>0</v>
      </c>
      <c r="K197" s="60">
        <v>0</v>
      </c>
    </row>
    <row r="198" spans="1:11" x14ac:dyDescent="0.25">
      <c r="A198" s="25">
        <v>0</v>
      </c>
      <c r="B198" s="25">
        <v>0</v>
      </c>
      <c r="C198" s="25">
        <v>0</v>
      </c>
      <c r="D198" s="25">
        <v>0</v>
      </c>
      <c r="E198">
        <v>0</v>
      </c>
      <c r="G198" s="25">
        <v>0</v>
      </c>
      <c r="H198" s="25">
        <v>0</v>
      </c>
      <c r="I198" s="25">
        <v>0</v>
      </c>
      <c r="J198" s="25">
        <v>0</v>
      </c>
      <c r="K198" s="60">
        <v>0</v>
      </c>
    </row>
    <row r="199" spans="1:11" x14ac:dyDescent="0.25">
      <c r="A199" s="25">
        <v>0</v>
      </c>
      <c r="B199" s="25">
        <v>0</v>
      </c>
      <c r="C199" s="25">
        <v>0</v>
      </c>
      <c r="D199" s="25">
        <v>0</v>
      </c>
      <c r="E199">
        <v>0</v>
      </c>
      <c r="G199" s="25">
        <v>0</v>
      </c>
      <c r="H199" s="25">
        <v>0</v>
      </c>
      <c r="I199" s="25">
        <v>0</v>
      </c>
      <c r="J199" s="25">
        <v>0</v>
      </c>
      <c r="K199" s="60">
        <v>0</v>
      </c>
    </row>
    <row r="200" spans="1:11" x14ac:dyDescent="0.25">
      <c r="A200" s="25">
        <v>0</v>
      </c>
      <c r="B200" s="25">
        <v>0</v>
      </c>
      <c r="C200" s="25">
        <v>0</v>
      </c>
      <c r="D200" s="25">
        <v>0</v>
      </c>
      <c r="E200">
        <v>0</v>
      </c>
      <c r="G200" s="25">
        <v>0</v>
      </c>
      <c r="H200" s="25">
        <v>0</v>
      </c>
      <c r="I200" s="25">
        <v>0</v>
      </c>
      <c r="J200" s="25">
        <v>0</v>
      </c>
      <c r="K200" s="60">
        <v>0</v>
      </c>
    </row>
    <row r="201" spans="1:11" x14ac:dyDescent="0.25">
      <c r="A201" s="25">
        <v>0</v>
      </c>
      <c r="B201" s="25">
        <v>0</v>
      </c>
      <c r="C201" s="25">
        <v>0</v>
      </c>
      <c r="D201" s="25">
        <v>0</v>
      </c>
      <c r="E201">
        <v>0</v>
      </c>
      <c r="G201" s="25">
        <v>0</v>
      </c>
      <c r="H201" s="25">
        <v>0</v>
      </c>
      <c r="I201" s="25">
        <v>0</v>
      </c>
      <c r="J201" s="25">
        <v>0</v>
      </c>
      <c r="K201" s="60">
        <v>0</v>
      </c>
    </row>
    <row r="202" spans="1:11" x14ac:dyDescent="0.25">
      <c r="A202" s="25">
        <v>0</v>
      </c>
      <c r="B202" s="25">
        <v>0</v>
      </c>
      <c r="C202" s="25">
        <v>0</v>
      </c>
      <c r="D202" s="25">
        <v>0</v>
      </c>
      <c r="E202">
        <v>0</v>
      </c>
      <c r="G202" s="25">
        <v>0</v>
      </c>
      <c r="H202" s="25">
        <v>0</v>
      </c>
      <c r="I202" s="25">
        <v>0</v>
      </c>
      <c r="J202" s="25">
        <v>0</v>
      </c>
      <c r="K202" s="60">
        <v>0</v>
      </c>
    </row>
    <row r="203" spans="1:11" x14ac:dyDescent="0.25">
      <c r="A203" s="25">
        <v>0</v>
      </c>
      <c r="B203" s="25">
        <v>0</v>
      </c>
      <c r="C203" s="25">
        <v>0</v>
      </c>
      <c r="D203" s="25">
        <v>0</v>
      </c>
      <c r="E203">
        <v>0</v>
      </c>
      <c r="G203" s="25">
        <v>0</v>
      </c>
      <c r="H203" s="25">
        <v>0</v>
      </c>
      <c r="I203" s="25">
        <v>0</v>
      </c>
      <c r="J203" s="25">
        <v>0</v>
      </c>
      <c r="K203" s="60">
        <v>0</v>
      </c>
    </row>
    <row r="204" spans="1:11" x14ac:dyDescent="0.25">
      <c r="A204" s="25">
        <v>0</v>
      </c>
      <c r="B204" s="25">
        <v>0</v>
      </c>
      <c r="C204" s="25">
        <v>0</v>
      </c>
      <c r="D204" s="25">
        <v>0</v>
      </c>
      <c r="E204">
        <v>0</v>
      </c>
      <c r="G204" s="25">
        <v>0</v>
      </c>
      <c r="H204" s="25">
        <v>0</v>
      </c>
      <c r="I204" s="25">
        <v>0</v>
      </c>
      <c r="J204" s="25">
        <v>0</v>
      </c>
      <c r="K204" s="60">
        <v>0</v>
      </c>
    </row>
    <row r="205" spans="1:11" x14ac:dyDescent="0.25">
      <c r="A205" s="25">
        <v>0</v>
      </c>
      <c r="B205" s="25">
        <v>0</v>
      </c>
      <c r="C205" s="25">
        <v>0</v>
      </c>
      <c r="D205" s="25">
        <v>0</v>
      </c>
      <c r="E205">
        <v>0</v>
      </c>
      <c r="G205" s="25">
        <v>0</v>
      </c>
      <c r="H205" s="25">
        <v>0</v>
      </c>
      <c r="I205" s="25">
        <v>0</v>
      </c>
      <c r="J205" s="25">
        <v>0</v>
      </c>
      <c r="K205" s="60">
        <v>0</v>
      </c>
    </row>
    <row r="206" spans="1:11" x14ac:dyDescent="0.25">
      <c r="A206" s="25">
        <v>0</v>
      </c>
      <c r="B206" s="25">
        <v>0</v>
      </c>
      <c r="C206" s="25">
        <v>0</v>
      </c>
      <c r="D206" s="25">
        <v>0</v>
      </c>
      <c r="E206">
        <v>0</v>
      </c>
      <c r="G206" s="25">
        <v>0</v>
      </c>
      <c r="H206" s="25">
        <v>0</v>
      </c>
      <c r="I206" s="25">
        <v>0</v>
      </c>
      <c r="J206" s="25">
        <v>0</v>
      </c>
      <c r="K206" s="60">
        <v>0</v>
      </c>
    </row>
    <row r="207" spans="1:11" x14ac:dyDescent="0.25">
      <c r="A207" s="25">
        <v>0</v>
      </c>
      <c r="B207" s="25">
        <v>0</v>
      </c>
      <c r="C207" s="25">
        <v>0</v>
      </c>
      <c r="D207" s="25">
        <v>0</v>
      </c>
      <c r="E207">
        <v>0</v>
      </c>
      <c r="G207" s="25">
        <v>0</v>
      </c>
      <c r="H207" s="25">
        <v>0</v>
      </c>
      <c r="I207" s="25">
        <v>0</v>
      </c>
      <c r="J207" s="25">
        <v>0</v>
      </c>
      <c r="K207" s="60">
        <v>0</v>
      </c>
    </row>
    <row r="208" spans="1:11" x14ac:dyDescent="0.25">
      <c r="A208" s="25">
        <v>0</v>
      </c>
      <c r="B208" s="25">
        <v>0</v>
      </c>
      <c r="C208" s="25">
        <v>0</v>
      </c>
      <c r="D208" s="25">
        <v>0</v>
      </c>
      <c r="E208">
        <v>0</v>
      </c>
      <c r="G208" s="25">
        <v>0</v>
      </c>
      <c r="H208" s="25">
        <v>0</v>
      </c>
      <c r="I208" s="25">
        <v>0</v>
      </c>
      <c r="J208" s="25">
        <v>0</v>
      </c>
      <c r="K208" s="60">
        <v>0</v>
      </c>
    </row>
    <row r="209" spans="1:11" x14ac:dyDescent="0.25">
      <c r="A209" s="25">
        <v>0</v>
      </c>
      <c r="B209" s="25">
        <v>0</v>
      </c>
      <c r="C209" s="25">
        <v>0</v>
      </c>
      <c r="D209" s="25">
        <v>0</v>
      </c>
      <c r="E209">
        <v>0</v>
      </c>
      <c r="G209" s="25">
        <v>0</v>
      </c>
      <c r="H209" s="25">
        <v>0</v>
      </c>
      <c r="I209" s="25">
        <v>0</v>
      </c>
      <c r="J209" s="25">
        <v>0</v>
      </c>
      <c r="K209" s="60">
        <v>0</v>
      </c>
    </row>
    <row r="210" spans="1:11" x14ac:dyDescent="0.25">
      <c r="A210" s="25">
        <v>0</v>
      </c>
      <c r="B210" s="25">
        <v>0</v>
      </c>
      <c r="C210" s="25">
        <v>0</v>
      </c>
      <c r="D210" s="25">
        <v>0</v>
      </c>
      <c r="E210">
        <v>0</v>
      </c>
      <c r="G210" s="25">
        <v>0</v>
      </c>
      <c r="H210" s="25">
        <v>0</v>
      </c>
      <c r="I210" s="25">
        <v>0</v>
      </c>
      <c r="J210" s="25">
        <v>0</v>
      </c>
      <c r="K210" s="60">
        <v>0</v>
      </c>
    </row>
    <row r="211" spans="1:11" x14ac:dyDescent="0.25">
      <c r="A211" s="25">
        <v>0</v>
      </c>
      <c r="B211" s="25">
        <v>0</v>
      </c>
      <c r="C211" s="25">
        <v>0</v>
      </c>
      <c r="D211" s="25">
        <v>0</v>
      </c>
      <c r="E211">
        <v>0</v>
      </c>
      <c r="G211" s="25">
        <v>0</v>
      </c>
      <c r="H211" s="25">
        <v>0</v>
      </c>
      <c r="I211" s="25">
        <v>0</v>
      </c>
      <c r="J211" s="25">
        <v>0</v>
      </c>
      <c r="K211" s="60">
        <v>0</v>
      </c>
    </row>
    <row r="212" spans="1:11" x14ac:dyDescent="0.25">
      <c r="A212" s="25">
        <v>0</v>
      </c>
      <c r="B212" s="25">
        <v>0</v>
      </c>
      <c r="C212" s="25">
        <v>0</v>
      </c>
      <c r="D212" s="25">
        <v>0</v>
      </c>
      <c r="E212">
        <v>0</v>
      </c>
      <c r="G212" s="25">
        <v>0</v>
      </c>
      <c r="H212" s="25">
        <v>0</v>
      </c>
      <c r="I212" s="25">
        <v>0</v>
      </c>
      <c r="J212" s="25">
        <v>0</v>
      </c>
      <c r="K212" s="60">
        <v>0</v>
      </c>
    </row>
    <row r="213" spans="1:11" x14ac:dyDescent="0.25">
      <c r="A213" s="25">
        <v>0</v>
      </c>
      <c r="B213" s="25">
        <v>0</v>
      </c>
      <c r="C213" s="25">
        <v>0</v>
      </c>
      <c r="D213" s="25">
        <v>0</v>
      </c>
      <c r="E213">
        <v>0</v>
      </c>
      <c r="G213" s="25">
        <v>0</v>
      </c>
      <c r="H213" s="25">
        <v>0</v>
      </c>
      <c r="I213" s="25">
        <v>0</v>
      </c>
      <c r="J213" s="25">
        <v>0</v>
      </c>
      <c r="K213" s="60">
        <v>0</v>
      </c>
    </row>
    <row r="214" spans="1:11" x14ac:dyDescent="0.25">
      <c r="A214" s="25">
        <v>0</v>
      </c>
      <c r="B214" s="25">
        <v>0</v>
      </c>
      <c r="C214" s="25">
        <v>0</v>
      </c>
      <c r="D214" s="25">
        <v>0</v>
      </c>
      <c r="E214">
        <v>0</v>
      </c>
      <c r="G214" s="25">
        <v>0</v>
      </c>
      <c r="H214" s="25">
        <v>0</v>
      </c>
      <c r="I214" s="25">
        <v>0</v>
      </c>
      <c r="J214" s="25">
        <v>0</v>
      </c>
      <c r="K214" s="60">
        <v>0</v>
      </c>
    </row>
    <row r="215" spans="1:11" x14ac:dyDescent="0.25">
      <c r="A215" s="25">
        <v>0</v>
      </c>
      <c r="B215" s="25">
        <v>0</v>
      </c>
      <c r="C215" s="25">
        <v>0</v>
      </c>
      <c r="D215" s="25">
        <v>0</v>
      </c>
      <c r="E215">
        <v>0</v>
      </c>
      <c r="G215" s="25">
        <v>0</v>
      </c>
      <c r="H215" s="25">
        <v>0</v>
      </c>
      <c r="I215" s="25">
        <v>0</v>
      </c>
      <c r="J215" s="25">
        <v>0</v>
      </c>
      <c r="K215" s="60">
        <v>0</v>
      </c>
    </row>
    <row r="216" spans="1:11" x14ac:dyDescent="0.25">
      <c r="A216" s="25">
        <v>0</v>
      </c>
      <c r="B216" s="25">
        <v>0</v>
      </c>
      <c r="C216" s="25">
        <v>0</v>
      </c>
      <c r="D216" s="25">
        <v>0</v>
      </c>
      <c r="E216">
        <v>0</v>
      </c>
      <c r="G216" s="25">
        <v>0</v>
      </c>
      <c r="H216" s="25">
        <v>0</v>
      </c>
      <c r="I216" s="25">
        <v>0</v>
      </c>
      <c r="J216" s="25">
        <v>0</v>
      </c>
      <c r="K216" s="60">
        <v>0</v>
      </c>
    </row>
    <row r="217" spans="1:11" x14ac:dyDescent="0.25">
      <c r="A217" s="25">
        <v>0</v>
      </c>
      <c r="B217" s="25">
        <v>0</v>
      </c>
      <c r="C217" s="25">
        <v>0</v>
      </c>
      <c r="D217" s="25">
        <v>0</v>
      </c>
      <c r="E217">
        <v>0</v>
      </c>
      <c r="G217" s="25">
        <v>0</v>
      </c>
      <c r="H217" s="25">
        <v>0</v>
      </c>
      <c r="I217" s="25">
        <v>0</v>
      </c>
      <c r="J217" s="25">
        <v>0</v>
      </c>
      <c r="K217" s="60">
        <v>0</v>
      </c>
    </row>
    <row r="218" spans="1:11" x14ac:dyDescent="0.25">
      <c r="A218" s="25">
        <v>0</v>
      </c>
      <c r="B218" s="25">
        <v>0</v>
      </c>
      <c r="C218" s="25">
        <v>0</v>
      </c>
      <c r="D218" s="25">
        <v>0</v>
      </c>
      <c r="E218">
        <v>0</v>
      </c>
      <c r="G218" s="25">
        <v>0</v>
      </c>
      <c r="H218" s="25">
        <v>0</v>
      </c>
      <c r="I218" s="25">
        <v>0</v>
      </c>
      <c r="J218" s="25">
        <v>0</v>
      </c>
      <c r="K218" s="60">
        <v>0</v>
      </c>
    </row>
    <row r="219" spans="1:11" x14ac:dyDescent="0.25">
      <c r="A219" s="25">
        <v>0</v>
      </c>
      <c r="B219" s="25">
        <v>0</v>
      </c>
      <c r="C219" s="25">
        <v>0</v>
      </c>
      <c r="D219" s="25">
        <v>0</v>
      </c>
      <c r="E219">
        <v>0</v>
      </c>
      <c r="G219" s="25">
        <v>0</v>
      </c>
      <c r="H219" s="25">
        <v>0</v>
      </c>
      <c r="I219" s="25">
        <v>0</v>
      </c>
      <c r="J219" s="25">
        <v>0</v>
      </c>
      <c r="K219" s="60">
        <v>0</v>
      </c>
    </row>
    <row r="220" spans="1:11" x14ac:dyDescent="0.25">
      <c r="A220" s="25">
        <v>0</v>
      </c>
      <c r="B220" s="25">
        <v>0</v>
      </c>
      <c r="C220" s="25">
        <v>0</v>
      </c>
      <c r="D220" s="25">
        <v>0</v>
      </c>
      <c r="E220">
        <v>0</v>
      </c>
      <c r="G220" s="25">
        <v>0</v>
      </c>
      <c r="H220" s="25">
        <v>0</v>
      </c>
      <c r="I220" s="25">
        <v>0</v>
      </c>
      <c r="J220" s="25">
        <v>0</v>
      </c>
      <c r="K220" s="60">
        <v>0</v>
      </c>
    </row>
    <row r="221" spans="1:11" x14ac:dyDescent="0.25">
      <c r="A221" s="25">
        <v>0</v>
      </c>
      <c r="B221" s="25">
        <v>0</v>
      </c>
      <c r="C221" s="25">
        <v>0</v>
      </c>
      <c r="D221" s="25">
        <v>0</v>
      </c>
      <c r="E221">
        <v>0</v>
      </c>
      <c r="G221" s="25">
        <v>0</v>
      </c>
      <c r="H221" s="25">
        <v>0</v>
      </c>
      <c r="I221" s="25">
        <v>0</v>
      </c>
      <c r="J221" s="25">
        <v>0</v>
      </c>
      <c r="K221" s="60">
        <v>0</v>
      </c>
    </row>
    <row r="222" spans="1:11" x14ac:dyDescent="0.25">
      <c r="A222" s="25">
        <v>0</v>
      </c>
      <c r="B222" s="25">
        <v>0</v>
      </c>
      <c r="C222" s="25">
        <v>0</v>
      </c>
      <c r="D222" s="25">
        <v>0</v>
      </c>
      <c r="E222">
        <v>0</v>
      </c>
      <c r="G222" s="25">
        <v>0</v>
      </c>
      <c r="H222" s="25">
        <v>0</v>
      </c>
      <c r="I222" s="25">
        <v>0</v>
      </c>
      <c r="J222" s="25">
        <v>0</v>
      </c>
      <c r="K222" s="60">
        <v>0</v>
      </c>
    </row>
    <row r="223" spans="1:11" x14ac:dyDescent="0.25">
      <c r="A223" s="25">
        <v>0</v>
      </c>
      <c r="B223" s="25">
        <v>0</v>
      </c>
      <c r="C223" s="25">
        <v>0</v>
      </c>
      <c r="D223" s="25">
        <v>0</v>
      </c>
      <c r="E223">
        <v>0</v>
      </c>
      <c r="G223" s="25">
        <v>0</v>
      </c>
      <c r="H223" s="25">
        <v>0</v>
      </c>
      <c r="I223" s="25">
        <v>0</v>
      </c>
      <c r="J223" s="25">
        <v>0</v>
      </c>
      <c r="K223" s="60">
        <v>0</v>
      </c>
    </row>
    <row r="224" spans="1:11" x14ac:dyDescent="0.25">
      <c r="A224" s="25">
        <v>0</v>
      </c>
      <c r="B224" s="25">
        <v>0</v>
      </c>
      <c r="C224" s="25">
        <v>0</v>
      </c>
      <c r="D224" s="25">
        <v>0</v>
      </c>
      <c r="E224">
        <v>0</v>
      </c>
      <c r="G224" s="25">
        <v>0</v>
      </c>
      <c r="H224" s="25">
        <v>0</v>
      </c>
      <c r="I224" s="25">
        <v>0</v>
      </c>
      <c r="J224" s="25">
        <v>0</v>
      </c>
      <c r="K224" s="60">
        <v>0</v>
      </c>
    </row>
    <row r="225" spans="1:11" x14ac:dyDescent="0.25">
      <c r="A225" s="25">
        <v>0</v>
      </c>
      <c r="B225" s="25">
        <v>0</v>
      </c>
      <c r="C225" s="25">
        <v>0</v>
      </c>
      <c r="D225" s="25">
        <v>0</v>
      </c>
      <c r="E225">
        <v>0</v>
      </c>
      <c r="G225" s="25">
        <v>0</v>
      </c>
      <c r="H225" s="25">
        <v>0</v>
      </c>
      <c r="I225" s="25">
        <v>0</v>
      </c>
      <c r="J225" s="25">
        <v>0</v>
      </c>
      <c r="K225" s="60">
        <v>0</v>
      </c>
    </row>
    <row r="226" spans="1:11" x14ac:dyDescent="0.25">
      <c r="A226" s="25">
        <v>0</v>
      </c>
      <c r="B226" s="25">
        <v>0</v>
      </c>
      <c r="C226" s="25">
        <v>0</v>
      </c>
      <c r="D226" s="25">
        <v>0</v>
      </c>
      <c r="E226">
        <v>0</v>
      </c>
      <c r="G226" s="25">
        <v>0</v>
      </c>
      <c r="H226" s="25">
        <v>0</v>
      </c>
      <c r="I226" s="25">
        <v>0</v>
      </c>
      <c r="J226" s="25">
        <v>0</v>
      </c>
      <c r="K226" s="60">
        <v>0</v>
      </c>
    </row>
    <row r="227" spans="1:11" x14ac:dyDescent="0.25">
      <c r="A227" s="25">
        <v>0</v>
      </c>
      <c r="B227" s="25">
        <v>0</v>
      </c>
      <c r="C227" s="25">
        <v>0</v>
      </c>
      <c r="D227" s="25">
        <v>0</v>
      </c>
      <c r="E227">
        <v>0</v>
      </c>
      <c r="G227" s="25">
        <v>0</v>
      </c>
      <c r="H227" s="25">
        <v>0</v>
      </c>
      <c r="I227" s="25">
        <v>0</v>
      </c>
      <c r="J227" s="25">
        <v>0</v>
      </c>
      <c r="K227" s="60">
        <v>0</v>
      </c>
    </row>
    <row r="228" spans="1:11" x14ac:dyDescent="0.25">
      <c r="A228" s="25">
        <v>0</v>
      </c>
      <c r="B228" s="25">
        <v>0</v>
      </c>
      <c r="C228" s="25">
        <v>0</v>
      </c>
      <c r="D228" s="25">
        <v>0</v>
      </c>
      <c r="E228">
        <v>0</v>
      </c>
      <c r="G228" s="25">
        <v>0</v>
      </c>
      <c r="H228" s="25">
        <v>0</v>
      </c>
      <c r="I228" s="25">
        <v>0</v>
      </c>
      <c r="J228" s="25">
        <v>0</v>
      </c>
      <c r="K228" s="60">
        <v>0</v>
      </c>
    </row>
    <row r="229" spans="1:11" x14ac:dyDescent="0.25">
      <c r="A229" s="25">
        <v>0</v>
      </c>
      <c r="B229" s="25">
        <v>0</v>
      </c>
      <c r="C229" s="25">
        <v>0</v>
      </c>
      <c r="D229" s="25">
        <v>0</v>
      </c>
      <c r="E229">
        <v>0</v>
      </c>
      <c r="G229" s="25">
        <v>0</v>
      </c>
      <c r="H229" s="25">
        <v>0</v>
      </c>
      <c r="I229" s="25">
        <v>0</v>
      </c>
      <c r="J229" s="25">
        <v>0</v>
      </c>
      <c r="K229" s="60">
        <v>0</v>
      </c>
    </row>
    <row r="230" spans="1:11" x14ac:dyDescent="0.25">
      <c r="A230" s="25">
        <v>0</v>
      </c>
      <c r="B230" s="25">
        <v>0</v>
      </c>
      <c r="C230" s="25">
        <v>0</v>
      </c>
      <c r="D230" s="25">
        <v>0</v>
      </c>
      <c r="E230">
        <v>0</v>
      </c>
      <c r="G230" s="25">
        <v>0</v>
      </c>
      <c r="H230" s="25">
        <v>0</v>
      </c>
      <c r="I230" s="25">
        <v>0</v>
      </c>
      <c r="J230" s="25">
        <v>0</v>
      </c>
      <c r="K230" s="60">
        <v>0</v>
      </c>
    </row>
    <row r="231" spans="1:11" x14ac:dyDescent="0.25">
      <c r="A231" s="25">
        <v>0</v>
      </c>
      <c r="B231" s="25">
        <v>0</v>
      </c>
      <c r="C231" s="25">
        <v>0</v>
      </c>
      <c r="D231" s="25">
        <v>0</v>
      </c>
      <c r="E231">
        <v>0</v>
      </c>
      <c r="G231" s="25">
        <v>0</v>
      </c>
      <c r="H231" s="25">
        <v>0</v>
      </c>
      <c r="I231" s="25">
        <v>0</v>
      </c>
      <c r="J231" s="25">
        <v>0</v>
      </c>
      <c r="K231" s="60">
        <v>0</v>
      </c>
    </row>
    <row r="232" spans="1:11" x14ac:dyDescent="0.25">
      <c r="A232" s="25">
        <v>0</v>
      </c>
      <c r="B232" s="25">
        <v>0</v>
      </c>
      <c r="C232" s="25">
        <v>0</v>
      </c>
      <c r="D232" s="25">
        <v>0</v>
      </c>
      <c r="E232">
        <v>0</v>
      </c>
      <c r="G232" s="25">
        <v>0</v>
      </c>
      <c r="H232" s="25">
        <v>0</v>
      </c>
      <c r="I232" s="25">
        <v>0</v>
      </c>
      <c r="J232" s="25">
        <v>0</v>
      </c>
      <c r="K232" s="60">
        <v>0</v>
      </c>
    </row>
    <row r="233" spans="1:11" x14ac:dyDescent="0.25">
      <c r="A233" s="25">
        <v>0</v>
      </c>
      <c r="B233" s="25">
        <v>0</v>
      </c>
      <c r="C233" s="25">
        <v>0</v>
      </c>
      <c r="D233" s="25">
        <v>0</v>
      </c>
      <c r="E233">
        <v>0</v>
      </c>
      <c r="G233" s="25">
        <v>0</v>
      </c>
      <c r="H233" s="25">
        <v>0</v>
      </c>
      <c r="I233" s="25">
        <v>0</v>
      </c>
      <c r="J233" s="25">
        <v>0</v>
      </c>
      <c r="K233" s="60">
        <v>0</v>
      </c>
    </row>
    <row r="234" spans="1:11" x14ac:dyDescent="0.25">
      <c r="A234" s="25">
        <v>0</v>
      </c>
      <c r="B234" s="25">
        <v>0</v>
      </c>
      <c r="C234" s="25">
        <v>0</v>
      </c>
      <c r="D234" s="25">
        <v>0</v>
      </c>
      <c r="E234">
        <v>0</v>
      </c>
      <c r="G234" s="25">
        <v>0</v>
      </c>
      <c r="H234" s="25">
        <v>0</v>
      </c>
      <c r="I234" s="25">
        <v>0</v>
      </c>
      <c r="J234" s="25">
        <v>0</v>
      </c>
      <c r="K234" s="60">
        <v>0</v>
      </c>
    </row>
    <row r="235" spans="1:11" x14ac:dyDescent="0.25">
      <c r="A235" s="25">
        <v>0</v>
      </c>
      <c r="B235" s="25">
        <v>0</v>
      </c>
      <c r="C235" s="25">
        <v>0</v>
      </c>
      <c r="D235" s="25">
        <v>0</v>
      </c>
      <c r="E235">
        <v>0</v>
      </c>
      <c r="G235" s="25">
        <v>0</v>
      </c>
      <c r="H235" s="25">
        <v>0</v>
      </c>
      <c r="I235" s="25">
        <v>0</v>
      </c>
      <c r="J235" s="25">
        <v>0</v>
      </c>
      <c r="K235" s="60">
        <v>0</v>
      </c>
    </row>
    <row r="236" spans="1:11" x14ac:dyDescent="0.25">
      <c r="A236" s="25">
        <v>0</v>
      </c>
      <c r="B236" s="25">
        <v>0</v>
      </c>
      <c r="C236" s="25">
        <v>0</v>
      </c>
      <c r="D236" s="25">
        <v>0</v>
      </c>
      <c r="E236">
        <v>0</v>
      </c>
      <c r="G236" s="25">
        <v>0</v>
      </c>
      <c r="H236" s="25">
        <v>0</v>
      </c>
      <c r="I236" s="25">
        <v>0</v>
      </c>
      <c r="J236" s="25">
        <v>0</v>
      </c>
      <c r="K236" s="60">
        <v>0</v>
      </c>
    </row>
    <row r="237" spans="1:11" x14ac:dyDescent="0.25">
      <c r="A237" s="25">
        <v>0</v>
      </c>
      <c r="B237" s="25">
        <v>0</v>
      </c>
      <c r="C237" s="25">
        <v>0</v>
      </c>
      <c r="D237" s="25">
        <v>0</v>
      </c>
      <c r="E237">
        <v>0</v>
      </c>
      <c r="G237" s="25">
        <v>0</v>
      </c>
      <c r="H237" s="25">
        <v>0</v>
      </c>
      <c r="I237" s="25">
        <v>0</v>
      </c>
      <c r="J237" s="25">
        <v>0</v>
      </c>
      <c r="K237" s="60">
        <v>0</v>
      </c>
    </row>
    <row r="238" spans="1:11" x14ac:dyDescent="0.25">
      <c r="A238" s="25">
        <v>0</v>
      </c>
      <c r="B238" s="25">
        <v>0</v>
      </c>
      <c r="C238" s="25">
        <v>0</v>
      </c>
      <c r="D238" s="25">
        <v>0</v>
      </c>
      <c r="E238">
        <v>0</v>
      </c>
      <c r="G238" s="25">
        <v>0</v>
      </c>
      <c r="H238" s="25">
        <v>0</v>
      </c>
      <c r="I238" s="25">
        <v>0</v>
      </c>
      <c r="J238" s="25">
        <v>0</v>
      </c>
      <c r="K238" s="60">
        <v>0</v>
      </c>
    </row>
    <row r="239" spans="1:11" x14ac:dyDescent="0.25">
      <c r="A239" s="25">
        <v>0</v>
      </c>
      <c r="B239" s="25">
        <v>0</v>
      </c>
      <c r="C239" s="25">
        <v>0</v>
      </c>
      <c r="D239" s="25">
        <v>0</v>
      </c>
      <c r="E239">
        <v>0</v>
      </c>
      <c r="G239" s="25">
        <v>0</v>
      </c>
      <c r="H239" s="25">
        <v>0</v>
      </c>
      <c r="I239" s="25">
        <v>0</v>
      </c>
      <c r="J239" s="25">
        <v>0</v>
      </c>
      <c r="K239" s="60">
        <v>0</v>
      </c>
    </row>
    <row r="240" spans="1:11" x14ac:dyDescent="0.25">
      <c r="A240" s="25">
        <v>0</v>
      </c>
      <c r="B240" s="25">
        <v>0</v>
      </c>
      <c r="C240" s="25">
        <v>0</v>
      </c>
      <c r="D240" s="25">
        <v>0</v>
      </c>
      <c r="E240">
        <v>0</v>
      </c>
      <c r="G240" s="25">
        <v>0</v>
      </c>
      <c r="H240" s="25">
        <v>0</v>
      </c>
      <c r="I240" s="25">
        <v>0</v>
      </c>
      <c r="J240" s="25">
        <v>0</v>
      </c>
      <c r="K240" s="60">
        <v>0</v>
      </c>
    </row>
    <row r="241" spans="1:11" x14ac:dyDescent="0.25">
      <c r="A241" s="25">
        <v>0</v>
      </c>
      <c r="B241" s="25">
        <v>0</v>
      </c>
      <c r="C241" s="25">
        <v>0</v>
      </c>
      <c r="D241" s="25">
        <v>0</v>
      </c>
      <c r="E241">
        <v>0</v>
      </c>
      <c r="G241" s="25">
        <v>0</v>
      </c>
      <c r="H241" s="25">
        <v>0</v>
      </c>
      <c r="I241" s="25">
        <v>0</v>
      </c>
      <c r="J241" s="25">
        <v>0</v>
      </c>
      <c r="K241" s="60">
        <v>0</v>
      </c>
    </row>
    <row r="242" spans="1:11" x14ac:dyDescent="0.25">
      <c r="A242" s="25">
        <v>0</v>
      </c>
      <c r="B242" s="25">
        <v>0</v>
      </c>
      <c r="C242" s="25">
        <v>0</v>
      </c>
      <c r="D242" s="25">
        <v>0</v>
      </c>
      <c r="E242">
        <v>0</v>
      </c>
      <c r="G242" s="25">
        <v>0</v>
      </c>
      <c r="H242" s="25">
        <v>0</v>
      </c>
      <c r="I242" s="25">
        <v>0</v>
      </c>
      <c r="J242" s="25">
        <v>0</v>
      </c>
      <c r="K242" s="60">
        <v>0</v>
      </c>
    </row>
    <row r="243" spans="1:11" x14ac:dyDescent="0.25">
      <c r="A243" s="25">
        <v>0</v>
      </c>
      <c r="B243" s="25">
        <v>0</v>
      </c>
      <c r="C243" s="25">
        <v>0</v>
      </c>
      <c r="D243" s="25">
        <v>0</v>
      </c>
      <c r="E243">
        <v>0</v>
      </c>
      <c r="G243" s="25">
        <v>0</v>
      </c>
      <c r="H243" s="25">
        <v>0</v>
      </c>
      <c r="I243" s="25">
        <v>0</v>
      </c>
      <c r="J243" s="25">
        <v>0</v>
      </c>
      <c r="K243" s="60">
        <v>0</v>
      </c>
    </row>
    <row r="244" spans="1:11" x14ac:dyDescent="0.25">
      <c r="A244" s="25">
        <v>0</v>
      </c>
      <c r="B244" s="25">
        <v>0</v>
      </c>
      <c r="C244" s="25">
        <v>0</v>
      </c>
      <c r="D244" s="25">
        <v>0</v>
      </c>
      <c r="E244">
        <v>0</v>
      </c>
      <c r="G244" s="25">
        <v>0</v>
      </c>
      <c r="H244" s="25">
        <v>0</v>
      </c>
      <c r="I244" s="25">
        <v>0</v>
      </c>
      <c r="J244" s="25">
        <v>0</v>
      </c>
      <c r="K244" s="60">
        <v>0</v>
      </c>
    </row>
    <row r="245" spans="1:11" x14ac:dyDescent="0.25">
      <c r="A245" s="25">
        <v>0</v>
      </c>
      <c r="B245" s="25">
        <v>0</v>
      </c>
      <c r="C245" s="25">
        <v>0</v>
      </c>
      <c r="D245" s="25">
        <v>0</v>
      </c>
      <c r="E245">
        <v>0</v>
      </c>
      <c r="G245" s="25">
        <v>0</v>
      </c>
      <c r="H245" s="25">
        <v>0</v>
      </c>
      <c r="I245" s="25">
        <v>0</v>
      </c>
      <c r="J245" s="25">
        <v>0</v>
      </c>
      <c r="K245" s="60">
        <v>0</v>
      </c>
    </row>
    <row r="246" spans="1:11" x14ac:dyDescent="0.25">
      <c r="A246" s="25">
        <v>0</v>
      </c>
      <c r="B246" s="25">
        <v>0</v>
      </c>
      <c r="C246" s="25">
        <v>0</v>
      </c>
      <c r="D246" s="25">
        <v>0</v>
      </c>
      <c r="E246">
        <v>0</v>
      </c>
      <c r="G246" s="25">
        <v>0</v>
      </c>
      <c r="H246" s="25">
        <v>0</v>
      </c>
      <c r="I246" s="25">
        <v>0</v>
      </c>
      <c r="J246" s="25">
        <v>0</v>
      </c>
      <c r="K246" s="60">
        <v>0</v>
      </c>
    </row>
    <row r="247" spans="1:11" x14ac:dyDescent="0.25">
      <c r="A247" s="25">
        <v>0</v>
      </c>
      <c r="B247" s="25">
        <v>0</v>
      </c>
      <c r="C247" s="25">
        <v>0</v>
      </c>
      <c r="D247" s="25">
        <v>0</v>
      </c>
      <c r="E247">
        <v>0</v>
      </c>
      <c r="G247" s="25">
        <v>0</v>
      </c>
      <c r="H247" s="25">
        <v>0</v>
      </c>
      <c r="I247" s="25">
        <v>0</v>
      </c>
      <c r="J247" s="25">
        <v>0</v>
      </c>
      <c r="K247" s="60">
        <v>0</v>
      </c>
    </row>
    <row r="248" spans="1:11" x14ac:dyDescent="0.25">
      <c r="A248" s="25">
        <v>0</v>
      </c>
      <c r="B248" s="25">
        <v>0</v>
      </c>
      <c r="C248" s="25">
        <v>0</v>
      </c>
      <c r="D248" s="25">
        <v>0</v>
      </c>
      <c r="E248">
        <v>0</v>
      </c>
      <c r="G248" s="25">
        <v>0</v>
      </c>
      <c r="H248" s="25">
        <v>0</v>
      </c>
      <c r="I248" s="25">
        <v>0</v>
      </c>
      <c r="J248" s="25">
        <v>0</v>
      </c>
      <c r="K248" s="60">
        <v>0</v>
      </c>
    </row>
    <row r="249" spans="1:11" x14ac:dyDescent="0.25">
      <c r="A249" s="25">
        <v>0</v>
      </c>
      <c r="B249" s="25">
        <v>0</v>
      </c>
      <c r="C249" s="25">
        <v>0</v>
      </c>
      <c r="D249" s="25">
        <v>0</v>
      </c>
      <c r="E249">
        <v>0</v>
      </c>
      <c r="G249" s="25">
        <v>0</v>
      </c>
      <c r="H249" s="25">
        <v>0</v>
      </c>
      <c r="I249" s="25">
        <v>0</v>
      </c>
      <c r="J249" s="25">
        <v>0</v>
      </c>
      <c r="K249" s="60">
        <v>0</v>
      </c>
    </row>
    <row r="250" spans="1:11" x14ac:dyDescent="0.25">
      <c r="A250" s="25">
        <v>0</v>
      </c>
      <c r="B250" s="25">
        <v>0</v>
      </c>
      <c r="C250" s="25">
        <v>0</v>
      </c>
      <c r="D250" s="25">
        <v>0</v>
      </c>
      <c r="E250">
        <v>0</v>
      </c>
      <c r="G250" s="25">
        <v>0</v>
      </c>
      <c r="H250" s="25">
        <v>0</v>
      </c>
      <c r="I250" s="25">
        <v>0</v>
      </c>
      <c r="J250" s="25">
        <v>0</v>
      </c>
      <c r="K250" s="60">
        <v>0</v>
      </c>
    </row>
    <row r="251" spans="1:11" x14ac:dyDescent="0.25">
      <c r="A251" s="25">
        <v>0</v>
      </c>
      <c r="B251" s="25">
        <v>0</v>
      </c>
      <c r="C251" s="25">
        <v>0</v>
      </c>
      <c r="D251" s="25">
        <v>0</v>
      </c>
      <c r="E251">
        <v>0</v>
      </c>
      <c r="G251" s="25">
        <v>0</v>
      </c>
      <c r="H251" s="25">
        <v>0</v>
      </c>
      <c r="I251" s="25">
        <v>0</v>
      </c>
      <c r="J251" s="25">
        <v>0</v>
      </c>
      <c r="K251" s="60">
        <v>0</v>
      </c>
    </row>
    <row r="252" spans="1:11" x14ac:dyDescent="0.25">
      <c r="A252" s="25">
        <v>0</v>
      </c>
      <c r="B252" s="25">
        <v>0</v>
      </c>
      <c r="C252" s="25">
        <v>0</v>
      </c>
      <c r="D252" s="25">
        <v>0</v>
      </c>
      <c r="E252">
        <v>0</v>
      </c>
      <c r="G252" s="25">
        <v>0</v>
      </c>
      <c r="H252" s="25">
        <v>0</v>
      </c>
      <c r="I252" s="25">
        <v>0</v>
      </c>
      <c r="J252" s="25">
        <v>0</v>
      </c>
      <c r="K252" s="60">
        <v>0</v>
      </c>
    </row>
    <row r="253" spans="1:11" x14ac:dyDescent="0.25">
      <c r="A253" s="25">
        <v>0</v>
      </c>
      <c r="B253" s="25">
        <v>0</v>
      </c>
      <c r="C253" s="25">
        <v>0</v>
      </c>
      <c r="D253" s="25">
        <v>0</v>
      </c>
      <c r="E253">
        <v>0</v>
      </c>
      <c r="G253" s="25">
        <v>0</v>
      </c>
      <c r="H253" s="25">
        <v>0</v>
      </c>
      <c r="I253" s="25">
        <v>0</v>
      </c>
      <c r="J253" s="25">
        <v>0</v>
      </c>
      <c r="K253" s="60">
        <v>0</v>
      </c>
    </row>
    <row r="254" spans="1:11" x14ac:dyDescent="0.25">
      <c r="A254" s="25">
        <v>0</v>
      </c>
      <c r="B254" s="25">
        <v>0</v>
      </c>
      <c r="C254" s="25">
        <v>0</v>
      </c>
      <c r="D254" s="25">
        <v>0</v>
      </c>
      <c r="E254">
        <v>0</v>
      </c>
      <c r="G254" s="25">
        <v>0</v>
      </c>
      <c r="H254" s="25">
        <v>0</v>
      </c>
      <c r="I254" s="25">
        <v>0</v>
      </c>
      <c r="J254" s="25">
        <v>0</v>
      </c>
      <c r="K254" s="60">
        <v>0</v>
      </c>
    </row>
    <row r="255" spans="1:11" x14ac:dyDescent="0.25">
      <c r="A255" s="25">
        <v>0</v>
      </c>
      <c r="B255" s="25">
        <v>0</v>
      </c>
      <c r="C255" s="25">
        <v>0</v>
      </c>
      <c r="D255" s="25">
        <v>0</v>
      </c>
      <c r="E255">
        <v>0</v>
      </c>
      <c r="G255" s="25">
        <v>0</v>
      </c>
      <c r="H255" s="25">
        <v>0</v>
      </c>
      <c r="I255" s="25">
        <v>0</v>
      </c>
      <c r="J255" s="25">
        <v>0</v>
      </c>
      <c r="K255" s="60">
        <v>0</v>
      </c>
    </row>
    <row r="256" spans="1:11" x14ac:dyDescent="0.25">
      <c r="A256" s="25">
        <v>0</v>
      </c>
      <c r="B256" s="25">
        <v>0</v>
      </c>
      <c r="C256" s="25">
        <v>0</v>
      </c>
      <c r="D256" s="25">
        <v>0</v>
      </c>
      <c r="E256">
        <v>0</v>
      </c>
      <c r="G256" s="25">
        <v>0</v>
      </c>
      <c r="H256" s="25">
        <v>0</v>
      </c>
      <c r="I256" s="25">
        <v>0</v>
      </c>
      <c r="J256" s="25">
        <v>0</v>
      </c>
      <c r="K256" s="60">
        <v>0</v>
      </c>
    </row>
    <row r="257" spans="1:11" x14ac:dyDescent="0.25">
      <c r="A257" s="25">
        <v>0</v>
      </c>
      <c r="B257" s="25">
        <v>0</v>
      </c>
      <c r="C257" s="25">
        <v>0</v>
      </c>
      <c r="D257" s="25">
        <v>0</v>
      </c>
      <c r="E257">
        <v>0</v>
      </c>
      <c r="G257" s="25">
        <v>0</v>
      </c>
      <c r="H257" s="25">
        <v>0</v>
      </c>
      <c r="I257" s="25">
        <v>0</v>
      </c>
      <c r="J257" s="25">
        <v>0</v>
      </c>
      <c r="K257" s="60">
        <v>0</v>
      </c>
    </row>
    <row r="258" spans="1:11" x14ac:dyDescent="0.25">
      <c r="A258" s="25">
        <v>0</v>
      </c>
      <c r="B258" s="25">
        <v>0</v>
      </c>
      <c r="C258" s="25">
        <v>0</v>
      </c>
      <c r="D258" s="25">
        <v>0</v>
      </c>
      <c r="E258">
        <v>0</v>
      </c>
      <c r="G258" s="25">
        <v>0</v>
      </c>
      <c r="H258" s="25">
        <v>0</v>
      </c>
      <c r="I258" s="25">
        <v>0</v>
      </c>
      <c r="J258" s="25">
        <v>0</v>
      </c>
      <c r="K258" s="60">
        <v>0</v>
      </c>
    </row>
    <row r="259" spans="1:11" x14ac:dyDescent="0.25">
      <c r="A259" s="25">
        <v>0</v>
      </c>
      <c r="B259" s="25">
        <v>0</v>
      </c>
      <c r="C259" s="25">
        <v>0</v>
      </c>
      <c r="D259" s="25">
        <v>0</v>
      </c>
      <c r="E259">
        <v>0</v>
      </c>
      <c r="G259" s="25">
        <v>0</v>
      </c>
      <c r="H259" s="25">
        <v>0</v>
      </c>
      <c r="I259" s="25">
        <v>0</v>
      </c>
      <c r="J259" s="25">
        <v>0</v>
      </c>
      <c r="K259" s="60">
        <v>0</v>
      </c>
    </row>
    <row r="260" spans="1:11" x14ac:dyDescent="0.25">
      <c r="A260" s="25">
        <v>0</v>
      </c>
      <c r="B260" s="25">
        <v>0</v>
      </c>
      <c r="C260" s="25">
        <v>0</v>
      </c>
      <c r="D260" s="25">
        <v>0</v>
      </c>
      <c r="E260">
        <v>0</v>
      </c>
      <c r="G260" s="25">
        <v>0</v>
      </c>
      <c r="H260" s="25">
        <v>0</v>
      </c>
      <c r="I260" s="25">
        <v>0</v>
      </c>
      <c r="J260" s="25">
        <v>0</v>
      </c>
      <c r="K260" s="60">
        <v>0</v>
      </c>
    </row>
    <row r="261" spans="1:11" x14ac:dyDescent="0.25">
      <c r="A261" s="25">
        <v>0</v>
      </c>
      <c r="B261" s="25">
        <v>0</v>
      </c>
      <c r="C261" s="25">
        <v>0</v>
      </c>
      <c r="D261" s="25">
        <v>0</v>
      </c>
      <c r="E261">
        <v>0</v>
      </c>
      <c r="G261" s="25">
        <v>0</v>
      </c>
      <c r="H261" s="25">
        <v>0</v>
      </c>
      <c r="I261" s="25">
        <v>0</v>
      </c>
      <c r="J261" s="25">
        <v>0</v>
      </c>
      <c r="K261" s="60">
        <v>0</v>
      </c>
    </row>
    <row r="262" spans="1:11" x14ac:dyDescent="0.25">
      <c r="A262" s="25">
        <v>0</v>
      </c>
      <c r="B262" s="25">
        <v>0</v>
      </c>
      <c r="C262" s="25">
        <v>0</v>
      </c>
      <c r="D262" s="25">
        <v>0</v>
      </c>
      <c r="E262">
        <v>0</v>
      </c>
      <c r="G262" s="25">
        <v>0</v>
      </c>
      <c r="H262" s="25">
        <v>0</v>
      </c>
      <c r="I262" s="25">
        <v>0</v>
      </c>
      <c r="J262" s="25">
        <v>0</v>
      </c>
      <c r="K262" s="60">
        <v>0</v>
      </c>
    </row>
    <row r="263" spans="1:11" x14ac:dyDescent="0.25">
      <c r="A263" s="25">
        <v>0</v>
      </c>
      <c r="B263" s="25">
        <v>0</v>
      </c>
      <c r="C263" s="25">
        <v>0</v>
      </c>
      <c r="D263" s="25">
        <v>0</v>
      </c>
      <c r="E263">
        <v>0</v>
      </c>
      <c r="G263" s="25">
        <v>0</v>
      </c>
      <c r="H263" s="25">
        <v>0</v>
      </c>
      <c r="I263" s="25">
        <v>0</v>
      </c>
      <c r="J263" s="25">
        <v>0</v>
      </c>
      <c r="K263" s="60">
        <v>0</v>
      </c>
    </row>
    <row r="264" spans="1:11" x14ac:dyDescent="0.25">
      <c r="A264" s="25">
        <v>0</v>
      </c>
      <c r="B264" s="25">
        <v>0</v>
      </c>
      <c r="C264" s="25">
        <v>0</v>
      </c>
      <c r="D264" s="25">
        <v>0</v>
      </c>
      <c r="E264">
        <v>0</v>
      </c>
      <c r="G264" s="25">
        <v>0</v>
      </c>
      <c r="H264" s="25">
        <v>0</v>
      </c>
      <c r="I264" s="25">
        <v>0</v>
      </c>
      <c r="J264" s="25">
        <v>0</v>
      </c>
      <c r="K264" s="60">
        <v>0</v>
      </c>
    </row>
    <row r="265" spans="1:11" x14ac:dyDescent="0.25">
      <c r="A265" s="25">
        <v>0</v>
      </c>
      <c r="B265" s="25">
        <v>0</v>
      </c>
      <c r="C265" s="25">
        <v>0</v>
      </c>
      <c r="D265" s="25">
        <v>0</v>
      </c>
      <c r="E265">
        <v>0</v>
      </c>
      <c r="G265" s="25">
        <v>0</v>
      </c>
      <c r="H265" s="25">
        <v>0</v>
      </c>
      <c r="I265" s="25">
        <v>0</v>
      </c>
      <c r="J265" s="25">
        <v>0</v>
      </c>
      <c r="K265" s="60">
        <v>0</v>
      </c>
    </row>
    <row r="266" spans="1:11" x14ac:dyDescent="0.25">
      <c r="A266" s="25">
        <v>0</v>
      </c>
      <c r="B266" s="25">
        <v>0</v>
      </c>
      <c r="C266" s="25">
        <v>0</v>
      </c>
      <c r="D266" s="25">
        <v>0</v>
      </c>
      <c r="E266">
        <v>0</v>
      </c>
      <c r="G266" s="25">
        <v>0</v>
      </c>
      <c r="H266" s="25">
        <v>0</v>
      </c>
      <c r="I266" s="25">
        <v>0</v>
      </c>
      <c r="J266" s="25">
        <v>0</v>
      </c>
      <c r="K266" s="60">
        <v>0</v>
      </c>
    </row>
    <row r="267" spans="1:11" x14ac:dyDescent="0.25">
      <c r="A267" s="25">
        <v>0</v>
      </c>
      <c r="B267" s="25">
        <v>0</v>
      </c>
      <c r="C267" s="25">
        <v>0</v>
      </c>
      <c r="D267" s="25">
        <v>0</v>
      </c>
      <c r="E267">
        <v>0</v>
      </c>
      <c r="G267" s="25">
        <v>0</v>
      </c>
      <c r="H267" s="25">
        <v>0</v>
      </c>
      <c r="I267" s="25">
        <v>0</v>
      </c>
      <c r="J267" s="25">
        <v>0</v>
      </c>
      <c r="K267" s="60">
        <v>0</v>
      </c>
    </row>
    <row r="268" spans="1:11" x14ac:dyDescent="0.25">
      <c r="A268" s="25">
        <v>0</v>
      </c>
      <c r="B268" s="25">
        <v>0</v>
      </c>
      <c r="C268" s="25">
        <v>0</v>
      </c>
      <c r="D268" s="25">
        <v>0</v>
      </c>
      <c r="E268">
        <v>0</v>
      </c>
      <c r="G268" s="25">
        <v>0</v>
      </c>
      <c r="H268" s="25">
        <v>0</v>
      </c>
      <c r="I268" s="25">
        <v>0</v>
      </c>
      <c r="J268" s="25">
        <v>0</v>
      </c>
      <c r="K268" s="60">
        <v>0</v>
      </c>
    </row>
    <row r="269" spans="1:11" x14ac:dyDescent="0.25">
      <c r="A269" s="25">
        <v>0</v>
      </c>
      <c r="B269" s="25">
        <v>0</v>
      </c>
      <c r="C269" s="25">
        <v>0</v>
      </c>
      <c r="D269" s="25">
        <v>0</v>
      </c>
      <c r="E269">
        <v>0</v>
      </c>
      <c r="G269" s="25">
        <v>0</v>
      </c>
      <c r="H269" s="25">
        <v>0</v>
      </c>
      <c r="I269" s="25">
        <v>0</v>
      </c>
      <c r="J269" s="25">
        <v>0</v>
      </c>
      <c r="K269" s="60">
        <v>0</v>
      </c>
    </row>
    <row r="270" spans="1:11" x14ac:dyDescent="0.25">
      <c r="A270" s="25">
        <v>0</v>
      </c>
      <c r="B270" s="25">
        <v>0</v>
      </c>
      <c r="C270" s="25">
        <v>0</v>
      </c>
      <c r="D270" s="25">
        <v>0</v>
      </c>
      <c r="E270">
        <v>0</v>
      </c>
      <c r="G270" s="25">
        <v>0</v>
      </c>
      <c r="H270" s="25">
        <v>0</v>
      </c>
      <c r="I270" s="25">
        <v>0</v>
      </c>
      <c r="J270" s="25">
        <v>0</v>
      </c>
      <c r="K270" s="60">
        <v>0</v>
      </c>
    </row>
    <row r="271" spans="1:11" x14ac:dyDescent="0.25">
      <c r="A271" s="25">
        <v>0</v>
      </c>
      <c r="B271" s="25">
        <v>0</v>
      </c>
      <c r="C271" s="25">
        <v>0</v>
      </c>
      <c r="D271" s="25">
        <v>0</v>
      </c>
      <c r="E271">
        <v>0</v>
      </c>
      <c r="G271" s="25">
        <v>0</v>
      </c>
      <c r="H271" s="25">
        <v>0</v>
      </c>
      <c r="I271" s="25">
        <v>0</v>
      </c>
      <c r="J271" s="25">
        <v>0</v>
      </c>
      <c r="K271" s="60">
        <v>0</v>
      </c>
    </row>
    <row r="272" spans="1:11" x14ac:dyDescent="0.25">
      <c r="A272" s="25">
        <v>0</v>
      </c>
      <c r="B272" s="25">
        <v>0</v>
      </c>
      <c r="C272" s="25">
        <v>0</v>
      </c>
      <c r="D272" s="25">
        <v>0</v>
      </c>
      <c r="E272">
        <v>0</v>
      </c>
      <c r="G272" s="25">
        <v>0</v>
      </c>
      <c r="H272" s="25">
        <v>0</v>
      </c>
      <c r="I272" s="25">
        <v>0</v>
      </c>
      <c r="J272" s="25">
        <v>0</v>
      </c>
      <c r="K272" s="60">
        <v>0</v>
      </c>
    </row>
    <row r="273" spans="1:11" x14ac:dyDescent="0.25">
      <c r="A273" s="25">
        <v>0</v>
      </c>
      <c r="B273" s="25">
        <v>0</v>
      </c>
      <c r="C273" s="25">
        <v>0</v>
      </c>
      <c r="D273" s="25">
        <v>0</v>
      </c>
      <c r="E273">
        <v>0</v>
      </c>
      <c r="G273" s="25">
        <v>0</v>
      </c>
      <c r="H273" s="25">
        <v>0</v>
      </c>
      <c r="I273" s="25">
        <v>0</v>
      </c>
      <c r="J273" s="25">
        <v>0</v>
      </c>
      <c r="K273" s="60">
        <v>0</v>
      </c>
    </row>
    <row r="274" spans="1:11" x14ac:dyDescent="0.25">
      <c r="A274" s="25">
        <v>0</v>
      </c>
      <c r="B274" s="25">
        <v>0</v>
      </c>
      <c r="C274" s="25">
        <v>0</v>
      </c>
      <c r="D274" s="25">
        <v>0</v>
      </c>
      <c r="E274">
        <v>0</v>
      </c>
      <c r="G274" s="25">
        <v>0</v>
      </c>
      <c r="H274" s="25">
        <v>0</v>
      </c>
      <c r="I274" s="25">
        <v>0</v>
      </c>
      <c r="J274" s="25">
        <v>0</v>
      </c>
      <c r="K274" s="60">
        <v>0</v>
      </c>
    </row>
    <row r="275" spans="1:11" x14ac:dyDescent="0.25">
      <c r="A275" s="25">
        <v>0</v>
      </c>
      <c r="B275" s="25">
        <v>0</v>
      </c>
      <c r="C275" s="25">
        <v>0</v>
      </c>
      <c r="D275" s="25">
        <v>0</v>
      </c>
      <c r="E275">
        <v>0</v>
      </c>
      <c r="G275" s="25">
        <v>0</v>
      </c>
      <c r="H275" s="25">
        <v>0</v>
      </c>
      <c r="I275" s="25">
        <v>0</v>
      </c>
      <c r="J275" s="25">
        <v>0</v>
      </c>
      <c r="K275" s="60">
        <v>0</v>
      </c>
    </row>
    <row r="276" spans="1:11" x14ac:dyDescent="0.25">
      <c r="A276" s="25">
        <v>0</v>
      </c>
      <c r="B276" s="25">
        <v>0</v>
      </c>
      <c r="C276" s="25">
        <v>0</v>
      </c>
      <c r="D276" s="25">
        <v>0</v>
      </c>
      <c r="E276">
        <v>0</v>
      </c>
      <c r="G276" s="25">
        <v>0</v>
      </c>
      <c r="H276" s="25">
        <v>0</v>
      </c>
      <c r="I276" s="25">
        <v>0</v>
      </c>
      <c r="J276" s="25">
        <v>0</v>
      </c>
      <c r="K276" s="60">
        <v>0</v>
      </c>
    </row>
    <row r="277" spans="1:11" x14ac:dyDescent="0.25">
      <c r="A277" s="25">
        <v>0</v>
      </c>
      <c r="B277" s="25">
        <v>0</v>
      </c>
      <c r="C277" s="25">
        <v>0</v>
      </c>
      <c r="D277" s="25">
        <v>0</v>
      </c>
      <c r="E277">
        <v>0</v>
      </c>
      <c r="G277" s="25">
        <v>0</v>
      </c>
      <c r="H277" s="25">
        <v>0</v>
      </c>
      <c r="I277" s="25">
        <v>0</v>
      </c>
      <c r="J277" s="25">
        <v>0</v>
      </c>
      <c r="K277" s="60">
        <v>0</v>
      </c>
    </row>
    <row r="278" spans="1:11" x14ac:dyDescent="0.25">
      <c r="A278" s="25">
        <v>0</v>
      </c>
      <c r="B278" s="25">
        <v>0</v>
      </c>
      <c r="C278" s="25">
        <v>0</v>
      </c>
      <c r="D278" s="25">
        <v>0</v>
      </c>
      <c r="E278">
        <v>0</v>
      </c>
      <c r="G278" s="25">
        <v>0</v>
      </c>
      <c r="H278" s="25">
        <v>0</v>
      </c>
      <c r="I278" s="25">
        <v>0</v>
      </c>
      <c r="J278" s="25">
        <v>0</v>
      </c>
      <c r="K278" s="60">
        <v>0</v>
      </c>
    </row>
    <row r="279" spans="1:11" x14ac:dyDescent="0.25">
      <c r="A279" s="25">
        <v>0</v>
      </c>
      <c r="B279" s="25">
        <v>0</v>
      </c>
      <c r="C279" s="25">
        <v>0</v>
      </c>
      <c r="D279" s="25">
        <v>0</v>
      </c>
      <c r="E279">
        <v>0</v>
      </c>
      <c r="G279" s="25">
        <v>0</v>
      </c>
      <c r="H279" s="25">
        <v>0</v>
      </c>
      <c r="I279" s="25">
        <v>0</v>
      </c>
      <c r="J279" s="25">
        <v>0</v>
      </c>
      <c r="K279" s="60">
        <v>0</v>
      </c>
    </row>
    <row r="280" spans="1:11" x14ac:dyDescent="0.25">
      <c r="A280" s="25">
        <v>0</v>
      </c>
      <c r="B280" s="25">
        <v>0</v>
      </c>
      <c r="C280" s="25">
        <v>0</v>
      </c>
      <c r="D280" s="25">
        <v>0</v>
      </c>
      <c r="E280">
        <v>0</v>
      </c>
      <c r="G280" s="25">
        <v>0</v>
      </c>
      <c r="H280" s="25">
        <v>0</v>
      </c>
      <c r="I280" s="25">
        <v>0</v>
      </c>
      <c r="J280" s="25">
        <v>0</v>
      </c>
      <c r="K280" s="60">
        <v>0</v>
      </c>
    </row>
    <row r="281" spans="1:11" x14ac:dyDescent="0.25">
      <c r="A281" s="25">
        <v>0</v>
      </c>
      <c r="B281" s="25">
        <v>0</v>
      </c>
      <c r="C281" s="25">
        <v>0</v>
      </c>
      <c r="D281" s="25">
        <v>0</v>
      </c>
      <c r="E281">
        <v>0</v>
      </c>
      <c r="G281" s="25">
        <v>0</v>
      </c>
      <c r="H281" s="25">
        <v>0</v>
      </c>
      <c r="I281" s="25">
        <v>0</v>
      </c>
      <c r="J281" s="25">
        <v>0</v>
      </c>
      <c r="K281" s="60">
        <v>0</v>
      </c>
    </row>
    <row r="282" spans="1:11" x14ac:dyDescent="0.25">
      <c r="A282" s="25">
        <v>0</v>
      </c>
      <c r="B282" s="25">
        <v>0</v>
      </c>
      <c r="C282" s="25">
        <v>0</v>
      </c>
      <c r="D282" s="25">
        <v>0</v>
      </c>
      <c r="E282">
        <v>0</v>
      </c>
      <c r="G282" s="25">
        <v>0</v>
      </c>
      <c r="H282" s="25">
        <v>0</v>
      </c>
      <c r="I282" s="25">
        <v>0</v>
      </c>
      <c r="J282" s="25">
        <v>0</v>
      </c>
      <c r="K282" s="60">
        <v>0</v>
      </c>
    </row>
    <row r="283" spans="1:11" x14ac:dyDescent="0.25">
      <c r="A283" s="25">
        <v>0</v>
      </c>
      <c r="B283" s="25">
        <v>0</v>
      </c>
      <c r="C283" s="25">
        <v>0</v>
      </c>
      <c r="D283" s="25">
        <v>0</v>
      </c>
      <c r="E283">
        <v>0</v>
      </c>
      <c r="G283" s="25">
        <v>0</v>
      </c>
      <c r="H283" s="25">
        <v>0</v>
      </c>
      <c r="I283" s="25">
        <v>0</v>
      </c>
      <c r="J283" s="25">
        <v>0</v>
      </c>
      <c r="K283" s="60">
        <v>0</v>
      </c>
    </row>
    <row r="284" spans="1:11" x14ac:dyDescent="0.25">
      <c r="A284" s="25">
        <v>0</v>
      </c>
      <c r="B284" s="25">
        <v>0</v>
      </c>
      <c r="C284" s="25">
        <v>0</v>
      </c>
      <c r="D284" s="25">
        <v>0</v>
      </c>
      <c r="E284">
        <v>0</v>
      </c>
      <c r="G284" s="25">
        <v>0</v>
      </c>
      <c r="H284" s="25">
        <v>0</v>
      </c>
      <c r="I284" s="25">
        <v>0</v>
      </c>
      <c r="J284" s="25">
        <v>0</v>
      </c>
      <c r="K284" s="60">
        <v>0</v>
      </c>
    </row>
    <row r="285" spans="1:11" x14ac:dyDescent="0.25">
      <c r="A285" s="25">
        <v>0</v>
      </c>
      <c r="B285" s="25">
        <v>0</v>
      </c>
      <c r="C285" s="25">
        <v>0</v>
      </c>
      <c r="D285" s="25">
        <v>0</v>
      </c>
      <c r="E285">
        <v>0</v>
      </c>
      <c r="G285" s="25">
        <v>0</v>
      </c>
      <c r="H285" s="25">
        <v>0</v>
      </c>
      <c r="I285" s="25">
        <v>0</v>
      </c>
      <c r="J285" s="25">
        <v>0</v>
      </c>
      <c r="K285" s="60">
        <v>0</v>
      </c>
    </row>
    <row r="286" spans="1:11" x14ac:dyDescent="0.25">
      <c r="A286" s="25">
        <v>0</v>
      </c>
      <c r="B286" s="25">
        <v>0</v>
      </c>
      <c r="C286" s="25">
        <v>0</v>
      </c>
      <c r="D286" s="25">
        <v>0</v>
      </c>
      <c r="E286">
        <v>0</v>
      </c>
      <c r="G286" s="25">
        <v>0</v>
      </c>
      <c r="H286" s="25">
        <v>0</v>
      </c>
      <c r="I286" s="25">
        <v>0</v>
      </c>
      <c r="J286" s="25">
        <v>0</v>
      </c>
      <c r="K286" s="60">
        <v>0</v>
      </c>
    </row>
    <row r="287" spans="1:11" x14ac:dyDescent="0.25">
      <c r="A287" s="25">
        <v>0</v>
      </c>
      <c r="B287" s="25">
        <v>0</v>
      </c>
      <c r="C287" s="25">
        <v>0</v>
      </c>
      <c r="D287" s="25">
        <v>0</v>
      </c>
      <c r="E287">
        <v>0</v>
      </c>
      <c r="G287" s="25">
        <v>0</v>
      </c>
      <c r="H287" s="25">
        <v>0</v>
      </c>
      <c r="I287" s="25">
        <v>0</v>
      </c>
      <c r="J287" s="25">
        <v>0</v>
      </c>
      <c r="K287" s="60">
        <v>0</v>
      </c>
    </row>
    <row r="288" spans="1:11" x14ac:dyDescent="0.25">
      <c r="A288" s="25">
        <v>0</v>
      </c>
      <c r="B288" s="25">
        <v>0</v>
      </c>
      <c r="C288" s="25">
        <v>0</v>
      </c>
      <c r="D288" s="25">
        <v>0</v>
      </c>
      <c r="E288">
        <v>0</v>
      </c>
      <c r="G288" s="25">
        <v>0</v>
      </c>
      <c r="H288" s="25">
        <v>0</v>
      </c>
      <c r="I288" s="25">
        <v>0</v>
      </c>
      <c r="J288" s="25">
        <v>0</v>
      </c>
      <c r="K288" s="60">
        <v>0</v>
      </c>
    </row>
    <row r="289" spans="1:11" x14ac:dyDescent="0.25">
      <c r="A289" s="25">
        <v>0</v>
      </c>
      <c r="B289" s="25">
        <v>0</v>
      </c>
      <c r="C289" s="25">
        <v>0</v>
      </c>
      <c r="D289" s="25">
        <v>0</v>
      </c>
      <c r="E289">
        <v>0</v>
      </c>
      <c r="G289" s="25">
        <v>0</v>
      </c>
      <c r="H289" s="25">
        <v>0</v>
      </c>
      <c r="I289" s="25">
        <v>0</v>
      </c>
      <c r="J289" s="25">
        <v>0</v>
      </c>
      <c r="K289" s="60">
        <v>0</v>
      </c>
    </row>
    <row r="290" spans="1:11" x14ac:dyDescent="0.25">
      <c r="A290" s="25">
        <v>0</v>
      </c>
      <c r="B290" s="25">
        <v>0</v>
      </c>
      <c r="C290" s="25">
        <v>0</v>
      </c>
      <c r="D290" s="25">
        <v>0</v>
      </c>
      <c r="E290">
        <v>0</v>
      </c>
      <c r="G290" s="25">
        <v>0</v>
      </c>
      <c r="H290" s="25">
        <v>0</v>
      </c>
      <c r="I290" s="25">
        <v>0</v>
      </c>
      <c r="J290" s="25">
        <v>0</v>
      </c>
      <c r="K290" s="60">
        <v>0</v>
      </c>
    </row>
    <row r="291" spans="1:11" x14ac:dyDescent="0.25">
      <c r="A291" s="25">
        <v>0</v>
      </c>
      <c r="B291" s="25">
        <v>0</v>
      </c>
      <c r="C291" s="25">
        <v>0</v>
      </c>
      <c r="D291" s="25">
        <v>0</v>
      </c>
      <c r="E291">
        <v>0</v>
      </c>
      <c r="G291" s="25">
        <v>0</v>
      </c>
      <c r="H291" s="25">
        <v>0</v>
      </c>
      <c r="I291" s="25">
        <v>0</v>
      </c>
      <c r="J291" s="25">
        <v>0</v>
      </c>
      <c r="K291" s="60">
        <v>0</v>
      </c>
    </row>
    <row r="292" spans="1:11" x14ac:dyDescent="0.25">
      <c r="A292" s="25">
        <v>0</v>
      </c>
      <c r="B292" s="25">
        <v>0</v>
      </c>
      <c r="C292" s="25">
        <v>0</v>
      </c>
      <c r="D292" s="25">
        <v>0</v>
      </c>
      <c r="E292">
        <v>0</v>
      </c>
      <c r="G292" s="25">
        <v>0</v>
      </c>
      <c r="H292" s="25">
        <v>0</v>
      </c>
      <c r="I292" s="25">
        <v>0</v>
      </c>
      <c r="J292" s="25">
        <v>0</v>
      </c>
      <c r="K292" s="60">
        <v>0</v>
      </c>
    </row>
    <row r="293" spans="1:11" x14ac:dyDescent="0.25">
      <c r="A293" s="25">
        <v>0</v>
      </c>
      <c r="B293" s="25">
        <v>0</v>
      </c>
      <c r="C293" s="25">
        <v>0</v>
      </c>
      <c r="D293" s="25">
        <v>0</v>
      </c>
      <c r="E293">
        <v>0</v>
      </c>
      <c r="G293" s="25">
        <v>0</v>
      </c>
      <c r="H293" s="25">
        <v>0</v>
      </c>
      <c r="I293" s="25">
        <v>0</v>
      </c>
      <c r="J293" s="25">
        <v>0</v>
      </c>
      <c r="K293" s="60">
        <v>0</v>
      </c>
    </row>
    <row r="294" spans="1:11" x14ac:dyDescent="0.25">
      <c r="A294" s="25">
        <v>0</v>
      </c>
      <c r="B294" s="25">
        <v>0</v>
      </c>
      <c r="C294" s="25">
        <v>0</v>
      </c>
      <c r="D294" s="25">
        <v>0</v>
      </c>
      <c r="E294">
        <v>0</v>
      </c>
      <c r="G294" s="25">
        <v>0</v>
      </c>
      <c r="H294" s="25">
        <v>0</v>
      </c>
      <c r="I294" s="25">
        <v>0</v>
      </c>
      <c r="J294" s="25">
        <v>0</v>
      </c>
      <c r="K294" s="60">
        <v>0</v>
      </c>
    </row>
    <row r="295" spans="1:11" x14ac:dyDescent="0.25">
      <c r="A295" s="25">
        <v>0</v>
      </c>
      <c r="B295" s="25">
        <v>0</v>
      </c>
      <c r="C295" s="25">
        <v>0</v>
      </c>
      <c r="D295" s="25">
        <v>0</v>
      </c>
      <c r="E295">
        <v>0</v>
      </c>
      <c r="G295" s="25">
        <v>0</v>
      </c>
      <c r="H295" s="25">
        <v>0</v>
      </c>
      <c r="I295" s="25">
        <v>0</v>
      </c>
      <c r="J295" s="25">
        <v>0</v>
      </c>
      <c r="K295" s="60">
        <v>0</v>
      </c>
    </row>
    <row r="296" spans="1:11" x14ac:dyDescent="0.25">
      <c r="A296" s="25">
        <v>0</v>
      </c>
      <c r="B296" s="25">
        <v>0</v>
      </c>
      <c r="C296" s="25">
        <v>0</v>
      </c>
      <c r="D296" s="25">
        <v>0</v>
      </c>
      <c r="E296">
        <v>0</v>
      </c>
      <c r="G296" s="25">
        <v>0</v>
      </c>
      <c r="H296" s="25">
        <v>0</v>
      </c>
      <c r="I296" s="25">
        <v>0</v>
      </c>
      <c r="J296" s="25">
        <v>0</v>
      </c>
      <c r="K296" s="60">
        <v>0</v>
      </c>
    </row>
    <row r="297" spans="1:11" x14ac:dyDescent="0.25">
      <c r="A297" s="25">
        <v>0</v>
      </c>
      <c r="B297" s="25">
        <v>0</v>
      </c>
      <c r="C297" s="25">
        <v>0</v>
      </c>
      <c r="D297" s="25">
        <v>0</v>
      </c>
      <c r="E297">
        <v>0</v>
      </c>
      <c r="G297" s="25">
        <v>0</v>
      </c>
      <c r="H297" s="25">
        <v>0</v>
      </c>
      <c r="I297" s="25">
        <v>0</v>
      </c>
      <c r="J297" s="25">
        <v>0</v>
      </c>
      <c r="K297" s="60">
        <v>0</v>
      </c>
    </row>
    <row r="298" spans="1:11" x14ac:dyDescent="0.25">
      <c r="A298" s="25">
        <v>0</v>
      </c>
      <c r="B298" s="25">
        <v>0</v>
      </c>
      <c r="C298" s="25">
        <v>0</v>
      </c>
      <c r="D298" s="25">
        <v>0</v>
      </c>
      <c r="E298">
        <v>0</v>
      </c>
      <c r="G298" s="25">
        <v>0</v>
      </c>
      <c r="H298" s="25">
        <v>0</v>
      </c>
      <c r="I298" s="25">
        <v>0</v>
      </c>
      <c r="J298" s="25">
        <v>0</v>
      </c>
      <c r="K298" s="60">
        <v>0</v>
      </c>
    </row>
    <row r="299" spans="1:11" x14ac:dyDescent="0.25">
      <c r="A299" s="25">
        <v>0</v>
      </c>
      <c r="B299" s="25">
        <v>0</v>
      </c>
      <c r="C299" s="25">
        <v>0</v>
      </c>
      <c r="D299" s="25">
        <v>0</v>
      </c>
      <c r="E299">
        <v>0</v>
      </c>
      <c r="G299" s="25">
        <v>0</v>
      </c>
      <c r="H299" s="25">
        <v>0</v>
      </c>
      <c r="I299" s="25">
        <v>0</v>
      </c>
      <c r="J299" s="25">
        <v>0</v>
      </c>
      <c r="K299" s="60">
        <v>0</v>
      </c>
    </row>
    <row r="300" spans="1:11" x14ac:dyDescent="0.25">
      <c r="A300" s="25">
        <v>0</v>
      </c>
      <c r="B300" s="25">
        <v>0</v>
      </c>
      <c r="C300" s="25">
        <v>0</v>
      </c>
      <c r="D300" s="25">
        <v>0</v>
      </c>
      <c r="E300">
        <v>0</v>
      </c>
      <c r="G300" s="25">
        <v>0</v>
      </c>
      <c r="H300" s="25">
        <v>0</v>
      </c>
      <c r="I300" s="25">
        <v>0</v>
      </c>
      <c r="J300" s="25">
        <v>0</v>
      </c>
      <c r="K300" s="60">
        <v>0</v>
      </c>
    </row>
    <row r="301" spans="1:11" x14ac:dyDescent="0.25">
      <c r="A301" s="25">
        <v>0</v>
      </c>
      <c r="B301" s="25">
        <v>0</v>
      </c>
      <c r="C301" s="25">
        <v>0</v>
      </c>
      <c r="D301" s="25">
        <v>0</v>
      </c>
      <c r="E301">
        <v>0</v>
      </c>
      <c r="G301" s="25">
        <v>0</v>
      </c>
      <c r="H301" s="25">
        <v>0</v>
      </c>
      <c r="I301" s="25">
        <v>0</v>
      </c>
      <c r="J301" s="25">
        <v>0</v>
      </c>
      <c r="K301" s="60">
        <v>0</v>
      </c>
    </row>
    <row r="302" spans="1:11" x14ac:dyDescent="0.25">
      <c r="A302" s="25">
        <v>0</v>
      </c>
      <c r="B302" s="25">
        <v>0</v>
      </c>
      <c r="C302" s="25">
        <v>0</v>
      </c>
      <c r="D302" s="25">
        <v>0</v>
      </c>
      <c r="E302">
        <v>0</v>
      </c>
      <c r="G302" s="25">
        <v>0</v>
      </c>
      <c r="H302" s="25">
        <v>0</v>
      </c>
      <c r="I302" s="25">
        <v>0</v>
      </c>
      <c r="J302" s="25">
        <v>0</v>
      </c>
      <c r="K302" s="60">
        <v>0</v>
      </c>
    </row>
    <row r="303" spans="1:11" x14ac:dyDescent="0.25">
      <c r="A303" s="25">
        <v>0</v>
      </c>
      <c r="B303" s="25">
        <v>0</v>
      </c>
      <c r="C303" s="25">
        <v>0</v>
      </c>
      <c r="D303" s="25">
        <v>0</v>
      </c>
      <c r="E303">
        <v>0</v>
      </c>
      <c r="G303" s="25">
        <v>0</v>
      </c>
      <c r="H303" s="25">
        <v>0</v>
      </c>
      <c r="I303" s="25">
        <v>0</v>
      </c>
      <c r="J303" s="25">
        <v>0</v>
      </c>
      <c r="K303" s="60">
        <v>0</v>
      </c>
    </row>
    <row r="304" spans="1:11" x14ac:dyDescent="0.25">
      <c r="A304" s="25">
        <v>0</v>
      </c>
      <c r="B304" s="25">
        <v>0</v>
      </c>
      <c r="C304" s="25">
        <v>0</v>
      </c>
      <c r="D304" s="25">
        <v>0</v>
      </c>
      <c r="E304">
        <v>0</v>
      </c>
      <c r="G304" s="25">
        <v>0</v>
      </c>
      <c r="H304" s="25">
        <v>0</v>
      </c>
      <c r="I304" s="25">
        <v>0</v>
      </c>
      <c r="J304" s="25">
        <v>0</v>
      </c>
      <c r="K304" s="60">
        <v>0</v>
      </c>
    </row>
    <row r="305" spans="1:11" x14ac:dyDescent="0.25">
      <c r="A305" s="25">
        <v>0</v>
      </c>
      <c r="B305" s="25">
        <v>0</v>
      </c>
      <c r="C305" s="25">
        <v>0</v>
      </c>
      <c r="D305" s="25">
        <v>0</v>
      </c>
      <c r="E305">
        <v>0</v>
      </c>
      <c r="G305" s="25">
        <v>0</v>
      </c>
      <c r="H305" s="25">
        <v>0</v>
      </c>
      <c r="I305" s="25">
        <v>0</v>
      </c>
      <c r="J305" s="25">
        <v>0</v>
      </c>
      <c r="K305" s="60">
        <v>0</v>
      </c>
    </row>
    <row r="306" spans="1:11" x14ac:dyDescent="0.25">
      <c r="A306" s="25">
        <v>0</v>
      </c>
      <c r="B306" s="25">
        <v>0</v>
      </c>
      <c r="C306" s="25">
        <v>0</v>
      </c>
      <c r="D306" s="25">
        <v>0</v>
      </c>
      <c r="E306">
        <v>0</v>
      </c>
      <c r="G306" s="25">
        <v>0</v>
      </c>
      <c r="H306" s="25">
        <v>0</v>
      </c>
      <c r="I306" s="25">
        <v>0</v>
      </c>
      <c r="J306" s="25">
        <v>0</v>
      </c>
      <c r="K306" s="60">
        <v>0</v>
      </c>
    </row>
    <row r="307" spans="1:11" x14ac:dyDescent="0.25">
      <c r="A307" s="25">
        <v>0</v>
      </c>
      <c r="B307" s="25">
        <v>0</v>
      </c>
      <c r="C307" s="25">
        <v>0</v>
      </c>
      <c r="D307" s="25">
        <v>0</v>
      </c>
      <c r="E307">
        <v>0</v>
      </c>
      <c r="G307" s="25">
        <v>0</v>
      </c>
      <c r="H307" s="25">
        <v>0</v>
      </c>
      <c r="I307" s="25">
        <v>0</v>
      </c>
      <c r="J307" s="25">
        <v>0</v>
      </c>
      <c r="K307" s="60">
        <v>0</v>
      </c>
    </row>
    <row r="308" spans="1:11" x14ac:dyDescent="0.25">
      <c r="A308" s="25">
        <v>0</v>
      </c>
      <c r="B308" s="25">
        <v>0</v>
      </c>
      <c r="C308" s="25">
        <v>0</v>
      </c>
      <c r="D308" s="25">
        <v>0</v>
      </c>
      <c r="E308">
        <v>0</v>
      </c>
      <c r="G308" s="25">
        <v>0</v>
      </c>
      <c r="H308" s="25">
        <v>0</v>
      </c>
      <c r="I308" s="25">
        <v>0</v>
      </c>
      <c r="J308" s="25">
        <v>0</v>
      </c>
      <c r="K308" s="60">
        <v>0</v>
      </c>
    </row>
  </sheetData>
  <mergeCells count="2">
    <mergeCell ref="A1:E1"/>
    <mergeCell ref="G1:K1"/>
  </mergeCells>
  <conditionalFormatting sqref="E4:E51 K4:K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9E84-9AE7-420C-B4C6-624CB060D0B3}">
  <dimension ref="A1:AJ212"/>
  <sheetViews>
    <sheetView workbookViewId="0">
      <selection activeCell="V3" sqref="V3:AG75"/>
    </sheetView>
  </sheetViews>
  <sheetFormatPr defaultRowHeight="15" x14ac:dyDescent="0.25"/>
  <cols>
    <col min="1" max="1" width="9.5703125" style="25" bestFit="1" customWidth="1"/>
    <col min="2" max="4" width="9.28515625" style="25" bestFit="1" customWidth="1"/>
    <col min="5" max="5" width="9.140625" style="58"/>
    <col min="6" max="6" width="9.140625" style="25"/>
    <col min="7" max="7" width="9.5703125" style="25" bestFit="1" customWidth="1"/>
    <col min="8" max="10" width="9.28515625" style="25" bestFit="1" customWidth="1"/>
    <col min="11" max="11" width="9.140625" style="58"/>
    <col min="19" max="19" width="9.140625" style="64"/>
    <col min="34" max="34" width="9.140625" style="19"/>
    <col min="35" max="35" width="9.140625" style="17"/>
    <col min="36" max="36" width="9.140625" style="27"/>
  </cols>
  <sheetData>
    <row r="1" spans="1:33" x14ac:dyDescent="0.25">
      <c r="A1" s="73" t="s">
        <v>97</v>
      </c>
      <c r="B1" s="73"/>
      <c r="C1" s="73"/>
      <c r="D1" s="73"/>
      <c r="E1" s="73"/>
      <c r="F1"/>
      <c r="G1" s="73" t="s">
        <v>86</v>
      </c>
      <c r="H1" s="73"/>
      <c r="I1" s="73"/>
      <c r="J1" s="73"/>
      <c r="K1" s="73"/>
    </row>
    <row r="2" spans="1:33" x14ac:dyDescent="0.25">
      <c r="A2" s="32">
        <f>INDEX(A4:A500,MATCH(MAX(E4:E500),E4:E500,0))</f>
        <v>28800</v>
      </c>
      <c r="B2" s="32">
        <f>INDEX(B4:B500,MATCH(MAX(E4:E500),E4:E500,0))</f>
        <v>96</v>
      </c>
      <c r="C2" s="32">
        <f>INDEX(C4:C500,MATCH(MAX(E4:E500),E4:E500,0))</f>
        <v>2</v>
      </c>
      <c r="D2" s="32">
        <f>INDEX(D4:D500,MATCH(MAX(E4:E500),E4:E500,0))</f>
        <v>8</v>
      </c>
      <c r="E2" s="57">
        <f>MAX(E4:E500)</f>
        <v>13.460800000000001</v>
      </c>
      <c r="F2"/>
      <c r="G2" s="32">
        <f>INDEX(G4:G500,MATCH(MAX(K4:K500),K4:K500,0))</f>
        <v>28800</v>
      </c>
      <c r="H2" s="32">
        <f>INDEX(H4:H500,MATCH(MAX(K4:K500),K4:K500,0))</f>
        <v>160</v>
      </c>
      <c r="I2" s="32">
        <f>INDEX(I4:I500,MATCH(MAX(K4:K500),K4:K500,0))</f>
        <v>2</v>
      </c>
      <c r="J2" s="32">
        <f>INDEX(J4:J500,MATCH(MAX(K4:K500),K4:K500,0))</f>
        <v>8</v>
      </c>
      <c r="K2" s="57">
        <f>MAX(K4:K500)</f>
        <v>13.102</v>
      </c>
    </row>
    <row r="3" spans="1:33" x14ac:dyDescent="0.25">
      <c r="A3" s="32" t="s">
        <v>1</v>
      </c>
      <c r="B3" s="32" t="s">
        <v>2</v>
      </c>
      <c r="C3" s="32" t="s">
        <v>3</v>
      </c>
      <c r="D3" s="32" t="s">
        <v>4</v>
      </c>
      <c r="E3" s="40" t="s">
        <v>99</v>
      </c>
      <c r="F3"/>
      <c r="G3" s="32" t="s">
        <v>1</v>
      </c>
      <c r="H3" s="32" t="s">
        <v>2</v>
      </c>
      <c r="I3" s="32" t="s">
        <v>3</v>
      </c>
      <c r="J3" s="32" t="s">
        <v>4</v>
      </c>
      <c r="K3" s="40" t="s">
        <v>99</v>
      </c>
      <c r="M3" s="79" t="s">
        <v>106</v>
      </c>
      <c r="N3" s="79"/>
      <c r="O3" s="79"/>
      <c r="P3" s="79"/>
      <c r="Q3" s="79"/>
      <c r="R3" s="79"/>
      <c r="S3" s="79"/>
      <c r="U3" t="s">
        <v>1</v>
      </c>
      <c r="W3" t="s">
        <v>2</v>
      </c>
      <c r="X3" t="s">
        <v>3</v>
      </c>
      <c r="Y3" t="s">
        <v>4</v>
      </c>
      <c r="Z3" t="s">
        <v>99</v>
      </c>
      <c r="AB3" t="s">
        <v>1</v>
      </c>
      <c r="AD3" t="s">
        <v>2</v>
      </c>
      <c r="AE3" t="s">
        <v>3</v>
      </c>
      <c r="AF3" t="s">
        <v>4</v>
      </c>
      <c r="AG3" t="s">
        <v>99</v>
      </c>
    </row>
    <row r="4" spans="1:33" x14ac:dyDescent="0.25">
      <c r="A4" s="25" cm="1">
        <f t="array" ref="A4:E212">_xlfn.CHOOSECOLS(_xlfn._xlws.FILTER('4 node, params, RAW'!A4:W500,'4 node, params, RAW'!A4:A500=0),3,4,5,6,23)</f>
        <v>25728</v>
      </c>
      <c r="B4" s="25">
        <v>32</v>
      </c>
      <c r="C4" s="25">
        <v>1</v>
      </c>
      <c r="D4" s="25">
        <v>16</v>
      </c>
      <c r="E4" s="58">
        <v>10.3756</v>
      </c>
      <c r="F4"/>
      <c r="G4" s="25" cm="1">
        <f t="array" ref="G4:K212">_xlfn.CHOOSECOLS(_xlfn._xlws.FILTER('4 node, params, RAW'!Y4:AU500,'4 node, params, RAW'!Y4:Y500=0),3,4,5,6,23)</f>
        <v>25728</v>
      </c>
      <c r="H4" s="25">
        <v>32</v>
      </c>
      <c r="I4" s="25">
        <v>1</v>
      </c>
      <c r="J4" s="25">
        <v>16</v>
      </c>
      <c r="K4" s="58">
        <v>10.3794</v>
      </c>
      <c r="M4" s="5">
        <v>25728</v>
      </c>
      <c r="N4" s="5">
        <v>32</v>
      </c>
      <c r="O4" s="5">
        <v>1</v>
      </c>
      <c r="P4" s="5">
        <v>16</v>
      </c>
      <c r="Q4" s="5">
        <v>1052.7</v>
      </c>
      <c r="R4" s="62">
        <v>10.786</v>
      </c>
      <c r="S4" s="64">
        <f>(R4-K4)/K4</f>
        <v>3.9173748000847754E-2</v>
      </c>
      <c r="U4">
        <v>25728</v>
      </c>
      <c r="V4">
        <f>IF(ABS(U4-25728)&lt;ABS(U4-27264),IF(ABS(U4-25728)&lt;ABS(U4-28800),25728,28800),IF(ABS(U4-27264)&lt;ABS(U4-28800),27264,28800))</f>
        <v>25728</v>
      </c>
      <c r="W4">
        <v>32</v>
      </c>
      <c r="X4">
        <v>1</v>
      </c>
      <c r="Y4">
        <v>16</v>
      </c>
      <c r="Z4">
        <v>10.3756</v>
      </c>
      <c r="AB4">
        <v>25728</v>
      </c>
      <c r="AC4">
        <f>IF(ABS(AB4-25728)&lt;ABS(AB4-27264),IF(ABS(AB4-25728)&lt;ABS(AB4-28800),25728,28800),IF(ABS(AB4-27264)&lt;ABS(AB4-28800),27264,28800))</f>
        <v>25728</v>
      </c>
      <c r="AD4">
        <v>32</v>
      </c>
      <c r="AE4">
        <v>1</v>
      </c>
      <c r="AF4">
        <v>16</v>
      </c>
      <c r="AG4">
        <v>10.3794</v>
      </c>
    </row>
    <row r="5" spans="1:33" x14ac:dyDescent="0.25">
      <c r="A5" s="25">
        <v>27264</v>
      </c>
      <c r="B5" s="25">
        <v>32</v>
      </c>
      <c r="C5" s="25">
        <v>1</v>
      </c>
      <c r="D5" s="25">
        <v>16</v>
      </c>
      <c r="E5" s="58">
        <v>10.359800000000002</v>
      </c>
      <c r="F5"/>
      <c r="G5" s="25">
        <v>27264</v>
      </c>
      <c r="H5" s="25">
        <v>32</v>
      </c>
      <c r="I5" s="25">
        <v>1</v>
      </c>
      <c r="J5" s="25">
        <v>16</v>
      </c>
      <c r="K5" s="58">
        <v>10.702200000000001</v>
      </c>
      <c r="M5">
        <v>27264</v>
      </c>
      <c r="N5">
        <v>32</v>
      </c>
      <c r="O5">
        <v>1</v>
      </c>
      <c r="P5">
        <v>16</v>
      </c>
      <c r="Q5">
        <v>1276.5999999999999</v>
      </c>
      <c r="R5" s="63">
        <v>10.584</v>
      </c>
      <c r="S5" s="64">
        <f t="shared" ref="S5:S68" si="0">(R5-K5)/K5</f>
        <v>-1.1044458148791989E-2</v>
      </c>
      <c r="U5">
        <v>27264</v>
      </c>
      <c r="V5">
        <f t="shared" ref="V5:V68" si="1">IF(ABS(U5-25728)&lt;ABS(U5-27264),IF(ABS(U5-25728)&lt;ABS(U5-28800),25728,28800),IF(ABS(U5-27264)&lt;ABS(U5-28800),27264,28800))</f>
        <v>27264</v>
      </c>
      <c r="W5">
        <v>32</v>
      </c>
      <c r="X5">
        <v>1</v>
      </c>
      <c r="Y5">
        <v>16</v>
      </c>
      <c r="Z5">
        <v>10.359800000000002</v>
      </c>
      <c r="AB5">
        <v>27264</v>
      </c>
      <c r="AC5">
        <f t="shared" ref="AC5:AC68" si="2">IF(ABS(AB5-25728)&lt;ABS(AB5-27264),IF(ABS(AB5-25728)&lt;ABS(AB5-28800),25728,28800),IF(ABS(AB5-27264)&lt;ABS(AB5-28800),27264,28800))</f>
        <v>27264</v>
      </c>
      <c r="AD5">
        <v>32</v>
      </c>
      <c r="AE5">
        <v>1</v>
      </c>
      <c r="AF5">
        <v>16</v>
      </c>
      <c r="AG5">
        <v>10.702200000000001</v>
      </c>
    </row>
    <row r="6" spans="1:33" x14ac:dyDescent="0.25">
      <c r="A6" s="25">
        <v>28800</v>
      </c>
      <c r="B6" s="25">
        <v>32</v>
      </c>
      <c r="C6" s="25">
        <v>1</v>
      </c>
      <c r="D6" s="25">
        <v>16</v>
      </c>
      <c r="E6" s="58">
        <v>10.8156</v>
      </c>
      <c r="F6"/>
      <c r="G6" s="25">
        <v>28800</v>
      </c>
      <c r="H6" s="25">
        <v>32</v>
      </c>
      <c r="I6" s="25">
        <v>1</v>
      </c>
      <c r="J6" s="25">
        <v>16</v>
      </c>
      <c r="K6" s="58">
        <v>11.057599999999999</v>
      </c>
      <c r="M6">
        <v>28800</v>
      </c>
      <c r="N6">
        <v>32</v>
      </c>
      <c r="O6">
        <v>1</v>
      </c>
      <c r="P6">
        <v>16</v>
      </c>
      <c r="Q6">
        <v>1497.63</v>
      </c>
      <c r="R6" s="63">
        <v>10.634</v>
      </c>
      <c r="S6" s="64">
        <f t="shared" si="0"/>
        <v>-3.8308493705686467E-2</v>
      </c>
      <c r="U6">
        <v>28800</v>
      </c>
      <c r="V6">
        <f t="shared" si="1"/>
        <v>28800</v>
      </c>
      <c r="W6">
        <v>32</v>
      </c>
      <c r="X6">
        <v>1</v>
      </c>
      <c r="Y6">
        <v>16</v>
      </c>
      <c r="Z6">
        <v>10.8156</v>
      </c>
      <c r="AB6">
        <v>28800</v>
      </c>
      <c r="AC6">
        <f t="shared" si="2"/>
        <v>28800</v>
      </c>
      <c r="AD6">
        <v>32</v>
      </c>
      <c r="AE6">
        <v>1</v>
      </c>
      <c r="AF6">
        <v>16</v>
      </c>
      <c r="AG6">
        <v>11.057599999999999</v>
      </c>
    </row>
    <row r="7" spans="1:33" x14ac:dyDescent="0.25">
      <c r="A7" s="25">
        <v>25728</v>
      </c>
      <c r="B7" s="25">
        <v>32</v>
      </c>
      <c r="C7" s="25">
        <v>2</v>
      </c>
      <c r="D7" s="25">
        <v>8</v>
      </c>
      <c r="E7" s="58">
        <v>11.886000000000001</v>
      </c>
      <c r="F7"/>
      <c r="G7" s="25">
        <v>25728</v>
      </c>
      <c r="H7" s="25">
        <v>32</v>
      </c>
      <c r="I7" s="25">
        <v>2</v>
      </c>
      <c r="J7" s="25">
        <v>8</v>
      </c>
      <c r="K7" s="58">
        <v>11.354800000000001</v>
      </c>
      <c r="M7">
        <v>25728</v>
      </c>
      <c r="N7">
        <v>32</v>
      </c>
      <c r="O7">
        <v>2</v>
      </c>
      <c r="P7">
        <v>8</v>
      </c>
      <c r="Q7">
        <v>922.22</v>
      </c>
      <c r="R7" s="63">
        <v>12.311999999999999</v>
      </c>
      <c r="S7" s="64">
        <f t="shared" si="0"/>
        <v>8.4299151019832888E-2</v>
      </c>
      <c r="U7">
        <v>25728</v>
      </c>
      <c r="V7">
        <f t="shared" si="1"/>
        <v>25728</v>
      </c>
      <c r="W7">
        <v>32</v>
      </c>
      <c r="X7">
        <v>2</v>
      </c>
      <c r="Y7">
        <v>8</v>
      </c>
      <c r="Z7">
        <v>11.886000000000001</v>
      </c>
      <c r="AB7">
        <v>25728</v>
      </c>
      <c r="AC7">
        <f t="shared" si="2"/>
        <v>25728</v>
      </c>
      <c r="AD7">
        <v>32</v>
      </c>
      <c r="AE7">
        <v>2</v>
      </c>
      <c r="AF7">
        <v>8</v>
      </c>
      <c r="AG7">
        <v>11.354800000000001</v>
      </c>
    </row>
    <row r="8" spans="1:33" x14ac:dyDescent="0.25">
      <c r="A8" s="25">
        <v>27264</v>
      </c>
      <c r="B8" s="25">
        <v>32</v>
      </c>
      <c r="C8" s="25">
        <v>2</v>
      </c>
      <c r="D8" s="25">
        <v>8</v>
      </c>
      <c r="E8" s="58">
        <v>11.894600000000001</v>
      </c>
      <c r="F8"/>
      <c r="G8" s="25">
        <v>27264</v>
      </c>
      <c r="H8" s="25">
        <v>32</v>
      </c>
      <c r="I8" s="25">
        <v>2</v>
      </c>
      <c r="J8" s="25">
        <v>8</v>
      </c>
      <c r="K8" s="58">
        <v>11.6762</v>
      </c>
      <c r="M8">
        <v>27264</v>
      </c>
      <c r="N8">
        <v>32</v>
      </c>
      <c r="O8">
        <v>2</v>
      </c>
      <c r="P8">
        <v>8</v>
      </c>
      <c r="Q8">
        <v>1144.1600000000001</v>
      </c>
      <c r="R8" s="63">
        <v>11.808999999999999</v>
      </c>
      <c r="S8" s="64">
        <f t="shared" si="0"/>
        <v>1.1373563316832496E-2</v>
      </c>
      <c r="U8">
        <v>27264</v>
      </c>
      <c r="V8">
        <f t="shared" si="1"/>
        <v>27264</v>
      </c>
      <c r="W8">
        <v>32</v>
      </c>
      <c r="X8">
        <v>2</v>
      </c>
      <c r="Y8">
        <v>8</v>
      </c>
      <c r="Z8">
        <v>11.894600000000001</v>
      </c>
      <c r="AB8">
        <v>27264</v>
      </c>
      <c r="AC8">
        <f t="shared" si="2"/>
        <v>27264</v>
      </c>
      <c r="AD8">
        <v>32</v>
      </c>
      <c r="AE8">
        <v>2</v>
      </c>
      <c r="AF8">
        <v>8</v>
      </c>
      <c r="AG8">
        <v>11.6762</v>
      </c>
    </row>
    <row r="9" spans="1:33" x14ac:dyDescent="0.25">
      <c r="A9" s="25">
        <v>28800</v>
      </c>
      <c r="B9" s="25">
        <v>32</v>
      </c>
      <c r="C9" s="25">
        <v>2</v>
      </c>
      <c r="D9" s="25">
        <v>8</v>
      </c>
      <c r="E9" s="58">
        <v>12.209200000000001</v>
      </c>
      <c r="F9"/>
      <c r="G9" s="25">
        <v>28800</v>
      </c>
      <c r="H9" s="25">
        <v>32</v>
      </c>
      <c r="I9" s="25">
        <v>2</v>
      </c>
      <c r="J9" s="25">
        <v>8</v>
      </c>
      <c r="K9" s="58">
        <v>12.0282</v>
      </c>
      <c r="M9">
        <v>28800</v>
      </c>
      <c r="N9">
        <v>32</v>
      </c>
      <c r="O9">
        <v>2</v>
      </c>
      <c r="P9">
        <v>8</v>
      </c>
      <c r="Q9">
        <v>1333.25</v>
      </c>
      <c r="R9" s="63">
        <v>11.946</v>
      </c>
      <c r="S9" s="64">
        <f t="shared" si="0"/>
        <v>-6.8339402404350002E-3</v>
      </c>
      <c r="U9">
        <v>28800</v>
      </c>
      <c r="V9">
        <f t="shared" si="1"/>
        <v>28800</v>
      </c>
      <c r="W9">
        <v>32</v>
      </c>
      <c r="X9">
        <v>2</v>
      </c>
      <c r="Y9">
        <v>8</v>
      </c>
      <c r="Z9">
        <v>12.209200000000001</v>
      </c>
      <c r="AB9">
        <v>28800</v>
      </c>
      <c r="AC9">
        <f t="shared" si="2"/>
        <v>28800</v>
      </c>
      <c r="AD9">
        <v>32</v>
      </c>
      <c r="AE9">
        <v>2</v>
      </c>
      <c r="AF9">
        <v>8</v>
      </c>
      <c r="AG9">
        <v>12.0282</v>
      </c>
    </row>
    <row r="10" spans="1:33" x14ac:dyDescent="0.25">
      <c r="A10" s="25">
        <v>25728</v>
      </c>
      <c r="B10" s="25">
        <v>32</v>
      </c>
      <c r="C10" s="25">
        <v>4</v>
      </c>
      <c r="D10" s="25">
        <v>4</v>
      </c>
      <c r="E10" s="58">
        <v>9.9754199999999997</v>
      </c>
      <c r="F10"/>
      <c r="G10" s="25">
        <v>25728</v>
      </c>
      <c r="H10" s="25">
        <v>32</v>
      </c>
      <c r="I10" s="25">
        <v>4</v>
      </c>
      <c r="J10" s="25">
        <v>4</v>
      </c>
      <c r="K10" s="58">
        <v>9.7889800000000005</v>
      </c>
      <c r="M10">
        <v>25728</v>
      </c>
      <c r="N10">
        <v>32</v>
      </c>
      <c r="O10">
        <v>4</v>
      </c>
      <c r="P10">
        <v>4</v>
      </c>
      <c r="Q10">
        <v>1080.93</v>
      </c>
      <c r="R10" s="63">
        <v>10.504</v>
      </c>
      <c r="S10" s="64">
        <f t="shared" si="0"/>
        <v>7.3043361003904295E-2</v>
      </c>
      <c r="U10">
        <v>25728</v>
      </c>
      <c r="V10">
        <f t="shared" si="1"/>
        <v>25728</v>
      </c>
      <c r="W10">
        <v>32</v>
      </c>
      <c r="X10">
        <v>4</v>
      </c>
      <c r="Y10">
        <v>4</v>
      </c>
      <c r="Z10">
        <v>9.9754199999999997</v>
      </c>
      <c r="AB10">
        <v>25728</v>
      </c>
      <c r="AC10">
        <f t="shared" si="2"/>
        <v>25728</v>
      </c>
      <c r="AD10">
        <v>32</v>
      </c>
      <c r="AE10">
        <v>4</v>
      </c>
      <c r="AF10">
        <v>4</v>
      </c>
      <c r="AG10">
        <v>9.7889800000000005</v>
      </c>
    </row>
    <row r="11" spans="1:33" x14ac:dyDescent="0.25">
      <c r="A11" s="25">
        <v>27264</v>
      </c>
      <c r="B11" s="25">
        <v>32</v>
      </c>
      <c r="C11" s="25">
        <v>4</v>
      </c>
      <c r="D11" s="25">
        <v>4</v>
      </c>
      <c r="E11" s="58">
        <v>10.132399999999999</v>
      </c>
      <c r="F11"/>
      <c r="G11" s="25">
        <v>27264</v>
      </c>
      <c r="H11" s="25">
        <v>32</v>
      </c>
      <c r="I11" s="25">
        <v>4</v>
      </c>
      <c r="J11" s="25">
        <v>4</v>
      </c>
      <c r="K11" s="58">
        <v>10.092000000000002</v>
      </c>
      <c r="M11">
        <v>27264</v>
      </c>
      <c r="N11">
        <v>32</v>
      </c>
      <c r="O11">
        <v>4</v>
      </c>
      <c r="P11">
        <v>4</v>
      </c>
      <c r="Q11">
        <v>1345.29</v>
      </c>
      <c r="R11" s="63">
        <v>10.044</v>
      </c>
      <c r="S11" s="64">
        <f t="shared" si="0"/>
        <v>-4.756242568371166E-3</v>
      </c>
      <c r="U11">
        <v>27264</v>
      </c>
      <c r="V11">
        <f t="shared" si="1"/>
        <v>27264</v>
      </c>
      <c r="W11">
        <v>32</v>
      </c>
      <c r="X11">
        <v>4</v>
      </c>
      <c r="Y11">
        <v>4</v>
      </c>
      <c r="Z11">
        <v>10.132399999999999</v>
      </c>
      <c r="AB11">
        <v>27264</v>
      </c>
      <c r="AC11">
        <f t="shared" si="2"/>
        <v>27264</v>
      </c>
      <c r="AD11">
        <v>32</v>
      </c>
      <c r="AE11">
        <v>4</v>
      </c>
      <c r="AF11">
        <v>4</v>
      </c>
      <c r="AG11">
        <v>10.092000000000002</v>
      </c>
    </row>
    <row r="12" spans="1:33" x14ac:dyDescent="0.25">
      <c r="A12" s="25">
        <v>28800</v>
      </c>
      <c r="B12" s="25">
        <v>32</v>
      </c>
      <c r="C12" s="25">
        <v>4</v>
      </c>
      <c r="D12" s="25">
        <v>4</v>
      </c>
      <c r="E12" s="58">
        <v>10.403400000000001</v>
      </c>
      <c r="F12"/>
      <c r="G12" s="25">
        <v>28800</v>
      </c>
      <c r="H12" s="25">
        <v>32</v>
      </c>
      <c r="I12" s="25">
        <v>4</v>
      </c>
      <c r="J12" s="25">
        <v>4</v>
      </c>
      <c r="K12" s="58">
        <v>10.4236</v>
      </c>
      <c r="M12">
        <v>28800</v>
      </c>
      <c r="N12">
        <v>32</v>
      </c>
      <c r="O12">
        <v>4</v>
      </c>
      <c r="P12">
        <v>4</v>
      </c>
      <c r="Q12">
        <v>1529.46</v>
      </c>
      <c r="R12" s="63">
        <v>10.413</v>
      </c>
      <c r="S12" s="64">
        <f t="shared" si="0"/>
        <v>-1.0169231359607204E-3</v>
      </c>
      <c r="U12">
        <v>28800</v>
      </c>
      <c r="V12">
        <f t="shared" si="1"/>
        <v>28800</v>
      </c>
      <c r="W12">
        <v>32</v>
      </c>
      <c r="X12">
        <v>4</v>
      </c>
      <c r="Y12">
        <v>4</v>
      </c>
      <c r="Z12">
        <v>10.403400000000001</v>
      </c>
      <c r="AB12">
        <v>28800</v>
      </c>
      <c r="AC12">
        <f t="shared" si="2"/>
        <v>28800</v>
      </c>
      <c r="AD12">
        <v>32</v>
      </c>
      <c r="AE12">
        <v>4</v>
      </c>
      <c r="AF12">
        <v>4</v>
      </c>
      <c r="AG12">
        <v>10.4236</v>
      </c>
    </row>
    <row r="13" spans="1:33" x14ac:dyDescent="0.25">
      <c r="A13" s="25">
        <v>25728</v>
      </c>
      <c r="B13" s="25">
        <v>64</v>
      </c>
      <c r="C13" s="25">
        <v>1</v>
      </c>
      <c r="D13" s="25">
        <v>16</v>
      </c>
      <c r="E13" s="58">
        <v>10.942399999999997</v>
      </c>
      <c r="F13"/>
      <c r="G13" s="25">
        <v>25728</v>
      </c>
      <c r="H13" s="25">
        <v>64</v>
      </c>
      <c r="I13" s="25">
        <v>1</v>
      </c>
      <c r="J13" s="25">
        <v>16</v>
      </c>
      <c r="K13" s="58">
        <v>11.775</v>
      </c>
      <c r="M13">
        <v>25728</v>
      </c>
      <c r="N13">
        <v>64</v>
      </c>
      <c r="O13">
        <v>1</v>
      </c>
      <c r="P13">
        <v>16</v>
      </c>
      <c r="Q13">
        <v>984.54</v>
      </c>
      <c r="R13" s="63">
        <v>11.532999999999999</v>
      </c>
      <c r="S13" s="64">
        <f t="shared" si="0"/>
        <v>-2.0552016985138078E-2</v>
      </c>
      <c r="U13">
        <v>25728</v>
      </c>
      <c r="V13">
        <f t="shared" si="1"/>
        <v>25728</v>
      </c>
      <c r="W13">
        <v>64</v>
      </c>
      <c r="X13">
        <v>1</v>
      </c>
      <c r="Y13">
        <v>16</v>
      </c>
      <c r="Z13">
        <v>10.942399999999997</v>
      </c>
      <c r="AB13">
        <v>25728</v>
      </c>
      <c r="AC13">
        <f t="shared" si="2"/>
        <v>25728</v>
      </c>
      <c r="AD13">
        <v>64</v>
      </c>
      <c r="AE13">
        <v>1</v>
      </c>
      <c r="AF13">
        <v>16</v>
      </c>
      <c r="AG13">
        <v>11.775</v>
      </c>
    </row>
    <row r="14" spans="1:33" x14ac:dyDescent="0.25">
      <c r="A14" s="25">
        <v>27264</v>
      </c>
      <c r="B14" s="25">
        <v>64</v>
      </c>
      <c r="C14" s="25">
        <v>1</v>
      </c>
      <c r="D14" s="25">
        <v>16</v>
      </c>
      <c r="E14" s="58">
        <v>11.004799999999999</v>
      </c>
      <c r="F14"/>
      <c r="G14" s="25">
        <v>27264</v>
      </c>
      <c r="H14" s="25">
        <v>64</v>
      </c>
      <c r="I14" s="25">
        <v>1</v>
      </c>
      <c r="J14" s="25">
        <v>16</v>
      </c>
      <c r="K14" s="58">
        <v>12.1334</v>
      </c>
      <c r="M14">
        <v>27264</v>
      </c>
      <c r="N14">
        <v>64</v>
      </c>
      <c r="O14">
        <v>1</v>
      </c>
      <c r="P14">
        <v>16</v>
      </c>
      <c r="Q14">
        <v>1195.6300000000001</v>
      </c>
      <c r="R14" s="63">
        <v>11.301</v>
      </c>
      <c r="S14" s="64">
        <f t="shared" si="0"/>
        <v>-6.8604018659238125E-2</v>
      </c>
      <c r="U14">
        <v>27264</v>
      </c>
      <c r="V14">
        <f t="shared" si="1"/>
        <v>27264</v>
      </c>
      <c r="W14">
        <v>64</v>
      </c>
      <c r="X14">
        <v>1</v>
      </c>
      <c r="Y14">
        <v>16</v>
      </c>
      <c r="Z14">
        <v>11.004799999999999</v>
      </c>
      <c r="AB14">
        <v>27264</v>
      </c>
      <c r="AC14">
        <f t="shared" si="2"/>
        <v>27264</v>
      </c>
      <c r="AD14">
        <v>64</v>
      </c>
      <c r="AE14">
        <v>1</v>
      </c>
      <c r="AF14">
        <v>16</v>
      </c>
      <c r="AG14">
        <v>12.1334</v>
      </c>
    </row>
    <row r="15" spans="1:33" x14ac:dyDescent="0.25">
      <c r="A15" s="25">
        <v>28800</v>
      </c>
      <c r="B15" s="25">
        <v>64</v>
      </c>
      <c r="C15" s="25">
        <v>1</v>
      </c>
      <c r="D15" s="25">
        <v>16</v>
      </c>
      <c r="E15" s="58">
        <v>11.448599999999999</v>
      </c>
      <c r="F15"/>
      <c r="G15" s="25">
        <v>28800</v>
      </c>
      <c r="H15" s="25">
        <v>64</v>
      </c>
      <c r="I15" s="25">
        <v>1</v>
      </c>
      <c r="J15" s="25">
        <v>16</v>
      </c>
      <c r="K15" s="58">
        <v>12.472399999999999</v>
      </c>
      <c r="M15">
        <v>28800</v>
      </c>
      <c r="N15">
        <v>64</v>
      </c>
      <c r="O15">
        <v>1</v>
      </c>
      <c r="P15">
        <v>16</v>
      </c>
      <c r="Q15">
        <v>1396.61</v>
      </c>
      <c r="R15" s="63">
        <v>11.404</v>
      </c>
      <c r="S15" s="64">
        <f t="shared" si="0"/>
        <v>-8.5661139796670949E-2</v>
      </c>
      <c r="U15">
        <v>28800</v>
      </c>
      <c r="V15">
        <f t="shared" si="1"/>
        <v>28800</v>
      </c>
      <c r="W15">
        <v>64</v>
      </c>
      <c r="X15">
        <v>1</v>
      </c>
      <c r="Y15">
        <v>16</v>
      </c>
      <c r="Z15">
        <v>11.448599999999999</v>
      </c>
      <c r="AB15">
        <v>28800</v>
      </c>
      <c r="AC15">
        <f t="shared" si="2"/>
        <v>28800</v>
      </c>
      <c r="AD15">
        <v>64</v>
      </c>
      <c r="AE15">
        <v>1</v>
      </c>
      <c r="AF15">
        <v>16</v>
      </c>
      <c r="AG15">
        <v>12.472399999999999</v>
      </c>
    </row>
    <row r="16" spans="1:33" x14ac:dyDescent="0.25">
      <c r="A16" s="25">
        <v>25728</v>
      </c>
      <c r="B16" s="25">
        <v>64</v>
      </c>
      <c r="C16" s="25">
        <v>2</v>
      </c>
      <c r="D16" s="25">
        <v>8</v>
      </c>
      <c r="E16" s="58">
        <v>12.7136</v>
      </c>
      <c r="F16"/>
      <c r="G16" s="25">
        <v>25728</v>
      </c>
      <c r="H16" s="25">
        <v>64</v>
      </c>
      <c r="I16" s="25">
        <v>2</v>
      </c>
      <c r="J16" s="25">
        <v>8</v>
      </c>
      <c r="K16" s="58">
        <v>12.3344</v>
      </c>
      <c r="M16">
        <v>25728</v>
      </c>
      <c r="N16">
        <v>64</v>
      </c>
      <c r="O16">
        <v>2</v>
      </c>
      <c r="P16">
        <v>8</v>
      </c>
      <c r="Q16">
        <v>864.46</v>
      </c>
      <c r="R16" s="63">
        <v>13.135</v>
      </c>
      <c r="S16" s="64">
        <f t="shared" si="0"/>
        <v>6.4907899857309576E-2</v>
      </c>
      <c r="U16">
        <v>25728</v>
      </c>
      <c r="V16">
        <f t="shared" si="1"/>
        <v>25728</v>
      </c>
      <c r="W16">
        <v>64</v>
      </c>
      <c r="X16">
        <v>2</v>
      </c>
      <c r="Y16">
        <v>8</v>
      </c>
      <c r="Z16">
        <v>12.7136</v>
      </c>
      <c r="AB16">
        <v>25728</v>
      </c>
      <c r="AC16">
        <f t="shared" si="2"/>
        <v>25728</v>
      </c>
      <c r="AD16">
        <v>64</v>
      </c>
      <c r="AE16">
        <v>2</v>
      </c>
      <c r="AF16">
        <v>8</v>
      </c>
      <c r="AG16">
        <v>12.3344</v>
      </c>
    </row>
    <row r="17" spans="1:33" x14ac:dyDescent="0.25">
      <c r="A17" s="25">
        <v>27264</v>
      </c>
      <c r="B17" s="25">
        <v>64</v>
      </c>
      <c r="C17" s="25">
        <v>2</v>
      </c>
      <c r="D17" s="25">
        <v>8</v>
      </c>
      <c r="E17" s="58">
        <v>12.737599999999999</v>
      </c>
      <c r="F17"/>
      <c r="G17" s="25">
        <v>27264</v>
      </c>
      <c r="H17" s="25">
        <v>64</v>
      </c>
      <c r="I17" s="25">
        <v>2</v>
      </c>
      <c r="J17" s="25">
        <v>8</v>
      </c>
      <c r="K17" s="58">
        <v>12.638400000000001</v>
      </c>
      <c r="M17">
        <v>27264</v>
      </c>
      <c r="N17">
        <v>64</v>
      </c>
      <c r="O17">
        <v>2</v>
      </c>
      <c r="P17">
        <v>8</v>
      </c>
      <c r="Q17">
        <v>1063.49</v>
      </c>
      <c r="R17" s="63">
        <v>12.705</v>
      </c>
      <c r="S17" s="64">
        <f t="shared" si="0"/>
        <v>5.2696543866311658E-3</v>
      </c>
      <c r="U17">
        <v>27264</v>
      </c>
      <c r="V17">
        <f t="shared" si="1"/>
        <v>27264</v>
      </c>
      <c r="W17">
        <v>64</v>
      </c>
      <c r="X17">
        <v>2</v>
      </c>
      <c r="Y17">
        <v>8</v>
      </c>
      <c r="Z17">
        <v>12.737599999999999</v>
      </c>
      <c r="AB17">
        <v>27264</v>
      </c>
      <c r="AC17">
        <f t="shared" si="2"/>
        <v>27264</v>
      </c>
      <c r="AD17">
        <v>64</v>
      </c>
      <c r="AE17">
        <v>2</v>
      </c>
      <c r="AF17">
        <v>8</v>
      </c>
      <c r="AG17">
        <v>12.638400000000001</v>
      </c>
    </row>
    <row r="18" spans="1:33" x14ac:dyDescent="0.25">
      <c r="A18" s="25">
        <v>28800</v>
      </c>
      <c r="B18" s="25">
        <v>64</v>
      </c>
      <c r="C18" s="25">
        <v>2</v>
      </c>
      <c r="D18" s="25">
        <v>8</v>
      </c>
      <c r="E18" s="58">
        <v>13.126200000000001</v>
      </c>
      <c r="F18"/>
      <c r="G18" s="25">
        <v>28800</v>
      </c>
      <c r="H18" s="25">
        <v>64</v>
      </c>
      <c r="I18" s="25">
        <v>2</v>
      </c>
      <c r="J18" s="25">
        <v>8</v>
      </c>
      <c r="K18" s="58">
        <v>13.024000000000001</v>
      </c>
      <c r="M18">
        <v>28800</v>
      </c>
      <c r="N18">
        <v>64</v>
      </c>
      <c r="O18">
        <v>2</v>
      </c>
      <c r="P18">
        <v>8</v>
      </c>
      <c r="Q18">
        <v>1251.5999999999999</v>
      </c>
      <c r="R18" s="63">
        <v>12.725</v>
      </c>
      <c r="S18" s="64">
        <f t="shared" si="0"/>
        <v>-2.2957616707616802E-2</v>
      </c>
      <c r="U18">
        <v>28800</v>
      </c>
      <c r="V18">
        <f t="shared" si="1"/>
        <v>28800</v>
      </c>
      <c r="W18">
        <v>64</v>
      </c>
      <c r="X18">
        <v>2</v>
      </c>
      <c r="Y18">
        <v>8</v>
      </c>
      <c r="Z18">
        <v>13.126200000000001</v>
      </c>
      <c r="AB18">
        <v>28800</v>
      </c>
      <c r="AC18">
        <f t="shared" si="2"/>
        <v>28800</v>
      </c>
      <c r="AD18">
        <v>64</v>
      </c>
      <c r="AE18">
        <v>2</v>
      </c>
      <c r="AF18">
        <v>8</v>
      </c>
      <c r="AG18">
        <v>13.024000000000001</v>
      </c>
    </row>
    <row r="19" spans="1:33" x14ac:dyDescent="0.25">
      <c r="A19" s="25">
        <v>25728</v>
      </c>
      <c r="B19" s="25">
        <v>64</v>
      </c>
      <c r="C19" s="25">
        <v>4</v>
      </c>
      <c r="D19" s="25">
        <v>4</v>
      </c>
      <c r="E19" s="58">
        <v>10.5442</v>
      </c>
      <c r="F19"/>
      <c r="G19" s="25">
        <v>25728</v>
      </c>
      <c r="H19" s="25">
        <v>64</v>
      </c>
      <c r="I19" s="25">
        <v>4</v>
      </c>
      <c r="J19" s="25">
        <v>4</v>
      </c>
      <c r="K19" s="58">
        <v>10.258199999999999</v>
      </c>
      <c r="M19">
        <v>25728</v>
      </c>
      <c r="N19">
        <v>64</v>
      </c>
      <c r="O19">
        <v>4</v>
      </c>
      <c r="P19">
        <v>4</v>
      </c>
      <c r="Q19">
        <v>1029.3699999999999</v>
      </c>
      <c r="R19" s="63">
        <v>11.03</v>
      </c>
      <c r="S19" s="64">
        <f t="shared" si="0"/>
        <v>7.523737107874684E-2</v>
      </c>
      <c r="U19">
        <v>25728</v>
      </c>
      <c r="V19">
        <f t="shared" si="1"/>
        <v>25728</v>
      </c>
      <c r="W19">
        <v>64</v>
      </c>
      <c r="X19">
        <v>4</v>
      </c>
      <c r="Y19">
        <v>4</v>
      </c>
      <c r="Z19">
        <v>10.5442</v>
      </c>
      <c r="AB19">
        <v>25728</v>
      </c>
      <c r="AC19">
        <f t="shared" si="2"/>
        <v>25728</v>
      </c>
      <c r="AD19">
        <v>64</v>
      </c>
      <c r="AE19">
        <v>4</v>
      </c>
      <c r="AF19">
        <v>4</v>
      </c>
      <c r="AG19">
        <v>10.258199999999999</v>
      </c>
    </row>
    <row r="20" spans="1:33" x14ac:dyDescent="0.25">
      <c r="A20" s="25">
        <v>27264</v>
      </c>
      <c r="B20" s="25">
        <v>64</v>
      </c>
      <c r="C20" s="25">
        <v>4</v>
      </c>
      <c r="D20" s="25">
        <v>4</v>
      </c>
      <c r="E20" s="58">
        <v>10.723800000000001</v>
      </c>
      <c r="F20"/>
      <c r="G20" s="25">
        <v>27264</v>
      </c>
      <c r="H20" s="25">
        <v>64</v>
      </c>
      <c r="I20" s="25">
        <v>4</v>
      </c>
      <c r="J20" s="25">
        <v>4</v>
      </c>
      <c r="K20" s="58">
        <v>10.6408</v>
      </c>
      <c r="M20">
        <v>27264</v>
      </c>
      <c r="N20">
        <v>64</v>
      </c>
      <c r="O20">
        <v>4</v>
      </c>
      <c r="P20">
        <v>4</v>
      </c>
      <c r="Q20">
        <v>1262.3399999999999</v>
      </c>
      <c r="R20" s="63">
        <v>10.704000000000001</v>
      </c>
      <c r="S20" s="64">
        <f t="shared" si="0"/>
        <v>5.9394030524020881E-3</v>
      </c>
      <c r="U20">
        <v>27264</v>
      </c>
      <c r="V20">
        <f t="shared" si="1"/>
        <v>27264</v>
      </c>
      <c r="W20">
        <v>64</v>
      </c>
      <c r="X20">
        <v>4</v>
      </c>
      <c r="Y20">
        <v>4</v>
      </c>
      <c r="Z20">
        <v>10.723800000000001</v>
      </c>
      <c r="AB20">
        <v>27264</v>
      </c>
      <c r="AC20">
        <f t="shared" si="2"/>
        <v>27264</v>
      </c>
      <c r="AD20">
        <v>64</v>
      </c>
      <c r="AE20">
        <v>4</v>
      </c>
      <c r="AF20">
        <v>4</v>
      </c>
      <c r="AG20">
        <v>10.6408</v>
      </c>
    </row>
    <row r="21" spans="1:33" x14ac:dyDescent="0.25">
      <c r="A21" s="25">
        <v>28800</v>
      </c>
      <c r="B21" s="25">
        <v>64</v>
      </c>
      <c r="C21" s="25">
        <v>4</v>
      </c>
      <c r="D21" s="25">
        <v>4</v>
      </c>
      <c r="E21" s="58">
        <v>10.943199999999999</v>
      </c>
      <c r="F21"/>
      <c r="G21" s="25">
        <v>28800</v>
      </c>
      <c r="H21" s="25">
        <v>64</v>
      </c>
      <c r="I21" s="25">
        <v>4</v>
      </c>
      <c r="J21" s="25">
        <v>4</v>
      </c>
      <c r="K21" s="58">
        <v>11.005799999999999</v>
      </c>
      <c r="M21">
        <v>28800</v>
      </c>
      <c r="N21">
        <v>64</v>
      </c>
      <c r="O21">
        <v>4</v>
      </c>
      <c r="P21">
        <v>4</v>
      </c>
      <c r="Q21">
        <v>1466.17</v>
      </c>
      <c r="R21" s="63">
        <v>10.863</v>
      </c>
      <c r="S21" s="64">
        <f t="shared" si="0"/>
        <v>-1.2974976830398461E-2</v>
      </c>
      <c r="U21">
        <v>28800</v>
      </c>
      <c r="V21">
        <f t="shared" si="1"/>
        <v>28800</v>
      </c>
      <c r="W21">
        <v>64</v>
      </c>
      <c r="X21">
        <v>4</v>
      </c>
      <c r="Y21">
        <v>4</v>
      </c>
      <c r="Z21">
        <v>10.943199999999999</v>
      </c>
      <c r="AB21">
        <v>28800</v>
      </c>
      <c r="AC21">
        <f t="shared" si="2"/>
        <v>28800</v>
      </c>
      <c r="AD21">
        <v>64</v>
      </c>
      <c r="AE21">
        <v>4</v>
      </c>
      <c r="AF21">
        <v>4</v>
      </c>
      <c r="AG21">
        <v>11.005799999999999</v>
      </c>
    </row>
    <row r="22" spans="1:33" x14ac:dyDescent="0.25">
      <c r="A22" s="25">
        <v>25728</v>
      </c>
      <c r="B22" s="25">
        <v>96</v>
      </c>
      <c r="C22" s="25">
        <v>1</v>
      </c>
      <c r="D22" s="25">
        <v>16</v>
      </c>
      <c r="E22" s="58">
        <v>11.2666</v>
      </c>
      <c r="F22"/>
      <c r="G22" s="25">
        <v>25728</v>
      </c>
      <c r="H22" s="25">
        <v>96</v>
      </c>
      <c r="I22" s="25">
        <v>1</v>
      </c>
      <c r="J22" s="25">
        <v>16</v>
      </c>
      <c r="K22" s="58">
        <v>12.034200000000002</v>
      </c>
      <c r="M22">
        <v>25728</v>
      </c>
      <c r="N22">
        <v>96</v>
      </c>
      <c r="O22">
        <v>1</v>
      </c>
      <c r="P22">
        <v>16</v>
      </c>
      <c r="Q22">
        <v>975.67</v>
      </c>
      <c r="R22" s="63">
        <v>11.638</v>
      </c>
      <c r="S22" s="64">
        <f t="shared" si="0"/>
        <v>-3.2922836582406974E-2</v>
      </c>
      <c r="U22">
        <v>25728</v>
      </c>
      <c r="V22">
        <f t="shared" si="1"/>
        <v>25728</v>
      </c>
      <c r="W22">
        <v>96</v>
      </c>
      <c r="X22">
        <v>1</v>
      </c>
      <c r="Y22">
        <v>16</v>
      </c>
      <c r="Z22">
        <v>11.2666</v>
      </c>
      <c r="AB22">
        <v>25728</v>
      </c>
      <c r="AC22">
        <f t="shared" si="2"/>
        <v>25728</v>
      </c>
      <c r="AD22">
        <v>96</v>
      </c>
      <c r="AE22">
        <v>1</v>
      </c>
      <c r="AF22">
        <v>16</v>
      </c>
      <c r="AG22">
        <v>12.034200000000002</v>
      </c>
    </row>
    <row r="23" spans="1:33" x14ac:dyDescent="0.25">
      <c r="A23" s="25">
        <v>27264</v>
      </c>
      <c r="B23" s="25">
        <v>96</v>
      </c>
      <c r="C23" s="25">
        <v>1</v>
      </c>
      <c r="D23" s="25">
        <v>16</v>
      </c>
      <c r="E23" s="58">
        <v>11.370199999999999</v>
      </c>
      <c r="F23"/>
      <c r="G23" s="25">
        <v>27264</v>
      </c>
      <c r="H23" s="25">
        <v>96</v>
      </c>
      <c r="I23" s="25">
        <v>1</v>
      </c>
      <c r="J23" s="25">
        <v>16</v>
      </c>
      <c r="K23" s="58">
        <v>12.307999999999998</v>
      </c>
      <c r="M23">
        <v>27264</v>
      </c>
      <c r="N23">
        <v>96</v>
      </c>
      <c r="O23">
        <v>1</v>
      </c>
      <c r="P23">
        <v>16</v>
      </c>
      <c r="Q23">
        <v>1212.81</v>
      </c>
      <c r="R23" s="63">
        <v>11.141</v>
      </c>
      <c r="S23" s="64">
        <f t="shared" si="0"/>
        <v>-9.4816379590510091E-2</v>
      </c>
      <c r="U23">
        <v>27264</v>
      </c>
      <c r="V23">
        <f t="shared" si="1"/>
        <v>27264</v>
      </c>
      <c r="W23">
        <v>96</v>
      </c>
      <c r="X23">
        <v>1</v>
      </c>
      <c r="Y23">
        <v>16</v>
      </c>
      <c r="Z23">
        <v>11.370199999999999</v>
      </c>
      <c r="AB23">
        <v>27264</v>
      </c>
      <c r="AC23">
        <f t="shared" si="2"/>
        <v>27264</v>
      </c>
      <c r="AD23">
        <v>96</v>
      </c>
      <c r="AE23">
        <v>1</v>
      </c>
      <c r="AF23">
        <v>16</v>
      </c>
      <c r="AG23">
        <v>12.307999999999998</v>
      </c>
    </row>
    <row r="24" spans="1:33" x14ac:dyDescent="0.25">
      <c r="A24" s="25">
        <v>28800</v>
      </c>
      <c r="B24" s="25">
        <v>96</v>
      </c>
      <c r="C24" s="25">
        <v>1</v>
      </c>
      <c r="D24" s="25">
        <v>16</v>
      </c>
      <c r="E24" s="58">
        <v>11.7898</v>
      </c>
      <c r="F24"/>
      <c r="G24" s="25">
        <v>28800</v>
      </c>
      <c r="H24" s="25">
        <v>96</v>
      </c>
      <c r="I24" s="25">
        <v>1</v>
      </c>
      <c r="J24" s="25">
        <v>16</v>
      </c>
      <c r="K24" s="58">
        <v>12.665400000000002</v>
      </c>
      <c r="M24">
        <v>28800</v>
      </c>
      <c r="N24">
        <v>96</v>
      </c>
      <c r="O24">
        <v>1</v>
      </c>
      <c r="P24">
        <v>16</v>
      </c>
      <c r="Q24">
        <v>1376.44</v>
      </c>
      <c r="R24" s="63">
        <v>11.571</v>
      </c>
      <c r="S24" s="64">
        <f t="shared" si="0"/>
        <v>-8.6408640864086561E-2</v>
      </c>
      <c r="U24">
        <v>28800</v>
      </c>
      <c r="V24">
        <f t="shared" si="1"/>
        <v>28800</v>
      </c>
      <c r="W24">
        <v>96</v>
      </c>
      <c r="X24">
        <v>1</v>
      </c>
      <c r="Y24">
        <v>16</v>
      </c>
      <c r="Z24">
        <v>11.7898</v>
      </c>
      <c r="AB24">
        <v>28800</v>
      </c>
      <c r="AC24">
        <f t="shared" si="2"/>
        <v>28800</v>
      </c>
      <c r="AD24">
        <v>96</v>
      </c>
      <c r="AE24">
        <v>1</v>
      </c>
      <c r="AF24">
        <v>16</v>
      </c>
      <c r="AG24">
        <v>12.665400000000002</v>
      </c>
    </row>
    <row r="25" spans="1:33" x14ac:dyDescent="0.25">
      <c r="A25" s="25">
        <v>25728</v>
      </c>
      <c r="B25" s="25">
        <v>96</v>
      </c>
      <c r="C25" s="25">
        <v>2</v>
      </c>
      <c r="D25" s="25">
        <v>8</v>
      </c>
      <c r="E25" s="58">
        <v>13.0114</v>
      </c>
      <c r="F25"/>
      <c r="G25" s="25">
        <v>25728</v>
      </c>
      <c r="H25" s="25">
        <v>96</v>
      </c>
      <c r="I25" s="25">
        <v>2</v>
      </c>
      <c r="J25" s="25">
        <v>8</v>
      </c>
      <c r="K25" s="58">
        <v>12.3668</v>
      </c>
      <c r="M25">
        <v>25728</v>
      </c>
      <c r="N25">
        <v>96</v>
      </c>
      <c r="O25">
        <v>2</v>
      </c>
      <c r="P25">
        <v>8</v>
      </c>
      <c r="Q25">
        <v>858.02</v>
      </c>
      <c r="R25" s="63">
        <v>13.233000000000001</v>
      </c>
      <c r="S25" s="64">
        <f t="shared" si="0"/>
        <v>7.0042371510819365E-2</v>
      </c>
      <c r="U25">
        <v>25728</v>
      </c>
      <c r="V25">
        <f t="shared" si="1"/>
        <v>25728</v>
      </c>
      <c r="W25">
        <v>96</v>
      </c>
      <c r="X25">
        <v>2</v>
      </c>
      <c r="Y25">
        <v>8</v>
      </c>
      <c r="Z25">
        <v>13.0114</v>
      </c>
      <c r="AB25">
        <v>25728</v>
      </c>
      <c r="AC25">
        <f t="shared" si="2"/>
        <v>25728</v>
      </c>
      <c r="AD25">
        <v>96</v>
      </c>
      <c r="AE25">
        <v>2</v>
      </c>
      <c r="AF25">
        <v>8</v>
      </c>
      <c r="AG25">
        <v>12.3668</v>
      </c>
    </row>
    <row r="26" spans="1:33" x14ac:dyDescent="0.25">
      <c r="A26" s="25">
        <v>27264</v>
      </c>
      <c r="B26" s="25">
        <v>96</v>
      </c>
      <c r="C26" s="25">
        <v>2</v>
      </c>
      <c r="D26" s="25">
        <v>8</v>
      </c>
      <c r="E26" s="58">
        <v>13.113400000000002</v>
      </c>
      <c r="F26"/>
      <c r="G26" s="25">
        <v>27264</v>
      </c>
      <c r="H26" s="25">
        <v>96</v>
      </c>
      <c r="I26" s="25">
        <v>2</v>
      </c>
      <c r="J26" s="25">
        <v>8</v>
      </c>
      <c r="K26" s="58">
        <v>12.732800000000001</v>
      </c>
      <c r="M26">
        <v>27264</v>
      </c>
      <c r="N26">
        <v>96</v>
      </c>
      <c r="O26">
        <v>2</v>
      </c>
      <c r="P26">
        <v>8</v>
      </c>
      <c r="Q26">
        <v>1071.94</v>
      </c>
      <c r="R26" s="63">
        <v>12.605</v>
      </c>
      <c r="S26" s="64">
        <f t="shared" si="0"/>
        <v>-1.0037069615481321E-2</v>
      </c>
      <c r="U26">
        <v>27264</v>
      </c>
      <c r="V26">
        <f t="shared" si="1"/>
        <v>27264</v>
      </c>
      <c r="W26">
        <v>96</v>
      </c>
      <c r="X26">
        <v>2</v>
      </c>
      <c r="Y26">
        <v>8</v>
      </c>
      <c r="Z26">
        <v>13.113400000000002</v>
      </c>
      <c r="AB26">
        <v>27264</v>
      </c>
      <c r="AC26">
        <f t="shared" si="2"/>
        <v>27264</v>
      </c>
      <c r="AD26">
        <v>96</v>
      </c>
      <c r="AE26">
        <v>2</v>
      </c>
      <c r="AF26">
        <v>8</v>
      </c>
      <c r="AG26">
        <v>12.732800000000001</v>
      </c>
    </row>
    <row r="27" spans="1:33" x14ac:dyDescent="0.25">
      <c r="A27" s="25">
        <v>28800</v>
      </c>
      <c r="B27" s="25">
        <v>96</v>
      </c>
      <c r="C27" s="25">
        <v>2</v>
      </c>
      <c r="D27" s="25">
        <v>8</v>
      </c>
      <c r="E27" s="58">
        <v>13.460800000000001</v>
      </c>
      <c r="F27"/>
      <c r="G27" s="25">
        <v>28800</v>
      </c>
      <c r="H27" s="25">
        <v>96</v>
      </c>
      <c r="I27" s="25">
        <v>2</v>
      </c>
      <c r="J27" s="25">
        <v>8</v>
      </c>
      <c r="K27" s="58">
        <v>13.100800000000001</v>
      </c>
      <c r="M27">
        <v>28800</v>
      </c>
      <c r="N27">
        <v>96</v>
      </c>
      <c r="O27">
        <v>2</v>
      </c>
      <c r="P27">
        <v>8</v>
      </c>
      <c r="Q27">
        <v>1236.22</v>
      </c>
      <c r="R27" s="63">
        <v>12.882999999999999</v>
      </c>
      <c r="S27" s="64">
        <f t="shared" si="0"/>
        <v>-1.6624938935027037E-2</v>
      </c>
      <c r="U27">
        <v>28800</v>
      </c>
      <c r="V27">
        <f t="shared" si="1"/>
        <v>28800</v>
      </c>
      <c r="W27">
        <v>96</v>
      </c>
      <c r="X27">
        <v>2</v>
      </c>
      <c r="Y27">
        <v>8</v>
      </c>
      <c r="Z27">
        <v>13.460800000000001</v>
      </c>
      <c r="AB27">
        <v>28800</v>
      </c>
      <c r="AC27">
        <f t="shared" si="2"/>
        <v>28800</v>
      </c>
      <c r="AD27">
        <v>96</v>
      </c>
      <c r="AE27">
        <v>2</v>
      </c>
      <c r="AF27">
        <v>8</v>
      </c>
      <c r="AG27">
        <v>13.100800000000001</v>
      </c>
    </row>
    <row r="28" spans="1:33" x14ac:dyDescent="0.25">
      <c r="A28" s="25">
        <v>25728</v>
      </c>
      <c r="B28" s="25">
        <v>96</v>
      </c>
      <c r="C28" s="25">
        <v>4</v>
      </c>
      <c r="D28" s="25">
        <v>4</v>
      </c>
      <c r="E28" s="58">
        <v>10.763400000000001</v>
      </c>
      <c r="F28"/>
      <c r="G28" s="25">
        <v>25728</v>
      </c>
      <c r="H28" s="25">
        <v>96</v>
      </c>
      <c r="I28" s="25">
        <v>4</v>
      </c>
      <c r="J28" s="25">
        <v>4</v>
      </c>
      <c r="K28" s="58">
        <v>10.392199999999999</v>
      </c>
      <c r="M28">
        <v>25728</v>
      </c>
      <c r="N28">
        <v>96</v>
      </c>
      <c r="O28">
        <v>4</v>
      </c>
      <c r="P28">
        <v>4</v>
      </c>
      <c r="Q28">
        <v>1040.56</v>
      </c>
      <c r="R28" s="63">
        <v>10.912000000000001</v>
      </c>
      <c r="S28" s="64">
        <f t="shared" si="0"/>
        <v>5.0018282942976645E-2</v>
      </c>
      <c r="U28">
        <v>25728</v>
      </c>
      <c r="V28">
        <f t="shared" si="1"/>
        <v>25728</v>
      </c>
      <c r="W28">
        <v>96</v>
      </c>
      <c r="X28">
        <v>4</v>
      </c>
      <c r="Y28">
        <v>4</v>
      </c>
      <c r="Z28">
        <v>10.763400000000001</v>
      </c>
      <c r="AB28">
        <v>25728</v>
      </c>
      <c r="AC28">
        <f t="shared" si="2"/>
        <v>25728</v>
      </c>
      <c r="AD28">
        <v>96</v>
      </c>
      <c r="AE28">
        <v>4</v>
      </c>
      <c r="AF28">
        <v>4</v>
      </c>
      <c r="AG28">
        <v>10.392199999999999</v>
      </c>
    </row>
    <row r="29" spans="1:33" x14ac:dyDescent="0.25">
      <c r="A29" s="25">
        <v>27264</v>
      </c>
      <c r="B29" s="25">
        <v>96</v>
      </c>
      <c r="C29" s="25">
        <v>4</v>
      </c>
      <c r="D29" s="25">
        <v>4</v>
      </c>
      <c r="E29" s="58">
        <v>11.008799999999999</v>
      </c>
      <c r="F29"/>
      <c r="G29" s="25">
        <v>27264</v>
      </c>
      <c r="H29" s="25">
        <v>96</v>
      </c>
      <c r="I29" s="25">
        <v>4</v>
      </c>
      <c r="J29" s="25">
        <v>4</v>
      </c>
      <c r="K29" s="58">
        <v>10.7628</v>
      </c>
      <c r="M29">
        <v>27264</v>
      </c>
      <c r="N29">
        <v>96</v>
      </c>
      <c r="O29">
        <v>4</v>
      </c>
      <c r="P29">
        <v>4</v>
      </c>
      <c r="Q29">
        <v>1281.96</v>
      </c>
      <c r="R29" s="63">
        <v>10.54</v>
      </c>
      <c r="S29" s="64">
        <f t="shared" si="0"/>
        <v>-2.0700932842754784E-2</v>
      </c>
      <c r="U29">
        <v>27264</v>
      </c>
      <c r="V29">
        <f t="shared" si="1"/>
        <v>27264</v>
      </c>
      <c r="W29">
        <v>96</v>
      </c>
      <c r="X29">
        <v>4</v>
      </c>
      <c r="Y29">
        <v>4</v>
      </c>
      <c r="Z29">
        <v>11.008799999999999</v>
      </c>
      <c r="AB29">
        <v>27264</v>
      </c>
      <c r="AC29">
        <f t="shared" si="2"/>
        <v>27264</v>
      </c>
      <c r="AD29">
        <v>96</v>
      </c>
      <c r="AE29">
        <v>4</v>
      </c>
      <c r="AF29">
        <v>4</v>
      </c>
      <c r="AG29">
        <v>10.7628</v>
      </c>
    </row>
    <row r="30" spans="1:33" x14ac:dyDescent="0.25">
      <c r="A30" s="25">
        <v>28800</v>
      </c>
      <c r="B30" s="25">
        <v>96</v>
      </c>
      <c r="C30" s="25">
        <v>4</v>
      </c>
      <c r="D30" s="25">
        <v>4</v>
      </c>
      <c r="E30" s="58">
        <v>11.3306</v>
      </c>
      <c r="F30"/>
      <c r="G30" s="25">
        <v>28800</v>
      </c>
      <c r="H30" s="25">
        <v>96</v>
      </c>
      <c r="I30" s="25">
        <v>4</v>
      </c>
      <c r="J30" s="25">
        <v>4</v>
      </c>
      <c r="K30" s="58">
        <v>11.092599999999999</v>
      </c>
      <c r="M30">
        <v>28800</v>
      </c>
      <c r="N30">
        <v>96</v>
      </c>
      <c r="O30">
        <v>4</v>
      </c>
      <c r="P30">
        <v>4</v>
      </c>
      <c r="Q30">
        <v>1440.12</v>
      </c>
      <c r="R30" s="63">
        <v>11.058999999999999</v>
      </c>
      <c r="S30" s="64">
        <f t="shared" si="0"/>
        <v>-3.0290463912878724E-3</v>
      </c>
      <c r="U30">
        <v>28800</v>
      </c>
      <c r="V30">
        <f t="shared" si="1"/>
        <v>28800</v>
      </c>
      <c r="W30">
        <v>96</v>
      </c>
      <c r="X30">
        <v>4</v>
      </c>
      <c r="Y30">
        <v>4</v>
      </c>
      <c r="Z30">
        <v>11.3306</v>
      </c>
      <c r="AB30">
        <v>28800</v>
      </c>
      <c r="AC30">
        <f t="shared" si="2"/>
        <v>28800</v>
      </c>
      <c r="AD30">
        <v>96</v>
      </c>
      <c r="AE30">
        <v>4</v>
      </c>
      <c r="AF30">
        <v>4</v>
      </c>
      <c r="AG30">
        <v>11.092599999999999</v>
      </c>
    </row>
    <row r="31" spans="1:33" x14ac:dyDescent="0.25">
      <c r="A31" s="25">
        <v>25728</v>
      </c>
      <c r="B31" s="25">
        <v>128</v>
      </c>
      <c r="C31" s="25">
        <v>1</v>
      </c>
      <c r="D31" s="25">
        <v>16</v>
      </c>
      <c r="E31" s="58">
        <v>10.859</v>
      </c>
      <c r="F31"/>
      <c r="G31" s="25">
        <v>25728</v>
      </c>
      <c r="H31" s="25">
        <v>128</v>
      </c>
      <c r="I31" s="25">
        <v>1</v>
      </c>
      <c r="J31" s="25">
        <v>16</v>
      </c>
      <c r="K31" s="58">
        <v>12.1142</v>
      </c>
      <c r="M31">
        <v>25728</v>
      </c>
      <c r="N31">
        <v>128</v>
      </c>
      <c r="O31">
        <v>1</v>
      </c>
      <c r="P31">
        <v>16</v>
      </c>
      <c r="Q31">
        <v>996.91</v>
      </c>
      <c r="R31" s="63">
        <v>11.39</v>
      </c>
      <c r="S31" s="64">
        <f t="shared" si="0"/>
        <v>-5.9781083356721838E-2</v>
      </c>
      <c r="U31">
        <v>25728</v>
      </c>
      <c r="V31">
        <f t="shared" si="1"/>
        <v>25728</v>
      </c>
      <c r="W31">
        <v>128</v>
      </c>
      <c r="X31">
        <v>1</v>
      </c>
      <c r="Y31">
        <v>16</v>
      </c>
      <c r="Z31">
        <v>10.859</v>
      </c>
      <c r="AB31">
        <v>25728</v>
      </c>
      <c r="AC31">
        <f t="shared" si="2"/>
        <v>25728</v>
      </c>
      <c r="AD31">
        <v>128</v>
      </c>
      <c r="AE31">
        <v>1</v>
      </c>
      <c r="AF31">
        <v>16</v>
      </c>
      <c r="AG31">
        <v>12.1142</v>
      </c>
    </row>
    <row r="32" spans="1:33" x14ac:dyDescent="0.25">
      <c r="A32" s="25">
        <v>27264</v>
      </c>
      <c r="B32" s="25">
        <v>128</v>
      </c>
      <c r="C32" s="25">
        <v>1</v>
      </c>
      <c r="D32" s="25">
        <v>16</v>
      </c>
      <c r="E32" s="58">
        <v>11.001200000000001</v>
      </c>
      <c r="F32"/>
      <c r="G32" s="25">
        <v>27264</v>
      </c>
      <c r="H32" s="25">
        <v>128</v>
      </c>
      <c r="I32" s="25">
        <v>1</v>
      </c>
      <c r="J32" s="25">
        <v>16</v>
      </c>
      <c r="K32" s="58">
        <v>12.4168</v>
      </c>
      <c r="M32">
        <v>27264</v>
      </c>
      <c r="N32">
        <v>128</v>
      </c>
      <c r="O32">
        <v>1</v>
      </c>
      <c r="P32">
        <v>16</v>
      </c>
      <c r="Q32">
        <v>1208.27</v>
      </c>
      <c r="R32" s="63">
        <v>11.183</v>
      </c>
      <c r="S32" s="64">
        <f t="shared" si="0"/>
        <v>-9.9365375942271794E-2</v>
      </c>
      <c r="U32">
        <v>27264</v>
      </c>
      <c r="V32">
        <f t="shared" si="1"/>
        <v>27264</v>
      </c>
      <c r="W32">
        <v>128</v>
      </c>
      <c r="X32">
        <v>1</v>
      </c>
      <c r="Y32">
        <v>16</v>
      </c>
      <c r="Z32">
        <v>11.001200000000001</v>
      </c>
      <c r="AB32">
        <v>27264</v>
      </c>
      <c r="AC32">
        <f t="shared" si="2"/>
        <v>27264</v>
      </c>
      <c r="AD32">
        <v>128</v>
      </c>
      <c r="AE32">
        <v>1</v>
      </c>
      <c r="AF32">
        <v>16</v>
      </c>
      <c r="AG32">
        <v>12.4168</v>
      </c>
    </row>
    <row r="33" spans="1:33" x14ac:dyDescent="0.25">
      <c r="A33" s="25">
        <v>28800</v>
      </c>
      <c r="B33" s="25">
        <v>128</v>
      </c>
      <c r="C33" s="25">
        <v>1</v>
      </c>
      <c r="D33" s="25">
        <v>16</v>
      </c>
      <c r="E33" s="58">
        <v>11.397600000000001</v>
      </c>
      <c r="F33"/>
      <c r="G33" s="25">
        <v>28800</v>
      </c>
      <c r="H33" s="25">
        <v>128</v>
      </c>
      <c r="I33" s="25">
        <v>1</v>
      </c>
      <c r="J33" s="25">
        <v>16</v>
      </c>
      <c r="K33" s="58">
        <v>12.7308</v>
      </c>
      <c r="M33">
        <v>28800</v>
      </c>
      <c r="N33">
        <v>128</v>
      </c>
      <c r="O33">
        <v>1</v>
      </c>
      <c r="P33">
        <v>16</v>
      </c>
      <c r="Q33">
        <v>1437.13</v>
      </c>
      <c r="R33" s="63">
        <v>11.082000000000001</v>
      </c>
      <c r="S33" s="64">
        <f t="shared" si="0"/>
        <v>-0.12951267791497781</v>
      </c>
      <c r="U33">
        <v>28800</v>
      </c>
      <c r="V33">
        <f t="shared" si="1"/>
        <v>28800</v>
      </c>
      <c r="W33">
        <v>128</v>
      </c>
      <c r="X33">
        <v>1</v>
      </c>
      <c r="Y33">
        <v>16</v>
      </c>
      <c r="Z33">
        <v>11.397600000000001</v>
      </c>
      <c r="AB33">
        <v>28800</v>
      </c>
      <c r="AC33">
        <f t="shared" si="2"/>
        <v>28800</v>
      </c>
      <c r="AD33">
        <v>128</v>
      </c>
      <c r="AE33">
        <v>1</v>
      </c>
      <c r="AF33">
        <v>16</v>
      </c>
      <c r="AG33">
        <v>12.7308</v>
      </c>
    </row>
    <row r="34" spans="1:33" x14ac:dyDescent="0.25">
      <c r="A34" s="25">
        <v>25728</v>
      </c>
      <c r="B34" s="25">
        <v>128</v>
      </c>
      <c r="C34" s="25">
        <v>2</v>
      </c>
      <c r="D34" s="25">
        <v>8</v>
      </c>
      <c r="E34" s="58">
        <v>12.455599999999999</v>
      </c>
      <c r="F34"/>
      <c r="G34" s="25">
        <v>25728</v>
      </c>
      <c r="H34" s="25">
        <v>128</v>
      </c>
      <c r="I34" s="25">
        <v>2</v>
      </c>
      <c r="J34" s="25">
        <v>8</v>
      </c>
      <c r="K34" s="58">
        <v>12.3644</v>
      </c>
      <c r="M34">
        <v>25728</v>
      </c>
      <c r="N34">
        <v>128</v>
      </c>
      <c r="O34">
        <v>2</v>
      </c>
      <c r="P34">
        <v>8</v>
      </c>
      <c r="Q34">
        <v>876.25</v>
      </c>
      <c r="R34" s="63">
        <v>12.958</v>
      </c>
      <c r="S34" s="64">
        <f t="shared" si="0"/>
        <v>4.8008799456504186E-2</v>
      </c>
      <c r="U34">
        <v>25728</v>
      </c>
      <c r="V34">
        <f t="shared" si="1"/>
        <v>25728</v>
      </c>
      <c r="W34">
        <v>128</v>
      </c>
      <c r="X34">
        <v>2</v>
      </c>
      <c r="Y34">
        <v>8</v>
      </c>
      <c r="Z34">
        <v>12.455599999999999</v>
      </c>
      <c r="AB34">
        <v>25728</v>
      </c>
      <c r="AC34">
        <f t="shared" si="2"/>
        <v>25728</v>
      </c>
      <c r="AD34">
        <v>128</v>
      </c>
      <c r="AE34">
        <v>2</v>
      </c>
      <c r="AF34">
        <v>8</v>
      </c>
      <c r="AG34">
        <v>12.3644</v>
      </c>
    </row>
    <row r="35" spans="1:33" x14ac:dyDescent="0.25">
      <c r="A35" s="25">
        <v>27264</v>
      </c>
      <c r="B35" s="25">
        <v>128</v>
      </c>
      <c r="C35" s="25">
        <v>2</v>
      </c>
      <c r="D35" s="25">
        <v>8</v>
      </c>
      <c r="E35" s="58">
        <v>12.590599999999998</v>
      </c>
      <c r="F35"/>
      <c r="G35" s="25">
        <v>27264</v>
      </c>
      <c r="H35" s="25">
        <v>128</v>
      </c>
      <c r="I35" s="25">
        <v>2</v>
      </c>
      <c r="J35" s="25">
        <v>8</v>
      </c>
      <c r="K35" s="58">
        <v>12.635200000000001</v>
      </c>
      <c r="M35">
        <v>27264</v>
      </c>
      <c r="N35">
        <v>128</v>
      </c>
      <c r="O35">
        <v>2</v>
      </c>
      <c r="P35">
        <v>8</v>
      </c>
      <c r="Q35">
        <v>1079.67</v>
      </c>
      <c r="R35" s="63">
        <v>12.515000000000001</v>
      </c>
      <c r="S35" s="64">
        <f t="shared" si="0"/>
        <v>-9.5131062428770834E-3</v>
      </c>
      <c r="U35">
        <v>27264</v>
      </c>
      <c r="V35">
        <f t="shared" si="1"/>
        <v>27264</v>
      </c>
      <c r="W35">
        <v>128</v>
      </c>
      <c r="X35">
        <v>2</v>
      </c>
      <c r="Y35">
        <v>8</v>
      </c>
      <c r="Z35">
        <v>12.590599999999998</v>
      </c>
      <c r="AB35">
        <v>27264</v>
      </c>
      <c r="AC35">
        <f t="shared" si="2"/>
        <v>27264</v>
      </c>
      <c r="AD35">
        <v>128</v>
      </c>
      <c r="AE35">
        <v>2</v>
      </c>
      <c r="AF35">
        <v>8</v>
      </c>
      <c r="AG35">
        <v>12.635200000000001</v>
      </c>
    </row>
    <row r="36" spans="1:33" x14ac:dyDescent="0.25">
      <c r="A36" s="25">
        <v>28800</v>
      </c>
      <c r="B36" s="25">
        <v>128</v>
      </c>
      <c r="C36" s="25">
        <v>2</v>
      </c>
      <c r="D36" s="25">
        <v>8</v>
      </c>
      <c r="E36" s="58">
        <v>12.888399999999999</v>
      </c>
      <c r="F36"/>
      <c r="G36" s="25">
        <v>28800</v>
      </c>
      <c r="H36" s="25">
        <v>128</v>
      </c>
      <c r="I36" s="25">
        <v>2</v>
      </c>
      <c r="J36" s="25">
        <v>8</v>
      </c>
      <c r="K36" s="58">
        <v>13.039199999999999</v>
      </c>
      <c r="M36">
        <v>28800</v>
      </c>
      <c r="N36">
        <v>128</v>
      </c>
      <c r="O36">
        <v>2</v>
      </c>
      <c r="P36">
        <v>8</v>
      </c>
      <c r="Q36">
        <v>1247.8699999999999</v>
      </c>
      <c r="R36" s="63">
        <v>12.763</v>
      </c>
      <c r="S36" s="64">
        <f t="shared" si="0"/>
        <v>-2.1182281121541149E-2</v>
      </c>
      <c r="U36">
        <v>28800</v>
      </c>
      <c r="V36">
        <f t="shared" si="1"/>
        <v>28800</v>
      </c>
      <c r="W36">
        <v>128</v>
      </c>
      <c r="X36">
        <v>2</v>
      </c>
      <c r="Y36">
        <v>8</v>
      </c>
      <c r="Z36">
        <v>12.888399999999999</v>
      </c>
      <c r="AB36">
        <v>28800</v>
      </c>
      <c r="AC36">
        <f t="shared" si="2"/>
        <v>28800</v>
      </c>
      <c r="AD36">
        <v>128</v>
      </c>
      <c r="AE36">
        <v>2</v>
      </c>
      <c r="AF36">
        <v>8</v>
      </c>
      <c r="AG36">
        <v>13.039199999999999</v>
      </c>
    </row>
    <row r="37" spans="1:33" x14ac:dyDescent="0.25">
      <c r="A37" s="25">
        <v>25728</v>
      </c>
      <c r="B37" s="25">
        <v>128</v>
      </c>
      <c r="C37" s="25">
        <v>4</v>
      </c>
      <c r="D37" s="25">
        <v>4</v>
      </c>
      <c r="E37" s="58">
        <v>10.599399999999999</v>
      </c>
      <c r="F37"/>
      <c r="G37" s="25">
        <v>25728</v>
      </c>
      <c r="H37" s="25">
        <v>128</v>
      </c>
      <c r="I37" s="25">
        <v>4</v>
      </c>
      <c r="J37" s="25">
        <v>4</v>
      </c>
      <c r="K37" s="58">
        <v>10.4308</v>
      </c>
      <c r="M37">
        <v>25728</v>
      </c>
      <c r="N37">
        <v>128</v>
      </c>
      <c r="O37">
        <v>4</v>
      </c>
      <c r="P37">
        <v>4</v>
      </c>
      <c r="Q37">
        <v>1055.74</v>
      </c>
      <c r="R37" s="63">
        <v>10.755000000000001</v>
      </c>
      <c r="S37" s="64">
        <f t="shared" si="0"/>
        <v>3.108102925950082E-2</v>
      </c>
      <c r="U37">
        <v>25728</v>
      </c>
      <c r="V37">
        <f t="shared" si="1"/>
        <v>25728</v>
      </c>
      <c r="W37">
        <v>128</v>
      </c>
      <c r="X37">
        <v>4</v>
      </c>
      <c r="Y37">
        <v>4</v>
      </c>
      <c r="Z37">
        <v>10.599399999999999</v>
      </c>
      <c r="AB37">
        <v>25728</v>
      </c>
      <c r="AC37">
        <f t="shared" si="2"/>
        <v>25728</v>
      </c>
      <c r="AD37">
        <v>128</v>
      </c>
      <c r="AE37">
        <v>4</v>
      </c>
      <c r="AF37">
        <v>4</v>
      </c>
      <c r="AG37">
        <v>10.4308</v>
      </c>
    </row>
    <row r="38" spans="1:33" x14ac:dyDescent="0.25">
      <c r="A38" s="25">
        <v>27264</v>
      </c>
      <c r="B38" s="25">
        <v>128</v>
      </c>
      <c r="C38" s="25">
        <v>4</v>
      </c>
      <c r="D38" s="25">
        <v>4</v>
      </c>
      <c r="E38" s="58">
        <v>10.8546</v>
      </c>
      <c r="F38"/>
      <c r="G38" s="25">
        <v>27264</v>
      </c>
      <c r="H38" s="25">
        <v>128</v>
      </c>
      <c r="I38" s="25">
        <v>4</v>
      </c>
      <c r="J38" s="25">
        <v>4</v>
      </c>
      <c r="K38" s="58">
        <v>10.757200000000001</v>
      </c>
      <c r="M38">
        <v>27264</v>
      </c>
      <c r="N38">
        <v>128</v>
      </c>
      <c r="O38">
        <v>4</v>
      </c>
      <c r="P38">
        <v>4</v>
      </c>
      <c r="Q38">
        <v>1277.02</v>
      </c>
      <c r="R38" s="63">
        <v>10.581</v>
      </c>
      <c r="S38" s="64">
        <f t="shared" si="0"/>
        <v>-1.6379727066523023E-2</v>
      </c>
      <c r="U38">
        <v>27264</v>
      </c>
      <c r="V38">
        <f t="shared" si="1"/>
        <v>27264</v>
      </c>
      <c r="W38">
        <v>128</v>
      </c>
      <c r="X38">
        <v>4</v>
      </c>
      <c r="Y38">
        <v>4</v>
      </c>
      <c r="Z38">
        <v>10.8546</v>
      </c>
      <c r="AB38">
        <v>27264</v>
      </c>
      <c r="AC38">
        <f t="shared" si="2"/>
        <v>27264</v>
      </c>
      <c r="AD38">
        <v>128</v>
      </c>
      <c r="AE38">
        <v>4</v>
      </c>
      <c r="AF38">
        <v>4</v>
      </c>
      <c r="AG38">
        <v>10.757200000000001</v>
      </c>
    </row>
    <row r="39" spans="1:33" x14ac:dyDescent="0.25">
      <c r="A39" s="25">
        <v>28800</v>
      </c>
      <c r="B39" s="25">
        <v>128</v>
      </c>
      <c r="C39" s="25">
        <v>4</v>
      </c>
      <c r="D39" s="25">
        <v>4</v>
      </c>
      <c r="E39" s="58">
        <v>11.0824</v>
      </c>
      <c r="F39"/>
      <c r="G39" s="25">
        <v>28800</v>
      </c>
      <c r="H39" s="25">
        <v>128</v>
      </c>
      <c r="I39" s="25">
        <v>4</v>
      </c>
      <c r="J39" s="25">
        <v>4</v>
      </c>
      <c r="K39" s="58">
        <v>11.082399999999998</v>
      </c>
      <c r="M39">
        <v>28800</v>
      </c>
      <c r="N39">
        <v>128</v>
      </c>
      <c r="O39">
        <v>4</v>
      </c>
      <c r="P39">
        <v>4</v>
      </c>
      <c r="Q39">
        <v>1471</v>
      </c>
      <c r="R39" s="63">
        <v>10.827</v>
      </c>
      <c r="S39" s="64">
        <f t="shared" si="0"/>
        <v>-2.304554970042573E-2</v>
      </c>
      <c r="U39">
        <v>28800</v>
      </c>
      <c r="V39">
        <f t="shared" si="1"/>
        <v>28800</v>
      </c>
      <c r="W39">
        <v>128</v>
      </c>
      <c r="X39">
        <v>4</v>
      </c>
      <c r="Y39">
        <v>4</v>
      </c>
      <c r="Z39">
        <v>11.0824</v>
      </c>
      <c r="AB39">
        <v>28800</v>
      </c>
      <c r="AC39">
        <f t="shared" si="2"/>
        <v>28800</v>
      </c>
      <c r="AD39">
        <v>128</v>
      </c>
      <c r="AE39">
        <v>4</v>
      </c>
      <c r="AF39">
        <v>4</v>
      </c>
      <c r="AG39">
        <v>11.082399999999998</v>
      </c>
    </row>
    <row r="40" spans="1:33" x14ac:dyDescent="0.25">
      <c r="A40" s="25">
        <v>25600</v>
      </c>
      <c r="B40" s="25">
        <v>160</v>
      </c>
      <c r="C40" s="25">
        <v>1</v>
      </c>
      <c r="D40" s="25">
        <v>16</v>
      </c>
      <c r="E40" s="58">
        <v>10.618799999999998</v>
      </c>
      <c r="F40"/>
      <c r="G40" s="25">
        <v>25600</v>
      </c>
      <c r="H40" s="25">
        <v>160</v>
      </c>
      <c r="I40" s="25">
        <v>1</v>
      </c>
      <c r="J40" s="25">
        <v>16</v>
      </c>
      <c r="K40" s="58">
        <v>12.233799999999999</v>
      </c>
      <c r="M40">
        <v>25600</v>
      </c>
      <c r="N40">
        <v>160</v>
      </c>
      <c r="O40">
        <v>1</v>
      </c>
      <c r="P40">
        <v>16</v>
      </c>
      <c r="Q40">
        <v>1026.8499999999999</v>
      </c>
      <c r="R40" s="63">
        <v>10.893000000000001</v>
      </c>
      <c r="S40" s="64">
        <f t="shared" si="0"/>
        <v>-0.10959799898641454</v>
      </c>
      <c r="U40">
        <v>25600</v>
      </c>
      <c r="V40">
        <f t="shared" si="1"/>
        <v>25728</v>
      </c>
      <c r="W40">
        <v>160</v>
      </c>
      <c r="X40">
        <v>1</v>
      </c>
      <c r="Y40">
        <v>16</v>
      </c>
      <c r="Z40">
        <v>10.618799999999998</v>
      </c>
      <c r="AB40">
        <v>25600</v>
      </c>
      <c r="AC40">
        <f t="shared" si="2"/>
        <v>25728</v>
      </c>
      <c r="AD40">
        <v>160</v>
      </c>
      <c r="AE40">
        <v>1</v>
      </c>
      <c r="AF40">
        <v>16</v>
      </c>
      <c r="AG40">
        <v>12.233799999999999</v>
      </c>
    </row>
    <row r="41" spans="1:33" x14ac:dyDescent="0.25">
      <c r="A41" s="25">
        <v>27200</v>
      </c>
      <c r="B41" s="25">
        <v>160</v>
      </c>
      <c r="C41" s="25">
        <v>1</v>
      </c>
      <c r="D41" s="25">
        <v>16</v>
      </c>
      <c r="E41" s="58">
        <v>10.739599999999999</v>
      </c>
      <c r="F41"/>
      <c r="G41" s="25">
        <v>27200</v>
      </c>
      <c r="H41" s="25">
        <v>160</v>
      </c>
      <c r="I41" s="25">
        <v>1</v>
      </c>
      <c r="J41" s="25">
        <v>16</v>
      </c>
      <c r="K41" s="58">
        <v>12.534800000000001</v>
      </c>
      <c r="M41">
        <v>27200</v>
      </c>
      <c r="N41">
        <v>160</v>
      </c>
      <c r="O41">
        <v>1</v>
      </c>
      <c r="P41">
        <v>16</v>
      </c>
      <c r="Q41">
        <v>1184.73</v>
      </c>
      <c r="R41" s="63">
        <v>11.324999999999999</v>
      </c>
      <c r="S41" s="64">
        <f t="shared" si="0"/>
        <v>-9.6515301400899992E-2</v>
      </c>
      <c r="U41">
        <v>27200</v>
      </c>
      <c r="V41">
        <f t="shared" si="1"/>
        <v>27264</v>
      </c>
      <c r="W41">
        <v>160</v>
      </c>
      <c r="X41">
        <v>1</v>
      </c>
      <c r="Y41">
        <v>16</v>
      </c>
      <c r="Z41">
        <v>10.739599999999999</v>
      </c>
      <c r="AB41">
        <v>27200</v>
      </c>
      <c r="AC41">
        <f t="shared" si="2"/>
        <v>27264</v>
      </c>
      <c r="AD41">
        <v>160</v>
      </c>
      <c r="AE41">
        <v>1</v>
      </c>
      <c r="AF41">
        <v>16</v>
      </c>
      <c r="AG41">
        <v>12.534800000000001</v>
      </c>
    </row>
    <row r="42" spans="1:33" x14ac:dyDescent="0.25">
      <c r="A42" s="25">
        <v>28800</v>
      </c>
      <c r="B42" s="25">
        <v>160</v>
      </c>
      <c r="C42" s="25">
        <v>1</v>
      </c>
      <c r="D42" s="25">
        <v>16</v>
      </c>
      <c r="E42" s="58">
        <v>11.148799999999998</v>
      </c>
      <c r="F42"/>
      <c r="G42" s="25">
        <v>28800</v>
      </c>
      <c r="H42" s="25">
        <v>160</v>
      </c>
      <c r="I42" s="25">
        <v>1</v>
      </c>
      <c r="J42" s="25">
        <v>16</v>
      </c>
      <c r="K42" s="58">
        <v>12.846800000000002</v>
      </c>
      <c r="M42">
        <v>28800</v>
      </c>
      <c r="N42">
        <v>160</v>
      </c>
      <c r="O42">
        <v>1</v>
      </c>
      <c r="P42">
        <v>16</v>
      </c>
      <c r="Q42">
        <v>1387.98</v>
      </c>
      <c r="R42" s="63">
        <v>11.475</v>
      </c>
      <c r="S42" s="64">
        <f t="shared" si="0"/>
        <v>-0.10678145530404473</v>
      </c>
      <c r="U42">
        <v>28800</v>
      </c>
      <c r="V42">
        <f t="shared" si="1"/>
        <v>28800</v>
      </c>
      <c r="W42">
        <v>160</v>
      </c>
      <c r="X42">
        <v>1</v>
      </c>
      <c r="Y42">
        <v>16</v>
      </c>
      <c r="Z42">
        <v>11.148799999999998</v>
      </c>
      <c r="AB42">
        <v>28800</v>
      </c>
      <c r="AC42">
        <f t="shared" si="2"/>
        <v>28800</v>
      </c>
      <c r="AD42">
        <v>160</v>
      </c>
      <c r="AE42">
        <v>1</v>
      </c>
      <c r="AF42">
        <v>16</v>
      </c>
      <c r="AG42">
        <v>12.846800000000002</v>
      </c>
    </row>
    <row r="43" spans="1:33" x14ac:dyDescent="0.25">
      <c r="A43" s="25">
        <v>25600</v>
      </c>
      <c r="B43" s="25">
        <v>160</v>
      </c>
      <c r="C43" s="25">
        <v>2</v>
      </c>
      <c r="D43" s="25">
        <v>8</v>
      </c>
      <c r="E43" s="58">
        <v>11.909000000000001</v>
      </c>
      <c r="F43"/>
      <c r="G43" s="25">
        <v>25600</v>
      </c>
      <c r="H43" s="25">
        <v>160</v>
      </c>
      <c r="I43" s="25">
        <v>2</v>
      </c>
      <c r="J43" s="25">
        <v>8</v>
      </c>
      <c r="K43" s="58">
        <v>12.301400000000001</v>
      </c>
      <c r="M43">
        <v>25600</v>
      </c>
      <c r="N43">
        <v>160</v>
      </c>
      <c r="O43">
        <v>2</v>
      </c>
      <c r="P43">
        <v>8</v>
      </c>
      <c r="Q43">
        <v>912.12</v>
      </c>
      <c r="R43" s="63">
        <v>12.263999999999999</v>
      </c>
      <c r="S43" s="64">
        <f t="shared" si="0"/>
        <v>-3.0403043556019357E-3</v>
      </c>
      <c r="U43">
        <v>25600</v>
      </c>
      <c r="V43">
        <f t="shared" si="1"/>
        <v>25728</v>
      </c>
      <c r="W43">
        <v>160</v>
      </c>
      <c r="X43">
        <v>2</v>
      </c>
      <c r="Y43">
        <v>8</v>
      </c>
      <c r="Z43">
        <v>11.909000000000001</v>
      </c>
      <c r="AB43">
        <v>25600</v>
      </c>
      <c r="AC43">
        <f t="shared" si="2"/>
        <v>25728</v>
      </c>
      <c r="AD43">
        <v>160</v>
      </c>
      <c r="AE43">
        <v>2</v>
      </c>
      <c r="AF43">
        <v>8</v>
      </c>
      <c r="AG43">
        <v>12.301400000000001</v>
      </c>
    </row>
    <row r="44" spans="1:33" x14ac:dyDescent="0.25">
      <c r="A44" s="25">
        <v>27200</v>
      </c>
      <c r="B44" s="25">
        <v>160</v>
      </c>
      <c r="C44" s="25">
        <v>2</v>
      </c>
      <c r="D44" s="25">
        <v>8</v>
      </c>
      <c r="E44" s="58">
        <v>11.973800000000001</v>
      </c>
      <c r="F44"/>
      <c r="G44" s="25">
        <v>27200</v>
      </c>
      <c r="H44" s="25">
        <v>160</v>
      </c>
      <c r="I44" s="25">
        <v>2</v>
      </c>
      <c r="J44" s="25">
        <v>8</v>
      </c>
      <c r="K44" s="58">
        <v>12.708600000000001</v>
      </c>
      <c r="M44">
        <v>27200</v>
      </c>
      <c r="N44">
        <v>160</v>
      </c>
      <c r="O44">
        <v>2</v>
      </c>
      <c r="P44">
        <v>8</v>
      </c>
      <c r="Q44">
        <v>1102.8</v>
      </c>
      <c r="R44" s="63">
        <v>12.166</v>
      </c>
      <c r="S44" s="64">
        <f t="shared" si="0"/>
        <v>-4.2695497537100877E-2</v>
      </c>
      <c r="U44">
        <v>27200</v>
      </c>
      <c r="V44">
        <f t="shared" si="1"/>
        <v>27264</v>
      </c>
      <c r="W44">
        <v>160</v>
      </c>
      <c r="X44">
        <v>2</v>
      </c>
      <c r="Y44">
        <v>8</v>
      </c>
      <c r="Z44">
        <v>11.973800000000001</v>
      </c>
      <c r="AB44">
        <v>27200</v>
      </c>
      <c r="AC44">
        <f t="shared" si="2"/>
        <v>27264</v>
      </c>
      <c r="AD44">
        <v>160</v>
      </c>
      <c r="AE44">
        <v>2</v>
      </c>
      <c r="AF44">
        <v>8</v>
      </c>
      <c r="AG44">
        <v>12.708600000000001</v>
      </c>
    </row>
    <row r="45" spans="1:33" x14ac:dyDescent="0.25">
      <c r="A45" s="25">
        <v>28800</v>
      </c>
      <c r="B45" s="25">
        <v>160</v>
      </c>
      <c r="C45" s="25">
        <v>2</v>
      </c>
      <c r="D45" s="25">
        <v>8</v>
      </c>
      <c r="E45" s="58">
        <v>12.3622</v>
      </c>
      <c r="F45"/>
      <c r="G45" s="25">
        <v>28800</v>
      </c>
      <c r="H45" s="25">
        <v>160</v>
      </c>
      <c r="I45" s="25">
        <v>2</v>
      </c>
      <c r="J45" s="25">
        <v>8</v>
      </c>
      <c r="K45" s="58">
        <v>13.102</v>
      </c>
      <c r="M45">
        <v>28800</v>
      </c>
      <c r="N45">
        <v>160</v>
      </c>
      <c r="O45">
        <v>2</v>
      </c>
      <c r="P45">
        <v>8</v>
      </c>
      <c r="Q45">
        <v>1240.18</v>
      </c>
      <c r="R45" s="63">
        <v>12.842000000000001</v>
      </c>
      <c r="S45" s="64">
        <f t="shared" si="0"/>
        <v>-1.9844298580369391E-2</v>
      </c>
      <c r="U45">
        <v>28800</v>
      </c>
      <c r="V45">
        <f t="shared" si="1"/>
        <v>28800</v>
      </c>
      <c r="W45">
        <v>160</v>
      </c>
      <c r="X45">
        <v>2</v>
      </c>
      <c r="Y45">
        <v>8</v>
      </c>
      <c r="Z45">
        <v>12.3622</v>
      </c>
      <c r="AB45">
        <v>28800</v>
      </c>
      <c r="AC45">
        <f t="shared" si="2"/>
        <v>28800</v>
      </c>
      <c r="AD45">
        <v>160</v>
      </c>
      <c r="AE45">
        <v>2</v>
      </c>
      <c r="AF45">
        <v>8</v>
      </c>
      <c r="AG45">
        <v>13.102</v>
      </c>
    </row>
    <row r="46" spans="1:33" x14ac:dyDescent="0.25">
      <c r="A46" s="25">
        <v>25600</v>
      </c>
      <c r="B46" s="25">
        <v>160</v>
      </c>
      <c r="C46" s="25">
        <v>4</v>
      </c>
      <c r="D46" s="25">
        <v>4</v>
      </c>
      <c r="E46" s="58">
        <v>10.332800000000001</v>
      </c>
      <c r="F46"/>
      <c r="G46" s="25">
        <v>25600</v>
      </c>
      <c r="H46" s="25">
        <v>160</v>
      </c>
      <c r="I46" s="25">
        <v>4</v>
      </c>
      <c r="J46" s="25">
        <v>4</v>
      </c>
      <c r="K46" s="58">
        <v>10.414800000000001</v>
      </c>
      <c r="M46">
        <v>25600</v>
      </c>
      <c r="N46">
        <v>160</v>
      </c>
      <c r="O46">
        <v>4</v>
      </c>
      <c r="P46">
        <v>4</v>
      </c>
      <c r="Q46">
        <v>1098.8900000000001</v>
      </c>
      <c r="R46" s="63">
        <v>10.179</v>
      </c>
      <c r="S46" s="64">
        <f t="shared" si="0"/>
        <v>-2.2640857241617802E-2</v>
      </c>
      <c r="U46">
        <v>25600</v>
      </c>
      <c r="V46">
        <f t="shared" si="1"/>
        <v>25728</v>
      </c>
      <c r="W46">
        <v>160</v>
      </c>
      <c r="X46">
        <v>4</v>
      </c>
      <c r="Y46">
        <v>4</v>
      </c>
      <c r="Z46">
        <v>10.332800000000001</v>
      </c>
      <c r="AB46">
        <v>25600</v>
      </c>
      <c r="AC46">
        <f t="shared" si="2"/>
        <v>25728</v>
      </c>
      <c r="AD46">
        <v>160</v>
      </c>
      <c r="AE46">
        <v>4</v>
      </c>
      <c r="AF46">
        <v>4</v>
      </c>
      <c r="AG46">
        <v>10.414800000000001</v>
      </c>
    </row>
    <row r="47" spans="1:33" x14ac:dyDescent="0.25">
      <c r="A47" s="25">
        <v>27200</v>
      </c>
      <c r="B47" s="25">
        <v>160</v>
      </c>
      <c r="C47" s="25">
        <v>4</v>
      </c>
      <c r="D47" s="25">
        <v>4</v>
      </c>
      <c r="E47" s="58">
        <v>10.591800000000001</v>
      </c>
      <c r="F47"/>
      <c r="G47" s="25">
        <v>27200</v>
      </c>
      <c r="H47" s="25">
        <v>160</v>
      </c>
      <c r="I47" s="25">
        <v>4</v>
      </c>
      <c r="J47" s="25">
        <v>4</v>
      </c>
      <c r="K47" s="58">
        <v>10.814400000000001</v>
      </c>
      <c r="M47">
        <v>27200</v>
      </c>
      <c r="N47">
        <v>160</v>
      </c>
      <c r="O47">
        <v>4</v>
      </c>
      <c r="P47">
        <v>4</v>
      </c>
      <c r="Q47">
        <v>1309.45</v>
      </c>
      <c r="R47" s="63">
        <v>10.246</v>
      </c>
      <c r="S47" s="64">
        <f t="shared" si="0"/>
        <v>-5.2559550229323904E-2</v>
      </c>
      <c r="U47">
        <v>27200</v>
      </c>
      <c r="V47">
        <f t="shared" si="1"/>
        <v>27264</v>
      </c>
      <c r="W47">
        <v>160</v>
      </c>
      <c r="X47">
        <v>4</v>
      </c>
      <c r="Y47">
        <v>4</v>
      </c>
      <c r="Z47">
        <v>10.591800000000001</v>
      </c>
      <c r="AB47">
        <v>27200</v>
      </c>
      <c r="AC47">
        <f t="shared" si="2"/>
        <v>27264</v>
      </c>
      <c r="AD47">
        <v>160</v>
      </c>
      <c r="AE47">
        <v>4</v>
      </c>
      <c r="AF47">
        <v>4</v>
      </c>
      <c r="AG47">
        <v>10.814400000000001</v>
      </c>
    </row>
    <row r="48" spans="1:33" x14ac:dyDescent="0.25">
      <c r="A48" s="25">
        <v>28800</v>
      </c>
      <c r="B48" s="25">
        <v>160</v>
      </c>
      <c r="C48" s="25">
        <v>4</v>
      </c>
      <c r="D48" s="25">
        <v>4</v>
      </c>
      <c r="E48" s="58">
        <v>10.8582</v>
      </c>
      <c r="F48"/>
      <c r="G48" s="25">
        <v>28800</v>
      </c>
      <c r="H48" s="25">
        <v>160</v>
      </c>
      <c r="I48" s="25">
        <v>4</v>
      </c>
      <c r="J48" s="25">
        <v>4</v>
      </c>
      <c r="K48" s="58">
        <v>11.077400000000001</v>
      </c>
      <c r="M48">
        <v>28800</v>
      </c>
      <c r="N48">
        <v>160</v>
      </c>
      <c r="O48">
        <v>4</v>
      </c>
      <c r="P48">
        <v>4</v>
      </c>
      <c r="Q48">
        <v>1477.7</v>
      </c>
      <c r="R48" s="63">
        <v>10.778</v>
      </c>
      <c r="S48" s="64">
        <f t="shared" si="0"/>
        <v>-2.7028002960983653E-2</v>
      </c>
      <c r="U48">
        <v>28800</v>
      </c>
      <c r="V48">
        <f t="shared" si="1"/>
        <v>28800</v>
      </c>
      <c r="W48">
        <v>160</v>
      </c>
      <c r="X48">
        <v>4</v>
      </c>
      <c r="Y48">
        <v>4</v>
      </c>
      <c r="Z48">
        <v>10.8582</v>
      </c>
      <c r="AB48">
        <v>28800</v>
      </c>
      <c r="AC48">
        <f t="shared" si="2"/>
        <v>28800</v>
      </c>
      <c r="AD48">
        <v>160</v>
      </c>
      <c r="AE48">
        <v>4</v>
      </c>
      <c r="AF48">
        <v>4</v>
      </c>
      <c r="AG48">
        <v>11.077400000000001</v>
      </c>
    </row>
    <row r="49" spans="1:33" x14ac:dyDescent="0.25">
      <c r="A49" s="25">
        <v>25728</v>
      </c>
      <c r="B49" s="25">
        <v>192</v>
      </c>
      <c r="C49" s="25">
        <v>1</v>
      </c>
      <c r="D49" s="25">
        <v>16</v>
      </c>
      <c r="E49" s="58">
        <v>10.7842</v>
      </c>
      <c r="F49"/>
      <c r="G49" s="25">
        <v>25728</v>
      </c>
      <c r="H49" s="25">
        <v>192</v>
      </c>
      <c r="I49" s="25">
        <v>1</v>
      </c>
      <c r="J49" s="25">
        <v>16</v>
      </c>
      <c r="K49" s="58">
        <v>12.1508</v>
      </c>
      <c r="M49">
        <v>25728</v>
      </c>
      <c r="N49">
        <v>192</v>
      </c>
      <c r="O49">
        <v>1</v>
      </c>
      <c r="P49">
        <v>16</v>
      </c>
      <c r="Q49">
        <v>1043.42</v>
      </c>
      <c r="R49" s="63">
        <v>10.882</v>
      </c>
      <c r="S49" s="64">
        <f t="shared" si="0"/>
        <v>-0.10442110807518851</v>
      </c>
      <c r="U49">
        <v>25728</v>
      </c>
      <c r="V49">
        <f t="shared" si="1"/>
        <v>25728</v>
      </c>
      <c r="W49">
        <v>192</v>
      </c>
      <c r="X49">
        <v>1</v>
      </c>
      <c r="Y49">
        <v>16</v>
      </c>
      <c r="Z49">
        <v>10.7842</v>
      </c>
      <c r="AB49">
        <v>25728</v>
      </c>
      <c r="AC49">
        <f t="shared" si="2"/>
        <v>25728</v>
      </c>
      <c r="AD49">
        <v>192</v>
      </c>
      <c r="AE49">
        <v>1</v>
      </c>
      <c r="AF49">
        <v>16</v>
      </c>
      <c r="AG49">
        <v>12.1508</v>
      </c>
    </row>
    <row r="50" spans="1:33" x14ac:dyDescent="0.25">
      <c r="A50" s="25">
        <v>27264</v>
      </c>
      <c r="B50" s="25">
        <v>192</v>
      </c>
      <c r="C50" s="25">
        <v>1</v>
      </c>
      <c r="D50" s="25">
        <v>16</v>
      </c>
      <c r="E50" s="58">
        <v>10.953399999999998</v>
      </c>
      <c r="F50"/>
      <c r="G50" s="25">
        <v>27264</v>
      </c>
      <c r="H50" s="25">
        <v>192</v>
      </c>
      <c r="I50" s="25">
        <v>1</v>
      </c>
      <c r="J50" s="25">
        <v>16</v>
      </c>
      <c r="K50" s="58">
        <v>12.351599999999999</v>
      </c>
      <c r="M50">
        <v>27264</v>
      </c>
      <c r="N50">
        <v>192</v>
      </c>
      <c r="O50">
        <v>1</v>
      </c>
      <c r="P50">
        <v>16</v>
      </c>
      <c r="Q50">
        <v>1272.8499999999999</v>
      </c>
      <c r="R50" s="63">
        <v>10.615</v>
      </c>
      <c r="S50" s="64">
        <f t="shared" si="0"/>
        <v>-0.14059716959746099</v>
      </c>
      <c r="U50">
        <v>27264</v>
      </c>
      <c r="V50">
        <f t="shared" si="1"/>
        <v>27264</v>
      </c>
      <c r="W50">
        <v>192</v>
      </c>
      <c r="X50">
        <v>1</v>
      </c>
      <c r="Y50">
        <v>16</v>
      </c>
      <c r="Z50">
        <v>10.953399999999998</v>
      </c>
      <c r="AB50">
        <v>27264</v>
      </c>
      <c r="AC50">
        <f t="shared" si="2"/>
        <v>27264</v>
      </c>
      <c r="AD50">
        <v>192</v>
      </c>
      <c r="AE50">
        <v>1</v>
      </c>
      <c r="AF50">
        <v>16</v>
      </c>
      <c r="AG50">
        <v>12.351599999999999</v>
      </c>
    </row>
    <row r="51" spans="1:33" x14ac:dyDescent="0.25">
      <c r="A51" s="25">
        <v>28800</v>
      </c>
      <c r="B51" s="25">
        <v>192</v>
      </c>
      <c r="C51" s="25">
        <v>1</v>
      </c>
      <c r="D51" s="25">
        <v>16</v>
      </c>
      <c r="E51" s="58">
        <v>11.012380000000002</v>
      </c>
      <c r="F51"/>
      <c r="G51" s="25">
        <v>28800</v>
      </c>
      <c r="H51" s="25">
        <v>192</v>
      </c>
      <c r="I51" s="25">
        <v>1</v>
      </c>
      <c r="J51" s="25">
        <v>16</v>
      </c>
      <c r="K51" s="58">
        <v>12.6662</v>
      </c>
      <c r="M51">
        <v>28800</v>
      </c>
      <c r="N51">
        <v>192</v>
      </c>
      <c r="O51">
        <v>1</v>
      </c>
      <c r="P51">
        <v>16</v>
      </c>
      <c r="Q51">
        <v>1392.5</v>
      </c>
      <c r="R51" s="63">
        <v>11.436999999999999</v>
      </c>
      <c r="S51" s="64">
        <f t="shared" si="0"/>
        <v>-9.7045680630339054E-2</v>
      </c>
      <c r="U51">
        <v>28800</v>
      </c>
      <c r="V51">
        <f t="shared" si="1"/>
        <v>28800</v>
      </c>
      <c r="W51">
        <v>192</v>
      </c>
      <c r="X51">
        <v>1</v>
      </c>
      <c r="Y51">
        <v>16</v>
      </c>
      <c r="Z51">
        <v>11.012380000000002</v>
      </c>
      <c r="AB51">
        <v>28800</v>
      </c>
      <c r="AC51">
        <f t="shared" si="2"/>
        <v>28800</v>
      </c>
      <c r="AD51">
        <v>192</v>
      </c>
      <c r="AE51">
        <v>1</v>
      </c>
      <c r="AF51">
        <v>16</v>
      </c>
      <c r="AG51">
        <v>12.6662</v>
      </c>
    </row>
    <row r="52" spans="1:33" x14ac:dyDescent="0.25">
      <c r="A52" s="25">
        <v>25728</v>
      </c>
      <c r="B52" s="25">
        <v>192</v>
      </c>
      <c r="C52" s="25">
        <v>2</v>
      </c>
      <c r="D52" s="25">
        <v>8</v>
      </c>
      <c r="E52" s="58">
        <v>12.1928</v>
      </c>
      <c r="G52" s="25">
        <v>25728</v>
      </c>
      <c r="H52" s="25">
        <v>192</v>
      </c>
      <c r="I52" s="25">
        <v>2</v>
      </c>
      <c r="J52" s="25">
        <v>8</v>
      </c>
      <c r="K52" s="58">
        <v>12.388999999999999</v>
      </c>
      <c r="M52">
        <v>25728</v>
      </c>
      <c r="N52">
        <v>192</v>
      </c>
      <c r="O52">
        <v>2</v>
      </c>
      <c r="P52">
        <v>8</v>
      </c>
      <c r="Q52">
        <v>957.01</v>
      </c>
      <c r="R52" s="63">
        <v>11.865</v>
      </c>
      <c r="S52" s="64">
        <f t="shared" si="0"/>
        <v>-4.229558479296143E-2</v>
      </c>
      <c r="U52">
        <v>25728</v>
      </c>
      <c r="V52">
        <f t="shared" si="1"/>
        <v>25728</v>
      </c>
      <c r="W52">
        <v>192</v>
      </c>
      <c r="X52">
        <v>2</v>
      </c>
      <c r="Y52">
        <v>8</v>
      </c>
      <c r="Z52">
        <v>12.1928</v>
      </c>
      <c r="AB52">
        <v>25728</v>
      </c>
      <c r="AC52">
        <f t="shared" si="2"/>
        <v>25728</v>
      </c>
      <c r="AD52">
        <v>192</v>
      </c>
      <c r="AE52">
        <v>2</v>
      </c>
      <c r="AF52">
        <v>8</v>
      </c>
      <c r="AG52">
        <v>12.388999999999999</v>
      </c>
    </row>
    <row r="53" spans="1:33" x14ac:dyDescent="0.25">
      <c r="A53" s="25">
        <v>27264</v>
      </c>
      <c r="B53" s="25">
        <v>192</v>
      </c>
      <c r="C53" s="25">
        <v>2</v>
      </c>
      <c r="D53" s="25">
        <v>8</v>
      </c>
      <c r="E53" s="58">
        <v>12.2774</v>
      </c>
      <c r="G53" s="25">
        <v>27264</v>
      </c>
      <c r="H53" s="25">
        <v>192</v>
      </c>
      <c r="I53" s="25">
        <v>2</v>
      </c>
      <c r="J53" s="25">
        <v>8</v>
      </c>
      <c r="K53" s="58">
        <v>12.729800000000001</v>
      </c>
      <c r="M53">
        <v>27264</v>
      </c>
      <c r="N53">
        <v>192</v>
      </c>
      <c r="O53">
        <v>2</v>
      </c>
      <c r="P53">
        <v>8</v>
      </c>
      <c r="Q53">
        <v>1119.5899999999999</v>
      </c>
      <c r="R53" s="63">
        <v>12.069000000000001</v>
      </c>
      <c r="S53" s="64">
        <f t="shared" si="0"/>
        <v>-5.1909692218259515E-2</v>
      </c>
      <c r="U53">
        <v>27264</v>
      </c>
      <c r="V53">
        <f t="shared" si="1"/>
        <v>27264</v>
      </c>
      <c r="W53">
        <v>192</v>
      </c>
      <c r="X53">
        <v>2</v>
      </c>
      <c r="Y53">
        <v>8</v>
      </c>
      <c r="Z53">
        <v>12.2774</v>
      </c>
      <c r="AB53">
        <v>27264</v>
      </c>
      <c r="AC53">
        <f t="shared" si="2"/>
        <v>27264</v>
      </c>
      <c r="AD53">
        <v>192</v>
      </c>
      <c r="AE53">
        <v>2</v>
      </c>
      <c r="AF53">
        <v>8</v>
      </c>
      <c r="AG53">
        <v>12.729800000000001</v>
      </c>
    </row>
    <row r="54" spans="1:33" x14ac:dyDescent="0.25">
      <c r="A54" s="25">
        <v>28800</v>
      </c>
      <c r="B54" s="25">
        <v>192</v>
      </c>
      <c r="C54" s="25">
        <v>2</v>
      </c>
      <c r="D54" s="25">
        <v>8</v>
      </c>
      <c r="E54" s="58">
        <v>12.6652</v>
      </c>
      <c r="G54" s="25">
        <v>28800</v>
      </c>
      <c r="H54" s="25">
        <v>192</v>
      </c>
      <c r="I54" s="25">
        <v>2</v>
      </c>
      <c r="J54" s="25">
        <v>8</v>
      </c>
      <c r="K54" s="58">
        <v>13.0482</v>
      </c>
      <c r="M54">
        <v>28800</v>
      </c>
      <c r="N54">
        <v>192</v>
      </c>
      <c r="O54">
        <v>2</v>
      </c>
      <c r="P54">
        <v>8</v>
      </c>
      <c r="Q54">
        <v>1262.8499999999999</v>
      </c>
      <c r="R54" s="63">
        <v>12.612</v>
      </c>
      <c r="S54" s="64">
        <f t="shared" si="0"/>
        <v>-3.3429898376787566E-2</v>
      </c>
      <c r="U54">
        <v>28800</v>
      </c>
      <c r="V54">
        <f t="shared" si="1"/>
        <v>28800</v>
      </c>
      <c r="W54">
        <v>192</v>
      </c>
      <c r="X54">
        <v>2</v>
      </c>
      <c r="Y54">
        <v>8</v>
      </c>
      <c r="Z54">
        <v>12.6652</v>
      </c>
      <c r="AB54">
        <v>28800</v>
      </c>
      <c r="AC54">
        <f t="shared" si="2"/>
        <v>28800</v>
      </c>
      <c r="AD54">
        <v>192</v>
      </c>
      <c r="AE54">
        <v>2</v>
      </c>
      <c r="AF54">
        <v>8</v>
      </c>
      <c r="AG54">
        <v>13.0482</v>
      </c>
    </row>
    <row r="55" spans="1:33" x14ac:dyDescent="0.25">
      <c r="A55" s="25">
        <v>25728</v>
      </c>
      <c r="B55" s="25">
        <v>192</v>
      </c>
      <c r="C55" s="25">
        <v>4</v>
      </c>
      <c r="D55" s="25">
        <v>4</v>
      </c>
      <c r="E55" s="58">
        <v>10.436600000000002</v>
      </c>
      <c r="G55" s="25">
        <v>25728</v>
      </c>
      <c r="H55" s="25">
        <v>192</v>
      </c>
      <c r="I55" s="25">
        <v>4</v>
      </c>
      <c r="J55" s="25">
        <v>4</v>
      </c>
      <c r="K55" s="58">
        <v>10.350399999999999</v>
      </c>
      <c r="M55">
        <v>25728</v>
      </c>
      <c r="N55">
        <v>192</v>
      </c>
      <c r="O55">
        <v>4</v>
      </c>
      <c r="P55">
        <v>4</v>
      </c>
      <c r="Q55">
        <v>1121.45</v>
      </c>
      <c r="R55" s="63">
        <v>10.125</v>
      </c>
      <c r="S55" s="64">
        <f t="shared" si="0"/>
        <v>-2.1776936157056611E-2</v>
      </c>
      <c r="U55">
        <v>25728</v>
      </c>
      <c r="V55">
        <f t="shared" si="1"/>
        <v>25728</v>
      </c>
      <c r="W55">
        <v>192</v>
      </c>
      <c r="X55">
        <v>4</v>
      </c>
      <c r="Y55">
        <v>4</v>
      </c>
      <c r="Z55">
        <v>10.436600000000002</v>
      </c>
      <c r="AB55">
        <v>25728</v>
      </c>
      <c r="AC55">
        <f t="shared" si="2"/>
        <v>25728</v>
      </c>
      <c r="AD55">
        <v>192</v>
      </c>
      <c r="AE55">
        <v>4</v>
      </c>
      <c r="AF55">
        <v>4</v>
      </c>
      <c r="AG55">
        <v>10.350399999999999</v>
      </c>
    </row>
    <row r="56" spans="1:33" x14ac:dyDescent="0.25">
      <c r="A56" s="25">
        <v>27264</v>
      </c>
      <c r="B56" s="25">
        <v>192</v>
      </c>
      <c r="C56" s="25">
        <v>4</v>
      </c>
      <c r="D56" s="25">
        <v>4</v>
      </c>
      <c r="E56" s="58">
        <v>10.7042</v>
      </c>
      <c r="G56" s="25">
        <v>27264</v>
      </c>
      <c r="H56" s="25">
        <v>192</v>
      </c>
      <c r="I56" s="25">
        <v>4</v>
      </c>
      <c r="J56" s="25">
        <v>4</v>
      </c>
      <c r="K56" s="58">
        <v>10.745199999999999</v>
      </c>
      <c r="M56">
        <v>27264</v>
      </c>
      <c r="N56">
        <v>192</v>
      </c>
      <c r="O56">
        <v>4</v>
      </c>
      <c r="P56">
        <v>4</v>
      </c>
      <c r="Q56">
        <v>1310.97</v>
      </c>
      <c r="R56" s="63">
        <v>10.307</v>
      </c>
      <c r="S56" s="64">
        <f t="shared" si="0"/>
        <v>-4.0780999888322081E-2</v>
      </c>
      <c r="U56">
        <v>27264</v>
      </c>
      <c r="V56">
        <f t="shared" si="1"/>
        <v>27264</v>
      </c>
      <c r="W56">
        <v>192</v>
      </c>
      <c r="X56">
        <v>4</v>
      </c>
      <c r="Y56">
        <v>4</v>
      </c>
      <c r="Z56">
        <v>10.7042</v>
      </c>
      <c r="AB56">
        <v>27264</v>
      </c>
      <c r="AC56">
        <f t="shared" si="2"/>
        <v>27264</v>
      </c>
      <c r="AD56">
        <v>192</v>
      </c>
      <c r="AE56">
        <v>4</v>
      </c>
      <c r="AF56">
        <v>4</v>
      </c>
      <c r="AG56">
        <v>10.745199999999999</v>
      </c>
    </row>
    <row r="57" spans="1:33" x14ac:dyDescent="0.25">
      <c r="A57" s="25">
        <v>28800</v>
      </c>
      <c r="B57" s="25">
        <v>192</v>
      </c>
      <c r="C57" s="25">
        <v>4</v>
      </c>
      <c r="D57" s="25">
        <v>4</v>
      </c>
      <c r="E57" s="58">
        <v>10.973600000000001</v>
      </c>
      <c r="G57" s="25">
        <v>28800</v>
      </c>
      <c r="H57" s="25">
        <v>192</v>
      </c>
      <c r="I57" s="25">
        <v>4</v>
      </c>
      <c r="J57" s="25">
        <v>4</v>
      </c>
      <c r="K57" s="58">
        <v>11.033799999999999</v>
      </c>
      <c r="M57">
        <v>28800</v>
      </c>
      <c r="N57">
        <v>192</v>
      </c>
      <c r="O57">
        <v>4</v>
      </c>
      <c r="P57">
        <v>4</v>
      </c>
      <c r="Q57">
        <v>1484.56</v>
      </c>
      <c r="R57" s="63">
        <v>10.728</v>
      </c>
      <c r="S57" s="64">
        <f t="shared" si="0"/>
        <v>-2.7714839855716041E-2</v>
      </c>
      <c r="U57">
        <v>28800</v>
      </c>
      <c r="V57">
        <f t="shared" si="1"/>
        <v>28800</v>
      </c>
      <c r="W57">
        <v>192</v>
      </c>
      <c r="X57">
        <v>4</v>
      </c>
      <c r="Y57">
        <v>4</v>
      </c>
      <c r="Z57">
        <v>10.973600000000001</v>
      </c>
      <c r="AB57">
        <v>28800</v>
      </c>
      <c r="AC57">
        <f t="shared" si="2"/>
        <v>28800</v>
      </c>
      <c r="AD57">
        <v>192</v>
      </c>
      <c r="AE57">
        <v>4</v>
      </c>
      <c r="AF57">
        <v>4</v>
      </c>
      <c r="AG57">
        <v>11.033799999999999</v>
      </c>
    </row>
    <row r="58" spans="1:33" x14ac:dyDescent="0.25">
      <c r="A58" s="25">
        <v>25536</v>
      </c>
      <c r="B58" s="25">
        <v>224</v>
      </c>
      <c r="C58" s="25">
        <v>1</v>
      </c>
      <c r="D58" s="25">
        <v>16</v>
      </c>
      <c r="E58" s="58">
        <v>10.721399999999999</v>
      </c>
      <c r="G58" s="25">
        <v>25536</v>
      </c>
      <c r="H58" s="25">
        <v>224</v>
      </c>
      <c r="I58" s="25">
        <v>1</v>
      </c>
      <c r="J58" s="25">
        <v>16</v>
      </c>
      <c r="K58" s="58">
        <v>11.847</v>
      </c>
      <c r="M58">
        <v>25536</v>
      </c>
      <c r="N58">
        <v>224</v>
      </c>
      <c r="O58">
        <v>1</v>
      </c>
      <c r="P58">
        <v>16</v>
      </c>
      <c r="Q58">
        <v>1075.2</v>
      </c>
      <c r="R58" s="63">
        <v>10.326000000000001</v>
      </c>
      <c r="S58" s="64">
        <f t="shared" si="0"/>
        <v>-0.12838693340086091</v>
      </c>
      <c r="U58">
        <v>25536</v>
      </c>
      <c r="V58">
        <f t="shared" si="1"/>
        <v>25728</v>
      </c>
      <c r="W58">
        <v>224</v>
      </c>
      <c r="X58">
        <v>1</v>
      </c>
      <c r="Y58">
        <v>16</v>
      </c>
      <c r="Z58">
        <v>10.721399999999999</v>
      </c>
      <c r="AB58">
        <v>25536</v>
      </c>
      <c r="AC58">
        <f t="shared" si="2"/>
        <v>25728</v>
      </c>
      <c r="AD58">
        <v>224</v>
      </c>
      <c r="AE58">
        <v>1</v>
      </c>
      <c r="AF58">
        <v>16</v>
      </c>
      <c r="AG58">
        <v>11.847</v>
      </c>
    </row>
    <row r="59" spans="1:33" x14ac:dyDescent="0.25">
      <c r="A59" s="25">
        <v>27104</v>
      </c>
      <c r="B59" s="25">
        <v>224</v>
      </c>
      <c r="C59" s="25">
        <v>1</v>
      </c>
      <c r="D59" s="25">
        <v>16</v>
      </c>
      <c r="E59" s="58">
        <v>10.877200000000002</v>
      </c>
      <c r="G59" s="25">
        <v>27104</v>
      </c>
      <c r="H59" s="25">
        <v>224</v>
      </c>
      <c r="I59" s="25">
        <v>1</v>
      </c>
      <c r="J59" s="25">
        <v>16</v>
      </c>
      <c r="K59" s="58">
        <v>12.082800000000001</v>
      </c>
      <c r="M59">
        <v>27104</v>
      </c>
      <c r="N59">
        <v>224</v>
      </c>
      <c r="O59">
        <v>1</v>
      </c>
      <c r="P59">
        <v>16</v>
      </c>
      <c r="Q59">
        <v>1215.76</v>
      </c>
      <c r="R59" s="63">
        <v>10.919</v>
      </c>
      <c r="S59" s="64">
        <f t="shared" si="0"/>
        <v>-9.6318734068262329E-2</v>
      </c>
      <c r="U59">
        <v>27104</v>
      </c>
      <c r="V59">
        <f t="shared" si="1"/>
        <v>27264</v>
      </c>
      <c r="W59">
        <v>224</v>
      </c>
      <c r="X59">
        <v>1</v>
      </c>
      <c r="Y59">
        <v>16</v>
      </c>
      <c r="Z59">
        <v>10.877200000000002</v>
      </c>
      <c r="AB59">
        <v>27104</v>
      </c>
      <c r="AC59">
        <f t="shared" si="2"/>
        <v>27264</v>
      </c>
      <c r="AD59">
        <v>224</v>
      </c>
      <c r="AE59">
        <v>1</v>
      </c>
      <c r="AF59">
        <v>16</v>
      </c>
      <c r="AG59">
        <v>12.082800000000001</v>
      </c>
    </row>
    <row r="60" spans="1:33" x14ac:dyDescent="0.25">
      <c r="A60" s="25">
        <v>28672</v>
      </c>
      <c r="B60" s="25">
        <v>224</v>
      </c>
      <c r="C60" s="25">
        <v>1</v>
      </c>
      <c r="D60" s="25">
        <v>16</v>
      </c>
      <c r="E60" s="58">
        <v>11.268599999999998</v>
      </c>
      <c r="G60" s="25">
        <v>28672</v>
      </c>
      <c r="H60" s="25">
        <v>224</v>
      </c>
      <c r="I60" s="25">
        <v>1</v>
      </c>
      <c r="J60" s="25">
        <v>16</v>
      </c>
      <c r="K60" s="58">
        <v>12.4124</v>
      </c>
      <c r="M60">
        <v>28672</v>
      </c>
      <c r="N60">
        <v>224</v>
      </c>
      <c r="O60">
        <v>1</v>
      </c>
      <c r="P60">
        <v>16</v>
      </c>
      <c r="Q60">
        <v>1648.69</v>
      </c>
      <c r="R60" s="63">
        <v>9.5319000000000003</v>
      </c>
      <c r="S60" s="64">
        <f t="shared" si="0"/>
        <v>-0.23206632077599817</v>
      </c>
      <c r="U60">
        <v>28672</v>
      </c>
      <c r="V60">
        <f t="shared" si="1"/>
        <v>28800</v>
      </c>
      <c r="W60">
        <v>224</v>
      </c>
      <c r="X60">
        <v>1</v>
      </c>
      <c r="Y60">
        <v>16</v>
      </c>
      <c r="Z60">
        <v>11.268599999999998</v>
      </c>
      <c r="AB60">
        <v>28672</v>
      </c>
      <c r="AC60">
        <f t="shared" si="2"/>
        <v>28800</v>
      </c>
      <c r="AD60">
        <v>224</v>
      </c>
      <c r="AE60">
        <v>1</v>
      </c>
      <c r="AF60">
        <v>16</v>
      </c>
      <c r="AG60">
        <v>12.4124</v>
      </c>
    </row>
    <row r="61" spans="1:33" x14ac:dyDescent="0.25">
      <c r="A61" s="25">
        <v>25536</v>
      </c>
      <c r="B61" s="25">
        <v>224</v>
      </c>
      <c r="C61" s="25">
        <v>2</v>
      </c>
      <c r="D61" s="25">
        <v>8</v>
      </c>
      <c r="E61" s="58">
        <v>12.022</v>
      </c>
      <c r="G61" s="25">
        <v>25536</v>
      </c>
      <c r="H61" s="25">
        <v>224</v>
      </c>
      <c r="I61" s="25">
        <v>2</v>
      </c>
      <c r="J61" s="25">
        <v>8</v>
      </c>
      <c r="K61" s="58">
        <v>12.178599999999999</v>
      </c>
      <c r="M61">
        <v>25536</v>
      </c>
      <c r="N61">
        <v>224</v>
      </c>
      <c r="O61">
        <v>2</v>
      </c>
      <c r="P61">
        <v>8</v>
      </c>
      <c r="Q61">
        <v>947.5</v>
      </c>
      <c r="R61" s="63">
        <v>11.717000000000001</v>
      </c>
      <c r="S61" s="64">
        <f t="shared" si="0"/>
        <v>-3.7902550375248298E-2</v>
      </c>
      <c r="U61">
        <v>25536</v>
      </c>
      <c r="V61">
        <f t="shared" si="1"/>
        <v>25728</v>
      </c>
      <c r="W61">
        <v>224</v>
      </c>
      <c r="X61">
        <v>2</v>
      </c>
      <c r="Y61">
        <v>8</v>
      </c>
      <c r="Z61">
        <v>12.022</v>
      </c>
      <c r="AB61">
        <v>25536</v>
      </c>
      <c r="AC61">
        <f t="shared" si="2"/>
        <v>25728</v>
      </c>
      <c r="AD61">
        <v>224</v>
      </c>
      <c r="AE61">
        <v>2</v>
      </c>
      <c r="AF61">
        <v>8</v>
      </c>
      <c r="AG61">
        <v>12.178599999999999</v>
      </c>
    </row>
    <row r="62" spans="1:33" x14ac:dyDescent="0.25">
      <c r="A62" s="25">
        <v>27104</v>
      </c>
      <c r="B62" s="25">
        <v>224</v>
      </c>
      <c r="C62" s="25">
        <v>2</v>
      </c>
      <c r="D62" s="25">
        <v>8</v>
      </c>
      <c r="E62" s="58">
        <v>12.329200000000002</v>
      </c>
      <c r="G62" s="25">
        <v>27104</v>
      </c>
      <c r="H62" s="25">
        <v>224</v>
      </c>
      <c r="I62" s="25">
        <v>2</v>
      </c>
      <c r="J62" s="25">
        <v>8</v>
      </c>
      <c r="K62" s="58">
        <v>12.4742</v>
      </c>
      <c r="M62">
        <v>27104</v>
      </c>
      <c r="N62">
        <v>224</v>
      </c>
      <c r="O62">
        <v>2</v>
      </c>
      <c r="P62">
        <v>8</v>
      </c>
      <c r="Q62">
        <v>1137.3699999999999</v>
      </c>
      <c r="R62" s="63">
        <v>11.672000000000001</v>
      </c>
      <c r="S62" s="64">
        <f t="shared" si="0"/>
        <v>-6.4308733225377113E-2</v>
      </c>
      <c r="U62">
        <v>27104</v>
      </c>
      <c r="V62">
        <f t="shared" si="1"/>
        <v>27264</v>
      </c>
      <c r="W62">
        <v>224</v>
      </c>
      <c r="X62">
        <v>2</v>
      </c>
      <c r="Y62">
        <v>8</v>
      </c>
      <c r="Z62">
        <v>12.329200000000002</v>
      </c>
      <c r="AB62">
        <v>27104</v>
      </c>
      <c r="AC62">
        <f t="shared" si="2"/>
        <v>27264</v>
      </c>
      <c r="AD62">
        <v>224</v>
      </c>
      <c r="AE62">
        <v>2</v>
      </c>
      <c r="AF62">
        <v>8</v>
      </c>
      <c r="AG62">
        <v>12.4742</v>
      </c>
    </row>
    <row r="63" spans="1:33" x14ac:dyDescent="0.25">
      <c r="A63" s="25">
        <v>28672</v>
      </c>
      <c r="B63" s="25">
        <v>224</v>
      </c>
      <c r="C63" s="25">
        <v>2</v>
      </c>
      <c r="D63" s="25">
        <v>8</v>
      </c>
      <c r="E63" s="58">
        <v>12.555800000000001</v>
      </c>
      <c r="G63" s="25">
        <v>28672</v>
      </c>
      <c r="H63" s="25">
        <v>224</v>
      </c>
      <c r="I63" s="25">
        <v>2</v>
      </c>
      <c r="J63" s="25">
        <v>8</v>
      </c>
      <c r="K63" s="58">
        <v>12.756600000000001</v>
      </c>
      <c r="M63">
        <v>28672</v>
      </c>
      <c r="N63">
        <v>224</v>
      </c>
      <c r="O63">
        <v>2</v>
      </c>
      <c r="P63">
        <v>8</v>
      </c>
      <c r="Q63">
        <v>1388.07</v>
      </c>
      <c r="R63" s="63">
        <v>11.321999999999999</v>
      </c>
      <c r="S63" s="64">
        <f t="shared" si="0"/>
        <v>-0.11245943276421627</v>
      </c>
      <c r="U63">
        <v>28672</v>
      </c>
      <c r="V63">
        <f t="shared" si="1"/>
        <v>28800</v>
      </c>
      <c r="W63">
        <v>224</v>
      </c>
      <c r="X63">
        <v>2</v>
      </c>
      <c r="Y63">
        <v>8</v>
      </c>
      <c r="Z63">
        <v>12.555800000000001</v>
      </c>
      <c r="AB63">
        <v>28672</v>
      </c>
      <c r="AC63">
        <f t="shared" si="2"/>
        <v>28800</v>
      </c>
      <c r="AD63">
        <v>224</v>
      </c>
      <c r="AE63">
        <v>2</v>
      </c>
      <c r="AF63">
        <v>8</v>
      </c>
      <c r="AG63">
        <v>12.756600000000001</v>
      </c>
    </row>
    <row r="64" spans="1:33" x14ac:dyDescent="0.25">
      <c r="A64" s="25">
        <v>25536</v>
      </c>
      <c r="B64" s="25">
        <v>224</v>
      </c>
      <c r="C64" s="25">
        <v>4</v>
      </c>
      <c r="D64" s="25">
        <v>4</v>
      </c>
      <c r="E64" s="58">
        <v>10.300800000000001</v>
      </c>
      <c r="G64" s="25">
        <v>25536</v>
      </c>
      <c r="H64" s="25">
        <v>224</v>
      </c>
      <c r="I64" s="25">
        <v>4</v>
      </c>
      <c r="J64" s="25">
        <v>4</v>
      </c>
      <c r="K64" s="58">
        <v>10.220000000000002</v>
      </c>
      <c r="M64">
        <v>25536</v>
      </c>
      <c r="N64">
        <v>224</v>
      </c>
      <c r="O64">
        <v>4</v>
      </c>
      <c r="P64">
        <v>4</v>
      </c>
      <c r="Q64">
        <v>1115.45</v>
      </c>
      <c r="R64" s="63">
        <v>9.9530999999999992</v>
      </c>
      <c r="S64" s="64">
        <f t="shared" si="0"/>
        <v>-2.6115459882583483E-2</v>
      </c>
      <c r="U64">
        <v>25536</v>
      </c>
      <c r="V64">
        <f t="shared" si="1"/>
        <v>25728</v>
      </c>
      <c r="W64">
        <v>224</v>
      </c>
      <c r="X64">
        <v>4</v>
      </c>
      <c r="Y64">
        <v>4</v>
      </c>
      <c r="Z64">
        <v>10.300800000000001</v>
      </c>
      <c r="AB64">
        <v>25536</v>
      </c>
      <c r="AC64">
        <f t="shared" si="2"/>
        <v>25728</v>
      </c>
      <c r="AD64">
        <v>224</v>
      </c>
      <c r="AE64">
        <v>4</v>
      </c>
      <c r="AF64">
        <v>4</v>
      </c>
      <c r="AG64">
        <v>10.220000000000002</v>
      </c>
    </row>
    <row r="65" spans="1:33" x14ac:dyDescent="0.25">
      <c r="A65" s="25">
        <v>27104</v>
      </c>
      <c r="B65" s="25">
        <v>224</v>
      </c>
      <c r="C65" s="25">
        <v>4</v>
      </c>
      <c r="D65" s="25">
        <v>4</v>
      </c>
      <c r="E65" s="58">
        <v>10.602599999999999</v>
      </c>
      <c r="G65" s="25">
        <v>27104</v>
      </c>
      <c r="H65" s="25">
        <v>224</v>
      </c>
      <c r="I65" s="25">
        <v>4</v>
      </c>
      <c r="J65" s="25">
        <v>4</v>
      </c>
      <c r="K65" s="58">
        <v>10.5314</v>
      </c>
      <c r="M65">
        <v>27104</v>
      </c>
      <c r="N65">
        <v>224</v>
      </c>
      <c r="O65">
        <v>4</v>
      </c>
      <c r="P65">
        <v>4</v>
      </c>
      <c r="Q65">
        <v>1346.27</v>
      </c>
      <c r="R65" s="63">
        <v>9.8607999999999993</v>
      </c>
      <c r="S65" s="64">
        <f t="shared" si="0"/>
        <v>-6.3676244373967406E-2</v>
      </c>
      <c r="U65">
        <v>27104</v>
      </c>
      <c r="V65">
        <f t="shared" si="1"/>
        <v>27264</v>
      </c>
      <c r="W65">
        <v>224</v>
      </c>
      <c r="X65">
        <v>4</v>
      </c>
      <c r="Y65">
        <v>4</v>
      </c>
      <c r="Z65">
        <v>10.602599999999999</v>
      </c>
      <c r="AB65">
        <v>27104</v>
      </c>
      <c r="AC65">
        <f t="shared" si="2"/>
        <v>27264</v>
      </c>
      <c r="AD65">
        <v>224</v>
      </c>
      <c r="AE65">
        <v>4</v>
      </c>
      <c r="AF65">
        <v>4</v>
      </c>
      <c r="AG65">
        <v>10.5314</v>
      </c>
    </row>
    <row r="66" spans="1:33" x14ac:dyDescent="0.25">
      <c r="A66" s="25">
        <v>28672</v>
      </c>
      <c r="B66" s="25">
        <v>224</v>
      </c>
      <c r="C66" s="25">
        <v>4</v>
      </c>
      <c r="D66" s="25">
        <v>4</v>
      </c>
      <c r="E66" s="58">
        <v>10.823600000000001</v>
      </c>
      <c r="G66" s="25">
        <v>28672</v>
      </c>
      <c r="H66" s="25">
        <v>224</v>
      </c>
      <c r="I66" s="25">
        <v>4</v>
      </c>
      <c r="J66" s="25">
        <v>4</v>
      </c>
      <c r="K66" s="58">
        <v>10.860000000000001</v>
      </c>
      <c r="M66">
        <v>28672</v>
      </c>
      <c r="N66">
        <v>224</v>
      </c>
      <c r="O66">
        <v>4</v>
      </c>
      <c r="P66">
        <v>4</v>
      </c>
      <c r="Q66">
        <v>1601.52</v>
      </c>
      <c r="R66" s="63">
        <v>9.8125999999999998</v>
      </c>
      <c r="S66" s="64">
        <f t="shared" si="0"/>
        <v>-9.6445672191528664E-2</v>
      </c>
      <c r="U66">
        <v>28672</v>
      </c>
      <c r="V66">
        <f t="shared" si="1"/>
        <v>28800</v>
      </c>
      <c r="W66">
        <v>224</v>
      </c>
      <c r="X66">
        <v>4</v>
      </c>
      <c r="Y66">
        <v>4</v>
      </c>
      <c r="Z66">
        <v>10.823600000000001</v>
      </c>
      <c r="AB66">
        <v>28672</v>
      </c>
      <c r="AC66">
        <f t="shared" si="2"/>
        <v>28800</v>
      </c>
      <c r="AD66">
        <v>224</v>
      </c>
      <c r="AE66">
        <v>4</v>
      </c>
      <c r="AF66">
        <v>4</v>
      </c>
      <c r="AG66">
        <v>10.860000000000001</v>
      </c>
    </row>
    <row r="67" spans="1:33" x14ac:dyDescent="0.25">
      <c r="A67" s="25">
        <v>25600</v>
      </c>
      <c r="B67" s="25">
        <v>256</v>
      </c>
      <c r="C67" s="25">
        <v>1</v>
      </c>
      <c r="D67" s="25">
        <v>16</v>
      </c>
      <c r="E67" s="58">
        <v>10.6852</v>
      </c>
      <c r="G67" s="25">
        <v>25600</v>
      </c>
      <c r="H67" s="25">
        <v>256</v>
      </c>
      <c r="I67" s="25">
        <v>1</v>
      </c>
      <c r="J67" s="25">
        <v>16</v>
      </c>
      <c r="K67" s="58">
        <v>11.9488</v>
      </c>
      <c r="M67">
        <v>25600</v>
      </c>
      <c r="N67">
        <v>256</v>
      </c>
      <c r="O67">
        <v>1</v>
      </c>
      <c r="P67">
        <v>16</v>
      </c>
      <c r="Q67">
        <v>1074.3399999999999</v>
      </c>
      <c r="R67" s="63">
        <v>10.412000000000001</v>
      </c>
      <c r="S67" s="64">
        <f t="shared" si="0"/>
        <v>-0.12861542581681837</v>
      </c>
      <c r="U67">
        <v>25600</v>
      </c>
      <c r="V67">
        <f t="shared" si="1"/>
        <v>25728</v>
      </c>
      <c r="W67">
        <v>256</v>
      </c>
      <c r="X67">
        <v>1</v>
      </c>
      <c r="Y67">
        <v>16</v>
      </c>
      <c r="Z67">
        <v>10.6852</v>
      </c>
      <c r="AB67">
        <v>25600</v>
      </c>
      <c r="AC67">
        <f t="shared" si="2"/>
        <v>25728</v>
      </c>
      <c r="AD67">
        <v>256</v>
      </c>
      <c r="AE67">
        <v>1</v>
      </c>
      <c r="AF67">
        <v>16</v>
      </c>
      <c r="AG67">
        <v>11.9488</v>
      </c>
    </row>
    <row r="68" spans="1:33" x14ac:dyDescent="0.25">
      <c r="A68" s="25">
        <v>27136</v>
      </c>
      <c r="B68" s="25">
        <v>256</v>
      </c>
      <c r="C68" s="25">
        <v>1</v>
      </c>
      <c r="D68" s="25">
        <v>16</v>
      </c>
      <c r="E68" s="58">
        <v>10.7662</v>
      </c>
      <c r="G68" s="25">
        <v>27136</v>
      </c>
      <c r="H68" s="25">
        <v>256</v>
      </c>
      <c r="I68" s="25">
        <v>1</v>
      </c>
      <c r="J68" s="25">
        <v>16</v>
      </c>
      <c r="K68" s="58">
        <v>12.119</v>
      </c>
      <c r="M68">
        <v>27136</v>
      </c>
      <c r="N68">
        <v>256</v>
      </c>
      <c r="O68">
        <v>1</v>
      </c>
      <c r="P68">
        <v>16</v>
      </c>
      <c r="Q68">
        <v>1200.58</v>
      </c>
      <c r="R68" s="63">
        <v>11.097</v>
      </c>
      <c r="S68" s="64">
        <f t="shared" si="0"/>
        <v>-8.4330390296229088E-2</v>
      </c>
      <c r="U68">
        <v>27136</v>
      </c>
      <c r="V68">
        <f t="shared" si="1"/>
        <v>27264</v>
      </c>
      <c r="W68">
        <v>256</v>
      </c>
      <c r="X68">
        <v>1</v>
      </c>
      <c r="Y68">
        <v>16</v>
      </c>
      <c r="Z68">
        <v>10.7662</v>
      </c>
      <c r="AB68">
        <v>27136</v>
      </c>
      <c r="AC68">
        <f t="shared" si="2"/>
        <v>27264</v>
      </c>
      <c r="AD68">
        <v>256</v>
      </c>
      <c r="AE68">
        <v>1</v>
      </c>
      <c r="AF68">
        <v>16</v>
      </c>
      <c r="AG68">
        <v>12.119</v>
      </c>
    </row>
    <row r="69" spans="1:33" x14ac:dyDescent="0.25">
      <c r="A69" s="25">
        <v>28672</v>
      </c>
      <c r="B69" s="25">
        <v>256</v>
      </c>
      <c r="C69" s="25">
        <v>1</v>
      </c>
      <c r="D69" s="25">
        <v>16</v>
      </c>
      <c r="E69" s="58">
        <v>11.217600000000001</v>
      </c>
      <c r="G69" s="25">
        <v>28672</v>
      </c>
      <c r="H69" s="25">
        <v>256</v>
      </c>
      <c r="I69" s="25">
        <v>1</v>
      </c>
      <c r="J69" s="25">
        <v>16</v>
      </c>
      <c r="K69" s="58">
        <v>12.279199999999999</v>
      </c>
      <c r="M69">
        <v>28672</v>
      </c>
      <c r="N69">
        <v>256</v>
      </c>
      <c r="O69">
        <v>1</v>
      </c>
      <c r="P69">
        <v>16</v>
      </c>
      <c r="Q69">
        <v>7022.41</v>
      </c>
      <c r="R69" s="63">
        <v>2.2378</v>
      </c>
      <c r="S69" s="64">
        <f t="shared" ref="S69:S75" si="3">(R69-K69)/K69</f>
        <v>-0.81775685712424262</v>
      </c>
      <c r="U69">
        <v>28672</v>
      </c>
      <c r="V69">
        <f t="shared" ref="V69:V75" si="4">IF(ABS(U69-25728)&lt;ABS(U69-27264),IF(ABS(U69-25728)&lt;ABS(U69-28800),25728,28800),IF(ABS(U69-27264)&lt;ABS(U69-28800),27264,28800))</f>
        <v>28800</v>
      </c>
      <c r="W69">
        <v>256</v>
      </c>
      <c r="X69">
        <v>1</v>
      </c>
      <c r="Y69">
        <v>16</v>
      </c>
      <c r="Z69">
        <v>11.217600000000001</v>
      </c>
      <c r="AB69">
        <v>28672</v>
      </c>
      <c r="AC69">
        <f t="shared" ref="AC69:AC75" si="5">IF(ABS(AB69-25728)&lt;ABS(AB69-27264),IF(ABS(AB69-25728)&lt;ABS(AB69-28800),25728,28800),IF(ABS(AB69-27264)&lt;ABS(AB69-28800),27264,28800))</f>
        <v>28800</v>
      </c>
      <c r="AD69">
        <v>256</v>
      </c>
      <c r="AE69">
        <v>1</v>
      </c>
      <c r="AF69">
        <v>16</v>
      </c>
      <c r="AG69">
        <v>12.279199999999999</v>
      </c>
    </row>
    <row r="70" spans="1:33" x14ac:dyDescent="0.25">
      <c r="A70" s="25">
        <v>25600</v>
      </c>
      <c r="B70" s="25">
        <v>256</v>
      </c>
      <c r="C70" s="25">
        <v>2</v>
      </c>
      <c r="D70" s="25">
        <v>8</v>
      </c>
      <c r="E70" s="58">
        <v>12.046599999999998</v>
      </c>
      <c r="G70" s="25">
        <v>25600</v>
      </c>
      <c r="H70" s="25">
        <v>256</v>
      </c>
      <c r="I70" s="25">
        <v>2</v>
      </c>
      <c r="J70" s="25">
        <v>8</v>
      </c>
      <c r="K70" s="58">
        <v>12.028</v>
      </c>
      <c r="M70">
        <v>25600</v>
      </c>
      <c r="N70">
        <v>256</v>
      </c>
      <c r="O70">
        <v>2</v>
      </c>
      <c r="P70">
        <v>8</v>
      </c>
      <c r="Q70">
        <v>943.48</v>
      </c>
      <c r="R70" s="63">
        <v>11.856</v>
      </c>
      <c r="S70" s="64">
        <f t="shared" si="3"/>
        <v>-1.4299966744263435E-2</v>
      </c>
      <c r="U70">
        <v>25600</v>
      </c>
      <c r="V70">
        <f t="shared" si="4"/>
        <v>25728</v>
      </c>
      <c r="W70">
        <v>256</v>
      </c>
      <c r="X70">
        <v>2</v>
      </c>
      <c r="Y70">
        <v>8</v>
      </c>
      <c r="Z70">
        <v>12.046599999999998</v>
      </c>
      <c r="AB70">
        <v>25600</v>
      </c>
      <c r="AC70">
        <f t="shared" si="5"/>
        <v>25728</v>
      </c>
      <c r="AD70">
        <v>256</v>
      </c>
      <c r="AE70">
        <v>2</v>
      </c>
      <c r="AF70">
        <v>8</v>
      </c>
      <c r="AG70">
        <v>12.028</v>
      </c>
    </row>
    <row r="71" spans="1:33" x14ac:dyDescent="0.25">
      <c r="A71" s="25">
        <v>27136</v>
      </c>
      <c r="B71" s="25">
        <v>256</v>
      </c>
      <c r="C71" s="25">
        <v>2</v>
      </c>
      <c r="D71" s="25">
        <v>8</v>
      </c>
      <c r="E71" s="58">
        <v>12.130599999999999</v>
      </c>
      <c r="G71" s="25">
        <v>27136</v>
      </c>
      <c r="H71" s="25">
        <v>256</v>
      </c>
      <c r="I71" s="25">
        <v>2</v>
      </c>
      <c r="J71" s="25">
        <v>8</v>
      </c>
      <c r="K71" s="58">
        <v>12.323399999999999</v>
      </c>
      <c r="M71">
        <v>27136</v>
      </c>
      <c r="N71">
        <v>256</v>
      </c>
      <c r="O71">
        <v>2</v>
      </c>
      <c r="P71">
        <v>8</v>
      </c>
      <c r="Q71">
        <v>1119.67</v>
      </c>
      <c r="R71" s="63">
        <v>11.898999999999999</v>
      </c>
      <c r="S71" s="64">
        <f t="shared" si="3"/>
        <v>-3.4438547803365985E-2</v>
      </c>
      <c r="U71">
        <v>27136</v>
      </c>
      <c r="V71">
        <f t="shared" si="4"/>
        <v>27264</v>
      </c>
      <c r="W71">
        <v>256</v>
      </c>
      <c r="X71">
        <v>2</v>
      </c>
      <c r="Y71">
        <v>8</v>
      </c>
      <c r="Z71">
        <v>12.130599999999999</v>
      </c>
      <c r="AB71">
        <v>27136</v>
      </c>
      <c r="AC71">
        <f t="shared" si="5"/>
        <v>27264</v>
      </c>
      <c r="AD71">
        <v>256</v>
      </c>
      <c r="AE71">
        <v>2</v>
      </c>
      <c r="AF71">
        <v>8</v>
      </c>
      <c r="AG71">
        <v>12.323399999999999</v>
      </c>
    </row>
    <row r="72" spans="1:33" x14ac:dyDescent="0.25">
      <c r="A72" s="25">
        <v>28672</v>
      </c>
      <c r="B72" s="25">
        <v>256</v>
      </c>
      <c r="C72" s="25">
        <v>2</v>
      </c>
      <c r="D72" s="25">
        <v>8</v>
      </c>
      <c r="E72" s="58">
        <v>12.562999999999999</v>
      </c>
      <c r="G72" s="25">
        <v>28672</v>
      </c>
      <c r="H72" s="25">
        <v>256</v>
      </c>
      <c r="I72" s="25">
        <v>2</v>
      </c>
      <c r="J72" s="25">
        <v>8</v>
      </c>
      <c r="K72" s="58">
        <v>12.6668</v>
      </c>
      <c r="M72">
        <v>28672</v>
      </c>
      <c r="N72">
        <v>256</v>
      </c>
      <c r="O72">
        <v>2</v>
      </c>
      <c r="P72">
        <v>8</v>
      </c>
      <c r="Q72">
        <v>1312.68</v>
      </c>
      <c r="R72" s="63">
        <v>11.972</v>
      </c>
      <c r="S72" s="64">
        <f t="shared" si="3"/>
        <v>-5.4852054188903335E-2</v>
      </c>
      <c r="U72">
        <v>28672</v>
      </c>
      <c r="V72">
        <f t="shared" si="4"/>
        <v>28800</v>
      </c>
      <c r="W72">
        <v>256</v>
      </c>
      <c r="X72">
        <v>2</v>
      </c>
      <c r="Y72">
        <v>8</v>
      </c>
      <c r="Z72">
        <v>12.562999999999999</v>
      </c>
      <c r="AB72">
        <v>28672</v>
      </c>
      <c r="AC72">
        <f t="shared" si="5"/>
        <v>28800</v>
      </c>
      <c r="AD72">
        <v>256</v>
      </c>
      <c r="AE72">
        <v>2</v>
      </c>
      <c r="AF72">
        <v>8</v>
      </c>
      <c r="AG72">
        <v>12.6668</v>
      </c>
    </row>
    <row r="73" spans="1:33" x14ac:dyDescent="0.25">
      <c r="A73" s="25">
        <v>25600</v>
      </c>
      <c r="B73" s="25">
        <v>256</v>
      </c>
      <c r="C73" s="25">
        <v>4</v>
      </c>
      <c r="D73" s="25">
        <v>4</v>
      </c>
      <c r="E73" s="58">
        <v>10.223800000000001</v>
      </c>
      <c r="G73" s="25">
        <v>25600</v>
      </c>
      <c r="H73" s="25">
        <v>256</v>
      </c>
      <c r="I73" s="25">
        <v>4</v>
      </c>
      <c r="J73" s="25">
        <v>4</v>
      </c>
      <c r="K73" s="58">
        <v>10.1158</v>
      </c>
      <c r="M73">
        <v>25600</v>
      </c>
      <c r="N73">
        <v>256</v>
      </c>
      <c r="O73">
        <v>4</v>
      </c>
      <c r="P73">
        <v>4</v>
      </c>
      <c r="Q73">
        <v>1166.28</v>
      </c>
      <c r="R73" s="63">
        <v>9.5909999999999993</v>
      </c>
      <c r="S73" s="64">
        <f t="shared" si="3"/>
        <v>-5.1879238419106827E-2</v>
      </c>
      <c r="U73">
        <v>25600</v>
      </c>
      <c r="V73">
        <f t="shared" si="4"/>
        <v>25728</v>
      </c>
      <c r="W73">
        <v>256</v>
      </c>
      <c r="X73">
        <v>4</v>
      </c>
      <c r="Y73">
        <v>4</v>
      </c>
      <c r="Z73">
        <v>10.223800000000001</v>
      </c>
      <c r="AB73">
        <v>25600</v>
      </c>
      <c r="AC73">
        <f t="shared" si="5"/>
        <v>25728</v>
      </c>
      <c r="AD73">
        <v>256</v>
      </c>
      <c r="AE73">
        <v>4</v>
      </c>
      <c r="AF73">
        <v>4</v>
      </c>
      <c r="AG73">
        <v>10.1158</v>
      </c>
    </row>
    <row r="74" spans="1:33" x14ac:dyDescent="0.25">
      <c r="A74" s="25">
        <v>27136</v>
      </c>
      <c r="B74" s="25">
        <v>256</v>
      </c>
      <c r="C74" s="25">
        <v>4</v>
      </c>
      <c r="D74" s="25">
        <v>4</v>
      </c>
      <c r="E74" s="58">
        <v>10.4788</v>
      </c>
      <c r="G74" s="25">
        <v>27136</v>
      </c>
      <c r="H74" s="25">
        <v>256</v>
      </c>
      <c r="I74" s="25">
        <v>4</v>
      </c>
      <c r="J74" s="25">
        <v>4</v>
      </c>
      <c r="K74" s="58">
        <v>10.512600000000001</v>
      </c>
      <c r="M74">
        <v>27136</v>
      </c>
      <c r="N74">
        <v>256</v>
      </c>
      <c r="O74">
        <v>4</v>
      </c>
      <c r="P74">
        <v>4</v>
      </c>
      <c r="Q74">
        <v>1352.97</v>
      </c>
      <c r="R74" s="63">
        <v>9.8468</v>
      </c>
      <c r="S74" s="64">
        <f t="shared" si="3"/>
        <v>-6.3333523581226417E-2</v>
      </c>
      <c r="U74">
        <v>27136</v>
      </c>
      <c r="V74">
        <f t="shared" si="4"/>
        <v>27264</v>
      </c>
      <c r="W74">
        <v>256</v>
      </c>
      <c r="X74">
        <v>4</v>
      </c>
      <c r="Y74">
        <v>4</v>
      </c>
      <c r="Z74">
        <v>10.4788</v>
      </c>
      <c r="AB74">
        <v>27136</v>
      </c>
      <c r="AC74">
        <f t="shared" si="5"/>
        <v>27264</v>
      </c>
      <c r="AD74">
        <v>256</v>
      </c>
      <c r="AE74">
        <v>4</v>
      </c>
      <c r="AF74">
        <v>4</v>
      </c>
      <c r="AG74">
        <v>10.512600000000001</v>
      </c>
    </row>
    <row r="75" spans="1:33" x14ac:dyDescent="0.25">
      <c r="A75" s="25">
        <v>28672</v>
      </c>
      <c r="B75" s="25">
        <v>256</v>
      </c>
      <c r="C75" s="25">
        <v>4</v>
      </c>
      <c r="D75" s="25">
        <v>4</v>
      </c>
      <c r="E75" s="58">
        <v>10.750800000000002</v>
      </c>
      <c r="G75" s="25">
        <v>28672</v>
      </c>
      <c r="H75" s="25">
        <v>256</v>
      </c>
      <c r="I75" s="25">
        <v>4</v>
      </c>
      <c r="J75" s="25">
        <v>4</v>
      </c>
      <c r="K75" s="58">
        <v>10.813800000000001</v>
      </c>
      <c r="M75">
        <v>28672</v>
      </c>
      <c r="N75">
        <v>256</v>
      </c>
      <c r="O75">
        <v>4</v>
      </c>
      <c r="P75">
        <v>4</v>
      </c>
      <c r="Q75">
        <v>1561.15</v>
      </c>
      <c r="R75" s="63">
        <v>10.066000000000001</v>
      </c>
      <c r="S75" s="64">
        <f t="shared" si="3"/>
        <v>-6.9152379367104971E-2</v>
      </c>
      <c r="U75">
        <v>28672</v>
      </c>
      <c r="V75">
        <f t="shared" si="4"/>
        <v>28800</v>
      </c>
      <c r="W75">
        <v>256</v>
      </c>
      <c r="X75">
        <v>4</v>
      </c>
      <c r="Y75">
        <v>4</v>
      </c>
      <c r="Z75">
        <v>10.750800000000002</v>
      </c>
      <c r="AB75">
        <v>28672</v>
      </c>
      <c r="AC75">
        <f t="shared" si="5"/>
        <v>28800</v>
      </c>
      <c r="AD75">
        <v>256</v>
      </c>
      <c r="AE75">
        <v>4</v>
      </c>
      <c r="AF75">
        <v>4</v>
      </c>
      <c r="AG75">
        <v>10.813800000000001</v>
      </c>
    </row>
    <row r="76" spans="1:33" x14ac:dyDescent="0.25">
      <c r="A76" s="25">
        <v>0</v>
      </c>
      <c r="B76" s="25">
        <v>0</v>
      </c>
      <c r="C76" s="25">
        <v>0</v>
      </c>
      <c r="D76" s="25">
        <v>0</v>
      </c>
      <c r="E76" s="58">
        <v>0</v>
      </c>
      <c r="G76" s="25">
        <v>0</v>
      </c>
      <c r="H76" s="25">
        <v>0</v>
      </c>
      <c r="I76" s="25">
        <v>0</v>
      </c>
      <c r="J76" s="25">
        <v>0</v>
      </c>
      <c r="K76" s="58">
        <v>0</v>
      </c>
      <c r="S76" s="64">
        <f>AVERAGE(S4:S75)</f>
        <v>-4.9370117758981182E-2</v>
      </c>
    </row>
    <row r="77" spans="1:33" x14ac:dyDescent="0.25">
      <c r="A77" s="25">
        <v>0</v>
      </c>
      <c r="B77" s="25">
        <v>0</v>
      </c>
      <c r="C77" s="25">
        <v>0</v>
      </c>
      <c r="D77" s="25">
        <v>0</v>
      </c>
      <c r="E77" s="58">
        <v>0</v>
      </c>
      <c r="G77" s="25">
        <v>0</v>
      </c>
      <c r="H77" s="25">
        <v>0</v>
      </c>
      <c r="I77" s="25">
        <v>0</v>
      </c>
      <c r="J77" s="25">
        <v>0</v>
      </c>
      <c r="K77" s="58">
        <v>0</v>
      </c>
    </row>
    <row r="78" spans="1:33" x14ac:dyDescent="0.25">
      <c r="A78" s="25">
        <v>0</v>
      </c>
      <c r="B78" s="25">
        <v>0</v>
      </c>
      <c r="C78" s="25">
        <v>0</v>
      </c>
      <c r="D78" s="25">
        <v>0</v>
      </c>
      <c r="E78" s="58">
        <v>0</v>
      </c>
      <c r="G78" s="25">
        <v>0</v>
      </c>
      <c r="H78" s="25">
        <v>0</v>
      </c>
      <c r="I78" s="25">
        <v>0</v>
      </c>
      <c r="J78" s="25">
        <v>0</v>
      </c>
      <c r="K78" s="58">
        <v>0</v>
      </c>
    </row>
    <row r="79" spans="1:33" x14ac:dyDescent="0.25">
      <c r="A79" s="25">
        <v>0</v>
      </c>
      <c r="B79" s="25">
        <v>0</v>
      </c>
      <c r="C79" s="25">
        <v>0</v>
      </c>
      <c r="D79" s="25">
        <v>0</v>
      </c>
      <c r="E79" s="58">
        <v>0</v>
      </c>
      <c r="G79" s="25">
        <v>0</v>
      </c>
      <c r="H79" s="25">
        <v>0</v>
      </c>
      <c r="I79" s="25">
        <v>0</v>
      </c>
      <c r="J79" s="25">
        <v>0</v>
      </c>
      <c r="K79" s="58">
        <v>0</v>
      </c>
    </row>
    <row r="80" spans="1:33" x14ac:dyDescent="0.25">
      <c r="A80" s="25">
        <v>0</v>
      </c>
      <c r="B80" s="25">
        <v>0</v>
      </c>
      <c r="C80" s="25">
        <v>0</v>
      </c>
      <c r="D80" s="25">
        <v>0</v>
      </c>
      <c r="E80" s="58">
        <v>0</v>
      </c>
      <c r="G80" s="25">
        <v>0</v>
      </c>
      <c r="H80" s="25">
        <v>0</v>
      </c>
      <c r="I80" s="25">
        <v>0</v>
      </c>
      <c r="J80" s="25">
        <v>0</v>
      </c>
      <c r="K80" s="58">
        <v>0</v>
      </c>
    </row>
    <row r="81" spans="1:11" x14ac:dyDescent="0.25">
      <c r="A81" s="25">
        <v>0</v>
      </c>
      <c r="B81" s="25">
        <v>0</v>
      </c>
      <c r="C81" s="25">
        <v>0</v>
      </c>
      <c r="D81" s="25">
        <v>0</v>
      </c>
      <c r="E81" s="58">
        <v>0</v>
      </c>
      <c r="G81" s="25">
        <v>0</v>
      </c>
      <c r="H81" s="25">
        <v>0</v>
      </c>
      <c r="I81" s="25">
        <v>0</v>
      </c>
      <c r="J81" s="25">
        <v>0</v>
      </c>
      <c r="K81" s="58">
        <v>0</v>
      </c>
    </row>
    <row r="82" spans="1:11" x14ac:dyDescent="0.25">
      <c r="A82" s="25">
        <v>0</v>
      </c>
      <c r="B82" s="25">
        <v>0</v>
      </c>
      <c r="C82" s="25">
        <v>0</v>
      </c>
      <c r="D82" s="25">
        <v>0</v>
      </c>
      <c r="E82" s="58">
        <v>0</v>
      </c>
      <c r="G82" s="25">
        <v>0</v>
      </c>
      <c r="H82" s="25">
        <v>0</v>
      </c>
      <c r="I82" s="25">
        <v>0</v>
      </c>
      <c r="J82" s="25">
        <v>0</v>
      </c>
      <c r="K82" s="58">
        <v>0</v>
      </c>
    </row>
    <row r="83" spans="1:11" x14ac:dyDescent="0.25">
      <c r="A83" s="25">
        <v>0</v>
      </c>
      <c r="B83" s="25">
        <v>0</v>
      </c>
      <c r="C83" s="25">
        <v>0</v>
      </c>
      <c r="D83" s="25">
        <v>0</v>
      </c>
      <c r="E83" s="58">
        <v>0</v>
      </c>
      <c r="G83" s="25">
        <v>0</v>
      </c>
      <c r="H83" s="25">
        <v>0</v>
      </c>
      <c r="I83" s="25">
        <v>0</v>
      </c>
      <c r="J83" s="25">
        <v>0</v>
      </c>
      <c r="K83" s="58">
        <v>0</v>
      </c>
    </row>
    <row r="84" spans="1:11" x14ac:dyDescent="0.25">
      <c r="A84" s="25">
        <v>0</v>
      </c>
      <c r="B84" s="25">
        <v>0</v>
      </c>
      <c r="C84" s="25">
        <v>0</v>
      </c>
      <c r="D84" s="25">
        <v>0</v>
      </c>
      <c r="E84" s="58">
        <v>0</v>
      </c>
      <c r="G84" s="25">
        <v>0</v>
      </c>
      <c r="H84" s="25">
        <v>0</v>
      </c>
      <c r="I84" s="25">
        <v>0</v>
      </c>
      <c r="J84" s="25">
        <v>0</v>
      </c>
      <c r="K84" s="58">
        <v>0</v>
      </c>
    </row>
    <row r="85" spans="1:11" x14ac:dyDescent="0.25">
      <c r="A85" s="25">
        <v>0</v>
      </c>
      <c r="B85" s="25">
        <v>0</v>
      </c>
      <c r="C85" s="25">
        <v>0</v>
      </c>
      <c r="D85" s="25">
        <v>0</v>
      </c>
      <c r="E85" s="58">
        <v>0</v>
      </c>
      <c r="G85" s="25">
        <v>0</v>
      </c>
      <c r="H85" s="25">
        <v>0</v>
      </c>
      <c r="I85" s="25">
        <v>0</v>
      </c>
      <c r="J85" s="25">
        <v>0</v>
      </c>
      <c r="K85" s="58">
        <v>0</v>
      </c>
    </row>
    <row r="86" spans="1:11" x14ac:dyDescent="0.25">
      <c r="A86" s="25">
        <v>0</v>
      </c>
      <c r="B86" s="25">
        <v>0</v>
      </c>
      <c r="C86" s="25">
        <v>0</v>
      </c>
      <c r="D86" s="25">
        <v>0</v>
      </c>
      <c r="E86" s="58">
        <v>0</v>
      </c>
      <c r="G86" s="25">
        <v>0</v>
      </c>
      <c r="H86" s="25">
        <v>0</v>
      </c>
      <c r="I86" s="25">
        <v>0</v>
      </c>
      <c r="J86" s="25">
        <v>0</v>
      </c>
      <c r="K86" s="58">
        <v>0</v>
      </c>
    </row>
    <row r="87" spans="1:11" x14ac:dyDescent="0.25">
      <c r="A87" s="25">
        <v>0</v>
      </c>
      <c r="B87" s="25">
        <v>0</v>
      </c>
      <c r="C87" s="25">
        <v>0</v>
      </c>
      <c r="D87" s="25">
        <v>0</v>
      </c>
      <c r="E87" s="58">
        <v>0</v>
      </c>
      <c r="G87" s="25">
        <v>0</v>
      </c>
      <c r="H87" s="25">
        <v>0</v>
      </c>
      <c r="I87" s="25">
        <v>0</v>
      </c>
      <c r="J87" s="25">
        <v>0</v>
      </c>
      <c r="K87" s="58">
        <v>0</v>
      </c>
    </row>
    <row r="88" spans="1:11" x14ac:dyDescent="0.25">
      <c r="A88" s="25">
        <v>0</v>
      </c>
      <c r="B88" s="25">
        <v>0</v>
      </c>
      <c r="C88" s="25">
        <v>0</v>
      </c>
      <c r="D88" s="25">
        <v>0</v>
      </c>
      <c r="E88" s="58">
        <v>0</v>
      </c>
      <c r="G88" s="25">
        <v>0</v>
      </c>
      <c r="H88" s="25">
        <v>0</v>
      </c>
      <c r="I88" s="25">
        <v>0</v>
      </c>
      <c r="J88" s="25">
        <v>0</v>
      </c>
      <c r="K88" s="58">
        <v>0</v>
      </c>
    </row>
    <row r="89" spans="1:11" x14ac:dyDescent="0.25">
      <c r="A89" s="25">
        <v>0</v>
      </c>
      <c r="B89" s="25">
        <v>0</v>
      </c>
      <c r="C89" s="25">
        <v>0</v>
      </c>
      <c r="D89" s="25">
        <v>0</v>
      </c>
      <c r="E89" s="58">
        <v>0</v>
      </c>
      <c r="G89" s="25">
        <v>0</v>
      </c>
      <c r="H89" s="25">
        <v>0</v>
      </c>
      <c r="I89" s="25">
        <v>0</v>
      </c>
      <c r="J89" s="25">
        <v>0</v>
      </c>
      <c r="K89" s="58">
        <v>0</v>
      </c>
    </row>
    <row r="90" spans="1:11" x14ac:dyDescent="0.25">
      <c r="A90" s="25">
        <v>0</v>
      </c>
      <c r="B90" s="25">
        <v>0</v>
      </c>
      <c r="C90" s="25">
        <v>0</v>
      </c>
      <c r="D90" s="25">
        <v>0</v>
      </c>
      <c r="E90" s="58">
        <v>0</v>
      </c>
      <c r="G90" s="25">
        <v>0</v>
      </c>
      <c r="H90" s="25">
        <v>0</v>
      </c>
      <c r="I90" s="25">
        <v>0</v>
      </c>
      <c r="J90" s="25">
        <v>0</v>
      </c>
      <c r="K90" s="58">
        <v>0</v>
      </c>
    </row>
    <row r="91" spans="1:11" x14ac:dyDescent="0.25">
      <c r="A91" s="25">
        <v>0</v>
      </c>
      <c r="B91" s="25">
        <v>0</v>
      </c>
      <c r="C91" s="25">
        <v>0</v>
      </c>
      <c r="D91" s="25">
        <v>0</v>
      </c>
      <c r="E91" s="58">
        <v>0</v>
      </c>
      <c r="G91" s="25">
        <v>0</v>
      </c>
      <c r="H91" s="25">
        <v>0</v>
      </c>
      <c r="I91" s="25">
        <v>0</v>
      </c>
      <c r="J91" s="25">
        <v>0</v>
      </c>
      <c r="K91" s="58">
        <v>0</v>
      </c>
    </row>
    <row r="92" spans="1:11" x14ac:dyDescent="0.25">
      <c r="A92" s="25">
        <v>0</v>
      </c>
      <c r="B92" s="25">
        <v>0</v>
      </c>
      <c r="C92" s="25">
        <v>0</v>
      </c>
      <c r="D92" s="25">
        <v>0</v>
      </c>
      <c r="E92" s="58">
        <v>0</v>
      </c>
      <c r="G92" s="25">
        <v>0</v>
      </c>
      <c r="H92" s="25">
        <v>0</v>
      </c>
      <c r="I92" s="25">
        <v>0</v>
      </c>
      <c r="J92" s="25">
        <v>0</v>
      </c>
      <c r="K92" s="58">
        <v>0</v>
      </c>
    </row>
    <row r="93" spans="1:11" x14ac:dyDescent="0.25">
      <c r="A93" s="25">
        <v>0</v>
      </c>
      <c r="B93" s="25">
        <v>0</v>
      </c>
      <c r="C93" s="25">
        <v>0</v>
      </c>
      <c r="D93" s="25">
        <v>0</v>
      </c>
      <c r="E93" s="58">
        <v>0</v>
      </c>
      <c r="G93" s="25">
        <v>0</v>
      </c>
      <c r="H93" s="25">
        <v>0</v>
      </c>
      <c r="I93" s="25">
        <v>0</v>
      </c>
      <c r="J93" s="25">
        <v>0</v>
      </c>
      <c r="K93" s="58">
        <v>0</v>
      </c>
    </row>
    <row r="94" spans="1:11" x14ac:dyDescent="0.25">
      <c r="A94" s="25">
        <v>0</v>
      </c>
      <c r="B94" s="25">
        <v>0</v>
      </c>
      <c r="C94" s="25">
        <v>0</v>
      </c>
      <c r="D94" s="25">
        <v>0</v>
      </c>
      <c r="E94" s="58">
        <v>0</v>
      </c>
      <c r="G94" s="25">
        <v>0</v>
      </c>
      <c r="H94" s="25">
        <v>0</v>
      </c>
      <c r="I94" s="25">
        <v>0</v>
      </c>
      <c r="J94" s="25">
        <v>0</v>
      </c>
      <c r="K94" s="58">
        <v>0</v>
      </c>
    </row>
    <row r="95" spans="1:11" x14ac:dyDescent="0.25">
      <c r="A95" s="25">
        <v>0</v>
      </c>
      <c r="B95" s="25">
        <v>0</v>
      </c>
      <c r="C95" s="25">
        <v>0</v>
      </c>
      <c r="D95" s="25">
        <v>0</v>
      </c>
      <c r="E95" s="58">
        <v>0</v>
      </c>
      <c r="G95" s="25">
        <v>0</v>
      </c>
      <c r="H95" s="25">
        <v>0</v>
      </c>
      <c r="I95" s="25">
        <v>0</v>
      </c>
      <c r="J95" s="25">
        <v>0</v>
      </c>
      <c r="K95" s="58">
        <v>0</v>
      </c>
    </row>
    <row r="96" spans="1:11" x14ac:dyDescent="0.25">
      <c r="A96" s="25">
        <v>0</v>
      </c>
      <c r="B96" s="25">
        <v>0</v>
      </c>
      <c r="C96" s="25">
        <v>0</v>
      </c>
      <c r="D96" s="25">
        <v>0</v>
      </c>
      <c r="E96" s="58">
        <v>0</v>
      </c>
      <c r="G96" s="25">
        <v>0</v>
      </c>
      <c r="H96" s="25">
        <v>0</v>
      </c>
      <c r="I96" s="25">
        <v>0</v>
      </c>
      <c r="J96" s="25">
        <v>0</v>
      </c>
      <c r="K96" s="58">
        <v>0</v>
      </c>
    </row>
    <row r="97" spans="1:11" x14ac:dyDescent="0.25">
      <c r="A97" s="25">
        <v>0</v>
      </c>
      <c r="B97" s="25">
        <v>0</v>
      </c>
      <c r="C97" s="25">
        <v>0</v>
      </c>
      <c r="D97" s="25">
        <v>0</v>
      </c>
      <c r="E97" s="58">
        <v>0</v>
      </c>
      <c r="G97" s="25">
        <v>0</v>
      </c>
      <c r="H97" s="25">
        <v>0</v>
      </c>
      <c r="I97" s="25">
        <v>0</v>
      </c>
      <c r="J97" s="25">
        <v>0</v>
      </c>
      <c r="K97" s="58">
        <v>0</v>
      </c>
    </row>
    <row r="98" spans="1:11" x14ac:dyDescent="0.25">
      <c r="A98" s="25">
        <v>0</v>
      </c>
      <c r="B98" s="25">
        <v>0</v>
      </c>
      <c r="C98" s="25">
        <v>0</v>
      </c>
      <c r="D98" s="25">
        <v>0</v>
      </c>
      <c r="E98" s="58">
        <v>0</v>
      </c>
      <c r="G98" s="25">
        <v>0</v>
      </c>
      <c r="H98" s="25">
        <v>0</v>
      </c>
      <c r="I98" s="25">
        <v>0</v>
      </c>
      <c r="J98" s="25">
        <v>0</v>
      </c>
      <c r="K98" s="58">
        <v>0</v>
      </c>
    </row>
    <row r="99" spans="1:11" x14ac:dyDescent="0.25">
      <c r="A99" s="25">
        <v>0</v>
      </c>
      <c r="B99" s="25">
        <v>0</v>
      </c>
      <c r="C99" s="25">
        <v>0</v>
      </c>
      <c r="D99" s="25">
        <v>0</v>
      </c>
      <c r="E99" s="58">
        <v>0</v>
      </c>
      <c r="G99" s="25">
        <v>0</v>
      </c>
      <c r="H99" s="25">
        <v>0</v>
      </c>
      <c r="I99" s="25">
        <v>0</v>
      </c>
      <c r="J99" s="25">
        <v>0</v>
      </c>
      <c r="K99" s="58">
        <v>0</v>
      </c>
    </row>
    <row r="100" spans="1:11" x14ac:dyDescent="0.25">
      <c r="A100" s="25">
        <v>0</v>
      </c>
      <c r="B100" s="25">
        <v>0</v>
      </c>
      <c r="C100" s="25">
        <v>0</v>
      </c>
      <c r="D100" s="25">
        <v>0</v>
      </c>
      <c r="E100" s="58">
        <v>0</v>
      </c>
      <c r="G100" s="25">
        <v>0</v>
      </c>
      <c r="H100" s="25">
        <v>0</v>
      </c>
      <c r="I100" s="25">
        <v>0</v>
      </c>
      <c r="J100" s="25">
        <v>0</v>
      </c>
      <c r="K100" s="58">
        <v>0</v>
      </c>
    </row>
    <row r="101" spans="1:11" x14ac:dyDescent="0.25">
      <c r="A101" s="25">
        <v>0</v>
      </c>
      <c r="B101" s="25">
        <v>0</v>
      </c>
      <c r="C101" s="25">
        <v>0</v>
      </c>
      <c r="D101" s="25">
        <v>0</v>
      </c>
      <c r="E101" s="58">
        <v>0</v>
      </c>
      <c r="G101" s="25">
        <v>0</v>
      </c>
      <c r="H101" s="25">
        <v>0</v>
      </c>
      <c r="I101" s="25">
        <v>0</v>
      </c>
      <c r="J101" s="25">
        <v>0</v>
      </c>
      <c r="K101" s="58">
        <v>0</v>
      </c>
    </row>
    <row r="102" spans="1:11" x14ac:dyDescent="0.25">
      <c r="A102" s="25">
        <v>0</v>
      </c>
      <c r="B102" s="25">
        <v>0</v>
      </c>
      <c r="C102" s="25">
        <v>0</v>
      </c>
      <c r="D102" s="25">
        <v>0</v>
      </c>
      <c r="E102" s="58">
        <v>0</v>
      </c>
      <c r="G102" s="25">
        <v>0</v>
      </c>
      <c r="H102" s="25">
        <v>0</v>
      </c>
      <c r="I102" s="25">
        <v>0</v>
      </c>
      <c r="J102" s="25">
        <v>0</v>
      </c>
      <c r="K102" s="58">
        <v>0</v>
      </c>
    </row>
    <row r="103" spans="1:11" x14ac:dyDescent="0.25">
      <c r="A103" s="25">
        <v>0</v>
      </c>
      <c r="B103" s="25">
        <v>0</v>
      </c>
      <c r="C103" s="25">
        <v>0</v>
      </c>
      <c r="D103" s="25">
        <v>0</v>
      </c>
      <c r="E103" s="58">
        <v>0</v>
      </c>
      <c r="G103" s="25">
        <v>0</v>
      </c>
      <c r="H103" s="25">
        <v>0</v>
      </c>
      <c r="I103" s="25">
        <v>0</v>
      </c>
      <c r="J103" s="25">
        <v>0</v>
      </c>
      <c r="K103" s="58">
        <v>0</v>
      </c>
    </row>
    <row r="104" spans="1:11" x14ac:dyDescent="0.25">
      <c r="A104" s="25">
        <v>0</v>
      </c>
      <c r="B104" s="25">
        <v>0</v>
      </c>
      <c r="C104" s="25">
        <v>0</v>
      </c>
      <c r="D104" s="25">
        <v>0</v>
      </c>
      <c r="E104" s="58">
        <v>0</v>
      </c>
      <c r="G104" s="25">
        <v>0</v>
      </c>
      <c r="H104" s="25">
        <v>0</v>
      </c>
      <c r="I104" s="25">
        <v>0</v>
      </c>
      <c r="J104" s="25">
        <v>0</v>
      </c>
      <c r="K104" s="58">
        <v>0</v>
      </c>
    </row>
    <row r="105" spans="1:11" x14ac:dyDescent="0.25">
      <c r="A105" s="25">
        <v>0</v>
      </c>
      <c r="B105" s="25">
        <v>0</v>
      </c>
      <c r="C105" s="25">
        <v>0</v>
      </c>
      <c r="D105" s="25">
        <v>0</v>
      </c>
      <c r="E105" s="58">
        <v>0</v>
      </c>
      <c r="G105" s="25">
        <v>0</v>
      </c>
      <c r="H105" s="25">
        <v>0</v>
      </c>
      <c r="I105" s="25">
        <v>0</v>
      </c>
      <c r="J105" s="25">
        <v>0</v>
      </c>
      <c r="K105" s="58">
        <v>0</v>
      </c>
    </row>
    <row r="106" spans="1:11" x14ac:dyDescent="0.25">
      <c r="A106" s="25">
        <v>0</v>
      </c>
      <c r="B106" s="25">
        <v>0</v>
      </c>
      <c r="C106" s="25">
        <v>0</v>
      </c>
      <c r="D106" s="25">
        <v>0</v>
      </c>
      <c r="E106" s="58">
        <v>0</v>
      </c>
      <c r="G106" s="25">
        <v>0</v>
      </c>
      <c r="H106" s="25">
        <v>0</v>
      </c>
      <c r="I106" s="25">
        <v>0</v>
      </c>
      <c r="J106" s="25">
        <v>0</v>
      </c>
      <c r="K106" s="58">
        <v>0</v>
      </c>
    </row>
    <row r="107" spans="1:11" x14ac:dyDescent="0.25">
      <c r="A107" s="25">
        <v>0</v>
      </c>
      <c r="B107" s="25">
        <v>0</v>
      </c>
      <c r="C107" s="25">
        <v>0</v>
      </c>
      <c r="D107" s="25">
        <v>0</v>
      </c>
      <c r="E107" s="58">
        <v>0</v>
      </c>
      <c r="G107" s="25">
        <v>0</v>
      </c>
      <c r="H107" s="25">
        <v>0</v>
      </c>
      <c r="I107" s="25">
        <v>0</v>
      </c>
      <c r="J107" s="25">
        <v>0</v>
      </c>
      <c r="K107" s="58">
        <v>0</v>
      </c>
    </row>
    <row r="108" spans="1:11" x14ac:dyDescent="0.25">
      <c r="A108" s="25">
        <v>0</v>
      </c>
      <c r="B108" s="25">
        <v>0</v>
      </c>
      <c r="C108" s="25">
        <v>0</v>
      </c>
      <c r="D108" s="25">
        <v>0</v>
      </c>
      <c r="E108" s="58">
        <v>0</v>
      </c>
      <c r="G108" s="25">
        <v>0</v>
      </c>
      <c r="H108" s="25">
        <v>0</v>
      </c>
      <c r="I108" s="25">
        <v>0</v>
      </c>
      <c r="J108" s="25">
        <v>0</v>
      </c>
      <c r="K108" s="58">
        <v>0</v>
      </c>
    </row>
    <row r="109" spans="1:11" x14ac:dyDescent="0.25">
      <c r="A109" s="25">
        <v>0</v>
      </c>
      <c r="B109" s="25">
        <v>0</v>
      </c>
      <c r="C109" s="25">
        <v>0</v>
      </c>
      <c r="D109" s="25">
        <v>0</v>
      </c>
      <c r="E109" s="58">
        <v>0</v>
      </c>
      <c r="G109" s="25">
        <v>0</v>
      </c>
      <c r="H109" s="25">
        <v>0</v>
      </c>
      <c r="I109" s="25">
        <v>0</v>
      </c>
      <c r="J109" s="25">
        <v>0</v>
      </c>
      <c r="K109" s="58">
        <v>0</v>
      </c>
    </row>
    <row r="110" spans="1:11" x14ac:dyDescent="0.25">
      <c r="A110" s="25">
        <v>0</v>
      </c>
      <c r="B110" s="25">
        <v>0</v>
      </c>
      <c r="C110" s="25">
        <v>0</v>
      </c>
      <c r="D110" s="25">
        <v>0</v>
      </c>
      <c r="E110" s="58">
        <v>0</v>
      </c>
      <c r="G110" s="25">
        <v>0</v>
      </c>
      <c r="H110" s="25">
        <v>0</v>
      </c>
      <c r="I110" s="25">
        <v>0</v>
      </c>
      <c r="J110" s="25">
        <v>0</v>
      </c>
      <c r="K110" s="58">
        <v>0</v>
      </c>
    </row>
    <row r="111" spans="1:11" x14ac:dyDescent="0.25">
      <c r="A111" s="25">
        <v>0</v>
      </c>
      <c r="B111" s="25">
        <v>0</v>
      </c>
      <c r="C111" s="25">
        <v>0</v>
      </c>
      <c r="D111" s="25">
        <v>0</v>
      </c>
      <c r="E111" s="58">
        <v>0</v>
      </c>
      <c r="G111" s="25">
        <v>0</v>
      </c>
      <c r="H111" s="25">
        <v>0</v>
      </c>
      <c r="I111" s="25">
        <v>0</v>
      </c>
      <c r="J111" s="25">
        <v>0</v>
      </c>
      <c r="K111" s="58">
        <v>0</v>
      </c>
    </row>
    <row r="112" spans="1:11" x14ac:dyDescent="0.25">
      <c r="A112" s="25">
        <v>0</v>
      </c>
      <c r="B112" s="25">
        <v>0</v>
      </c>
      <c r="C112" s="25">
        <v>0</v>
      </c>
      <c r="D112" s="25">
        <v>0</v>
      </c>
      <c r="E112" s="58">
        <v>0</v>
      </c>
      <c r="G112" s="25">
        <v>0</v>
      </c>
      <c r="H112" s="25">
        <v>0</v>
      </c>
      <c r="I112" s="25">
        <v>0</v>
      </c>
      <c r="J112" s="25">
        <v>0</v>
      </c>
      <c r="K112" s="58">
        <v>0</v>
      </c>
    </row>
    <row r="113" spans="1:11" x14ac:dyDescent="0.25">
      <c r="A113" s="25">
        <v>0</v>
      </c>
      <c r="B113" s="25">
        <v>0</v>
      </c>
      <c r="C113" s="25">
        <v>0</v>
      </c>
      <c r="D113" s="25">
        <v>0</v>
      </c>
      <c r="E113" s="58">
        <v>0</v>
      </c>
      <c r="G113" s="25">
        <v>0</v>
      </c>
      <c r="H113" s="25">
        <v>0</v>
      </c>
      <c r="I113" s="25">
        <v>0</v>
      </c>
      <c r="J113" s="25">
        <v>0</v>
      </c>
      <c r="K113" s="58">
        <v>0</v>
      </c>
    </row>
    <row r="114" spans="1:11" x14ac:dyDescent="0.25">
      <c r="A114" s="25">
        <v>0</v>
      </c>
      <c r="B114" s="25">
        <v>0</v>
      </c>
      <c r="C114" s="25">
        <v>0</v>
      </c>
      <c r="D114" s="25">
        <v>0</v>
      </c>
      <c r="E114" s="58">
        <v>0</v>
      </c>
      <c r="G114" s="25">
        <v>0</v>
      </c>
      <c r="H114" s="25">
        <v>0</v>
      </c>
      <c r="I114" s="25">
        <v>0</v>
      </c>
      <c r="J114" s="25">
        <v>0</v>
      </c>
      <c r="K114" s="58">
        <v>0</v>
      </c>
    </row>
    <row r="115" spans="1:11" x14ac:dyDescent="0.25">
      <c r="A115" s="25">
        <v>0</v>
      </c>
      <c r="B115" s="25">
        <v>0</v>
      </c>
      <c r="C115" s="25">
        <v>0</v>
      </c>
      <c r="D115" s="25">
        <v>0</v>
      </c>
      <c r="E115" s="58">
        <v>0</v>
      </c>
      <c r="G115" s="25">
        <v>0</v>
      </c>
      <c r="H115" s="25">
        <v>0</v>
      </c>
      <c r="I115" s="25">
        <v>0</v>
      </c>
      <c r="J115" s="25">
        <v>0</v>
      </c>
      <c r="K115" s="58">
        <v>0</v>
      </c>
    </row>
    <row r="116" spans="1:11" x14ac:dyDescent="0.25">
      <c r="A116" s="25">
        <v>0</v>
      </c>
      <c r="B116" s="25">
        <v>0</v>
      </c>
      <c r="C116" s="25">
        <v>0</v>
      </c>
      <c r="D116" s="25">
        <v>0</v>
      </c>
      <c r="E116" s="58">
        <v>0</v>
      </c>
      <c r="G116" s="25">
        <v>0</v>
      </c>
      <c r="H116" s="25">
        <v>0</v>
      </c>
      <c r="I116" s="25">
        <v>0</v>
      </c>
      <c r="J116" s="25">
        <v>0</v>
      </c>
      <c r="K116" s="58">
        <v>0</v>
      </c>
    </row>
    <row r="117" spans="1:11" x14ac:dyDescent="0.25">
      <c r="A117" s="25">
        <v>0</v>
      </c>
      <c r="B117" s="25">
        <v>0</v>
      </c>
      <c r="C117" s="25">
        <v>0</v>
      </c>
      <c r="D117" s="25">
        <v>0</v>
      </c>
      <c r="E117" s="58">
        <v>0</v>
      </c>
      <c r="G117" s="25">
        <v>0</v>
      </c>
      <c r="H117" s="25">
        <v>0</v>
      </c>
      <c r="I117" s="25">
        <v>0</v>
      </c>
      <c r="J117" s="25">
        <v>0</v>
      </c>
      <c r="K117" s="58">
        <v>0</v>
      </c>
    </row>
    <row r="118" spans="1:11" x14ac:dyDescent="0.25">
      <c r="A118" s="25">
        <v>0</v>
      </c>
      <c r="B118" s="25">
        <v>0</v>
      </c>
      <c r="C118" s="25">
        <v>0</v>
      </c>
      <c r="D118" s="25">
        <v>0</v>
      </c>
      <c r="E118" s="58">
        <v>0</v>
      </c>
      <c r="G118" s="25">
        <v>0</v>
      </c>
      <c r="H118" s="25">
        <v>0</v>
      </c>
      <c r="I118" s="25">
        <v>0</v>
      </c>
      <c r="J118" s="25">
        <v>0</v>
      </c>
      <c r="K118" s="58">
        <v>0</v>
      </c>
    </row>
    <row r="119" spans="1:11" x14ac:dyDescent="0.25">
      <c r="A119" s="25">
        <v>0</v>
      </c>
      <c r="B119" s="25">
        <v>0</v>
      </c>
      <c r="C119" s="25">
        <v>0</v>
      </c>
      <c r="D119" s="25">
        <v>0</v>
      </c>
      <c r="E119" s="58">
        <v>0</v>
      </c>
      <c r="G119" s="25">
        <v>0</v>
      </c>
      <c r="H119" s="25">
        <v>0</v>
      </c>
      <c r="I119" s="25">
        <v>0</v>
      </c>
      <c r="J119" s="25">
        <v>0</v>
      </c>
      <c r="K119" s="58">
        <v>0</v>
      </c>
    </row>
    <row r="120" spans="1:11" x14ac:dyDescent="0.25">
      <c r="A120" s="25">
        <v>0</v>
      </c>
      <c r="B120" s="25">
        <v>0</v>
      </c>
      <c r="C120" s="25">
        <v>0</v>
      </c>
      <c r="D120" s="25">
        <v>0</v>
      </c>
      <c r="E120" s="58">
        <v>0</v>
      </c>
      <c r="G120" s="25">
        <v>0</v>
      </c>
      <c r="H120" s="25">
        <v>0</v>
      </c>
      <c r="I120" s="25">
        <v>0</v>
      </c>
      <c r="J120" s="25">
        <v>0</v>
      </c>
      <c r="K120" s="58">
        <v>0</v>
      </c>
    </row>
    <row r="121" spans="1:11" x14ac:dyDescent="0.25">
      <c r="A121" s="25">
        <v>0</v>
      </c>
      <c r="B121" s="25">
        <v>0</v>
      </c>
      <c r="C121" s="25">
        <v>0</v>
      </c>
      <c r="D121" s="25">
        <v>0</v>
      </c>
      <c r="E121" s="58">
        <v>0</v>
      </c>
      <c r="G121" s="25">
        <v>0</v>
      </c>
      <c r="H121" s="25">
        <v>0</v>
      </c>
      <c r="I121" s="25">
        <v>0</v>
      </c>
      <c r="J121" s="25">
        <v>0</v>
      </c>
      <c r="K121" s="58">
        <v>0</v>
      </c>
    </row>
    <row r="122" spans="1:11" x14ac:dyDescent="0.25">
      <c r="A122" s="25">
        <v>0</v>
      </c>
      <c r="B122" s="25">
        <v>0</v>
      </c>
      <c r="C122" s="25">
        <v>0</v>
      </c>
      <c r="D122" s="25">
        <v>0</v>
      </c>
      <c r="E122" s="58">
        <v>0</v>
      </c>
      <c r="G122" s="25">
        <v>0</v>
      </c>
      <c r="H122" s="25">
        <v>0</v>
      </c>
      <c r="I122" s="25">
        <v>0</v>
      </c>
      <c r="J122" s="25">
        <v>0</v>
      </c>
      <c r="K122" s="58">
        <v>0</v>
      </c>
    </row>
    <row r="123" spans="1:11" x14ac:dyDescent="0.25">
      <c r="A123" s="25">
        <v>0</v>
      </c>
      <c r="B123" s="25">
        <v>0</v>
      </c>
      <c r="C123" s="25">
        <v>0</v>
      </c>
      <c r="D123" s="25">
        <v>0</v>
      </c>
      <c r="E123" s="58">
        <v>0</v>
      </c>
      <c r="G123" s="25">
        <v>0</v>
      </c>
      <c r="H123" s="25">
        <v>0</v>
      </c>
      <c r="I123" s="25">
        <v>0</v>
      </c>
      <c r="J123" s="25">
        <v>0</v>
      </c>
      <c r="K123" s="58">
        <v>0</v>
      </c>
    </row>
    <row r="124" spans="1:11" x14ac:dyDescent="0.25">
      <c r="A124" s="25">
        <v>0</v>
      </c>
      <c r="B124" s="25">
        <v>0</v>
      </c>
      <c r="C124" s="25">
        <v>0</v>
      </c>
      <c r="D124" s="25">
        <v>0</v>
      </c>
      <c r="E124" s="58">
        <v>0</v>
      </c>
      <c r="G124" s="25">
        <v>0</v>
      </c>
      <c r="H124" s="25">
        <v>0</v>
      </c>
      <c r="I124" s="25">
        <v>0</v>
      </c>
      <c r="J124" s="25">
        <v>0</v>
      </c>
      <c r="K124" s="58">
        <v>0</v>
      </c>
    </row>
    <row r="125" spans="1:11" x14ac:dyDescent="0.25">
      <c r="A125" s="25">
        <v>0</v>
      </c>
      <c r="B125" s="25">
        <v>0</v>
      </c>
      <c r="C125" s="25">
        <v>0</v>
      </c>
      <c r="D125" s="25">
        <v>0</v>
      </c>
      <c r="E125" s="58">
        <v>0</v>
      </c>
      <c r="G125" s="25">
        <v>0</v>
      </c>
      <c r="H125" s="25">
        <v>0</v>
      </c>
      <c r="I125" s="25">
        <v>0</v>
      </c>
      <c r="J125" s="25">
        <v>0</v>
      </c>
      <c r="K125" s="58">
        <v>0</v>
      </c>
    </row>
    <row r="126" spans="1:11" x14ac:dyDescent="0.25">
      <c r="A126" s="25">
        <v>0</v>
      </c>
      <c r="B126" s="25">
        <v>0</v>
      </c>
      <c r="C126" s="25">
        <v>0</v>
      </c>
      <c r="D126" s="25">
        <v>0</v>
      </c>
      <c r="E126" s="58">
        <v>0</v>
      </c>
      <c r="G126" s="25">
        <v>0</v>
      </c>
      <c r="H126" s="25">
        <v>0</v>
      </c>
      <c r="I126" s="25">
        <v>0</v>
      </c>
      <c r="J126" s="25">
        <v>0</v>
      </c>
      <c r="K126" s="58">
        <v>0</v>
      </c>
    </row>
    <row r="127" spans="1:11" x14ac:dyDescent="0.25">
      <c r="A127" s="25">
        <v>0</v>
      </c>
      <c r="B127" s="25">
        <v>0</v>
      </c>
      <c r="C127" s="25">
        <v>0</v>
      </c>
      <c r="D127" s="25">
        <v>0</v>
      </c>
      <c r="E127" s="58">
        <v>0</v>
      </c>
      <c r="G127" s="25">
        <v>0</v>
      </c>
      <c r="H127" s="25">
        <v>0</v>
      </c>
      <c r="I127" s="25">
        <v>0</v>
      </c>
      <c r="J127" s="25">
        <v>0</v>
      </c>
      <c r="K127" s="58">
        <v>0</v>
      </c>
    </row>
    <row r="128" spans="1:11" x14ac:dyDescent="0.25">
      <c r="A128" s="25">
        <v>0</v>
      </c>
      <c r="B128" s="25">
        <v>0</v>
      </c>
      <c r="C128" s="25">
        <v>0</v>
      </c>
      <c r="D128" s="25">
        <v>0</v>
      </c>
      <c r="E128" s="58">
        <v>0</v>
      </c>
      <c r="G128" s="25">
        <v>0</v>
      </c>
      <c r="H128" s="25">
        <v>0</v>
      </c>
      <c r="I128" s="25">
        <v>0</v>
      </c>
      <c r="J128" s="25">
        <v>0</v>
      </c>
      <c r="K128" s="58">
        <v>0</v>
      </c>
    </row>
    <row r="129" spans="1:11" x14ac:dyDescent="0.25">
      <c r="A129" s="25">
        <v>0</v>
      </c>
      <c r="B129" s="25">
        <v>0</v>
      </c>
      <c r="C129" s="25">
        <v>0</v>
      </c>
      <c r="D129" s="25">
        <v>0</v>
      </c>
      <c r="E129" s="58">
        <v>0</v>
      </c>
      <c r="G129" s="25">
        <v>0</v>
      </c>
      <c r="H129" s="25">
        <v>0</v>
      </c>
      <c r="I129" s="25">
        <v>0</v>
      </c>
      <c r="J129" s="25">
        <v>0</v>
      </c>
      <c r="K129" s="58">
        <v>0</v>
      </c>
    </row>
    <row r="130" spans="1:11" x14ac:dyDescent="0.25">
      <c r="A130" s="25">
        <v>0</v>
      </c>
      <c r="B130" s="25">
        <v>0</v>
      </c>
      <c r="C130" s="25">
        <v>0</v>
      </c>
      <c r="D130" s="25">
        <v>0</v>
      </c>
      <c r="E130" s="58">
        <v>0</v>
      </c>
      <c r="G130" s="25">
        <v>0</v>
      </c>
      <c r="H130" s="25">
        <v>0</v>
      </c>
      <c r="I130" s="25">
        <v>0</v>
      </c>
      <c r="J130" s="25">
        <v>0</v>
      </c>
      <c r="K130" s="58">
        <v>0</v>
      </c>
    </row>
    <row r="131" spans="1:11" x14ac:dyDescent="0.25">
      <c r="A131" s="25">
        <v>0</v>
      </c>
      <c r="B131" s="25">
        <v>0</v>
      </c>
      <c r="C131" s="25">
        <v>0</v>
      </c>
      <c r="D131" s="25">
        <v>0</v>
      </c>
      <c r="E131" s="58">
        <v>0</v>
      </c>
      <c r="G131" s="25">
        <v>0</v>
      </c>
      <c r="H131" s="25">
        <v>0</v>
      </c>
      <c r="I131" s="25">
        <v>0</v>
      </c>
      <c r="J131" s="25">
        <v>0</v>
      </c>
      <c r="K131" s="58">
        <v>0</v>
      </c>
    </row>
    <row r="132" spans="1:11" x14ac:dyDescent="0.25">
      <c r="A132" s="25">
        <v>0</v>
      </c>
      <c r="B132" s="25">
        <v>0</v>
      </c>
      <c r="C132" s="25">
        <v>0</v>
      </c>
      <c r="D132" s="25">
        <v>0</v>
      </c>
      <c r="E132" s="58">
        <v>0</v>
      </c>
      <c r="G132" s="25">
        <v>0</v>
      </c>
      <c r="H132" s="25">
        <v>0</v>
      </c>
      <c r="I132" s="25">
        <v>0</v>
      </c>
      <c r="J132" s="25">
        <v>0</v>
      </c>
      <c r="K132" s="58">
        <v>0</v>
      </c>
    </row>
    <row r="133" spans="1:11" x14ac:dyDescent="0.25">
      <c r="A133" s="25">
        <v>0</v>
      </c>
      <c r="B133" s="25">
        <v>0</v>
      </c>
      <c r="C133" s="25">
        <v>0</v>
      </c>
      <c r="D133" s="25">
        <v>0</v>
      </c>
      <c r="E133" s="58">
        <v>0</v>
      </c>
      <c r="G133" s="25">
        <v>0</v>
      </c>
      <c r="H133" s="25">
        <v>0</v>
      </c>
      <c r="I133" s="25">
        <v>0</v>
      </c>
      <c r="J133" s="25">
        <v>0</v>
      </c>
      <c r="K133" s="58">
        <v>0</v>
      </c>
    </row>
    <row r="134" spans="1:11" x14ac:dyDescent="0.25">
      <c r="A134" s="25">
        <v>0</v>
      </c>
      <c r="B134" s="25">
        <v>0</v>
      </c>
      <c r="C134" s="25">
        <v>0</v>
      </c>
      <c r="D134" s="25">
        <v>0</v>
      </c>
      <c r="E134" s="58">
        <v>0</v>
      </c>
      <c r="G134" s="25">
        <v>0</v>
      </c>
      <c r="H134" s="25">
        <v>0</v>
      </c>
      <c r="I134" s="25">
        <v>0</v>
      </c>
      <c r="J134" s="25">
        <v>0</v>
      </c>
      <c r="K134" s="58">
        <v>0</v>
      </c>
    </row>
    <row r="135" spans="1:11" x14ac:dyDescent="0.25">
      <c r="A135" s="25">
        <v>0</v>
      </c>
      <c r="B135" s="25">
        <v>0</v>
      </c>
      <c r="C135" s="25">
        <v>0</v>
      </c>
      <c r="D135" s="25">
        <v>0</v>
      </c>
      <c r="E135" s="58">
        <v>0</v>
      </c>
      <c r="G135" s="25">
        <v>0</v>
      </c>
      <c r="H135" s="25">
        <v>0</v>
      </c>
      <c r="I135" s="25">
        <v>0</v>
      </c>
      <c r="J135" s="25">
        <v>0</v>
      </c>
      <c r="K135" s="58">
        <v>0</v>
      </c>
    </row>
    <row r="136" spans="1:11" x14ac:dyDescent="0.25">
      <c r="A136" s="25">
        <v>0</v>
      </c>
      <c r="B136" s="25">
        <v>0</v>
      </c>
      <c r="C136" s="25">
        <v>0</v>
      </c>
      <c r="D136" s="25">
        <v>0</v>
      </c>
      <c r="E136" s="58">
        <v>0</v>
      </c>
      <c r="G136" s="25">
        <v>0</v>
      </c>
      <c r="H136" s="25">
        <v>0</v>
      </c>
      <c r="I136" s="25">
        <v>0</v>
      </c>
      <c r="J136" s="25">
        <v>0</v>
      </c>
      <c r="K136" s="58">
        <v>0</v>
      </c>
    </row>
    <row r="137" spans="1:11" x14ac:dyDescent="0.25">
      <c r="A137" s="25">
        <v>0</v>
      </c>
      <c r="B137" s="25">
        <v>0</v>
      </c>
      <c r="C137" s="25">
        <v>0</v>
      </c>
      <c r="D137" s="25">
        <v>0</v>
      </c>
      <c r="E137" s="58">
        <v>0</v>
      </c>
      <c r="G137" s="25">
        <v>0</v>
      </c>
      <c r="H137" s="25">
        <v>0</v>
      </c>
      <c r="I137" s="25">
        <v>0</v>
      </c>
      <c r="J137" s="25">
        <v>0</v>
      </c>
      <c r="K137" s="58">
        <v>0</v>
      </c>
    </row>
    <row r="138" spans="1:11" x14ac:dyDescent="0.25">
      <c r="A138" s="25">
        <v>0</v>
      </c>
      <c r="B138" s="25">
        <v>0</v>
      </c>
      <c r="C138" s="25">
        <v>0</v>
      </c>
      <c r="D138" s="25">
        <v>0</v>
      </c>
      <c r="E138" s="58">
        <v>0</v>
      </c>
      <c r="G138" s="25">
        <v>0</v>
      </c>
      <c r="H138" s="25">
        <v>0</v>
      </c>
      <c r="I138" s="25">
        <v>0</v>
      </c>
      <c r="J138" s="25">
        <v>0</v>
      </c>
      <c r="K138" s="58">
        <v>0</v>
      </c>
    </row>
    <row r="139" spans="1:11" x14ac:dyDescent="0.25">
      <c r="A139" s="25">
        <v>0</v>
      </c>
      <c r="B139" s="25">
        <v>0</v>
      </c>
      <c r="C139" s="25">
        <v>0</v>
      </c>
      <c r="D139" s="25">
        <v>0</v>
      </c>
      <c r="E139" s="58">
        <v>0</v>
      </c>
      <c r="G139" s="25">
        <v>0</v>
      </c>
      <c r="H139" s="25">
        <v>0</v>
      </c>
      <c r="I139" s="25">
        <v>0</v>
      </c>
      <c r="J139" s="25">
        <v>0</v>
      </c>
      <c r="K139" s="58">
        <v>0</v>
      </c>
    </row>
    <row r="140" spans="1:11" x14ac:dyDescent="0.25">
      <c r="A140" s="25">
        <v>0</v>
      </c>
      <c r="B140" s="25">
        <v>0</v>
      </c>
      <c r="C140" s="25">
        <v>0</v>
      </c>
      <c r="D140" s="25">
        <v>0</v>
      </c>
      <c r="E140" s="58">
        <v>0</v>
      </c>
      <c r="G140" s="25">
        <v>0</v>
      </c>
      <c r="H140" s="25">
        <v>0</v>
      </c>
      <c r="I140" s="25">
        <v>0</v>
      </c>
      <c r="J140" s="25">
        <v>0</v>
      </c>
      <c r="K140" s="58">
        <v>0</v>
      </c>
    </row>
    <row r="141" spans="1:11" x14ac:dyDescent="0.25">
      <c r="A141" s="25">
        <v>0</v>
      </c>
      <c r="B141" s="25">
        <v>0</v>
      </c>
      <c r="C141" s="25">
        <v>0</v>
      </c>
      <c r="D141" s="25">
        <v>0</v>
      </c>
      <c r="E141" s="58">
        <v>0</v>
      </c>
      <c r="G141" s="25">
        <v>0</v>
      </c>
      <c r="H141" s="25">
        <v>0</v>
      </c>
      <c r="I141" s="25">
        <v>0</v>
      </c>
      <c r="J141" s="25">
        <v>0</v>
      </c>
      <c r="K141" s="58">
        <v>0</v>
      </c>
    </row>
    <row r="142" spans="1:11" x14ac:dyDescent="0.25">
      <c r="A142" s="25">
        <v>0</v>
      </c>
      <c r="B142" s="25">
        <v>0</v>
      </c>
      <c r="C142" s="25">
        <v>0</v>
      </c>
      <c r="D142" s="25">
        <v>0</v>
      </c>
      <c r="E142" s="58">
        <v>0</v>
      </c>
      <c r="G142" s="25">
        <v>0</v>
      </c>
      <c r="H142" s="25">
        <v>0</v>
      </c>
      <c r="I142" s="25">
        <v>0</v>
      </c>
      <c r="J142" s="25">
        <v>0</v>
      </c>
      <c r="K142" s="58">
        <v>0</v>
      </c>
    </row>
    <row r="143" spans="1:11" x14ac:dyDescent="0.25">
      <c r="A143" s="25">
        <v>0</v>
      </c>
      <c r="B143" s="25">
        <v>0</v>
      </c>
      <c r="C143" s="25">
        <v>0</v>
      </c>
      <c r="D143" s="25">
        <v>0</v>
      </c>
      <c r="E143" s="58">
        <v>0</v>
      </c>
      <c r="G143" s="25">
        <v>0</v>
      </c>
      <c r="H143" s="25">
        <v>0</v>
      </c>
      <c r="I143" s="25">
        <v>0</v>
      </c>
      <c r="J143" s="25">
        <v>0</v>
      </c>
      <c r="K143" s="58">
        <v>0</v>
      </c>
    </row>
    <row r="144" spans="1:11" x14ac:dyDescent="0.25">
      <c r="A144" s="25">
        <v>0</v>
      </c>
      <c r="B144" s="25">
        <v>0</v>
      </c>
      <c r="C144" s="25">
        <v>0</v>
      </c>
      <c r="D144" s="25">
        <v>0</v>
      </c>
      <c r="E144" s="58">
        <v>0</v>
      </c>
      <c r="G144" s="25">
        <v>0</v>
      </c>
      <c r="H144" s="25">
        <v>0</v>
      </c>
      <c r="I144" s="25">
        <v>0</v>
      </c>
      <c r="J144" s="25">
        <v>0</v>
      </c>
      <c r="K144" s="58">
        <v>0</v>
      </c>
    </row>
    <row r="145" spans="1:11" x14ac:dyDescent="0.25">
      <c r="A145" s="25">
        <v>0</v>
      </c>
      <c r="B145" s="25">
        <v>0</v>
      </c>
      <c r="C145" s="25">
        <v>0</v>
      </c>
      <c r="D145" s="25">
        <v>0</v>
      </c>
      <c r="E145" s="58">
        <v>0</v>
      </c>
      <c r="G145" s="25">
        <v>0</v>
      </c>
      <c r="H145" s="25">
        <v>0</v>
      </c>
      <c r="I145" s="25">
        <v>0</v>
      </c>
      <c r="J145" s="25">
        <v>0</v>
      </c>
      <c r="K145" s="58">
        <v>0</v>
      </c>
    </row>
    <row r="146" spans="1:11" x14ac:dyDescent="0.25">
      <c r="A146" s="25">
        <v>0</v>
      </c>
      <c r="B146" s="25">
        <v>0</v>
      </c>
      <c r="C146" s="25">
        <v>0</v>
      </c>
      <c r="D146" s="25">
        <v>0</v>
      </c>
      <c r="E146" s="58">
        <v>0</v>
      </c>
      <c r="G146" s="25">
        <v>0</v>
      </c>
      <c r="H146" s="25">
        <v>0</v>
      </c>
      <c r="I146" s="25">
        <v>0</v>
      </c>
      <c r="J146" s="25">
        <v>0</v>
      </c>
      <c r="K146" s="58">
        <v>0</v>
      </c>
    </row>
    <row r="147" spans="1:11" x14ac:dyDescent="0.25">
      <c r="A147" s="25">
        <v>0</v>
      </c>
      <c r="B147" s="25">
        <v>0</v>
      </c>
      <c r="C147" s="25">
        <v>0</v>
      </c>
      <c r="D147" s="25">
        <v>0</v>
      </c>
      <c r="E147" s="58">
        <v>0</v>
      </c>
      <c r="G147" s="25">
        <v>0</v>
      </c>
      <c r="H147" s="25">
        <v>0</v>
      </c>
      <c r="I147" s="25">
        <v>0</v>
      </c>
      <c r="J147" s="25">
        <v>0</v>
      </c>
      <c r="K147" s="58">
        <v>0</v>
      </c>
    </row>
    <row r="148" spans="1:11" x14ac:dyDescent="0.25">
      <c r="A148" s="25">
        <v>0</v>
      </c>
      <c r="B148" s="25">
        <v>0</v>
      </c>
      <c r="C148" s="25">
        <v>0</v>
      </c>
      <c r="D148" s="25">
        <v>0</v>
      </c>
      <c r="E148" s="58">
        <v>0</v>
      </c>
      <c r="G148" s="25">
        <v>0</v>
      </c>
      <c r="H148" s="25">
        <v>0</v>
      </c>
      <c r="I148" s="25">
        <v>0</v>
      </c>
      <c r="J148" s="25">
        <v>0</v>
      </c>
      <c r="K148" s="58">
        <v>0</v>
      </c>
    </row>
    <row r="149" spans="1:11" x14ac:dyDescent="0.25">
      <c r="A149" s="25">
        <v>0</v>
      </c>
      <c r="B149" s="25">
        <v>0</v>
      </c>
      <c r="C149" s="25">
        <v>0</v>
      </c>
      <c r="D149" s="25">
        <v>0</v>
      </c>
      <c r="E149" s="58">
        <v>0</v>
      </c>
      <c r="G149" s="25">
        <v>0</v>
      </c>
      <c r="H149" s="25">
        <v>0</v>
      </c>
      <c r="I149" s="25">
        <v>0</v>
      </c>
      <c r="J149" s="25">
        <v>0</v>
      </c>
      <c r="K149" s="58">
        <v>0</v>
      </c>
    </row>
    <row r="150" spans="1:11" x14ac:dyDescent="0.25">
      <c r="A150" s="25">
        <v>0</v>
      </c>
      <c r="B150" s="25">
        <v>0</v>
      </c>
      <c r="C150" s="25">
        <v>0</v>
      </c>
      <c r="D150" s="25">
        <v>0</v>
      </c>
      <c r="E150" s="58">
        <v>0</v>
      </c>
      <c r="G150" s="25">
        <v>0</v>
      </c>
      <c r="H150" s="25">
        <v>0</v>
      </c>
      <c r="I150" s="25">
        <v>0</v>
      </c>
      <c r="J150" s="25">
        <v>0</v>
      </c>
      <c r="K150" s="58">
        <v>0</v>
      </c>
    </row>
    <row r="151" spans="1:11" x14ac:dyDescent="0.25">
      <c r="A151" s="25">
        <v>0</v>
      </c>
      <c r="B151" s="25">
        <v>0</v>
      </c>
      <c r="C151" s="25">
        <v>0</v>
      </c>
      <c r="D151" s="25">
        <v>0</v>
      </c>
      <c r="E151" s="58">
        <v>0</v>
      </c>
      <c r="G151" s="25">
        <v>0</v>
      </c>
      <c r="H151" s="25">
        <v>0</v>
      </c>
      <c r="I151" s="25">
        <v>0</v>
      </c>
      <c r="J151" s="25">
        <v>0</v>
      </c>
      <c r="K151" s="58">
        <v>0</v>
      </c>
    </row>
    <row r="152" spans="1:11" x14ac:dyDescent="0.25">
      <c r="A152" s="25">
        <v>0</v>
      </c>
      <c r="B152" s="25">
        <v>0</v>
      </c>
      <c r="C152" s="25">
        <v>0</v>
      </c>
      <c r="D152" s="25">
        <v>0</v>
      </c>
      <c r="E152" s="58">
        <v>0</v>
      </c>
      <c r="G152" s="25">
        <v>0</v>
      </c>
      <c r="H152" s="25">
        <v>0</v>
      </c>
      <c r="I152" s="25">
        <v>0</v>
      </c>
      <c r="J152" s="25">
        <v>0</v>
      </c>
      <c r="K152" s="58">
        <v>0</v>
      </c>
    </row>
    <row r="153" spans="1:11" x14ac:dyDescent="0.25">
      <c r="A153" s="25">
        <v>0</v>
      </c>
      <c r="B153" s="25">
        <v>0</v>
      </c>
      <c r="C153" s="25">
        <v>0</v>
      </c>
      <c r="D153" s="25">
        <v>0</v>
      </c>
      <c r="E153" s="58">
        <v>0</v>
      </c>
      <c r="G153" s="25">
        <v>0</v>
      </c>
      <c r="H153" s="25">
        <v>0</v>
      </c>
      <c r="I153" s="25">
        <v>0</v>
      </c>
      <c r="J153" s="25">
        <v>0</v>
      </c>
      <c r="K153" s="58">
        <v>0</v>
      </c>
    </row>
    <row r="154" spans="1:11" x14ac:dyDescent="0.25">
      <c r="A154" s="25">
        <v>0</v>
      </c>
      <c r="B154" s="25">
        <v>0</v>
      </c>
      <c r="C154" s="25">
        <v>0</v>
      </c>
      <c r="D154" s="25">
        <v>0</v>
      </c>
      <c r="E154" s="58">
        <v>0</v>
      </c>
      <c r="G154" s="25">
        <v>0</v>
      </c>
      <c r="H154" s="25">
        <v>0</v>
      </c>
      <c r="I154" s="25">
        <v>0</v>
      </c>
      <c r="J154" s="25">
        <v>0</v>
      </c>
      <c r="K154" s="58">
        <v>0</v>
      </c>
    </row>
    <row r="155" spans="1:11" x14ac:dyDescent="0.25">
      <c r="A155" s="25">
        <v>0</v>
      </c>
      <c r="B155" s="25">
        <v>0</v>
      </c>
      <c r="C155" s="25">
        <v>0</v>
      </c>
      <c r="D155" s="25">
        <v>0</v>
      </c>
      <c r="E155" s="58">
        <v>0</v>
      </c>
      <c r="G155" s="25">
        <v>0</v>
      </c>
      <c r="H155" s="25">
        <v>0</v>
      </c>
      <c r="I155" s="25">
        <v>0</v>
      </c>
      <c r="J155" s="25">
        <v>0</v>
      </c>
      <c r="K155" s="58">
        <v>0</v>
      </c>
    </row>
    <row r="156" spans="1:11" x14ac:dyDescent="0.25">
      <c r="A156" s="25">
        <v>0</v>
      </c>
      <c r="B156" s="25">
        <v>0</v>
      </c>
      <c r="C156" s="25">
        <v>0</v>
      </c>
      <c r="D156" s="25">
        <v>0</v>
      </c>
      <c r="E156" s="58">
        <v>0</v>
      </c>
      <c r="G156" s="25">
        <v>0</v>
      </c>
      <c r="H156" s="25">
        <v>0</v>
      </c>
      <c r="I156" s="25">
        <v>0</v>
      </c>
      <c r="J156" s="25">
        <v>0</v>
      </c>
      <c r="K156" s="58">
        <v>0</v>
      </c>
    </row>
    <row r="157" spans="1:11" x14ac:dyDescent="0.25">
      <c r="A157" s="25">
        <v>0</v>
      </c>
      <c r="B157" s="25">
        <v>0</v>
      </c>
      <c r="C157" s="25">
        <v>0</v>
      </c>
      <c r="D157" s="25">
        <v>0</v>
      </c>
      <c r="E157" s="58">
        <v>0</v>
      </c>
      <c r="G157" s="25">
        <v>0</v>
      </c>
      <c r="H157" s="25">
        <v>0</v>
      </c>
      <c r="I157" s="25">
        <v>0</v>
      </c>
      <c r="J157" s="25">
        <v>0</v>
      </c>
      <c r="K157" s="58">
        <v>0</v>
      </c>
    </row>
    <row r="158" spans="1:11" x14ac:dyDescent="0.25">
      <c r="A158" s="25">
        <v>0</v>
      </c>
      <c r="B158" s="25">
        <v>0</v>
      </c>
      <c r="C158" s="25">
        <v>0</v>
      </c>
      <c r="D158" s="25">
        <v>0</v>
      </c>
      <c r="E158" s="58">
        <v>0</v>
      </c>
      <c r="G158" s="25">
        <v>0</v>
      </c>
      <c r="H158" s="25">
        <v>0</v>
      </c>
      <c r="I158" s="25">
        <v>0</v>
      </c>
      <c r="J158" s="25">
        <v>0</v>
      </c>
      <c r="K158" s="58">
        <v>0</v>
      </c>
    </row>
    <row r="159" spans="1:11" x14ac:dyDescent="0.25">
      <c r="A159" s="25">
        <v>0</v>
      </c>
      <c r="B159" s="25">
        <v>0</v>
      </c>
      <c r="C159" s="25">
        <v>0</v>
      </c>
      <c r="D159" s="25">
        <v>0</v>
      </c>
      <c r="E159" s="58">
        <v>0</v>
      </c>
      <c r="G159" s="25">
        <v>0</v>
      </c>
      <c r="H159" s="25">
        <v>0</v>
      </c>
      <c r="I159" s="25">
        <v>0</v>
      </c>
      <c r="J159" s="25">
        <v>0</v>
      </c>
      <c r="K159" s="58">
        <v>0</v>
      </c>
    </row>
    <row r="160" spans="1:11" x14ac:dyDescent="0.25">
      <c r="A160" s="25">
        <v>0</v>
      </c>
      <c r="B160" s="25">
        <v>0</v>
      </c>
      <c r="C160" s="25">
        <v>0</v>
      </c>
      <c r="D160" s="25">
        <v>0</v>
      </c>
      <c r="E160" s="58">
        <v>0</v>
      </c>
      <c r="G160" s="25">
        <v>0</v>
      </c>
      <c r="H160" s="25">
        <v>0</v>
      </c>
      <c r="I160" s="25">
        <v>0</v>
      </c>
      <c r="J160" s="25">
        <v>0</v>
      </c>
      <c r="K160" s="58">
        <v>0</v>
      </c>
    </row>
    <row r="161" spans="1:11" x14ac:dyDescent="0.25">
      <c r="A161" s="25">
        <v>0</v>
      </c>
      <c r="B161" s="25">
        <v>0</v>
      </c>
      <c r="C161" s="25">
        <v>0</v>
      </c>
      <c r="D161" s="25">
        <v>0</v>
      </c>
      <c r="E161" s="58">
        <v>0</v>
      </c>
      <c r="G161" s="25">
        <v>0</v>
      </c>
      <c r="H161" s="25">
        <v>0</v>
      </c>
      <c r="I161" s="25">
        <v>0</v>
      </c>
      <c r="J161" s="25">
        <v>0</v>
      </c>
      <c r="K161" s="58">
        <v>0</v>
      </c>
    </row>
    <row r="162" spans="1:11" x14ac:dyDescent="0.25">
      <c r="A162" s="25">
        <v>0</v>
      </c>
      <c r="B162" s="25">
        <v>0</v>
      </c>
      <c r="C162" s="25">
        <v>0</v>
      </c>
      <c r="D162" s="25">
        <v>0</v>
      </c>
      <c r="E162" s="58">
        <v>0</v>
      </c>
      <c r="G162" s="25">
        <v>0</v>
      </c>
      <c r="H162" s="25">
        <v>0</v>
      </c>
      <c r="I162" s="25">
        <v>0</v>
      </c>
      <c r="J162" s="25">
        <v>0</v>
      </c>
      <c r="K162" s="58">
        <v>0</v>
      </c>
    </row>
    <row r="163" spans="1:11" x14ac:dyDescent="0.25">
      <c r="A163" s="25">
        <v>0</v>
      </c>
      <c r="B163" s="25">
        <v>0</v>
      </c>
      <c r="C163" s="25">
        <v>0</v>
      </c>
      <c r="D163" s="25">
        <v>0</v>
      </c>
      <c r="E163" s="58">
        <v>0</v>
      </c>
      <c r="G163" s="25">
        <v>0</v>
      </c>
      <c r="H163" s="25">
        <v>0</v>
      </c>
      <c r="I163" s="25">
        <v>0</v>
      </c>
      <c r="J163" s="25">
        <v>0</v>
      </c>
      <c r="K163" s="58">
        <v>0</v>
      </c>
    </row>
    <row r="164" spans="1:11" x14ac:dyDescent="0.25">
      <c r="A164" s="25">
        <v>0</v>
      </c>
      <c r="B164" s="25">
        <v>0</v>
      </c>
      <c r="C164" s="25">
        <v>0</v>
      </c>
      <c r="D164" s="25">
        <v>0</v>
      </c>
      <c r="E164" s="58">
        <v>0</v>
      </c>
      <c r="G164" s="25">
        <v>0</v>
      </c>
      <c r="H164" s="25">
        <v>0</v>
      </c>
      <c r="I164" s="25">
        <v>0</v>
      </c>
      <c r="J164" s="25">
        <v>0</v>
      </c>
      <c r="K164" s="58">
        <v>0</v>
      </c>
    </row>
    <row r="165" spans="1:11" x14ac:dyDescent="0.25">
      <c r="A165" s="25">
        <v>0</v>
      </c>
      <c r="B165" s="25">
        <v>0</v>
      </c>
      <c r="C165" s="25">
        <v>0</v>
      </c>
      <c r="D165" s="25">
        <v>0</v>
      </c>
      <c r="E165" s="58">
        <v>0</v>
      </c>
      <c r="G165" s="25">
        <v>0</v>
      </c>
      <c r="H165" s="25">
        <v>0</v>
      </c>
      <c r="I165" s="25">
        <v>0</v>
      </c>
      <c r="J165" s="25">
        <v>0</v>
      </c>
      <c r="K165" s="58">
        <v>0</v>
      </c>
    </row>
    <row r="166" spans="1:11" x14ac:dyDescent="0.25">
      <c r="A166" s="25">
        <v>0</v>
      </c>
      <c r="B166" s="25">
        <v>0</v>
      </c>
      <c r="C166" s="25">
        <v>0</v>
      </c>
      <c r="D166" s="25">
        <v>0</v>
      </c>
      <c r="E166" s="58">
        <v>0</v>
      </c>
      <c r="G166" s="25">
        <v>0</v>
      </c>
      <c r="H166" s="25">
        <v>0</v>
      </c>
      <c r="I166" s="25">
        <v>0</v>
      </c>
      <c r="J166" s="25">
        <v>0</v>
      </c>
      <c r="K166" s="58">
        <v>0</v>
      </c>
    </row>
    <row r="167" spans="1:11" x14ac:dyDescent="0.25">
      <c r="A167" s="25">
        <v>0</v>
      </c>
      <c r="B167" s="25">
        <v>0</v>
      </c>
      <c r="C167" s="25">
        <v>0</v>
      </c>
      <c r="D167" s="25">
        <v>0</v>
      </c>
      <c r="E167" s="58">
        <v>0</v>
      </c>
      <c r="G167" s="25">
        <v>0</v>
      </c>
      <c r="H167" s="25">
        <v>0</v>
      </c>
      <c r="I167" s="25">
        <v>0</v>
      </c>
      <c r="J167" s="25">
        <v>0</v>
      </c>
      <c r="K167" s="58">
        <v>0</v>
      </c>
    </row>
    <row r="168" spans="1:11" x14ac:dyDescent="0.25">
      <c r="A168" s="25">
        <v>0</v>
      </c>
      <c r="B168" s="25">
        <v>0</v>
      </c>
      <c r="C168" s="25">
        <v>0</v>
      </c>
      <c r="D168" s="25">
        <v>0</v>
      </c>
      <c r="E168" s="58">
        <v>0</v>
      </c>
      <c r="G168" s="25">
        <v>0</v>
      </c>
      <c r="H168" s="25">
        <v>0</v>
      </c>
      <c r="I168" s="25">
        <v>0</v>
      </c>
      <c r="J168" s="25">
        <v>0</v>
      </c>
      <c r="K168" s="58">
        <v>0</v>
      </c>
    </row>
    <row r="169" spans="1:11" x14ac:dyDescent="0.25">
      <c r="A169" s="25">
        <v>0</v>
      </c>
      <c r="B169" s="25">
        <v>0</v>
      </c>
      <c r="C169" s="25">
        <v>0</v>
      </c>
      <c r="D169" s="25">
        <v>0</v>
      </c>
      <c r="E169" s="58">
        <v>0</v>
      </c>
      <c r="G169" s="25">
        <v>0</v>
      </c>
      <c r="H169" s="25">
        <v>0</v>
      </c>
      <c r="I169" s="25">
        <v>0</v>
      </c>
      <c r="J169" s="25">
        <v>0</v>
      </c>
      <c r="K169" s="58">
        <v>0</v>
      </c>
    </row>
    <row r="170" spans="1:11" x14ac:dyDescent="0.25">
      <c r="A170" s="25">
        <v>0</v>
      </c>
      <c r="B170" s="25">
        <v>0</v>
      </c>
      <c r="C170" s="25">
        <v>0</v>
      </c>
      <c r="D170" s="25">
        <v>0</v>
      </c>
      <c r="E170" s="58">
        <v>0</v>
      </c>
      <c r="G170" s="25">
        <v>0</v>
      </c>
      <c r="H170" s="25">
        <v>0</v>
      </c>
      <c r="I170" s="25">
        <v>0</v>
      </c>
      <c r="J170" s="25">
        <v>0</v>
      </c>
      <c r="K170" s="58">
        <v>0</v>
      </c>
    </row>
    <row r="171" spans="1:11" x14ac:dyDescent="0.25">
      <c r="A171" s="25">
        <v>0</v>
      </c>
      <c r="B171" s="25">
        <v>0</v>
      </c>
      <c r="C171" s="25">
        <v>0</v>
      </c>
      <c r="D171" s="25">
        <v>0</v>
      </c>
      <c r="E171" s="58">
        <v>0</v>
      </c>
      <c r="G171" s="25">
        <v>0</v>
      </c>
      <c r="H171" s="25">
        <v>0</v>
      </c>
      <c r="I171" s="25">
        <v>0</v>
      </c>
      <c r="J171" s="25">
        <v>0</v>
      </c>
      <c r="K171" s="58">
        <v>0</v>
      </c>
    </row>
    <row r="172" spans="1:11" x14ac:dyDescent="0.25">
      <c r="A172" s="25">
        <v>0</v>
      </c>
      <c r="B172" s="25">
        <v>0</v>
      </c>
      <c r="C172" s="25">
        <v>0</v>
      </c>
      <c r="D172" s="25">
        <v>0</v>
      </c>
      <c r="E172" s="58">
        <v>0</v>
      </c>
      <c r="G172" s="25">
        <v>0</v>
      </c>
      <c r="H172" s="25">
        <v>0</v>
      </c>
      <c r="I172" s="25">
        <v>0</v>
      </c>
      <c r="J172" s="25">
        <v>0</v>
      </c>
      <c r="K172" s="58">
        <v>0</v>
      </c>
    </row>
    <row r="173" spans="1:11" x14ac:dyDescent="0.25">
      <c r="A173" s="25">
        <v>0</v>
      </c>
      <c r="B173" s="25">
        <v>0</v>
      </c>
      <c r="C173" s="25">
        <v>0</v>
      </c>
      <c r="D173" s="25">
        <v>0</v>
      </c>
      <c r="E173" s="58">
        <v>0</v>
      </c>
      <c r="G173" s="25">
        <v>0</v>
      </c>
      <c r="H173" s="25">
        <v>0</v>
      </c>
      <c r="I173" s="25">
        <v>0</v>
      </c>
      <c r="J173" s="25">
        <v>0</v>
      </c>
      <c r="K173" s="58">
        <v>0</v>
      </c>
    </row>
    <row r="174" spans="1:11" x14ac:dyDescent="0.25">
      <c r="A174" s="25">
        <v>0</v>
      </c>
      <c r="B174" s="25">
        <v>0</v>
      </c>
      <c r="C174" s="25">
        <v>0</v>
      </c>
      <c r="D174" s="25">
        <v>0</v>
      </c>
      <c r="E174" s="58">
        <v>0</v>
      </c>
      <c r="G174" s="25">
        <v>0</v>
      </c>
      <c r="H174" s="25">
        <v>0</v>
      </c>
      <c r="I174" s="25">
        <v>0</v>
      </c>
      <c r="J174" s="25">
        <v>0</v>
      </c>
      <c r="K174" s="58">
        <v>0</v>
      </c>
    </row>
    <row r="175" spans="1:11" x14ac:dyDescent="0.25">
      <c r="A175" s="25">
        <v>0</v>
      </c>
      <c r="B175" s="25">
        <v>0</v>
      </c>
      <c r="C175" s="25">
        <v>0</v>
      </c>
      <c r="D175" s="25">
        <v>0</v>
      </c>
      <c r="E175" s="58">
        <v>0</v>
      </c>
      <c r="G175" s="25">
        <v>0</v>
      </c>
      <c r="H175" s="25">
        <v>0</v>
      </c>
      <c r="I175" s="25">
        <v>0</v>
      </c>
      <c r="J175" s="25">
        <v>0</v>
      </c>
      <c r="K175" s="58">
        <v>0</v>
      </c>
    </row>
    <row r="176" spans="1:11" x14ac:dyDescent="0.25">
      <c r="A176" s="25">
        <v>0</v>
      </c>
      <c r="B176" s="25">
        <v>0</v>
      </c>
      <c r="C176" s="25">
        <v>0</v>
      </c>
      <c r="D176" s="25">
        <v>0</v>
      </c>
      <c r="E176" s="58">
        <v>0</v>
      </c>
      <c r="G176" s="25">
        <v>0</v>
      </c>
      <c r="H176" s="25">
        <v>0</v>
      </c>
      <c r="I176" s="25">
        <v>0</v>
      </c>
      <c r="J176" s="25">
        <v>0</v>
      </c>
      <c r="K176" s="58">
        <v>0</v>
      </c>
    </row>
    <row r="177" spans="1:11" x14ac:dyDescent="0.25">
      <c r="A177" s="25">
        <v>0</v>
      </c>
      <c r="B177" s="25">
        <v>0</v>
      </c>
      <c r="C177" s="25">
        <v>0</v>
      </c>
      <c r="D177" s="25">
        <v>0</v>
      </c>
      <c r="E177" s="58">
        <v>0</v>
      </c>
      <c r="G177" s="25">
        <v>0</v>
      </c>
      <c r="H177" s="25">
        <v>0</v>
      </c>
      <c r="I177" s="25">
        <v>0</v>
      </c>
      <c r="J177" s="25">
        <v>0</v>
      </c>
      <c r="K177" s="58">
        <v>0</v>
      </c>
    </row>
    <row r="178" spans="1:11" x14ac:dyDescent="0.25">
      <c r="A178" s="25">
        <v>0</v>
      </c>
      <c r="B178" s="25">
        <v>0</v>
      </c>
      <c r="C178" s="25">
        <v>0</v>
      </c>
      <c r="D178" s="25">
        <v>0</v>
      </c>
      <c r="E178" s="58">
        <v>0</v>
      </c>
      <c r="G178" s="25">
        <v>0</v>
      </c>
      <c r="H178" s="25">
        <v>0</v>
      </c>
      <c r="I178" s="25">
        <v>0</v>
      </c>
      <c r="J178" s="25">
        <v>0</v>
      </c>
      <c r="K178" s="58">
        <v>0</v>
      </c>
    </row>
    <row r="179" spans="1:11" x14ac:dyDescent="0.25">
      <c r="A179" s="25">
        <v>0</v>
      </c>
      <c r="B179" s="25">
        <v>0</v>
      </c>
      <c r="C179" s="25">
        <v>0</v>
      </c>
      <c r="D179" s="25">
        <v>0</v>
      </c>
      <c r="E179" s="58">
        <v>0</v>
      </c>
      <c r="G179" s="25">
        <v>0</v>
      </c>
      <c r="H179" s="25">
        <v>0</v>
      </c>
      <c r="I179" s="25">
        <v>0</v>
      </c>
      <c r="J179" s="25">
        <v>0</v>
      </c>
      <c r="K179" s="58">
        <v>0</v>
      </c>
    </row>
    <row r="180" spans="1:11" x14ac:dyDescent="0.25">
      <c r="A180" s="25">
        <v>0</v>
      </c>
      <c r="B180" s="25">
        <v>0</v>
      </c>
      <c r="C180" s="25">
        <v>0</v>
      </c>
      <c r="D180" s="25">
        <v>0</v>
      </c>
      <c r="E180" s="58">
        <v>0</v>
      </c>
      <c r="G180" s="25">
        <v>0</v>
      </c>
      <c r="H180" s="25">
        <v>0</v>
      </c>
      <c r="I180" s="25">
        <v>0</v>
      </c>
      <c r="J180" s="25">
        <v>0</v>
      </c>
      <c r="K180" s="58">
        <v>0</v>
      </c>
    </row>
    <row r="181" spans="1:11" x14ac:dyDescent="0.25">
      <c r="A181" s="25">
        <v>0</v>
      </c>
      <c r="B181" s="25">
        <v>0</v>
      </c>
      <c r="C181" s="25">
        <v>0</v>
      </c>
      <c r="D181" s="25">
        <v>0</v>
      </c>
      <c r="E181" s="58">
        <v>0</v>
      </c>
      <c r="G181" s="25">
        <v>0</v>
      </c>
      <c r="H181" s="25">
        <v>0</v>
      </c>
      <c r="I181" s="25">
        <v>0</v>
      </c>
      <c r="J181" s="25">
        <v>0</v>
      </c>
      <c r="K181" s="58">
        <v>0</v>
      </c>
    </row>
    <row r="182" spans="1:11" x14ac:dyDescent="0.25">
      <c r="A182" s="25">
        <v>0</v>
      </c>
      <c r="B182" s="25">
        <v>0</v>
      </c>
      <c r="C182" s="25">
        <v>0</v>
      </c>
      <c r="D182" s="25">
        <v>0</v>
      </c>
      <c r="E182" s="58">
        <v>0</v>
      </c>
      <c r="G182" s="25">
        <v>0</v>
      </c>
      <c r="H182" s="25">
        <v>0</v>
      </c>
      <c r="I182" s="25">
        <v>0</v>
      </c>
      <c r="J182" s="25">
        <v>0</v>
      </c>
      <c r="K182" s="58">
        <v>0</v>
      </c>
    </row>
    <row r="183" spans="1:11" x14ac:dyDescent="0.25">
      <c r="A183" s="25">
        <v>0</v>
      </c>
      <c r="B183" s="25">
        <v>0</v>
      </c>
      <c r="C183" s="25">
        <v>0</v>
      </c>
      <c r="D183" s="25">
        <v>0</v>
      </c>
      <c r="E183" s="58">
        <v>0</v>
      </c>
      <c r="G183" s="25">
        <v>0</v>
      </c>
      <c r="H183" s="25">
        <v>0</v>
      </c>
      <c r="I183" s="25">
        <v>0</v>
      </c>
      <c r="J183" s="25">
        <v>0</v>
      </c>
      <c r="K183" s="58">
        <v>0</v>
      </c>
    </row>
    <row r="184" spans="1:11" x14ac:dyDescent="0.25">
      <c r="A184" s="25">
        <v>0</v>
      </c>
      <c r="B184" s="25">
        <v>0</v>
      </c>
      <c r="C184" s="25">
        <v>0</v>
      </c>
      <c r="D184" s="25">
        <v>0</v>
      </c>
      <c r="E184" s="58">
        <v>0</v>
      </c>
      <c r="G184" s="25">
        <v>0</v>
      </c>
      <c r="H184" s="25">
        <v>0</v>
      </c>
      <c r="I184" s="25">
        <v>0</v>
      </c>
      <c r="J184" s="25">
        <v>0</v>
      </c>
      <c r="K184" s="58">
        <v>0</v>
      </c>
    </row>
    <row r="185" spans="1:11" x14ac:dyDescent="0.25">
      <c r="A185" s="25">
        <v>0</v>
      </c>
      <c r="B185" s="25">
        <v>0</v>
      </c>
      <c r="C185" s="25">
        <v>0</v>
      </c>
      <c r="D185" s="25">
        <v>0</v>
      </c>
      <c r="E185" s="58">
        <v>0</v>
      </c>
      <c r="G185" s="25">
        <v>0</v>
      </c>
      <c r="H185" s="25">
        <v>0</v>
      </c>
      <c r="I185" s="25">
        <v>0</v>
      </c>
      <c r="J185" s="25">
        <v>0</v>
      </c>
      <c r="K185" s="58">
        <v>0</v>
      </c>
    </row>
    <row r="186" spans="1:11" x14ac:dyDescent="0.25">
      <c r="A186" s="25">
        <v>0</v>
      </c>
      <c r="B186" s="25">
        <v>0</v>
      </c>
      <c r="C186" s="25">
        <v>0</v>
      </c>
      <c r="D186" s="25">
        <v>0</v>
      </c>
      <c r="E186" s="58">
        <v>0</v>
      </c>
      <c r="G186" s="25">
        <v>0</v>
      </c>
      <c r="H186" s="25">
        <v>0</v>
      </c>
      <c r="I186" s="25">
        <v>0</v>
      </c>
      <c r="J186" s="25">
        <v>0</v>
      </c>
      <c r="K186" s="58">
        <v>0</v>
      </c>
    </row>
    <row r="187" spans="1:11" x14ac:dyDescent="0.25">
      <c r="A187" s="25">
        <v>0</v>
      </c>
      <c r="B187" s="25">
        <v>0</v>
      </c>
      <c r="C187" s="25">
        <v>0</v>
      </c>
      <c r="D187" s="25">
        <v>0</v>
      </c>
      <c r="E187" s="58">
        <v>0</v>
      </c>
      <c r="G187" s="25">
        <v>0</v>
      </c>
      <c r="H187" s="25">
        <v>0</v>
      </c>
      <c r="I187" s="25">
        <v>0</v>
      </c>
      <c r="J187" s="25">
        <v>0</v>
      </c>
      <c r="K187" s="58">
        <v>0</v>
      </c>
    </row>
    <row r="188" spans="1:11" x14ac:dyDescent="0.25">
      <c r="A188" s="25">
        <v>0</v>
      </c>
      <c r="B188" s="25">
        <v>0</v>
      </c>
      <c r="C188" s="25">
        <v>0</v>
      </c>
      <c r="D188" s="25">
        <v>0</v>
      </c>
      <c r="E188" s="58">
        <v>0</v>
      </c>
      <c r="G188" s="25">
        <v>0</v>
      </c>
      <c r="H188" s="25">
        <v>0</v>
      </c>
      <c r="I188" s="25">
        <v>0</v>
      </c>
      <c r="J188" s="25">
        <v>0</v>
      </c>
      <c r="K188" s="58">
        <v>0</v>
      </c>
    </row>
    <row r="189" spans="1:11" x14ac:dyDescent="0.25">
      <c r="A189" s="25">
        <v>0</v>
      </c>
      <c r="B189" s="25">
        <v>0</v>
      </c>
      <c r="C189" s="25">
        <v>0</v>
      </c>
      <c r="D189" s="25">
        <v>0</v>
      </c>
      <c r="E189" s="58">
        <v>0</v>
      </c>
      <c r="G189" s="25">
        <v>0</v>
      </c>
      <c r="H189" s="25">
        <v>0</v>
      </c>
      <c r="I189" s="25">
        <v>0</v>
      </c>
      <c r="J189" s="25">
        <v>0</v>
      </c>
      <c r="K189" s="58">
        <v>0</v>
      </c>
    </row>
    <row r="190" spans="1:11" x14ac:dyDescent="0.25">
      <c r="A190" s="25">
        <v>0</v>
      </c>
      <c r="B190" s="25">
        <v>0</v>
      </c>
      <c r="C190" s="25">
        <v>0</v>
      </c>
      <c r="D190" s="25">
        <v>0</v>
      </c>
      <c r="E190" s="58">
        <v>0</v>
      </c>
      <c r="G190" s="25">
        <v>0</v>
      </c>
      <c r="H190" s="25">
        <v>0</v>
      </c>
      <c r="I190" s="25">
        <v>0</v>
      </c>
      <c r="J190" s="25">
        <v>0</v>
      </c>
      <c r="K190" s="58">
        <v>0</v>
      </c>
    </row>
    <row r="191" spans="1:11" x14ac:dyDescent="0.25">
      <c r="A191" s="25">
        <v>0</v>
      </c>
      <c r="B191" s="25">
        <v>0</v>
      </c>
      <c r="C191" s="25">
        <v>0</v>
      </c>
      <c r="D191" s="25">
        <v>0</v>
      </c>
      <c r="E191" s="58">
        <v>0</v>
      </c>
      <c r="G191" s="25">
        <v>0</v>
      </c>
      <c r="H191" s="25">
        <v>0</v>
      </c>
      <c r="I191" s="25">
        <v>0</v>
      </c>
      <c r="J191" s="25">
        <v>0</v>
      </c>
      <c r="K191" s="58">
        <v>0</v>
      </c>
    </row>
    <row r="192" spans="1:11" x14ac:dyDescent="0.25">
      <c r="A192" s="25">
        <v>0</v>
      </c>
      <c r="B192" s="25">
        <v>0</v>
      </c>
      <c r="C192" s="25">
        <v>0</v>
      </c>
      <c r="D192" s="25">
        <v>0</v>
      </c>
      <c r="E192" s="58">
        <v>0</v>
      </c>
      <c r="G192" s="25">
        <v>0</v>
      </c>
      <c r="H192" s="25">
        <v>0</v>
      </c>
      <c r="I192" s="25">
        <v>0</v>
      </c>
      <c r="J192" s="25">
        <v>0</v>
      </c>
      <c r="K192" s="58">
        <v>0</v>
      </c>
    </row>
    <row r="193" spans="1:11" x14ac:dyDescent="0.25">
      <c r="A193" s="25">
        <v>0</v>
      </c>
      <c r="B193" s="25">
        <v>0</v>
      </c>
      <c r="C193" s="25">
        <v>0</v>
      </c>
      <c r="D193" s="25">
        <v>0</v>
      </c>
      <c r="E193" s="58">
        <v>0</v>
      </c>
      <c r="G193" s="25">
        <v>0</v>
      </c>
      <c r="H193" s="25">
        <v>0</v>
      </c>
      <c r="I193" s="25">
        <v>0</v>
      </c>
      <c r="J193" s="25">
        <v>0</v>
      </c>
      <c r="K193" s="58">
        <v>0</v>
      </c>
    </row>
    <row r="194" spans="1:11" x14ac:dyDescent="0.25">
      <c r="A194" s="25">
        <v>0</v>
      </c>
      <c r="B194" s="25">
        <v>0</v>
      </c>
      <c r="C194" s="25">
        <v>0</v>
      </c>
      <c r="D194" s="25">
        <v>0</v>
      </c>
      <c r="E194" s="58">
        <v>0</v>
      </c>
      <c r="G194" s="25">
        <v>0</v>
      </c>
      <c r="H194" s="25">
        <v>0</v>
      </c>
      <c r="I194" s="25">
        <v>0</v>
      </c>
      <c r="J194" s="25">
        <v>0</v>
      </c>
      <c r="K194" s="58">
        <v>0</v>
      </c>
    </row>
    <row r="195" spans="1:11" x14ac:dyDescent="0.25">
      <c r="A195" s="25">
        <v>0</v>
      </c>
      <c r="B195" s="25">
        <v>0</v>
      </c>
      <c r="C195" s="25">
        <v>0</v>
      </c>
      <c r="D195" s="25">
        <v>0</v>
      </c>
      <c r="E195" s="58">
        <v>0</v>
      </c>
      <c r="G195" s="25">
        <v>0</v>
      </c>
      <c r="H195" s="25">
        <v>0</v>
      </c>
      <c r="I195" s="25">
        <v>0</v>
      </c>
      <c r="J195" s="25">
        <v>0</v>
      </c>
      <c r="K195" s="58">
        <v>0</v>
      </c>
    </row>
    <row r="196" spans="1:11" x14ac:dyDescent="0.25">
      <c r="A196" s="25">
        <v>0</v>
      </c>
      <c r="B196" s="25">
        <v>0</v>
      </c>
      <c r="C196" s="25">
        <v>0</v>
      </c>
      <c r="D196" s="25">
        <v>0</v>
      </c>
      <c r="E196" s="58">
        <v>0</v>
      </c>
      <c r="G196" s="25">
        <v>0</v>
      </c>
      <c r="H196" s="25">
        <v>0</v>
      </c>
      <c r="I196" s="25">
        <v>0</v>
      </c>
      <c r="J196" s="25">
        <v>0</v>
      </c>
      <c r="K196" s="58">
        <v>0</v>
      </c>
    </row>
    <row r="197" spans="1:11" x14ac:dyDescent="0.25">
      <c r="A197" s="25">
        <v>0</v>
      </c>
      <c r="B197" s="25">
        <v>0</v>
      </c>
      <c r="C197" s="25">
        <v>0</v>
      </c>
      <c r="D197" s="25">
        <v>0</v>
      </c>
      <c r="E197" s="58">
        <v>0</v>
      </c>
      <c r="G197" s="25">
        <v>0</v>
      </c>
      <c r="H197" s="25">
        <v>0</v>
      </c>
      <c r="I197" s="25">
        <v>0</v>
      </c>
      <c r="J197" s="25">
        <v>0</v>
      </c>
      <c r="K197" s="58">
        <v>0</v>
      </c>
    </row>
    <row r="198" spans="1:11" x14ac:dyDescent="0.25">
      <c r="A198" s="25">
        <v>0</v>
      </c>
      <c r="B198" s="25">
        <v>0</v>
      </c>
      <c r="C198" s="25">
        <v>0</v>
      </c>
      <c r="D198" s="25">
        <v>0</v>
      </c>
      <c r="E198" s="58">
        <v>0</v>
      </c>
      <c r="G198" s="25">
        <v>0</v>
      </c>
      <c r="H198" s="25">
        <v>0</v>
      </c>
      <c r="I198" s="25">
        <v>0</v>
      </c>
      <c r="J198" s="25">
        <v>0</v>
      </c>
      <c r="K198" s="58">
        <v>0</v>
      </c>
    </row>
    <row r="199" spans="1:11" x14ac:dyDescent="0.25">
      <c r="A199" s="25">
        <v>0</v>
      </c>
      <c r="B199" s="25">
        <v>0</v>
      </c>
      <c r="C199" s="25">
        <v>0</v>
      </c>
      <c r="D199" s="25">
        <v>0</v>
      </c>
      <c r="E199" s="58">
        <v>0</v>
      </c>
      <c r="G199" s="25">
        <v>0</v>
      </c>
      <c r="H199" s="25">
        <v>0</v>
      </c>
      <c r="I199" s="25">
        <v>0</v>
      </c>
      <c r="J199" s="25">
        <v>0</v>
      </c>
      <c r="K199" s="58">
        <v>0</v>
      </c>
    </row>
    <row r="200" spans="1:11" x14ac:dyDescent="0.25">
      <c r="A200" s="25">
        <v>0</v>
      </c>
      <c r="B200" s="25">
        <v>0</v>
      </c>
      <c r="C200" s="25">
        <v>0</v>
      </c>
      <c r="D200" s="25">
        <v>0</v>
      </c>
      <c r="E200" s="58">
        <v>0</v>
      </c>
      <c r="G200" s="25">
        <v>0</v>
      </c>
      <c r="H200" s="25">
        <v>0</v>
      </c>
      <c r="I200" s="25">
        <v>0</v>
      </c>
      <c r="J200" s="25">
        <v>0</v>
      </c>
      <c r="K200" s="58">
        <v>0</v>
      </c>
    </row>
    <row r="201" spans="1:11" x14ac:dyDescent="0.25">
      <c r="A201" s="25">
        <v>0</v>
      </c>
      <c r="B201" s="25">
        <v>0</v>
      </c>
      <c r="C201" s="25">
        <v>0</v>
      </c>
      <c r="D201" s="25">
        <v>0</v>
      </c>
      <c r="E201" s="58">
        <v>0</v>
      </c>
      <c r="G201" s="25">
        <v>0</v>
      </c>
      <c r="H201" s="25">
        <v>0</v>
      </c>
      <c r="I201" s="25">
        <v>0</v>
      </c>
      <c r="J201" s="25">
        <v>0</v>
      </c>
      <c r="K201" s="58">
        <v>0</v>
      </c>
    </row>
    <row r="202" spans="1:11" x14ac:dyDescent="0.25">
      <c r="A202" s="25">
        <v>0</v>
      </c>
      <c r="B202" s="25">
        <v>0</v>
      </c>
      <c r="C202" s="25">
        <v>0</v>
      </c>
      <c r="D202" s="25">
        <v>0</v>
      </c>
      <c r="E202" s="58">
        <v>0</v>
      </c>
      <c r="G202" s="25">
        <v>0</v>
      </c>
      <c r="H202" s="25">
        <v>0</v>
      </c>
      <c r="I202" s="25">
        <v>0</v>
      </c>
      <c r="J202" s="25">
        <v>0</v>
      </c>
      <c r="K202" s="58">
        <v>0</v>
      </c>
    </row>
    <row r="203" spans="1:11" x14ac:dyDescent="0.25">
      <c r="A203" s="25">
        <v>0</v>
      </c>
      <c r="B203" s="25">
        <v>0</v>
      </c>
      <c r="C203" s="25">
        <v>0</v>
      </c>
      <c r="D203" s="25">
        <v>0</v>
      </c>
      <c r="E203" s="58">
        <v>0</v>
      </c>
      <c r="G203" s="25">
        <v>0</v>
      </c>
      <c r="H203" s="25">
        <v>0</v>
      </c>
      <c r="I203" s="25">
        <v>0</v>
      </c>
      <c r="J203" s="25">
        <v>0</v>
      </c>
      <c r="K203" s="58">
        <v>0</v>
      </c>
    </row>
    <row r="204" spans="1:11" x14ac:dyDescent="0.25">
      <c r="A204" s="25">
        <v>0</v>
      </c>
      <c r="B204" s="25">
        <v>0</v>
      </c>
      <c r="C204" s="25">
        <v>0</v>
      </c>
      <c r="D204" s="25">
        <v>0</v>
      </c>
      <c r="E204" s="58">
        <v>0</v>
      </c>
      <c r="G204" s="25">
        <v>0</v>
      </c>
      <c r="H204" s="25">
        <v>0</v>
      </c>
      <c r="I204" s="25">
        <v>0</v>
      </c>
      <c r="J204" s="25">
        <v>0</v>
      </c>
      <c r="K204" s="58">
        <v>0</v>
      </c>
    </row>
    <row r="205" spans="1:11" x14ac:dyDescent="0.25">
      <c r="A205" s="25">
        <v>0</v>
      </c>
      <c r="B205" s="25">
        <v>0</v>
      </c>
      <c r="C205" s="25">
        <v>0</v>
      </c>
      <c r="D205" s="25">
        <v>0</v>
      </c>
      <c r="E205" s="58">
        <v>0</v>
      </c>
      <c r="G205" s="25">
        <v>0</v>
      </c>
      <c r="H205" s="25">
        <v>0</v>
      </c>
      <c r="I205" s="25">
        <v>0</v>
      </c>
      <c r="J205" s="25">
        <v>0</v>
      </c>
      <c r="K205" s="58">
        <v>0</v>
      </c>
    </row>
    <row r="206" spans="1:11" x14ac:dyDescent="0.25">
      <c r="A206" s="25">
        <v>0</v>
      </c>
      <c r="B206" s="25">
        <v>0</v>
      </c>
      <c r="C206" s="25">
        <v>0</v>
      </c>
      <c r="D206" s="25">
        <v>0</v>
      </c>
      <c r="E206" s="58">
        <v>0</v>
      </c>
      <c r="G206" s="25">
        <v>0</v>
      </c>
      <c r="H206" s="25">
        <v>0</v>
      </c>
      <c r="I206" s="25">
        <v>0</v>
      </c>
      <c r="J206" s="25">
        <v>0</v>
      </c>
      <c r="K206" s="58">
        <v>0</v>
      </c>
    </row>
    <row r="207" spans="1:11" x14ac:dyDescent="0.25">
      <c r="A207" s="25">
        <v>0</v>
      </c>
      <c r="B207" s="25">
        <v>0</v>
      </c>
      <c r="C207" s="25">
        <v>0</v>
      </c>
      <c r="D207" s="25">
        <v>0</v>
      </c>
      <c r="E207" s="58">
        <v>0</v>
      </c>
      <c r="G207" s="25">
        <v>0</v>
      </c>
      <c r="H207" s="25">
        <v>0</v>
      </c>
      <c r="I207" s="25">
        <v>0</v>
      </c>
      <c r="J207" s="25">
        <v>0</v>
      </c>
      <c r="K207" s="58">
        <v>0</v>
      </c>
    </row>
    <row r="208" spans="1:11" x14ac:dyDescent="0.25">
      <c r="A208" s="25">
        <v>0</v>
      </c>
      <c r="B208" s="25">
        <v>0</v>
      </c>
      <c r="C208" s="25">
        <v>0</v>
      </c>
      <c r="D208" s="25">
        <v>0</v>
      </c>
      <c r="E208" s="58">
        <v>0</v>
      </c>
      <c r="G208" s="25">
        <v>0</v>
      </c>
      <c r="H208" s="25">
        <v>0</v>
      </c>
      <c r="I208" s="25">
        <v>0</v>
      </c>
      <c r="J208" s="25">
        <v>0</v>
      </c>
      <c r="K208" s="58">
        <v>0</v>
      </c>
    </row>
    <row r="209" spans="1:11" x14ac:dyDescent="0.25">
      <c r="A209" s="25">
        <v>0</v>
      </c>
      <c r="B209" s="25">
        <v>0</v>
      </c>
      <c r="C209" s="25">
        <v>0</v>
      </c>
      <c r="D209" s="25">
        <v>0</v>
      </c>
      <c r="E209" s="58">
        <v>0</v>
      </c>
      <c r="G209" s="25">
        <v>0</v>
      </c>
      <c r="H209" s="25">
        <v>0</v>
      </c>
      <c r="I209" s="25">
        <v>0</v>
      </c>
      <c r="J209" s="25">
        <v>0</v>
      </c>
      <c r="K209" s="58">
        <v>0</v>
      </c>
    </row>
    <row r="210" spans="1:11" x14ac:dyDescent="0.25">
      <c r="A210" s="25">
        <v>0</v>
      </c>
      <c r="B210" s="25">
        <v>0</v>
      </c>
      <c r="C210" s="25">
        <v>0</v>
      </c>
      <c r="D210" s="25">
        <v>0</v>
      </c>
      <c r="E210" s="58">
        <v>0</v>
      </c>
      <c r="G210" s="25">
        <v>0</v>
      </c>
      <c r="H210" s="25">
        <v>0</v>
      </c>
      <c r="I210" s="25">
        <v>0</v>
      </c>
      <c r="J210" s="25">
        <v>0</v>
      </c>
      <c r="K210" s="58">
        <v>0</v>
      </c>
    </row>
    <row r="211" spans="1:11" x14ac:dyDescent="0.25">
      <c r="A211" s="25">
        <v>0</v>
      </c>
      <c r="B211" s="25">
        <v>0</v>
      </c>
      <c r="C211" s="25">
        <v>0</v>
      </c>
      <c r="D211" s="25">
        <v>0</v>
      </c>
      <c r="E211" s="58">
        <v>0</v>
      </c>
      <c r="G211" s="25">
        <v>0</v>
      </c>
      <c r="H211" s="25">
        <v>0</v>
      </c>
      <c r="I211" s="25">
        <v>0</v>
      </c>
      <c r="J211" s="25">
        <v>0</v>
      </c>
      <c r="K211" s="58">
        <v>0</v>
      </c>
    </row>
    <row r="212" spans="1:11" x14ac:dyDescent="0.25">
      <c r="A212" s="25">
        <v>0</v>
      </c>
      <c r="B212" s="25">
        <v>0</v>
      </c>
      <c r="C212" s="25">
        <v>0</v>
      </c>
      <c r="D212" s="25">
        <v>0</v>
      </c>
      <c r="E212" s="58">
        <v>0</v>
      </c>
      <c r="G212" s="25">
        <v>0</v>
      </c>
      <c r="H212" s="25">
        <v>0</v>
      </c>
      <c r="I212" s="25">
        <v>0</v>
      </c>
      <c r="J212" s="25">
        <v>0</v>
      </c>
      <c r="K212" s="58">
        <v>0</v>
      </c>
    </row>
  </sheetData>
  <sortState xmlns:xlrd2="http://schemas.microsoft.com/office/spreadsheetml/2017/richdata2" ref="M4:R75">
    <sortCondition ref="N4:N75"/>
    <sortCondition ref="O4:O75"/>
    <sortCondition ref="M4:M75"/>
  </sortState>
  <mergeCells count="3">
    <mergeCell ref="A1:E1"/>
    <mergeCell ref="G1:K1"/>
    <mergeCell ref="M3:S3"/>
  </mergeCells>
  <conditionalFormatting sqref="E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 K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75 K4:K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113D-BE8B-4410-BBE1-5B91ED4EFB4F}">
  <dimension ref="A2:BA74"/>
  <sheetViews>
    <sheetView tabSelected="1" topLeftCell="Q1" workbookViewId="0">
      <selection activeCell="AW2" sqref="AW2:BA26"/>
    </sheetView>
  </sheetViews>
  <sheetFormatPr defaultRowHeight="15" x14ac:dyDescent="0.25"/>
  <cols>
    <col min="1" max="1" width="14" customWidth="1"/>
    <col min="5" max="5" width="18.42578125" customWidth="1"/>
    <col min="7" max="7" width="14" customWidth="1"/>
    <col min="11" max="11" width="18.42578125" customWidth="1"/>
    <col min="13" max="13" width="11" customWidth="1"/>
    <col min="17" max="17" width="18.42578125" customWidth="1"/>
    <col min="19" max="19" width="11" customWidth="1"/>
    <col min="23" max="23" width="18.42578125" customWidth="1"/>
  </cols>
  <sheetData>
    <row r="2" spans="1:53" x14ac:dyDescent="0.25">
      <c r="A2" t="s">
        <v>108</v>
      </c>
      <c r="B2" t="s">
        <v>2</v>
      </c>
      <c r="C2" t="s">
        <v>3</v>
      </c>
      <c r="D2" t="s">
        <v>4</v>
      </c>
      <c r="E2" t="s">
        <v>99</v>
      </c>
      <c r="G2" t="s">
        <v>108</v>
      </c>
      <c r="H2" t="s">
        <v>2</v>
      </c>
      <c r="I2" t="s">
        <v>3</v>
      </c>
      <c r="J2" t="s">
        <v>4</v>
      </c>
      <c r="K2" t="s">
        <v>99</v>
      </c>
      <c r="M2" t="s">
        <v>109</v>
      </c>
      <c r="N2" t="s">
        <v>2</v>
      </c>
      <c r="O2" t="s">
        <v>3</v>
      </c>
      <c r="P2" t="s">
        <v>4</v>
      </c>
      <c r="Q2" t="s">
        <v>99</v>
      </c>
      <c r="S2" t="s">
        <v>109</v>
      </c>
      <c r="T2" t="s">
        <v>2</v>
      </c>
      <c r="U2" t="s">
        <v>3</v>
      </c>
      <c r="V2" t="s">
        <v>4</v>
      </c>
      <c r="W2" t="s">
        <v>99</v>
      </c>
      <c r="AY2" t="s">
        <v>110</v>
      </c>
      <c r="BA2" t="s">
        <v>111</v>
      </c>
    </row>
    <row r="3" spans="1:53" x14ac:dyDescent="0.25">
      <c r="A3">
        <v>28800</v>
      </c>
      <c r="B3">
        <v>32</v>
      </c>
      <c r="C3">
        <v>1</v>
      </c>
      <c r="D3">
        <v>16</v>
      </c>
      <c r="E3">
        <v>10.8156</v>
      </c>
      <c r="G3">
        <v>28800</v>
      </c>
      <c r="H3">
        <v>32</v>
      </c>
      <c r="I3">
        <v>1</v>
      </c>
      <c r="J3">
        <v>16</v>
      </c>
      <c r="K3">
        <v>11.057599999999999</v>
      </c>
      <c r="M3">
        <v>14400</v>
      </c>
      <c r="N3">
        <v>32</v>
      </c>
      <c r="O3">
        <v>1</v>
      </c>
      <c r="P3">
        <v>4</v>
      </c>
      <c r="Q3">
        <v>3.9519799999999998</v>
      </c>
      <c r="S3">
        <v>14400</v>
      </c>
      <c r="T3">
        <v>32</v>
      </c>
      <c r="U3">
        <v>1</v>
      </c>
      <c r="V3">
        <v>4</v>
      </c>
      <c r="W3">
        <v>3.7233800000000001</v>
      </c>
      <c r="Y3">
        <v>28800</v>
      </c>
      <c r="Z3">
        <v>32</v>
      </c>
      <c r="AA3">
        <v>2</v>
      </c>
      <c r="AB3">
        <v>8</v>
      </c>
      <c r="AC3">
        <v>12.209200000000001</v>
      </c>
      <c r="AE3">
        <v>28800</v>
      </c>
      <c r="AF3">
        <v>32</v>
      </c>
      <c r="AG3">
        <v>2</v>
      </c>
      <c r="AH3">
        <v>8</v>
      </c>
      <c r="AI3">
        <v>12.0282</v>
      </c>
      <c r="AK3">
        <v>14400</v>
      </c>
      <c r="AL3">
        <v>32</v>
      </c>
      <c r="AM3">
        <v>2</v>
      </c>
      <c r="AN3">
        <v>2</v>
      </c>
      <c r="AO3">
        <v>3.9259999999999997</v>
      </c>
      <c r="AQ3">
        <v>14400</v>
      </c>
      <c r="AR3">
        <v>32</v>
      </c>
      <c r="AS3">
        <v>1</v>
      </c>
      <c r="AT3">
        <v>4</v>
      </c>
      <c r="AU3">
        <v>3.7233800000000001</v>
      </c>
      <c r="AW3" t="s">
        <v>112</v>
      </c>
      <c r="AX3">
        <v>32</v>
      </c>
      <c r="AY3">
        <f>AC3/AO3</f>
        <v>3.1098318899643407</v>
      </c>
      <c r="BA3">
        <f>AI3/AU3</f>
        <v>3.2304519012295279</v>
      </c>
    </row>
    <row r="4" spans="1:53" x14ac:dyDescent="0.25">
      <c r="A4">
        <v>28800</v>
      </c>
      <c r="B4">
        <v>64</v>
      </c>
      <c r="C4">
        <v>1</v>
      </c>
      <c r="D4">
        <v>16</v>
      </c>
      <c r="E4">
        <v>11.448599999999999</v>
      </c>
      <c r="G4">
        <v>28800</v>
      </c>
      <c r="H4">
        <v>64</v>
      </c>
      <c r="I4">
        <v>1</v>
      </c>
      <c r="J4">
        <v>16</v>
      </c>
      <c r="K4">
        <v>12.472399999999999</v>
      </c>
      <c r="M4">
        <v>14400</v>
      </c>
      <c r="N4">
        <v>64</v>
      </c>
      <c r="O4">
        <v>1</v>
      </c>
      <c r="P4">
        <v>4</v>
      </c>
      <c r="Q4">
        <v>4.3398200000000005</v>
      </c>
      <c r="S4">
        <v>14400</v>
      </c>
      <c r="T4">
        <v>64</v>
      </c>
      <c r="U4">
        <v>1</v>
      </c>
      <c r="V4">
        <v>4</v>
      </c>
      <c r="W4">
        <v>4.1592000000000002</v>
      </c>
      <c r="Y4">
        <v>28800</v>
      </c>
      <c r="Z4">
        <v>64</v>
      </c>
      <c r="AA4">
        <v>2</v>
      </c>
      <c r="AB4">
        <v>8</v>
      </c>
      <c r="AC4">
        <v>13.126200000000001</v>
      </c>
      <c r="AE4">
        <v>28800</v>
      </c>
      <c r="AF4">
        <v>64</v>
      </c>
      <c r="AG4">
        <v>2</v>
      </c>
      <c r="AH4">
        <v>8</v>
      </c>
      <c r="AI4">
        <v>13.024000000000001</v>
      </c>
      <c r="AK4">
        <v>14400</v>
      </c>
      <c r="AL4">
        <v>64</v>
      </c>
      <c r="AM4">
        <v>2</v>
      </c>
      <c r="AN4">
        <v>2</v>
      </c>
      <c r="AO4">
        <v>4.3010399999999995</v>
      </c>
      <c r="AQ4">
        <v>14400</v>
      </c>
      <c r="AR4">
        <v>64</v>
      </c>
      <c r="AS4">
        <v>1</v>
      </c>
      <c r="AT4">
        <v>4</v>
      </c>
      <c r="AU4">
        <v>4.1592000000000002</v>
      </c>
      <c r="AW4" t="s">
        <v>112</v>
      </c>
      <c r="AX4">
        <v>64</v>
      </c>
      <c r="AY4">
        <f t="shared" ref="AY4:AY26" si="0">AC4/AO4</f>
        <v>3.0518665253055079</v>
      </c>
      <c r="BA4">
        <f t="shared" ref="BA4:BA26" si="1">AI4/AU4</f>
        <v>3.1313714175803038</v>
      </c>
    </row>
    <row r="5" spans="1:53" x14ac:dyDescent="0.25">
      <c r="A5">
        <v>28800</v>
      </c>
      <c r="B5">
        <v>96</v>
      </c>
      <c r="C5">
        <v>1</v>
      </c>
      <c r="D5">
        <v>16</v>
      </c>
      <c r="E5">
        <v>11.7898</v>
      </c>
      <c r="G5">
        <v>28800</v>
      </c>
      <c r="H5">
        <v>96</v>
      </c>
      <c r="I5">
        <v>1</v>
      </c>
      <c r="J5">
        <v>16</v>
      </c>
      <c r="K5">
        <v>12.665400000000002</v>
      </c>
      <c r="M5">
        <v>14400</v>
      </c>
      <c r="N5">
        <v>96</v>
      </c>
      <c r="O5">
        <v>1</v>
      </c>
      <c r="P5">
        <v>4</v>
      </c>
      <c r="Q5">
        <v>4.4596399999999994</v>
      </c>
      <c r="S5">
        <v>14400</v>
      </c>
      <c r="T5">
        <v>96</v>
      </c>
      <c r="U5">
        <v>1</v>
      </c>
      <c r="V5">
        <v>4</v>
      </c>
      <c r="W5">
        <v>4.2878600000000002</v>
      </c>
      <c r="Y5">
        <v>28800</v>
      </c>
      <c r="Z5">
        <v>96</v>
      </c>
      <c r="AA5">
        <v>2</v>
      </c>
      <c r="AB5">
        <v>8</v>
      </c>
      <c r="AC5">
        <v>13.460800000000001</v>
      </c>
      <c r="AE5">
        <v>28800</v>
      </c>
      <c r="AF5">
        <v>96</v>
      </c>
      <c r="AG5">
        <v>2</v>
      </c>
      <c r="AH5">
        <v>8</v>
      </c>
      <c r="AI5">
        <v>13.100800000000001</v>
      </c>
      <c r="AK5">
        <v>14400</v>
      </c>
      <c r="AL5">
        <v>96</v>
      </c>
      <c r="AM5">
        <v>2</v>
      </c>
      <c r="AN5">
        <v>2</v>
      </c>
      <c r="AO5">
        <v>4.4801000000000002</v>
      </c>
      <c r="AQ5">
        <v>14400</v>
      </c>
      <c r="AR5">
        <v>96</v>
      </c>
      <c r="AS5">
        <v>1</v>
      </c>
      <c r="AT5">
        <v>4</v>
      </c>
      <c r="AU5">
        <v>4.2878600000000002</v>
      </c>
      <c r="AW5" t="s">
        <v>112</v>
      </c>
      <c r="AX5">
        <v>96</v>
      </c>
      <c r="AY5">
        <f t="shared" si="0"/>
        <v>3.0045757907189574</v>
      </c>
      <c r="BA5">
        <f t="shared" si="1"/>
        <v>3.0553236346335937</v>
      </c>
    </row>
    <row r="6" spans="1:53" x14ac:dyDescent="0.25">
      <c r="A6">
        <v>28800</v>
      </c>
      <c r="B6">
        <v>128</v>
      </c>
      <c r="C6">
        <v>1</v>
      </c>
      <c r="D6">
        <v>16</v>
      </c>
      <c r="E6">
        <v>11.397600000000001</v>
      </c>
      <c r="G6">
        <v>28800</v>
      </c>
      <c r="H6">
        <v>128</v>
      </c>
      <c r="I6">
        <v>1</v>
      </c>
      <c r="J6">
        <v>16</v>
      </c>
      <c r="K6">
        <v>12.7308</v>
      </c>
      <c r="M6">
        <v>14400</v>
      </c>
      <c r="N6">
        <v>128</v>
      </c>
      <c r="O6">
        <v>1</v>
      </c>
      <c r="P6">
        <v>4</v>
      </c>
      <c r="Q6">
        <v>4.2236799999999999</v>
      </c>
      <c r="S6">
        <v>14400</v>
      </c>
      <c r="T6">
        <v>128</v>
      </c>
      <c r="U6">
        <v>1</v>
      </c>
      <c r="V6">
        <v>4</v>
      </c>
      <c r="W6">
        <v>4.28024</v>
      </c>
      <c r="Y6">
        <v>28800</v>
      </c>
      <c r="Z6">
        <v>128</v>
      </c>
      <c r="AA6">
        <v>2</v>
      </c>
      <c r="AB6">
        <v>8</v>
      </c>
      <c r="AC6">
        <v>12.888399999999999</v>
      </c>
      <c r="AE6">
        <v>28800</v>
      </c>
      <c r="AF6">
        <v>128</v>
      </c>
      <c r="AG6">
        <v>2</v>
      </c>
      <c r="AH6">
        <v>8</v>
      </c>
      <c r="AI6">
        <v>13.039199999999999</v>
      </c>
      <c r="AK6">
        <v>14400</v>
      </c>
      <c r="AL6">
        <v>128</v>
      </c>
      <c r="AM6">
        <v>2</v>
      </c>
      <c r="AN6">
        <v>2</v>
      </c>
      <c r="AO6">
        <v>4.3237199999999998</v>
      </c>
      <c r="AQ6">
        <v>14400</v>
      </c>
      <c r="AR6">
        <v>128</v>
      </c>
      <c r="AS6">
        <v>1</v>
      </c>
      <c r="AT6">
        <v>4</v>
      </c>
      <c r="AU6">
        <v>4.28024</v>
      </c>
      <c r="AW6" t="s">
        <v>112</v>
      </c>
      <c r="AX6">
        <v>128</v>
      </c>
      <c r="AY6">
        <f t="shared" si="0"/>
        <v>2.9808590750557391</v>
      </c>
      <c r="BA6">
        <f t="shared" si="1"/>
        <v>3.0463712315197276</v>
      </c>
    </row>
    <row r="7" spans="1:53" x14ac:dyDescent="0.25">
      <c r="A7">
        <v>28800</v>
      </c>
      <c r="B7">
        <v>160</v>
      </c>
      <c r="C7">
        <v>1</v>
      </c>
      <c r="D7">
        <v>16</v>
      </c>
      <c r="E7">
        <v>11.148799999999998</v>
      </c>
      <c r="G7">
        <v>28800</v>
      </c>
      <c r="H7">
        <v>160</v>
      </c>
      <c r="I7">
        <v>1</v>
      </c>
      <c r="J7">
        <v>16</v>
      </c>
      <c r="K7">
        <v>12.846800000000002</v>
      </c>
      <c r="M7">
        <v>14400</v>
      </c>
      <c r="N7">
        <v>160</v>
      </c>
      <c r="O7">
        <v>1</v>
      </c>
      <c r="P7">
        <v>4</v>
      </c>
      <c r="Q7">
        <v>4.0021599999999999</v>
      </c>
      <c r="S7">
        <v>14400</v>
      </c>
      <c r="T7">
        <v>160</v>
      </c>
      <c r="U7">
        <v>1</v>
      </c>
      <c r="V7">
        <v>4</v>
      </c>
      <c r="W7">
        <v>4.3227600000000006</v>
      </c>
      <c r="Y7">
        <v>28800</v>
      </c>
      <c r="Z7">
        <v>160</v>
      </c>
      <c r="AA7">
        <v>2</v>
      </c>
      <c r="AB7">
        <v>8</v>
      </c>
      <c r="AC7">
        <v>12.3622</v>
      </c>
      <c r="AE7">
        <v>28800</v>
      </c>
      <c r="AF7">
        <v>160</v>
      </c>
      <c r="AG7">
        <v>2</v>
      </c>
      <c r="AH7">
        <v>8</v>
      </c>
      <c r="AI7">
        <v>13.102</v>
      </c>
      <c r="AK7">
        <v>14400</v>
      </c>
      <c r="AL7">
        <v>160</v>
      </c>
      <c r="AM7">
        <v>2</v>
      </c>
      <c r="AN7">
        <v>2</v>
      </c>
      <c r="AO7">
        <v>4.2036199999999999</v>
      </c>
      <c r="AQ7">
        <v>14400</v>
      </c>
      <c r="AR7">
        <v>160</v>
      </c>
      <c r="AS7">
        <v>1</v>
      </c>
      <c r="AT7">
        <v>4</v>
      </c>
      <c r="AU7">
        <v>4.3227600000000006</v>
      </c>
      <c r="AW7" t="s">
        <v>112</v>
      </c>
      <c r="AX7">
        <v>160</v>
      </c>
      <c r="AY7">
        <f t="shared" si="0"/>
        <v>2.9408462230173043</v>
      </c>
      <c r="BA7">
        <f t="shared" si="1"/>
        <v>3.0309339403529223</v>
      </c>
    </row>
    <row r="8" spans="1:53" x14ac:dyDescent="0.25">
      <c r="A8">
        <v>28800</v>
      </c>
      <c r="B8">
        <v>192</v>
      </c>
      <c r="C8">
        <v>1</v>
      </c>
      <c r="D8">
        <v>16</v>
      </c>
      <c r="E8">
        <v>11.012380000000002</v>
      </c>
      <c r="G8">
        <v>28800</v>
      </c>
      <c r="H8">
        <v>192</v>
      </c>
      <c r="I8">
        <v>1</v>
      </c>
      <c r="J8">
        <v>16</v>
      </c>
      <c r="K8">
        <v>12.6662</v>
      </c>
      <c r="M8">
        <v>14400</v>
      </c>
      <c r="N8">
        <v>192</v>
      </c>
      <c r="O8">
        <v>1</v>
      </c>
      <c r="P8">
        <v>4</v>
      </c>
      <c r="Q8">
        <v>4.1676799999999998</v>
      </c>
      <c r="S8">
        <v>14400</v>
      </c>
      <c r="T8">
        <v>192</v>
      </c>
      <c r="U8">
        <v>1</v>
      </c>
      <c r="V8">
        <v>4</v>
      </c>
      <c r="W8">
        <v>4.4016999999999999</v>
      </c>
      <c r="Y8">
        <v>28800</v>
      </c>
      <c r="Z8">
        <v>192</v>
      </c>
      <c r="AA8">
        <v>2</v>
      </c>
      <c r="AB8">
        <v>8</v>
      </c>
      <c r="AC8">
        <v>12.6652</v>
      </c>
      <c r="AE8">
        <v>28800</v>
      </c>
      <c r="AF8">
        <v>192</v>
      </c>
      <c r="AG8">
        <v>2</v>
      </c>
      <c r="AH8">
        <v>8</v>
      </c>
      <c r="AI8">
        <v>13.0482</v>
      </c>
      <c r="AK8">
        <v>14400</v>
      </c>
      <c r="AL8">
        <v>192</v>
      </c>
      <c r="AM8">
        <v>2</v>
      </c>
      <c r="AN8">
        <v>2</v>
      </c>
      <c r="AO8">
        <v>4.3334600000000005</v>
      </c>
      <c r="AQ8">
        <v>14400</v>
      </c>
      <c r="AR8">
        <v>192</v>
      </c>
      <c r="AS8">
        <v>1</v>
      </c>
      <c r="AT8">
        <v>4</v>
      </c>
      <c r="AU8">
        <v>4.4016999999999999</v>
      </c>
      <c r="AW8" t="s">
        <v>112</v>
      </c>
      <c r="AX8">
        <v>192</v>
      </c>
      <c r="AY8">
        <f t="shared" si="0"/>
        <v>2.9226530301421958</v>
      </c>
      <c r="BA8">
        <f t="shared" si="1"/>
        <v>2.9643546811459207</v>
      </c>
    </row>
    <row r="9" spans="1:53" x14ac:dyDescent="0.25">
      <c r="A9">
        <v>28800</v>
      </c>
      <c r="B9">
        <v>224</v>
      </c>
      <c r="C9">
        <v>1</v>
      </c>
      <c r="D9">
        <v>16</v>
      </c>
      <c r="E9">
        <v>11.268599999999998</v>
      </c>
      <c r="G9">
        <v>28800</v>
      </c>
      <c r="H9">
        <v>224</v>
      </c>
      <c r="I9">
        <v>1</v>
      </c>
      <c r="J9">
        <v>16</v>
      </c>
      <c r="K9">
        <v>12.4124</v>
      </c>
      <c r="M9">
        <v>14400</v>
      </c>
      <c r="N9">
        <v>224</v>
      </c>
      <c r="O9">
        <v>1</v>
      </c>
      <c r="P9">
        <v>4</v>
      </c>
      <c r="Q9">
        <v>4.1102599999999994</v>
      </c>
      <c r="S9">
        <v>14400</v>
      </c>
      <c r="T9">
        <v>224</v>
      </c>
      <c r="U9">
        <v>1</v>
      </c>
      <c r="V9">
        <v>4</v>
      </c>
      <c r="W9">
        <v>4.3789999999999996</v>
      </c>
      <c r="Y9">
        <v>28800</v>
      </c>
      <c r="Z9">
        <v>224</v>
      </c>
      <c r="AA9">
        <v>2</v>
      </c>
      <c r="AB9">
        <v>8</v>
      </c>
      <c r="AC9">
        <v>12.555800000000001</v>
      </c>
      <c r="AE9">
        <v>28800</v>
      </c>
      <c r="AF9">
        <v>224</v>
      </c>
      <c r="AG9">
        <v>2</v>
      </c>
      <c r="AH9">
        <v>8</v>
      </c>
      <c r="AI9">
        <v>12.756600000000001</v>
      </c>
      <c r="AK9">
        <v>14400</v>
      </c>
      <c r="AL9">
        <v>224</v>
      </c>
      <c r="AM9">
        <v>2</v>
      </c>
      <c r="AN9">
        <v>2</v>
      </c>
      <c r="AO9">
        <v>4.25624</v>
      </c>
      <c r="AQ9">
        <v>14400</v>
      </c>
      <c r="AR9">
        <v>224</v>
      </c>
      <c r="AS9">
        <v>1</v>
      </c>
      <c r="AT9">
        <v>4</v>
      </c>
      <c r="AU9">
        <v>4.3789999999999996</v>
      </c>
      <c r="AW9" t="s">
        <v>112</v>
      </c>
      <c r="AX9">
        <v>224</v>
      </c>
      <c r="AY9">
        <f t="shared" si="0"/>
        <v>2.9499746254910439</v>
      </c>
      <c r="BA9">
        <f t="shared" si="1"/>
        <v>2.9131308517926473</v>
      </c>
    </row>
    <row r="10" spans="1:53" x14ac:dyDescent="0.25">
      <c r="A10">
        <v>28800</v>
      </c>
      <c r="B10">
        <v>256</v>
      </c>
      <c r="C10">
        <v>1</v>
      </c>
      <c r="D10">
        <v>16</v>
      </c>
      <c r="E10">
        <v>11.217600000000001</v>
      </c>
      <c r="G10">
        <v>28800</v>
      </c>
      <c r="H10">
        <v>256</v>
      </c>
      <c r="I10">
        <v>1</v>
      </c>
      <c r="J10">
        <v>16</v>
      </c>
      <c r="K10">
        <v>12.279199999999999</v>
      </c>
      <c r="M10">
        <v>14400</v>
      </c>
      <c r="N10">
        <v>256</v>
      </c>
      <c r="O10">
        <v>1</v>
      </c>
      <c r="P10">
        <v>4</v>
      </c>
      <c r="Q10">
        <v>4.0876000000000001</v>
      </c>
      <c r="S10">
        <v>14400</v>
      </c>
      <c r="T10">
        <v>256</v>
      </c>
      <c r="U10">
        <v>1</v>
      </c>
      <c r="V10">
        <v>4</v>
      </c>
      <c r="W10">
        <v>4.3410599999999997</v>
      </c>
      <c r="Y10">
        <v>28800</v>
      </c>
      <c r="Z10">
        <v>256</v>
      </c>
      <c r="AA10">
        <v>2</v>
      </c>
      <c r="AB10">
        <v>8</v>
      </c>
      <c r="AC10">
        <v>12.562999999999999</v>
      </c>
      <c r="AE10">
        <v>28800</v>
      </c>
      <c r="AF10">
        <v>256</v>
      </c>
      <c r="AG10">
        <v>2</v>
      </c>
      <c r="AH10">
        <v>8</v>
      </c>
      <c r="AI10">
        <v>12.6668</v>
      </c>
      <c r="AK10">
        <v>14400</v>
      </c>
      <c r="AL10">
        <v>256</v>
      </c>
      <c r="AM10">
        <v>2</v>
      </c>
      <c r="AN10">
        <v>2</v>
      </c>
      <c r="AO10">
        <v>4.2256200000000002</v>
      </c>
      <c r="AQ10">
        <v>14400</v>
      </c>
      <c r="AR10">
        <v>256</v>
      </c>
      <c r="AS10">
        <v>1</v>
      </c>
      <c r="AT10">
        <v>4</v>
      </c>
      <c r="AU10">
        <v>4.3410599999999997</v>
      </c>
      <c r="AW10" t="s">
        <v>112</v>
      </c>
      <c r="AX10">
        <v>256</v>
      </c>
      <c r="AY10">
        <f t="shared" si="0"/>
        <v>2.973054841656372</v>
      </c>
      <c r="BA10">
        <f t="shared" si="1"/>
        <v>2.9179048435174821</v>
      </c>
    </row>
    <row r="11" spans="1:53" x14ac:dyDescent="0.25">
      <c r="A11">
        <v>27264</v>
      </c>
      <c r="B11">
        <v>32</v>
      </c>
      <c r="C11">
        <v>1</v>
      </c>
      <c r="D11">
        <v>16</v>
      </c>
      <c r="E11">
        <v>10.359800000000002</v>
      </c>
      <c r="G11">
        <v>27264</v>
      </c>
      <c r="H11">
        <v>32</v>
      </c>
      <c r="I11">
        <v>1</v>
      </c>
      <c r="J11">
        <v>16</v>
      </c>
      <c r="K11">
        <v>10.702200000000001</v>
      </c>
      <c r="M11">
        <v>13632</v>
      </c>
      <c r="N11">
        <v>32</v>
      </c>
      <c r="O11">
        <v>1</v>
      </c>
      <c r="P11">
        <v>4</v>
      </c>
      <c r="Q11">
        <v>3.8563999999999998</v>
      </c>
      <c r="S11">
        <v>13632</v>
      </c>
      <c r="T11">
        <v>32</v>
      </c>
      <c r="U11">
        <v>1</v>
      </c>
      <c r="V11">
        <v>4</v>
      </c>
      <c r="W11">
        <v>3.6240600000000001</v>
      </c>
      <c r="Y11">
        <v>27264</v>
      </c>
      <c r="Z11">
        <v>32</v>
      </c>
      <c r="AA11">
        <v>2</v>
      </c>
      <c r="AB11">
        <v>8</v>
      </c>
      <c r="AC11">
        <v>11.894600000000001</v>
      </c>
      <c r="AE11">
        <v>27264</v>
      </c>
      <c r="AF11">
        <v>32</v>
      </c>
      <c r="AG11">
        <v>2</v>
      </c>
      <c r="AH11">
        <v>8</v>
      </c>
      <c r="AI11">
        <v>11.6762</v>
      </c>
      <c r="AK11">
        <v>13632</v>
      </c>
      <c r="AL11">
        <v>32</v>
      </c>
      <c r="AM11">
        <v>2</v>
      </c>
      <c r="AN11">
        <v>2</v>
      </c>
      <c r="AO11">
        <v>3.89724</v>
      </c>
      <c r="AQ11">
        <v>13632</v>
      </c>
      <c r="AR11">
        <v>32</v>
      </c>
      <c r="AS11">
        <v>1</v>
      </c>
      <c r="AT11">
        <v>4</v>
      </c>
      <c r="AU11">
        <v>3.6240600000000001</v>
      </c>
      <c r="AW11" t="s">
        <v>113</v>
      </c>
      <c r="AX11">
        <v>32</v>
      </c>
      <c r="AY11">
        <f t="shared" si="0"/>
        <v>3.0520573534090794</v>
      </c>
      <c r="BA11">
        <f t="shared" si="1"/>
        <v>3.2218561502844874</v>
      </c>
    </row>
    <row r="12" spans="1:53" x14ac:dyDescent="0.25">
      <c r="A12">
        <v>27264</v>
      </c>
      <c r="B12">
        <v>64</v>
      </c>
      <c r="C12">
        <v>1</v>
      </c>
      <c r="D12">
        <v>16</v>
      </c>
      <c r="E12">
        <v>11.004799999999999</v>
      </c>
      <c r="G12">
        <v>27264</v>
      </c>
      <c r="H12">
        <v>64</v>
      </c>
      <c r="I12">
        <v>1</v>
      </c>
      <c r="J12">
        <v>16</v>
      </c>
      <c r="K12">
        <v>12.1334</v>
      </c>
      <c r="M12">
        <v>13632</v>
      </c>
      <c r="N12">
        <v>64</v>
      </c>
      <c r="O12">
        <v>1</v>
      </c>
      <c r="P12">
        <v>4</v>
      </c>
      <c r="Q12">
        <v>4.2312600000000007</v>
      </c>
      <c r="S12">
        <v>13632</v>
      </c>
      <c r="T12">
        <v>64</v>
      </c>
      <c r="U12">
        <v>1</v>
      </c>
      <c r="V12">
        <v>4</v>
      </c>
      <c r="W12">
        <v>4.0679800000000004</v>
      </c>
      <c r="Y12">
        <v>27264</v>
      </c>
      <c r="Z12">
        <v>64</v>
      </c>
      <c r="AA12">
        <v>2</v>
      </c>
      <c r="AB12">
        <v>8</v>
      </c>
      <c r="AC12">
        <v>12.737599999999999</v>
      </c>
      <c r="AE12">
        <v>27264</v>
      </c>
      <c r="AF12">
        <v>64</v>
      </c>
      <c r="AG12">
        <v>2</v>
      </c>
      <c r="AH12">
        <v>8</v>
      </c>
      <c r="AI12">
        <v>12.638400000000001</v>
      </c>
      <c r="AK12">
        <v>13632</v>
      </c>
      <c r="AL12">
        <v>64</v>
      </c>
      <c r="AM12">
        <v>2</v>
      </c>
      <c r="AN12">
        <v>2</v>
      </c>
      <c r="AO12">
        <v>4.29148</v>
      </c>
      <c r="AQ12">
        <v>13632</v>
      </c>
      <c r="AR12">
        <v>64</v>
      </c>
      <c r="AS12">
        <v>1</v>
      </c>
      <c r="AT12">
        <v>4</v>
      </c>
      <c r="AU12">
        <v>4.0679800000000004</v>
      </c>
      <c r="AW12" t="s">
        <v>113</v>
      </c>
      <c r="AX12">
        <v>64</v>
      </c>
      <c r="AY12">
        <f t="shared" si="0"/>
        <v>2.9681135645511567</v>
      </c>
      <c r="BA12">
        <f t="shared" si="1"/>
        <v>3.1067999351029258</v>
      </c>
    </row>
    <row r="13" spans="1:53" x14ac:dyDescent="0.25">
      <c r="A13">
        <v>27264</v>
      </c>
      <c r="B13">
        <v>96</v>
      </c>
      <c r="C13">
        <v>1</v>
      </c>
      <c r="D13">
        <v>16</v>
      </c>
      <c r="E13">
        <v>11.370199999999999</v>
      </c>
      <c r="G13">
        <v>27264</v>
      </c>
      <c r="H13">
        <v>96</v>
      </c>
      <c r="I13">
        <v>1</v>
      </c>
      <c r="J13">
        <v>16</v>
      </c>
      <c r="K13">
        <v>12.307999999999998</v>
      </c>
      <c r="M13">
        <v>13632</v>
      </c>
      <c r="N13">
        <v>96</v>
      </c>
      <c r="O13">
        <v>1</v>
      </c>
      <c r="P13">
        <v>4</v>
      </c>
      <c r="Q13">
        <v>4.38828</v>
      </c>
      <c r="S13">
        <v>13632</v>
      </c>
      <c r="T13">
        <v>96</v>
      </c>
      <c r="U13">
        <v>1</v>
      </c>
      <c r="V13">
        <v>4</v>
      </c>
      <c r="W13">
        <v>4.2507199999999994</v>
      </c>
      <c r="Y13">
        <v>27264</v>
      </c>
      <c r="Z13">
        <v>96</v>
      </c>
      <c r="AA13">
        <v>2</v>
      </c>
      <c r="AB13">
        <v>8</v>
      </c>
      <c r="AC13">
        <v>13.113400000000002</v>
      </c>
      <c r="AE13">
        <v>27264</v>
      </c>
      <c r="AF13">
        <v>96</v>
      </c>
      <c r="AG13">
        <v>2</v>
      </c>
      <c r="AH13">
        <v>8</v>
      </c>
      <c r="AI13">
        <v>12.732800000000001</v>
      </c>
      <c r="AK13">
        <v>13632</v>
      </c>
      <c r="AL13">
        <v>96</v>
      </c>
      <c r="AM13">
        <v>2</v>
      </c>
      <c r="AN13">
        <v>2</v>
      </c>
      <c r="AO13">
        <v>4.4370399999999997</v>
      </c>
      <c r="AQ13">
        <v>13632</v>
      </c>
      <c r="AR13">
        <v>96</v>
      </c>
      <c r="AS13">
        <v>1</v>
      </c>
      <c r="AT13">
        <v>4</v>
      </c>
      <c r="AU13">
        <v>4.2507199999999994</v>
      </c>
      <c r="AW13" t="s">
        <v>113</v>
      </c>
      <c r="AX13">
        <v>96</v>
      </c>
      <c r="AY13">
        <f t="shared" si="0"/>
        <v>2.9554387609757864</v>
      </c>
      <c r="BA13">
        <f t="shared" si="1"/>
        <v>2.9954454774720523</v>
      </c>
    </row>
    <row r="14" spans="1:53" x14ac:dyDescent="0.25">
      <c r="A14">
        <v>27264</v>
      </c>
      <c r="B14">
        <v>128</v>
      </c>
      <c r="C14">
        <v>1</v>
      </c>
      <c r="D14">
        <v>16</v>
      </c>
      <c r="E14">
        <v>11.001200000000001</v>
      </c>
      <c r="G14">
        <v>27264</v>
      </c>
      <c r="H14">
        <v>128</v>
      </c>
      <c r="I14">
        <v>1</v>
      </c>
      <c r="J14">
        <v>16</v>
      </c>
      <c r="K14">
        <v>12.4168</v>
      </c>
      <c r="M14">
        <v>13632</v>
      </c>
      <c r="N14">
        <v>128</v>
      </c>
      <c r="O14">
        <v>1</v>
      </c>
      <c r="P14">
        <v>4</v>
      </c>
      <c r="Q14">
        <v>4.1646000000000001</v>
      </c>
      <c r="S14">
        <v>13632</v>
      </c>
      <c r="T14">
        <v>128</v>
      </c>
      <c r="U14">
        <v>1</v>
      </c>
      <c r="V14">
        <v>4</v>
      </c>
      <c r="W14">
        <v>4.2298600000000004</v>
      </c>
      <c r="Y14">
        <v>27264</v>
      </c>
      <c r="Z14">
        <v>128</v>
      </c>
      <c r="AA14">
        <v>2</v>
      </c>
      <c r="AB14">
        <v>8</v>
      </c>
      <c r="AC14">
        <v>12.590599999999998</v>
      </c>
      <c r="AE14">
        <v>27264</v>
      </c>
      <c r="AF14">
        <v>128</v>
      </c>
      <c r="AG14">
        <v>2</v>
      </c>
      <c r="AH14">
        <v>8</v>
      </c>
      <c r="AI14">
        <v>12.635200000000001</v>
      </c>
      <c r="AK14">
        <v>13632</v>
      </c>
      <c r="AL14">
        <v>128</v>
      </c>
      <c r="AM14">
        <v>2</v>
      </c>
      <c r="AN14">
        <v>2</v>
      </c>
      <c r="AO14">
        <v>4.33866</v>
      </c>
      <c r="AQ14">
        <v>13632</v>
      </c>
      <c r="AR14">
        <v>128</v>
      </c>
      <c r="AS14">
        <v>1</v>
      </c>
      <c r="AT14">
        <v>4</v>
      </c>
      <c r="AU14">
        <v>4.2298600000000004</v>
      </c>
      <c r="AW14" t="s">
        <v>113</v>
      </c>
      <c r="AX14">
        <v>128</v>
      </c>
      <c r="AY14">
        <f t="shared" si="0"/>
        <v>2.9019559034356228</v>
      </c>
      <c r="BA14">
        <f t="shared" si="1"/>
        <v>2.9871437825365379</v>
      </c>
    </row>
    <row r="15" spans="1:53" x14ac:dyDescent="0.25">
      <c r="A15">
        <v>27264</v>
      </c>
      <c r="B15">
        <v>160</v>
      </c>
      <c r="C15">
        <v>1</v>
      </c>
      <c r="D15">
        <v>16</v>
      </c>
      <c r="E15">
        <v>10.739599999999999</v>
      </c>
      <c r="G15">
        <v>27264</v>
      </c>
      <c r="H15">
        <v>160</v>
      </c>
      <c r="I15">
        <v>1</v>
      </c>
      <c r="J15">
        <v>16</v>
      </c>
      <c r="K15">
        <v>12.534800000000001</v>
      </c>
      <c r="M15">
        <v>13632</v>
      </c>
      <c r="N15">
        <v>160</v>
      </c>
      <c r="O15">
        <v>1</v>
      </c>
      <c r="P15">
        <v>4</v>
      </c>
      <c r="Q15">
        <v>3.9654799999999994</v>
      </c>
      <c r="S15">
        <v>13632</v>
      </c>
      <c r="T15">
        <v>160</v>
      </c>
      <c r="U15">
        <v>1</v>
      </c>
      <c r="V15">
        <v>4</v>
      </c>
      <c r="W15">
        <v>4.2817999999999996</v>
      </c>
      <c r="Y15">
        <v>27264</v>
      </c>
      <c r="Z15">
        <v>160</v>
      </c>
      <c r="AA15">
        <v>2</v>
      </c>
      <c r="AB15">
        <v>8</v>
      </c>
      <c r="AC15">
        <v>11.973800000000001</v>
      </c>
      <c r="AE15">
        <v>27264</v>
      </c>
      <c r="AF15">
        <v>160</v>
      </c>
      <c r="AG15">
        <v>2</v>
      </c>
      <c r="AH15">
        <v>8</v>
      </c>
      <c r="AI15">
        <v>12.708600000000001</v>
      </c>
      <c r="AK15">
        <v>13632</v>
      </c>
      <c r="AL15">
        <v>160</v>
      </c>
      <c r="AM15">
        <v>2</v>
      </c>
      <c r="AN15">
        <v>2</v>
      </c>
      <c r="AO15">
        <v>4.1798599999999997</v>
      </c>
      <c r="AQ15">
        <v>13632</v>
      </c>
      <c r="AR15">
        <v>160</v>
      </c>
      <c r="AS15">
        <v>1</v>
      </c>
      <c r="AT15">
        <v>4</v>
      </c>
      <c r="AU15">
        <v>4.2817999999999996</v>
      </c>
      <c r="AW15" t="s">
        <v>113</v>
      </c>
      <c r="AX15">
        <v>160</v>
      </c>
      <c r="AY15">
        <f t="shared" si="0"/>
        <v>2.8646413994727098</v>
      </c>
      <c r="BA15">
        <f t="shared" si="1"/>
        <v>2.9680508197487043</v>
      </c>
    </row>
    <row r="16" spans="1:53" x14ac:dyDescent="0.25">
      <c r="A16">
        <v>27264</v>
      </c>
      <c r="B16">
        <v>192</v>
      </c>
      <c r="C16">
        <v>1</v>
      </c>
      <c r="D16">
        <v>16</v>
      </c>
      <c r="E16">
        <v>10.953399999999998</v>
      </c>
      <c r="G16">
        <v>27264</v>
      </c>
      <c r="H16">
        <v>192</v>
      </c>
      <c r="I16">
        <v>1</v>
      </c>
      <c r="J16">
        <v>16</v>
      </c>
      <c r="K16">
        <v>12.351599999999999</v>
      </c>
      <c r="M16">
        <v>13632</v>
      </c>
      <c r="N16">
        <v>192</v>
      </c>
      <c r="O16">
        <v>1</v>
      </c>
      <c r="P16">
        <v>4</v>
      </c>
      <c r="Q16">
        <v>4.0930200000000001</v>
      </c>
      <c r="S16">
        <v>13632</v>
      </c>
      <c r="T16">
        <v>192</v>
      </c>
      <c r="U16">
        <v>1</v>
      </c>
      <c r="V16">
        <v>4</v>
      </c>
      <c r="W16">
        <v>4.3285400000000003</v>
      </c>
      <c r="Y16">
        <v>27264</v>
      </c>
      <c r="Z16">
        <v>192</v>
      </c>
      <c r="AA16">
        <v>2</v>
      </c>
      <c r="AB16">
        <v>8</v>
      </c>
      <c r="AC16">
        <v>12.2774</v>
      </c>
      <c r="AE16">
        <v>27264</v>
      </c>
      <c r="AF16">
        <v>192</v>
      </c>
      <c r="AG16">
        <v>2</v>
      </c>
      <c r="AH16">
        <v>8</v>
      </c>
      <c r="AI16">
        <v>12.729800000000001</v>
      </c>
      <c r="AK16">
        <v>13632</v>
      </c>
      <c r="AL16">
        <v>192</v>
      </c>
      <c r="AM16">
        <v>2</v>
      </c>
      <c r="AN16">
        <v>2</v>
      </c>
      <c r="AO16">
        <v>4.298</v>
      </c>
      <c r="AQ16">
        <v>13632</v>
      </c>
      <c r="AR16">
        <v>192</v>
      </c>
      <c r="AS16">
        <v>1</v>
      </c>
      <c r="AT16">
        <v>4</v>
      </c>
      <c r="AU16">
        <v>4.3285400000000003</v>
      </c>
      <c r="AW16" t="s">
        <v>113</v>
      </c>
      <c r="AX16">
        <v>192</v>
      </c>
      <c r="AY16">
        <f t="shared" si="0"/>
        <v>2.8565379246161005</v>
      </c>
      <c r="BA16">
        <f t="shared" si="1"/>
        <v>2.9408992408525738</v>
      </c>
    </row>
    <row r="17" spans="1:53" x14ac:dyDescent="0.25">
      <c r="A17">
        <v>27264</v>
      </c>
      <c r="B17">
        <v>224</v>
      </c>
      <c r="C17">
        <v>1</v>
      </c>
      <c r="D17">
        <v>16</v>
      </c>
      <c r="E17">
        <v>10.877200000000002</v>
      </c>
      <c r="G17">
        <v>27264</v>
      </c>
      <c r="H17">
        <v>224</v>
      </c>
      <c r="I17">
        <v>1</v>
      </c>
      <c r="J17">
        <v>16</v>
      </c>
      <c r="K17">
        <v>12.082800000000001</v>
      </c>
      <c r="M17">
        <v>13632</v>
      </c>
      <c r="N17">
        <v>224</v>
      </c>
      <c r="O17">
        <v>1</v>
      </c>
      <c r="P17">
        <v>4</v>
      </c>
      <c r="Q17">
        <v>4.0970199999999997</v>
      </c>
      <c r="S17">
        <v>13632</v>
      </c>
      <c r="T17">
        <v>224</v>
      </c>
      <c r="U17">
        <v>1</v>
      </c>
      <c r="V17">
        <v>4</v>
      </c>
      <c r="W17">
        <v>4.3135400000000006</v>
      </c>
      <c r="Y17">
        <v>27264</v>
      </c>
      <c r="Z17">
        <v>224</v>
      </c>
      <c r="AA17">
        <v>2</v>
      </c>
      <c r="AB17">
        <v>8</v>
      </c>
      <c r="AC17">
        <v>12.329200000000002</v>
      </c>
      <c r="AE17">
        <v>27264</v>
      </c>
      <c r="AF17">
        <v>224</v>
      </c>
      <c r="AG17">
        <v>2</v>
      </c>
      <c r="AH17">
        <v>8</v>
      </c>
      <c r="AI17">
        <v>12.4742</v>
      </c>
      <c r="AK17">
        <v>13632</v>
      </c>
      <c r="AL17">
        <v>224</v>
      </c>
      <c r="AM17">
        <v>2</v>
      </c>
      <c r="AN17">
        <v>2</v>
      </c>
      <c r="AO17">
        <v>4.2614400000000003</v>
      </c>
      <c r="AQ17">
        <v>13632</v>
      </c>
      <c r="AR17">
        <v>224</v>
      </c>
      <c r="AS17">
        <v>1</v>
      </c>
      <c r="AT17">
        <v>4</v>
      </c>
      <c r="AU17">
        <v>4.3135400000000006</v>
      </c>
      <c r="AW17" t="s">
        <v>113</v>
      </c>
      <c r="AX17">
        <v>224</v>
      </c>
      <c r="AY17">
        <f t="shared" si="0"/>
        <v>2.8932004205151314</v>
      </c>
      <c r="BA17">
        <f t="shared" si="1"/>
        <v>2.8918707140770685</v>
      </c>
    </row>
    <row r="18" spans="1:53" x14ac:dyDescent="0.25">
      <c r="A18">
        <v>27264</v>
      </c>
      <c r="B18">
        <v>256</v>
      </c>
      <c r="C18">
        <v>1</v>
      </c>
      <c r="D18">
        <v>16</v>
      </c>
      <c r="E18">
        <v>10.7662</v>
      </c>
      <c r="G18">
        <v>27264</v>
      </c>
      <c r="H18">
        <v>256</v>
      </c>
      <c r="I18">
        <v>1</v>
      </c>
      <c r="J18">
        <v>16</v>
      </c>
      <c r="K18">
        <v>12.119</v>
      </c>
      <c r="M18">
        <v>13632</v>
      </c>
      <c r="N18">
        <v>256</v>
      </c>
      <c r="O18">
        <v>1</v>
      </c>
      <c r="P18">
        <v>4</v>
      </c>
      <c r="Q18">
        <v>4.0421199999999997</v>
      </c>
      <c r="S18">
        <v>13632</v>
      </c>
      <c r="T18">
        <v>256</v>
      </c>
      <c r="U18">
        <v>1</v>
      </c>
      <c r="V18">
        <v>4</v>
      </c>
      <c r="W18">
        <v>4.2875399999999999</v>
      </c>
      <c r="Y18">
        <v>27264</v>
      </c>
      <c r="Z18">
        <v>256</v>
      </c>
      <c r="AA18">
        <v>2</v>
      </c>
      <c r="AB18">
        <v>8</v>
      </c>
      <c r="AC18">
        <v>12.130599999999999</v>
      </c>
      <c r="AE18">
        <v>27264</v>
      </c>
      <c r="AF18">
        <v>256</v>
      </c>
      <c r="AG18">
        <v>2</v>
      </c>
      <c r="AH18">
        <v>8</v>
      </c>
      <c r="AI18">
        <v>12.323399999999999</v>
      </c>
      <c r="AK18">
        <v>13632</v>
      </c>
      <c r="AL18">
        <v>256</v>
      </c>
      <c r="AM18">
        <v>2</v>
      </c>
      <c r="AN18">
        <v>2</v>
      </c>
      <c r="AO18">
        <v>4.2350000000000003</v>
      </c>
      <c r="AQ18">
        <v>13632</v>
      </c>
      <c r="AR18">
        <v>256</v>
      </c>
      <c r="AS18">
        <v>1</v>
      </c>
      <c r="AT18">
        <v>4</v>
      </c>
      <c r="AU18">
        <v>4.2875399999999999</v>
      </c>
      <c r="AW18" t="s">
        <v>113</v>
      </c>
      <c r="AX18">
        <v>256</v>
      </c>
      <c r="AY18">
        <f t="shared" si="0"/>
        <v>2.8643683589138131</v>
      </c>
      <c r="BA18">
        <f t="shared" si="1"/>
        <v>2.8742355756447751</v>
      </c>
    </row>
    <row r="19" spans="1:53" x14ac:dyDescent="0.25">
      <c r="A19">
        <v>25728</v>
      </c>
      <c r="B19">
        <v>32</v>
      </c>
      <c r="C19">
        <v>1</v>
      </c>
      <c r="D19">
        <v>16</v>
      </c>
      <c r="E19">
        <v>10.3756</v>
      </c>
      <c r="G19">
        <v>25728</v>
      </c>
      <c r="H19">
        <v>32</v>
      </c>
      <c r="I19">
        <v>1</v>
      </c>
      <c r="J19">
        <v>16</v>
      </c>
      <c r="K19">
        <v>10.3794</v>
      </c>
      <c r="M19">
        <v>12864</v>
      </c>
      <c r="N19">
        <v>32</v>
      </c>
      <c r="O19">
        <v>1</v>
      </c>
      <c r="P19">
        <v>4</v>
      </c>
      <c r="Q19">
        <v>3.93302</v>
      </c>
      <c r="S19">
        <v>12864</v>
      </c>
      <c r="T19">
        <v>32</v>
      </c>
      <c r="U19">
        <v>1</v>
      </c>
      <c r="V19">
        <v>4</v>
      </c>
      <c r="W19">
        <v>3.5624000000000002</v>
      </c>
      <c r="Y19">
        <v>25728</v>
      </c>
      <c r="Z19">
        <v>32</v>
      </c>
      <c r="AA19">
        <v>2</v>
      </c>
      <c r="AB19">
        <v>8</v>
      </c>
      <c r="AC19">
        <v>11.886000000000001</v>
      </c>
      <c r="AE19">
        <v>25728</v>
      </c>
      <c r="AF19">
        <v>32</v>
      </c>
      <c r="AG19">
        <v>2</v>
      </c>
      <c r="AH19">
        <v>8</v>
      </c>
      <c r="AI19">
        <v>11.354800000000001</v>
      </c>
      <c r="AK19">
        <v>12864</v>
      </c>
      <c r="AL19">
        <v>32</v>
      </c>
      <c r="AM19">
        <v>2</v>
      </c>
      <c r="AN19">
        <v>2</v>
      </c>
      <c r="AO19">
        <v>3.9397000000000006</v>
      </c>
      <c r="AQ19">
        <v>12864</v>
      </c>
      <c r="AR19">
        <v>32</v>
      </c>
      <c r="AS19">
        <v>1</v>
      </c>
      <c r="AT19">
        <v>4</v>
      </c>
      <c r="AU19">
        <v>3.5624000000000002</v>
      </c>
      <c r="AW19" t="s">
        <v>114</v>
      </c>
      <c r="AX19">
        <v>32</v>
      </c>
      <c r="AY19">
        <f t="shared" si="0"/>
        <v>3.0169809884001317</v>
      </c>
      <c r="BA19">
        <f t="shared" si="1"/>
        <v>3.1874017516281161</v>
      </c>
    </row>
    <row r="20" spans="1:53" x14ac:dyDescent="0.25">
      <c r="A20">
        <v>25728</v>
      </c>
      <c r="B20">
        <v>64</v>
      </c>
      <c r="C20">
        <v>1</v>
      </c>
      <c r="D20">
        <v>16</v>
      </c>
      <c r="E20">
        <v>10.942399999999997</v>
      </c>
      <c r="G20">
        <v>25728</v>
      </c>
      <c r="H20">
        <v>64</v>
      </c>
      <c r="I20">
        <v>1</v>
      </c>
      <c r="J20">
        <v>16</v>
      </c>
      <c r="K20">
        <v>11.775</v>
      </c>
      <c r="M20">
        <v>12864</v>
      </c>
      <c r="N20">
        <v>64</v>
      </c>
      <c r="O20">
        <v>1</v>
      </c>
      <c r="P20">
        <v>4</v>
      </c>
      <c r="Q20">
        <v>4.3121799999999997</v>
      </c>
      <c r="S20">
        <v>12864</v>
      </c>
      <c r="T20">
        <v>64</v>
      </c>
      <c r="U20">
        <v>1</v>
      </c>
      <c r="V20">
        <v>4</v>
      </c>
      <c r="W20">
        <v>3.9990999999999999</v>
      </c>
      <c r="Y20">
        <v>25728</v>
      </c>
      <c r="Z20">
        <v>64</v>
      </c>
      <c r="AA20">
        <v>2</v>
      </c>
      <c r="AB20">
        <v>8</v>
      </c>
      <c r="AC20">
        <v>12.7136</v>
      </c>
      <c r="AE20">
        <v>25728</v>
      </c>
      <c r="AF20">
        <v>64</v>
      </c>
      <c r="AG20">
        <v>2</v>
      </c>
      <c r="AH20">
        <v>8</v>
      </c>
      <c r="AI20">
        <v>12.3344</v>
      </c>
      <c r="AK20">
        <v>12864</v>
      </c>
      <c r="AL20">
        <v>64</v>
      </c>
      <c r="AM20">
        <v>2</v>
      </c>
      <c r="AN20">
        <v>2</v>
      </c>
      <c r="AO20">
        <v>4.3160800000000004</v>
      </c>
      <c r="AQ20">
        <v>12864</v>
      </c>
      <c r="AR20">
        <v>64</v>
      </c>
      <c r="AS20">
        <v>1</v>
      </c>
      <c r="AT20">
        <v>4</v>
      </c>
      <c r="AU20">
        <v>3.9990999999999999</v>
      </c>
      <c r="AW20" t="s">
        <v>114</v>
      </c>
      <c r="AX20">
        <v>64</v>
      </c>
      <c r="AY20">
        <f t="shared" si="0"/>
        <v>2.9456358547570942</v>
      </c>
      <c r="BA20">
        <f t="shared" si="1"/>
        <v>3.0842939661423823</v>
      </c>
    </row>
    <row r="21" spans="1:53" x14ac:dyDescent="0.25">
      <c r="A21">
        <v>25728</v>
      </c>
      <c r="B21">
        <v>96</v>
      </c>
      <c r="C21">
        <v>1</v>
      </c>
      <c r="D21">
        <v>16</v>
      </c>
      <c r="E21">
        <v>11.2666</v>
      </c>
      <c r="G21">
        <v>25728</v>
      </c>
      <c r="H21">
        <v>96</v>
      </c>
      <c r="I21">
        <v>1</v>
      </c>
      <c r="J21">
        <v>16</v>
      </c>
      <c r="K21">
        <v>12.034200000000002</v>
      </c>
      <c r="M21">
        <v>12864</v>
      </c>
      <c r="N21">
        <v>96</v>
      </c>
      <c r="O21">
        <v>1</v>
      </c>
      <c r="P21">
        <v>4</v>
      </c>
      <c r="Q21">
        <v>4.4285800000000002</v>
      </c>
      <c r="S21">
        <v>12864</v>
      </c>
      <c r="T21">
        <v>96</v>
      </c>
      <c r="U21">
        <v>1</v>
      </c>
      <c r="V21">
        <v>4</v>
      </c>
      <c r="W21">
        <v>4.1486800000000006</v>
      </c>
      <c r="Y21">
        <v>25728</v>
      </c>
      <c r="Z21">
        <v>96</v>
      </c>
      <c r="AA21">
        <v>2</v>
      </c>
      <c r="AB21">
        <v>8</v>
      </c>
      <c r="AC21">
        <v>13.0114</v>
      </c>
      <c r="AE21">
        <v>25728</v>
      </c>
      <c r="AF21">
        <v>96</v>
      </c>
      <c r="AG21">
        <v>2</v>
      </c>
      <c r="AH21">
        <v>8</v>
      </c>
      <c r="AI21">
        <v>12.3668</v>
      </c>
      <c r="AK21">
        <v>12864</v>
      </c>
      <c r="AL21">
        <v>96</v>
      </c>
      <c r="AM21">
        <v>2</v>
      </c>
      <c r="AN21">
        <v>2</v>
      </c>
      <c r="AO21">
        <v>4.4529000000000005</v>
      </c>
      <c r="AQ21">
        <v>12864</v>
      </c>
      <c r="AR21">
        <v>96</v>
      </c>
      <c r="AS21">
        <v>1</v>
      </c>
      <c r="AT21">
        <v>4</v>
      </c>
      <c r="AU21">
        <v>4.1486800000000006</v>
      </c>
      <c r="AW21" t="s">
        <v>114</v>
      </c>
      <c r="AX21">
        <v>96</v>
      </c>
      <c r="AY21">
        <f t="shared" si="0"/>
        <v>2.9220058838060585</v>
      </c>
      <c r="BA21">
        <f t="shared" si="1"/>
        <v>2.9808999488994083</v>
      </c>
    </row>
    <row r="22" spans="1:53" x14ac:dyDescent="0.25">
      <c r="A22">
        <v>25728</v>
      </c>
      <c r="B22">
        <v>128</v>
      </c>
      <c r="C22">
        <v>1</v>
      </c>
      <c r="D22">
        <v>16</v>
      </c>
      <c r="E22">
        <v>10.859</v>
      </c>
      <c r="G22">
        <v>25728</v>
      </c>
      <c r="H22">
        <v>128</v>
      </c>
      <c r="I22">
        <v>1</v>
      </c>
      <c r="J22">
        <v>16</v>
      </c>
      <c r="K22">
        <v>12.1142</v>
      </c>
      <c r="M22">
        <v>12864</v>
      </c>
      <c r="N22">
        <v>128</v>
      </c>
      <c r="O22">
        <v>1</v>
      </c>
      <c r="P22">
        <v>4</v>
      </c>
      <c r="Q22">
        <v>4.2024200000000009</v>
      </c>
      <c r="S22">
        <v>12864</v>
      </c>
      <c r="T22">
        <v>128</v>
      </c>
      <c r="U22">
        <v>1</v>
      </c>
      <c r="V22">
        <v>4</v>
      </c>
      <c r="W22">
        <v>4.1307399999999994</v>
      </c>
      <c r="Y22">
        <v>25728</v>
      </c>
      <c r="Z22">
        <v>128</v>
      </c>
      <c r="AA22">
        <v>2</v>
      </c>
      <c r="AB22">
        <v>8</v>
      </c>
      <c r="AC22">
        <v>12.455599999999999</v>
      </c>
      <c r="AE22">
        <v>25728</v>
      </c>
      <c r="AF22">
        <v>128</v>
      </c>
      <c r="AG22">
        <v>2</v>
      </c>
      <c r="AH22">
        <v>8</v>
      </c>
      <c r="AI22">
        <v>12.3644</v>
      </c>
      <c r="AK22">
        <v>12864</v>
      </c>
      <c r="AL22">
        <v>128</v>
      </c>
      <c r="AM22">
        <v>2</v>
      </c>
      <c r="AN22">
        <v>2</v>
      </c>
      <c r="AO22">
        <v>4.3564999999999996</v>
      </c>
      <c r="AQ22">
        <v>12864</v>
      </c>
      <c r="AR22">
        <v>128</v>
      </c>
      <c r="AS22">
        <v>1</v>
      </c>
      <c r="AT22">
        <v>4</v>
      </c>
      <c r="AU22">
        <v>4.1307399999999994</v>
      </c>
      <c r="AW22" t="s">
        <v>114</v>
      </c>
      <c r="AX22">
        <v>128</v>
      </c>
      <c r="AY22">
        <f t="shared" si="0"/>
        <v>2.859084127166303</v>
      </c>
      <c r="BA22">
        <f t="shared" si="1"/>
        <v>2.9932651292504495</v>
      </c>
    </row>
    <row r="23" spans="1:53" x14ac:dyDescent="0.25">
      <c r="A23">
        <v>25728</v>
      </c>
      <c r="B23">
        <v>160</v>
      </c>
      <c r="C23">
        <v>1</v>
      </c>
      <c r="D23">
        <v>16</v>
      </c>
      <c r="E23">
        <v>10.618799999999998</v>
      </c>
      <c r="G23">
        <v>25728</v>
      </c>
      <c r="H23">
        <v>160</v>
      </c>
      <c r="I23">
        <v>1</v>
      </c>
      <c r="J23">
        <v>16</v>
      </c>
      <c r="K23">
        <v>12.233799999999999</v>
      </c>
      <c r="M23">
        <v>12864</v>
      </c>
      <c r="N23">
        <v>160</v>
      </c>
      <c r="O23">
        <v>1</v>
      </c>
      <c r="P23">
        <v>4</v>
      </c>
      <c r="Q23">
        <v>3.9701599999999999</v>
      </c>
      <c r="S23">
        <v>12864</v>
      </c>
      <c r="T23">
        <v>160</v>
      </c>
      <c r="U23">
        <v>1</v>
      </c>
      <c r="V23">
        <v>4</v>
      </c>
      <c r="W23">
        <v>4.1875200000000001</v>
      </c>
      <c r="Y23">
        <v>25728</v>
      </c>
      <c r="Z23">
        <v>160</v>
      </c>
      <c r="AA23">
        <v>2</v>
      </c>
      <c r="AB23">
        <v>8</v>
      </c>
      <c r="AC23">
        <v>11.909000000000001</v>
      </c>
      <c r="AE23">
        <v>25728</v>
      </c>
      <c r="AF23">
        <v>160</v>
      </c>
      <c r="AG23">
        <v>2</v>
      </c>
      <c r="AH23">
        <v>8</v>
      </c>
      <c r="AI23">
        <v>12.301400000000001</v>
      </c>
      <c r="AK23">
        <v>12864</v>
      </c>
      <c r="AL23">
        <v>160</v>
      </c>
      <c r="AM23">
        <v>2</v>
      </c>
      <c r="AN23">
        <v>2</v>
      </c>
      <c r="AO23">
        <v>4.1682999999999995</v>
      </c>
      <c r="AQ23">
        <v>12864</v>
      </c>
      <c r="AR23">
        <v>160</v>
      </c>
      <c r="AS23">
        <v>1</v>
      </c>
      <c r="AT23">
        <v>4</v>
      </c>
      <c r="AU23">
        <v>4.1875200000000001</v>
      </c>
      <c r="AW23" t="s">
        <v>114</v>
      </c>
      <c r="AX23">
        <v>160</v>
      </c>
      <c r="AY23">
        <f t="shared" si="0"/>
        <v>2.8570400403042013</v>
      </c>
      <c r="BA23">
        <f t="shared" si="1"/>
        <v>2.9376337307045701</v>
      </c>
    </row>
    <row r="24" spans="1:53" x14ac:dyDescent="0.25">
      <c r="A24">
        <v>25728</v>
      </c>
      <c r="B24">
        <v>192</v>
      </c>
      <c r="C24">
        <v>1</v>
      </c>
      <c r="D24">
        <v>16</v>
      </c>
      <c r="E24">
        <v>10.7842</v>
      </c>
      <c r="G24">
        <v>25728</v>
      </c>
      <c r="H24">
        <v>192</v>
      </c>
      <c r="I24">
        <v>1</v>
      </c>
      <c r="J24">
        <v>16</v>
      </c>
      <c r="K24">
        <v>12.1508</v>
      </c>
      <c r="M24">
        <v>12864</v>
      </c>
      <c r="N24">
        <v>192</v>
      </c>
      <c r="O24">
        <v>1</v>
      </c>
      <c r="P24">
        <v>4</v>
      </c>
      <c r="Q24">
        <v>4.1167800000000003</v>
      </c>
      <c r="S24">
        <v>12864</v>
      </c>
      <c r="T24">
        <v>192</v>
      </c>
      <c r="U24">
        <v>1</v>
      </c>
      <c r="V24">
        <v>4</v>
      </c>
      <c r="W24">
        <v>4.2587799999999998</v>
      </c>
      <c r="Y24">
        <v>25728</v>
      </c>
      <c r="Z24">
        <v>192</v>
      </c>
      <c r="AA24">
        <v>2</v>
      </c>
      <c r="AB24">
        <v>8</v>
      </c>
      <c r="AC24">
        <v>12.1928</v>
      </c>
      <c r="AE24">
        <v>25728</v>
      </c>
      <c r="AF24">
        <v>192</v>
      </c>
      <c r="AG24">
        <v>2</v>
      </c>
      <c r="AH24">
        <v>8</v>
      </c>
      <c r="AI24">
        <v>12.388999999999999</v>
      </c>
      <c r="AK24">
        <v>12864</v>
      </c>
      <c r="AL24">
        <v>192</v>
      </c>
      <c r="AM24">
        <v>2</v>
      </c>
      <c r="AN24">
        <v>2</v>
      </c>
      <c r="AO24">
        <v>4.2934600000000005</v>
      </c>
      <c r="AQ24">
        <v>12864</v>
      </c>
      <c r="AR24">
        <v>192</v>
      </c>
      <c r="AS24">
        <v>1</v>
      </c>
      <c r="AT24">
        <v>4</v>
      </c>
      <c r="AU24">
        <v>4.2587799999999998</v>
      </c>
      <c r="AW24" t="s">
        <v>114</v>
      </c>
      <c r="AX24">
        <v>192</v>
      </c>
      <c r="AY24">
        <f t="shared" si="0"/>
        <v>2.8398541036832761</v>
      </c>
      <c r="BA24">
        <f t="shared" si="1"/>
        <v>2.9090490703910508</v>
      </c>
    </row>
    <row r="25" spans="1:53" x14ac:dyDescent="0.25">
      <c r="A25">
        <v>25728</v>
      </c>
      <c r="B25">
        <v>224</v>
      </c>
      <c r="C25">
        <v>1</v>
      </c>
      <c r="D25">
        <v>16</v>
      </c>
      <c r="E25">
        <v>10.721399999999999</v>
      </c>
      <c r="G25">
        <v>25728</v>
      </c>
      <c r="H25">
        <v>224</v>
      </c>
      <c r="I25">
        <v>1</v>
      </c>
      <c r="J25">
        <v>16</v>
      </c>
      <c r="K25">
        <v>11.847</v>
      </c>
      <c r="M25">
        <v>12864</v>
      </c>
      <c r="N25">
        <v>224</v>
      </c>
      <c r="O25">
        <v>1</v>
      </c>
      <c r="P25">
        <v>4</v>
      </c>
      <c r="Q25">
        <v>4.09856</v>
      </c>
      <c r="S25">
        <v>12864</v>
      </c>
      <c r="T25">
        <v>224</v>
      </c>
      <c r="U25">
        <v>1</v>
      </c>
      <c r="V25">
        <v>4</v>
      </c>
      <c r="W25">
        <v>4.2297400000000005</v>
      </c>
      <c r="Y25">
        <v>25728</v>
      </c>
      <c r="Z25">
        <v>224</v>
      </c>
      <c r="AA25">
        <v>2</v>
      </c>
      <c r="AB25">
        <v>8</v>
      </c>
      <c r="AC25">
        <v>12.022</v>
      </c>
      <c r="AE25">
        <v>25728</v>
      </c>
      <c r="AF25">
        <v>224</v>
      </c>
      <c r="AG25">
        <v>2</v>
      </c>
      <c r="AH25">
        <v>8</v>
      </c>
      <c r="AI25">
        <v>12.178599999999999</v>
      </c>
      <c r="AK25">
        <v>12864</v>
      </c>
      <c r="AL25">
        <v>224</v>
      </c>
      <c r="AM25">
        <v>2</v>
      </c>
      <c r="AN25">
        <v>2</v>
      </c>
      <c r="AO25">
        <v>4.2693599999999998</v>
      </c>
      <c r="AQ25">
        <v>12864</v>
      </c>
      <c r="AR25">
        <v>224</v>
      </c>
      <c r="AS25">
        <v>1</v>
      </c>
      <c r="AT25">
        <v>4</v>
      </c>
      <c r="AU25">
        <v>4.2297400000000005</v>
      </c>
      <c r="AW25" t="s">
        <v>114</v>
      </c>
      <c r="AX25">
        <v>224</v>
      </c>
      <c r="AY25">
        <f t="shared" si="0"/>
        <v>2.815878726553863</v>
      </c>
      <c r="BA25">
        <f t="shared" si="1"/>
        <v>2.8792786317835133</v>
      </c>
    </row>
    <row r="26" spans="1:53" x14ac:dyDescent="0.25">
      <c r="A26">
        <v>25728</v>
      </c>
      <c r="B26">
        <v>256</v>
      </c>
      <c r="C26">
        <v>1</v>
      </c>
      <c r="D26">
        <v>16</v>
      </c>
      <c r="E26">
        <v>10.6852</v>
      </c>
      <c r="G26">
        <v>25728</v>
      </c>
      <c r="H26">
        <v>256</v>
      </c>
      <c r="I26">
        <v>1</v>
      </c>
      <c r="J26">
        <v>16</v>
      </c>
      <c r="K26">
        <v>11.9488</v>
      </c>
      <c r="M26">
        <v>12864</v>
      </c>
      <c r="N26">
        <v>256</v>
      </c>
      <c r="O26">
        <v>1</v>
      </c>
      <c r="P26">
        <v>4</v>
      </c>
      <c r="Q26">
        <v>4.0521600000000007</v>
      </c>
      <c r="S26">
        <v>12864</v>
      </c>
      <c r="T26">
        <v>256</v>
      </c>
      <c r="U26">
        <v>1</v>
      </c>
      <c r="V26">
        <v>4</v>
      </c>
      <c r="W26">
        <v>4.204559999999999</v>
      </c>
      <c r="Y26">
        <v>25728</v>
      </c>
      <c r="Z26">
        <v>256</v>
      </c>
      <c r="AA26">
        <v>2</v>
      </c>
      <c r="AB26">
        <v>8</v>
      </c>
      <c r="AC26">
        <v>12.046599999999998</v>
      </c>
      <c r="AE26">
        <v>25728</v>
      </c>
      <c r="AF26">
        <v>256</v>
      </c>
      <c r="AG26">
        <v>2</v>
      </c>
      <c r="AH26">
        <v>8</v>
      </c>
      <c r="AI26">
        <v>12.028</v>
      </c>
      <c r="AK26">
        <v>12864</v>
      </c>
      <c r="AL26">
        <v>256</v>
      </c>
      <c r="AM26">
        <v>2</v>
      </c>
      <c r="AN26">
        <v>2</v>
      </c>
      <c r="AO26">
        <v>4.2355999999999998</v>
      </c>
      <c r="AQ26">
        <v>12864</v>
      </c>
      <c r="AR26">
        <v>256</v>
      </c>
      <c r="AS26">
        <v>1</v>
      </c>
      <c r="AT26">
        <v>4</v>
      </c>
      <c r="AU26">
        <v>4.204559999999999</v>
      </c>
      <c r="AW26" t="s">
        <v>114</v>
      </c>
      <c r="AX26">
        <v>256</v>
      </c>
      <c r="AY26">
        <f t="shared" si="0"/>
        <v>2.8441307016715456</v>
      </c>
      <c r="BA26">
        <f t="shared" si="1"/>
        <v>2.8607036170253255</v>
      </c>
    </row>
    <row r="27" spans="1:53" x14ac:dyDescent="0.25">
      <c r="A27">
        <v>28800</v>
      </c>
      <c r="B27">
        <v>32</v>
      </c>
      <c r="C27">
        <v>2</v>
      </c>
      <c r="D27">
        <v>8</v>
      </c>
      <c r="E27">
        <v>12.209200000000001</v>
      </c>
      <c r="G27">
        <v>28800</v>
      </c>
      <c r="H27">
        <v>32</v>
      </c>
      <c r="I27">
        <v>2</v>
      </c>
      <c r="J27">
        <v>8</v>
      </c>
      <c r="K27">
        <v>12.0282</v>
      </c>
      <c r="M27">
        <v>14400</v>
      </c>
      <c r="N27">
        <v>32</v>
      </c>
      <c r="O27">
        <v>2</v>
      </c>
      <c r="P27">
        <v>2</v>
      </c>
      <c r="Q27">
        <v>3.9259999999999997</v>
      </c>
      <c r="S27">
        <v>14400</v>
      </c>
      <c r="T27">
        <v>32</v>
      </c>
      <c r="U27">
        <v>2</v>
      </c>
      <c r="V27">
        <v>2</v>
      </c>
      <c r="W27">
        <v>3.7171799999999999</v>
      </c>
    </row>
    <row r="28" spans="1:53" x14ac:dyDescent="0.25">
      <c r="A28">
        <v>28800</v>
      </c>
      <c r="B28">
        <v>64</v>
      </c>
      <c r="C28">
        <v>2</v>
      </c>
      <c r="D28">
        <v>8</v>
      </c>
      <c r="E28">
        <v>13.126200000000001</v>
      </c>
      <c r="G28">
        <v>28800</v>
      </c>
      <c r="H28">
        <v>64</v>
      </c>
      <c r="I28">
        <v>2</v>
      </c>
      <c r="J28">
        <v>8</v>
      </c>
      <c r="K28">
        <v>13.024000000000001</v>
      </c>
      <c r="M28">
        <v>14400</v>
      </c>
      <c r="N28">
        <v>64</v>
      </c>
      <c r="O28">
        <v>2</v>
      </c>
      <c r="P28">
        <v>2</v>
      </c>
      <c r="Q28">
        <v>4.3010399999999995</v>
      </c>
      <c r="S28">
        <v>14400</v>
      </c>
      <c r="T28">
        <v>64</v>
      </c>
      <c r="U28">
        <v>2</v>
      </c>
      <c r="V28">
        <v>2</v>
      </c>
      <c r="W28">
        <v>4.0763000000000007</v>
      </c>
    </row>
    <row r="29" spans="1:53" x14ac:dyDescent="0.25">
      <c r="A29">
        <v>28800</v>
      </c>
      <c r="B29">
        <v>96</v>
      </c>
      <c r="C29">
        <v>2</v>
      </c>
      <c r="D29">
        <v>8</v>
      </c>
      <c r="E29">
        <v>13.460800000000001</v>
      </c>
      <c r="G29">
        <v>28800</v>
      </c>
      <c r="H29">
        <v>96</v>
      </c>
      <c r="I29">
        <v>2</v>
      </c>
      <c r="J29">
        <v>8</v>
      </c>
      <c r="K29">
        <v>13.100800000000001</v>
      </c>
      <c r="M29">
        <v>14400</v>
      </c>
      <c r="N29">
        <v>96</v>
      </c>
      <c r="O29">
        <v>2</v>
      </c>
      <c r="P29">
        <v>2</v>
      </c>
      <c r="Q29">
        <v>4.4801000000000002</v>
      </c>
      <c r="S29">
        <v>14400</v>
      </c>
      <c r="T29">
        <v>96</v>
      </c>
      <c r="U29">
        <v>2</v>
      </c>
      <c r="V29">
        <v>2</v>
      </c>
      <c r="W29">
        <v>4.1349800000000005</v>
      </c>
    </row>
    <row r="30" spans="1:53" x14ac:dyDescent="0.25">
      <c r="A30">
        <v>28800</v>
      </c>
      <c r="B30">
        <v>128</v>
      </c>
      <c r="C30">
        <v>2</v>
      </c>
      <c r="D30">
        <v>8</v>
      </c>
      <c r="E30">
        <v>12.888399999999999</v>
      </c>
      <c r="G30">
        <v>28800</v>
      </c>
      <c r="H30">
        <v>128</v>
      </c>
      <c r="I30">
        <v>2</v>
      </c>
      <c r="J30">
        <v>8</v>
      </c>
      <c r="K30">
        <v>13.039199999999999</v>
      </c>
      <c r="M30">
        <v>14400</v>
      </c>
      <c r="N30">
        <v>128</v>
      </c>
      <c r="O30">
        <v>2</v>
      </c>
      <c r="P30">
        <v>2</v>
      </c>
      <c r="Q30">
        <v>4.3237199999999998</v>
      </c>
      <c r="S30">
        <v>14400</v>
      </c>
      <c r="T30">
        <v>128</v>
      </c>
      <c r="U30">
        <v>2</v>
      </c>
      <c r="V30">
        <v>2</v>
      </c>
      <c r="W30">
        <v>4.1041000000000007</v>
      </c>
    </row>
    <row r="31" spans="1:53" x14ac:dyDescent="0.25">
      <c r="A31">
        <v>28800</v>
      </c>
      <c r="B31">
        <v>160</v>
      </c>
      <c r="C31">
        <v>2</v>
      </c>
      <c r="D31">
        <v>8</v>
      </c>
      <c r="E31">
        <v>12.3622</v>
      </c>
      <c r="G31">
        <v>28800</v>
      </c>
      <c r="H31">
        <v>160</v>
      </c>
      <c r="I31">
        <v>2</v>
      </c>
      <c r="J31">
        <v>8</v>
      </c>
      <c r="K31">
        <v>13.102</v>
      </c>
      <c r="M31">
        <v>14400</v>
      </c>
      <c r="N31">
        <v>160</v>
      </c>
      <c r="O31">
        <v>2</v>
      </c>
      <c r="P31">
        <v>2</v>
      </c>
      <c r="Q31">
        <v>4.2036199999999999</v>
      </c>
      <c r="S31">
        <v>14400</v>
      </c>
      <c r="T31">
        <v>160</v>
      </c>
      <c r="U31">
        <v>2</v>
      </c>
      <c r="V31">
        <v>2</v>
      </c>
      <c r="W31">
        <v>4.159460000000001</v>
      </c>
    </row>
    <row r="32" spans="1:53" x14ac:dyDescent="0.25">
      <c r="A32">
        <v>28800</v>
      </c>
      <c r="B32">
        <v>192</v>
      </c>
      <c r="C32">
        <v>2</v>
      </c>
      <c r="D32">
        <v>8</v>
      </c>
      <c r="E32">
        <v>12.6652</v>
      </c>
      <c r="G32">
        <v>28800</v>
      </c>
      <c r="H32">
        <v>192</v>
      </c>
      <c r="I32">
        <v>2</v>
      </c>
      <c r="J32">
        <v>8</v>
      </c>
      <c r="K32">
        <v>13.0482</v>
      </c>
      <c r="M32">
        <v>14400</v>
      </c>
      <c r="N32">
        <v>192</v>
      </c>
      <c r="O32">
        <v>2</v>
      </c>
      <c r="P32">
        <v>2</v>
      </c>
      <c r="Q32">
        <v>4.3334600000000005</v>
      </c>
      <c r="S32">
        <v>14400</v>
      </c>
      <c r="T32">
        <v>192</v>
      </c>
      <c r="U32">
        <v>2</v>
      </c>
      <c r="V32">
        <v>2</v>
      </c>
      <c r="W32">
        <v>4.1398799999999998</v>
      </c>
    </row>
    <row r="33" spans="1:23" x14ac:dyDescent="0.25">
      <c r="A33">
        <v>28800</v>
      </c>
      <c r="B33">
        <v>224</v>
      </c>
      <c r="C33">
        <v>2</v>
      </c>
      <c r="D33">
        <v>8</v>
      </c>
      <c r="E33">
        <v>12.555800000000001</v>
      </c>
      <c r="G33">
        <v>28800</v>
      </c>
      <c r="H33">
        <v>224</v>
      </c>
      <c r="I33">
        <v>2</v>
      </c>
      <c r="J33">
        <v>8</v>
      </c>
      <c r="K33">
        <v>12.756600000000001</v>
      </c>
      <c r="M33">
        <v>14400</v>
      </c>
      <c r="N33">
        <v>224</v>
      </c>
      <c r="O33">
        <v>2</v>
      </c>
      <c r="P33">
        <v>2</v>
      </c>
      <c r="Q33">
        <v>4.25624</v>
      </c>
      <c r="S33">
        <v>14400</v>
      </c>
      <c r="T33">
        <v>224</v>
      </c>
      <c r="U33">
        <v>2</v>
      </c>
      <c r="V33">
        <v>2</v>
      </c>
      <c r="W33">
        <v>4.0967199999999995</v>
      </c>
    </row>
    <row r="34" spans="1:23" x14ac:dyDescent="0.25">
      <c r="A34">
        <v>28800</v>
      </c>
      <c r="B34">
        <v>256</v>
      </c>
      <c r="C34">
        <v>2</v>
      </c>
      <c r="D34">
        <v>8</v>
      </c>
      <c r="E34">
        <v>12.562999999999999</v>
      </c>
      <c r="G34">
        <v>28800</v>
      </c>
      <c r="H34">
        <v>256</v>
      </c>
      <c r="I34">
        <v>2</v>
      </c>
      <c r="J34">
        <v>8</v>
      </c>
      <c r="K34">
        <v>12.6668</v>
      </c>
      <c r="M34">
        <v>14400</v>
      </c>
      <c r="N34">
        <v>256</v>
      </c>
      <c r="O34">
        <v>2</v>
      </c>
      <c r="P34">
        <v>2</v>
      </c>
      <c r="Q34">
        <v>4.2256200000000002</v>
      </c>
      <c r="S34">
        <v>14400</v>
      </c>
      <c r="T34">
        <v>256</v>
      </c>
      <c r="U34">
        <v>2</v>
      </c>
      <c r="V34">
        <v>2</v>
      </c>
      <c r="W34">
        <v>4.0524399999999998</v>
      </c>
    </row>
    <row r="35" spans="1:23" x14ac:dyDescent="0.25">
      <c r="A35">
        <v>27264</v>
      </c>
      <c r="B35">
        <v>32</v>
      </c>
      <c r="C35">
        <v>2</v>
      </c>
      <c r="D35">
        <v>8</v>
      </c>
      <c r="E35">
        <v>11.894600000000001</v>
      </c>
      <c r="G35">
        <v>27264</v>
      </c>
      <c r="H35">
        <v>32</v>
      </c>
      <c r="I35">
        <v>2</v>
      </c>
      <c r="J35">
        <v>8</v>
      </c>
      <c r="K35">
        <v>11.6762</v>
      </c>
      <c r="M35">
        <v>13632</v>
      </c>
      <c r="N35">
        <v>32</v>
      </c>
      <c r="O35">
        <v>2</v>
      </c>
      <c r="P35">
        <v>2</v>
      </c>
      <c r="Q35">
        <v>3.89724</v>
      </c>
      <c r="S35">
        <v>13632</v>
      </c>
      <c r="T35">
        <v>32</v>
      </c>
      <c r="U35">
        <v>2</v>
      </c>
      <c r="V35">
        <v>2</v>
      </c>
      <c r="W35">
        <v>3.6387</v>
      </c>
    </row>
    <row r="36" spans="1:23" x14ac:dyDescent="0.25">
      <c r="A36">
        <v>27264</v>
      </c>
      <c r="B36">
        <v>64</v>
      </c>
      <c r="C36">
        <v>2</v>
      </c>
      <c r="D36">
        <v>8</v>
      </c>
      <c r="E36">
        <v>12.737599999999999</v>
      </c>
      <c r="G36">
        <v>27264</v>
      </c>
      <c r="H36">
        <v>64</v>
      </c>
      <c r="I36">
        <v>2</v>
      </c>
      <c r="J36">
        <v>8</v>
      </c>
      <c r="K36">
        <v>12.638400000000001</v>
      </c>
      <c r="M36">
        <v>13632</v>
      </c>
      <c r="N36">
        <v>64</v>
      </c>
      <c r="O36">
        <v>2</v>
      </c>
      <c r="P36">
        <v>2</v>
      </c>
      <c r="Q36">
        <v>4.29148</v>
      </c>
      <c r="S36">
        <v>13632</v>
      </c>
      <c r="T36">
        <v>64</v>
      </c>
      <c r="U36">
        <v>2</v>
      </c>
      <c r="V36">
        <v>2</v>
      </c>
      <c r="W36">
        <v>3.9962399999999993</v>
      </c>
    </row>
    <row r="37" spans="1:23" x14ac:dyDescent="0.25">
      <c r="A37">
        <v>27264</v>
      </c>
      <c r="B37">
        <v>96</v>
      </c>
      <c r="C37">
        <v>2</v>
      </c>
      <c r="D37">
        <v>8</v>
      </c>
      <c r="E37">
        <v>13.113400000000002</v>
      </c>
      <c r="G37">
        <v>27264</v>
      </c>
      <c r="H37">
        <v>96</v>
      </c>
      <c r="I37">
        <v>2</v>
      </c>
      <c r="J37">
        <v>8</v>
      </c>
      <c r="K37">
        <v>12.732800000000001</v>
      </c>
      <c r="M37">
        <v>13632</v>
      </c>
      <c r="N37">
        <v>96</v>
      </c>
      <c r="O37">
        <v>2</v>
      </c>
      <c r="P37">
        <v>2</v>
      </c>
      <c r="Q37">
        <v>4.4370399999999997</v>
      </c>
      <c r="S37">
        <v>13632</v>
      </c>
      <c r="T37">
        <v>96</v>
      </c>
      <c r="U37">
        <v>2</v>
      </c>
      <c r="V37">
        <v>2</v>
      </c>
      <c r="W37">
        <v>4.0605799999999999</v>
      </c>
    </row>
    <row r="38" spans="1:23" x14ac:dyDescent="0.25">
      <c r="A38">
        <v>27264</v>
      </c>
      <c r="B38">
        <v>128</v>
      </c>
      <c r="C38">
        <v>2</v>
      </c>
      <c r="D38">
        <v>8</v>
      </c>
      <c r="E38">
        <v>12.590599999999998</v>
      </c>
      <c r="G38">
        <v>27264</v>
      </c>
      <c r="H38">
        <v>128</v>
      </c>
      <c r="I38">
        <v>2</v>
      </c>
      <c r="J38">
        <v>8</v>
      </c>
      <c r="K38">
        <v>12.635200000000001</v>
      </c>
      <c r="M38">
        <v>13632</v>
      </c>
      <c r="N38">
        <v>128</v>
      </c>
      <c r="O38">
        <v>2</v>
      </c>
      <c r="P38">
        <v>2</v>
      </c>
      <c r="Q38">
        <v>4.33866</v>
      </c>
      <c r="S38">
        <v>13632</v>
      </c>
      <c r="T38">
        <v>128</v>
      </c>
      <c r="U38">
        <v>2</v>
      </c>
      <c r="V38">
        <v>2</v>
      </c>
      <c r="W38">
        <v>4.0388999999999999</v>
      </c>
    </row>
    <row r="39" spans="1:23" x14ac:dyDescent="0.25">
      <c r="A39">
        <v>27264</v>
      </c>
      <c r="B39">
        <v>160</v>
      </c>
      <c r="C39">
        <v>2</v>
      </c>
      <c r="D39">
        <v>8</v>
      </c>
      <c r="E39">
        <v>11.973800000000001</v>
      </c>
      <c r="G39">
        <v>27264</v>
      </c>
      <c r="H39">
        <v>160</v>
      </c>
      <c r="I39">
        <v>2</v>
      </c>
      <c r="J39">
        <v>8</v>
      </c>
      <c r="K39">
        <v>12.708600000000001</v>
      </c>
      <c r="M39">
        <v>13632</v>
      </c>
      <c r="N39">
        <v>160</v>
      </c>
      <c r="O39">
        <v>2</v>
      </c>
      <c r="P39">
        <v>2</v>
      </c>
      <c r="Q39">
        <v>4.1798599999999997</v>
      </c>
      <c r="S39">
        <v>13632</v>
      </c>
      <c r="T39">
        <v>160</v>
      </c>
      <c r="U39">
        <v>2</v>
      </c>
      <c r="V39">
        <v>2</v>
      </c>
      <c r="W39">
        <v>4.0819799999999997</v>
      </c>
    </row>
    <row r="40" spans="1:23" x14ac:dyDescent="0.25">
      <c r="A40">
        <v>27264</v>
      </c>
      <c r="B40">
        <v>192</v>
      </c>
      <c r="C40">
        <v>2</v>
      </c>
      <c r="D40">
        <v>8</v>
      </c>
      <c r="E40">
        <v>12.2774</v>
      </c>
      <c r="G40">
        <v>27264</v>
      </c>
      <c r="H40">
        <v>192</v>
      </c>
      <c r="I40">
        <v>2</v>
      </c>
      <c r="J40">
        <v>8</v>
      </c>
      <c r="K40">
        <v>12.729800000000001</v>
      </c>
      <c r="M40">
        <v>13632</v>
      </c>
      <c r="N40">
        <v>192</v>
      </c>
      <c r="O40">
        <v>2</v>
      </c>
      <c r="P40">
        <v>2</v>
      </c>
      <c r="Q40">
        <v>4.298</v>
      </c>
      <c r="S40">
        <v>13632</v>
      </c>
      <c r="T40">
        <v>192</v>
      </c>
      <c r="U40">
        <v>2</v>
      </c>
      <c r="V40">
        <v>2</v>
      </c>
      <c r="W40">
        <v>4.07064</v>
      </c>
    </row>
    <row r="41" spans="1:23" x14ac:dyDescent="0.25">
      <c r="A41">
        <v>27264</v>
      </c>
      <c r="B41">
        <v>224</v>
      </c>
      <c r="C41">
        <v>2</v>
      </c>
      <c r="D41">
        <v>8</v>
      </c>
      <c r="E41">
        <v>12.329200000000002</v>
      </c>
      <c r="G41">
        <v>27264</v>
      </c>
      <c r="H41">
        <v>224</v>
      </c>
      <c r="I41">
        <v>2</v>
      </c>
      <c r="J41">
        <v>8</v>
      </c>
      <c r="K41">
        <v>12.4742</v>
      </c>
      <c r="M41">
        <v>13632</v>
      </c>
      <c r="N41">
        <v>224</v>
      </c>
      <c r="O41">
        <v>2</v>
      </c>
      <c r="P41">
        <v>2</v>
      </c>
      <c r="Q41">
        <v>4.2614400000000003</v>
      </c>
      <c r="S41">
        <v>13632</v>
      </c>
      <c r="T41">
        <v>224</v>
      </c>
      <c r="U41">
        <v>2</v>
      </c>
      <c r="V41">
        <v>2</v>
      </c>
      <c r="W41">
        <v>3.9842199999999997</v>
      </c>
    </row>
    <row r="42" spans="1:23" x14ac:dyDescent="0.25">
      <c r="A42">
        <v>27264</v>
      </c>
      <c r="B42">
        <v>256</v>
      </c>
      <c r="C42">
        <v>2</v>
      </c>
      <c r="D42">
        <v>8</v>
      </c>
      <c r="E42">
        <v>12.130599999999999</v>
      </c>
      <c r="G42">
        <v>27264</v>
      </c>
      <c r="H42">
        <v>256</v>
      </c>
      <c r="I42">
        <v>2</v>
      </c>
      <c r="J42">
        <v>8</v>
      </c>
      <c r="K42">
        <v>12.323399999999999</v>
      </c>
      <c r="M42">
        <v>13632</v>
      </c>
      <c r="N42">
        <v>256</v>
      </c>
      <c r="O42">
        <v>2</v>
      </c>
      <c r="P42">
        <v>2</v>
      </c>
      <c r="Q42">
        <v>4.2350000000000003</v>
      </c>
      <c r="S42">
        <v>13632</v>
      </c>
      <c r="T42">
        <v>256</v>
      </c>
      <c r="U42">
        <v>2</v>
      </c>
      <c r="V42">
        <v>2</v>
      </c>
      <c r="W42">
        <v>3.9777399999999998</v>
      </c>
    </row>
    <row r="43" spans="1:23" x14ac:dyDescent="0.25">
      <c r="A43">
        <v>25728</v>
      </c>
      <c r="B43">
        <v>32</v>
      </c>
      <c r="C43">
        <v>2</v>
      </c>
      <c r="D43">
        <v>8</v>
      </c>
      <c r="E43">
        <v>11.886000000000001</v>
      </c>
      <c r="G43">
        <v>25728</v>
      </c>
      <c r="H43">
        <v>32</v>
      </c>
      <c r="I43">
        <v>2</v>
      </c>
      <c r="J43">
        <v>8</v>
      </c>
      <c r="K43">
        <v>11.354800000000001</v>
      </c>
      <c r="M43">
        <v>12864</v>
      </c>
      <c r="N43">
        <v>32</v>
      </c>
      <c r="O43">
        <v>2</v>
      </c>
      <c r="P43">
        <v>2</v>
      </c>
      <c r="Q43">
        <v>3.9397000000000006</v>
      </c>
      <c r="S43">
        <v>12864</v>
      </c>
      <c r="T43">
        <v>32</v>
      </c>
      <c r="U43">
        <v>2</v>
      </c>
      <c r="V43">
        <v>2</v>
      </c>
      <c r="W43">
        <v>3.5679799999999999</v>
      </c>
    </row>
    <row r="44" spans="1:23" x14ac:dyDescent="0.25">
      <c r="A44">
        <v>25728</v>
      </c>
      <c r="B44">
        <v>64</v>
      </c>
      <c r="C44">
        <v>2</v>
      </c>
      <c r="D44">
        <v>8</v>
      </c>
      <c r="E44">
        <v>12.7136</v>
      </c>
      <c r="G44">
        <v>25728</v>
      </c>
      <c r="H44">
        <v>64</v>
      </c>
      <c r="I44">
        <v>2</v>
      </c>
      <c r="J44">
        <v>8</v>
      </c>
      <c r="K44">
        <v>12.3344</v>
      </c>
      <c r="M44">
        <v>12864</v>
      </c>
      <c r="N44">
        <v>64</v>
      </c>
      <c r="O44">
        <v>2</v>
      </c>
      <c r="P44">
        <v>2</v>
      </c>
      <c r="Q44">
        <v>4.3160800000000004</v>
      </c>
      <c r="S44">
        <v>12864</v>
      </c>
      <c r="T44">
        <v>64</v>
      </c>
      <c r="U44">
        <v>2</v>
      </c>
      <c r="V44">
        <v>2</v>
      </c>
      <c r="W44">
        <v>3.9026199999999998</v>
      </c>
    </row>
    <row r="45" spans="1:23" x14ac:dyDescent="0.25">
      <c r="A45">
        <v>25728</v>
      </c>
      <c r="B45">
        <v>96</v>
      </c>
      <c r="C45">
        <v>2</v>
      </c>
      <c r="D45">
        <v>8</v>
      </c>
      <c r="E45">
        <v>13.0114</v>
      </c>
      <c r="G45">
        <v>25728</v>
      </c>
      <c r="H45">
        <v>96</v>
      </c>
      <c r="I45">
        <v>2</v>
      </c>
      <c r="J45">
        <v>8</v>
      </c>
      <c r="K45">
        <v>12.3668</v>
      </c>
      <c r="M45">
        <v>12864</v>
      </c>
      <c r="N45">
        <v>96</v>
      </c>
      <c r="O45">
        <v>2</v>
      </c>
      <c r="P45">
        <v>2</v>
      </c>
      <c r="Q45">
        <v>4.4529000000000005</v>
      </c>
      <c r="S45">
        <v>12864</v>
      </c>
      <c r="T45">
        <v>96</v>
      </c>
      <c r="U45">
        <v>2</v>
      </c>
      <c r="V45">
        <v>2</v>
      </c>
      <c r="W45">
        <v>3.9684799999999996</v>
      </c>
    </row>
    <row r="46" spans="1:23" x14ac:dyDescent="0.25">
      <c r="A46">
        <v>25728</v>
      </c>
      <c r="B46">
        <v>128</v>
      </c>
      <c r="C46">
        <v>2</v>
      </c>
      <c r="D46">
        <v>8</v>
      </c>
      <c r="E46">
        <v>12.455599999999999</v>
      </c>
      <c r="G46">
        <v>25728</v>
      </c>
      <c r="H46">
        <v>128</v>
      </c>
      <c r="I46">
        <v>2</v>
      </c>
      <c r="J46">
        <v>8</v>
      </c>
      <c r="K46">
        <v>12.3644</v>
      </c>
      <c r="M46">
        <v>12864</v>
      </c>
      <c r="N46">
        <v>128</v>
      </c>
      <c r="O46">
        <v>2</v>
      </c>
      <c r="P46">
        <v>2</v>
      </c>
      <c r="Q46">
        <v>4.3564999999999996</v>
      </c>
      <c r="S46">
        <v>12864</v>
      </c>
      <c r="T46">
        <v>128</v>
      </c>
      <c r="U46">
        <v>2</v>
      </c>
      <c r="V46">
        <v>2</v>
      </c>
      <c r="W46">
        <v>3.9404599999999994</v>
      </c>
    </row>
    <row r="47" spans="1:23" x14ac:dyDescent="0.25">
      <c r="A47">
        <v>25728</v>
      </c>
      <c r="B47">
        <v>160</v>
      </c>
      <c r="C47">
        <v>2</v>
      </c>
      <c r="D47">
        <v>8</v>
      </c>
      <c r="E47">
        <v>11.909000000000001</v>
      </c>
      <c r="G47">
        <v>25728</v>
      </c>
      <c r="H47">
        <v>160</v>
      </c>
      <c r="I47">
        <v>2</v>
      </c>
      <c r="J47">
        <v>8</v>
      </c>
      <c r="K47">
        <v>12.301400000000001</v>
      </c>
      <c r="M47">
        <v>12864</v>
      </c>
      <c r="N47">
        <v>160</v>
      </c>
      <c r="O47">
        <v>2</v>
      </c>
      <c r="P47">
        <v>2</v>
      </c>
      <c r="Q47">
        <v>4.1682999999999995</v>
      </c>
      <c r="S47">
        <v>12864</v>
      </c>
      <c r="T47">
        <v>160</v>
      </c>
      <c r="U47">
        <v>2</v>
      </c>
      <c r="V47">
        <v>2</v>
      </c>
      <c r="W47">
        <v>3.9776199999999995</v>
      </c>
    </row>
    <row r="48" spans="1:23" x14ac:dyDescent="0.25">
      <c r="A48">
        <v>25728</v>
      </c>
      <c r="B48">
        <v>192</v>
      </c>
      <c r="C48">
        <v>2</v>
      </c>
      <c r="D48">
        <v>8</v>
      </c>
      <c r="E48">
        <v>12.1928</v>
      </c>
      <c r="G48">
        <v>25728</v>
      </c>
      <c r="H48">
        <v>192</v>
      </c>
      <c r="I48">
        <v>2</v>
      </c>
      <c r="J48">
        <v>8</v>
      </c>
      <c r="K48">
        <v>12.388999999999999</v>
      </c>
      <c r="M48">
        <v>12864</v>
      </c>
      <c r="N48">
        <v>192</v>
      </c>
      <c r="O48">
        <v>2</v>
      </c>
      <c r="P48">
        <v>2</v>
      </c>
      <c r="Q48">
        <v>4.2934600000000005</v>
      </c>
      <c r="S48">
        <v>12864</v>
      </c>
      <c r="T48">
        <v>192</v>
      </c>
      <c r="U48">
        <v>2</v>
      </c>
      <c r="V48">
        <v>2</v>
      </c>
      <c r="W48">
        <v>3.9741399999999998</v>
      </c>
    </row>
    <row r="49" spans="1:23" x14ac:dyDescent="0.25">
      <c r="A49">
        <v>25728</v>
      </c>
      <c r="B49">
        <v>224</v>
      </c>
      <c r="C49">
        <v>2</v>
      </c>
      <c r="D49">
        <v>8</v>
      </c>
      <c r="E49">
        <v>12.022</v>
      </c>
      <c r="G49">
        <v>25728</v>
      </c>
      <c r="H49">
        <v>224</v>
      </c>
      <c r="I49">
        <v>2</v>
      </c>
      <c r="J49">
        <v>8</v>
      </c>
      <c r="K49">
        <v>12.178599999999999</v>
      </c>
      <c r="M49">
        <v>12864</v>
      </c>
      <c r="N49">
        <v>224</v>
      </c>
      <c r="O49">
        <v>2</v>
      </c>
      <c r="P49">
        <v>2</v>
      </c>
      <c r="Q49">
        <v>4.2693599999999998</v>
      </c>
      <c r="S49">
        <v>12864</v>
      </c>
      <c r="T49">
        <v>224</v>
      </c>
      <c r="U49">
        <v>2</v>
      </c>
      <c r="V49">
        <v>2</v>
      </c>
      <c r="W49">
        <v>3.9180000000000001</v>
      </c>
    </row>
    <row r="50" spans="1:23" x14ac:dyDescent="0.25">
      <c r="A50">
        <v>25728</v>
      </c>
      <c r="B50">
        <v>256</v>
      </c>
      <c r="C50">
        <v>2</v>
      </c>
      <c r="D50">
        <v>8</v>
      </c>
      <c r="E50">
        <v>12.046599999999998</v>
      </c>
      <c r="G50">
        <v>25728</v>
      </c>
      <c r="H50">
        <v>256</v>
      </c>
      <c r="I50">
        <v>2</v>
      </c>
      <c r="J50">
        <v>8</v>
      </c>
      <c r="K50">
        <v>12.028</v>
      </c>
      <c r="M50">
        <v>12864</v>
      </c>
      <c r="N50">
        <v>256</v>
      </c>
      <c r="O50">
        <v>2</v>
      </c>
      <c r="P50">
        <v>2</v>
      </c>
      <c r="Q50">
        <v>4.2355999999999998</v>
      </c>
      <c r="S50">
        <v>12864</v>
      </c>
      <c r="T50">
        <v>256</v>
      </c>
      <c r="U50">
        <v>2</v>
      </c>
      <c r="V50">
        <v>2</v>
      </c>
      <c r="W50">
        <v>3.8787600000000007</v>
      </c>
    </row>
    <row r="51" spans="1:23" x14ac:dyDescent="0.25">
      <c r="A51">
        <v>28800</v>
      </c>
      <c r="B51">
        <v>32</v>
      </c>
      <c r="C51">
        <v>4</v>
      </c>
      <c r="D51">
        <v>4</v>
      </c>
      <c r="E51">
        <v>10.403400000000001</v>
      </c>
      <c r="G51">
        <v>28800</v>
      </c>
      <c r="H51">
        <v>32</v>
      </c>
      <c r="I51">
        <v>4</v>
      </c>
      <c r="J51">
        <v>4</v>
      </c>
      <c r="K51">
        <v>10.4236</v>
      </c>
    </row>
    <row r="52" spans="1:23" x14ac:dyDescent="0.25">
      <c r="A52">
        <v>28800</v>
      </c>
      <c r="B52">
        <v>64</v>
      </c>
      <c r="C52">
        <v>4</v>
      </c>
      <c r="D52">
        <v>4</v>
      </c>
      <c r="E52">
        <v>10.943199999999999</v>
      </c>
      <c r="G52">
        <v>28800</v>
      </c>
      <c r="H52">
        <v>64</v>
      </c>
      <c r="I52">
        <v>4</v>
      </c>
      <c r="J52">
        <v>4</v>
      </c>
      <c r="K52">
        <v>11.005799999999999</v>
      </c>
    </row>
    <row r="53" spans="1:23" x14ac:dyDescent="0.25">
      <c r="A53">
        <v>28800</v>
      </c>
      <c r="B53">
        <v>96</v>
      </c>
      <c r="C53">
        <v>4</v>
      </c>
      <c r="D53">
        <v>4</v>
      </c>
      <c r="E53">
        <v>11.3306</v>
      </c>
      <c r="G53">
        <v>28800</v>
      </c>
      <c r="H53">
        <v>96</v>
      </c>
      <c r="I53">
        <v>4</v>
      </c>
      <c r="J53">
        <v>4</v>
      </c>
      <c r="K53">
        <v>11.092599999999999</v>
      </c>
    </row>
    <row r="54" spans="1:23" x14ac:dyDescent="0.25">
      <c r="A54">
        <v>28800</v>
      </c>
      <c r="B54">
        <v>128</v>
      </c>
      <c r="C54">
        <v>4</v>
      </c>
      <c r="D54">
        <v>4</v>
      </c>
      <c r="E54">
        <v>11.0824</v>
      </c>
      <c r="G54">
        <v>28800</v>
      </c>
      <c r="H54">
        <v>128</v>
      </c>
      <c r="I54">
        <v>4</v>
      </c>
      <c r="J54">
        <v>4</v>
      </c>
      <c r="K54">
        <v>11.082399999999998</v>
      </c>
    </row>
    <row r="55" spans="1:23" x14ac:dyDescent="0.25">
      <c r="A55">
        <v>28800</v>
      </c>
      <c r="B55">
        <v>160</v>
      </c>
      <c r="C55">
        <v>4</v>
      </c>
      <c r="D55">
        <v>4</v>
      </c>
      <c r="E55">
        <v>10.8582</v>
      </c>
      <c r="G55">
        <v>28800</v>
      </c>
      <c r="H55">
        <v>160</v>
      </c>
      <c r="I55">
        <v>4</v>
      </c>
      <c r="J55">
        <v>4</v>
      </c>
      <c r="K55">
        <v>11.077400000000001</v>
      </c>
    </row>
    <row r="56" spans="1:23" x14ac:dyDescent="0.25">
      <c r="A56">
        <v>28800</v>
      </c>
      <c r="B56">
        <v>192</v>
      </c>
      <c r="C56">
        <v>4</v>
      </c>
      <c r="D56">
        <v>4</v>
      </c>
      <c r="E56">
        <v>10.973600000000001</v>
      </c>
      <c r="G56">
        <v>28800</v>
      </c>
      <c r="H56">
        <v>192</v>
      </c>
      <c r="I56">
        <v>4</v>
      </c>
      <c r="J56">
        <v>4</v>
      </c>
      <c r="K56">
        <v>11.033799999999999</v>
      </c>
    </row>
    <row r="57" spans="1:23" x14ac:dyDescent="0.25">
      <c r="A57">
        <v>28800</v>
      </c>
      <c r="B57">
        <v>224</v>
      </c>
      <c r="C57">
        <v>4</v>
      </c>
      <c r="D57">
        <v>4</v>
      </c>
      <c r="E57">
        <v>10.823600000000001</v>
      </c>
      <c r="G57">
        <v>28800</v>
      </c>
      <c r="H57">
        <v>224</v>
      </c>
      <c r="I57">
        <v>4</v>
      </c>
      <c r="J57">
        <v>4</v>
      </c>
      <c r="K57">
        <v>10.860000000000001</v>
      </c>
    </row>
    <row r="58" spans="1:23" x14ac:dyDescent="0.25">
      <c r="A58">
        <v>28800</v>
      </c>
      <c r="B58">
        <v>256</v>
      </c>
      <c r="C58">
        <v>4</v>
      </c>
      <c r="D58">
        <v>4</v>
      </c>
      <c r="E58">
        <v>10.750800000000002</v>
      </c>
      <c r="G58">
        <v>28800</v>
      </c>
      <c r="H58">
        <v>256</v>
      </c>
      <c r="I58">
        <v>4</v>
      </c>
      <c r="J58">
        <v>4</v>
      </c>
      <c r="K58">
        <v>10.813800000000001</v>
      </c>
    </row>
    <row r="59" spans="1:23" x14ac:dyDescent="0.25">
      <c r="A59">
        <v>27264</v>
      </c>
      <c r="B59">
        <v>32</v>
      </c>
      <c r="C59">
        <v>4</v>
      </c>
      <c r="D59">
        <v>4</v>
      </c>
      <c r="E59">
        <v>10.132399999999999</v>
      </c>
      <c r="G59">
        <v>27264</v>
      </c>
      <c r="H59">
        <v>32</v>
      </c>
      <c r="I59">
        <v>4</v>
      </c>
      <c r="J59">
        <v>4</v>
      </c>
      <c r="K59">
        <v>10.092000000000002</v>
      </c>
    </row>
    <row r="60" spans="1:23" x14ac:dyDescent="0.25">
      <c r="A60">
        <v>27264</v>
      </c>
      <c r="B60">
        <v>64</v>
      </c>
      <c r="C60">
        <v>4</v>
      </c>
      <c r="D60">
        <v>4</v>
      </c>
      <c r="E60">
        <v>10.723800000000001</v>
      </c>
      <c r="G60">
        <v>27264</v>
      </c>
      <c r="H60">
        <v>64</v>
      </c>
      <c r="I60">
        <v>4</v>
      </c>
      <c r="J60">
        <v>4</v>
      </c>
      <c r="K60">
        <v>10.6408</v>
      </c>
    </row>
    <row r="61" spans="1:23" x14ac:dyDescent="0.25">
      <c r="A61">
        <v>27264</v>
      </c>
      <c r="B61">
        <v>96</v>
      </c>
      <c r="C61">
        <v>4</v>
      </c>
      <c r="D61">
        <v>4</v>
      </c>
      <c r="E61">
        <v>11.008799999999999</v>
      </c>
      <c r="G61">
        <v>27264</v>
      </c>
      <c r="H61">
        <v>96</v>
      </c>
      <c r="I61">
        <v>4</v>
      </c>
      <c r="J61">
        <v>4</v>
      </c>
      <c r="K61">
        <v>10.7628</v>
      </c>
    </row>
    <row r="62" spans="1:23" x14ac:dyDescent="0.25">
      <c r="A62">
        <v>27264</v>
      </c>
      <c r="B62">
        <v>128</v>
      </c>
      <c r="C62">
        <v>4</v>
      </c>
      <c r="D62">
        <v>4</v>
      </c>
      <c r="E62">
        <v>10.8546</v>
      </c>
      <c r="G62">
        <v>27264</v>
      </c>
      <c r="H62">
        <v>128</v>
      </c>
      <c r="I62">
        <v>4</v>
      </c>
      <c r="J62">
        <v>4</v>
      </c>
      <c r="K62">
        <v>10.757200000000001</v>
      </c>
    </row>
    <row r="63" spans="1:23" x14ac:dyDescent="0.25">
      <c r="A63">
        <v>27264</v>
      </c>
      <c r="B63">
        <v>160</v>
      </c>
      <c r="C63">
        <v>4</v>
      </c>
      <c r="D63">
        <v>4</v>
      </c>
      <c r="E63">
        <v>10.591800000000001</v>
      </c>
      <c r="G63">
        <v>27264</v>
      </c>
      <c r="H63">
        <v>160</v>
      </c>
      <c r="I63">
        <v>4</v>
      </c>
      <c r="J63">
        <v>4</v>
      </c>
      <c r="K63">
        <v>10.814400000000001</v>
      </c>
    </row>
    <row r="64" spans="1:23" x14ac:dyDescent="0.25">
      <c r="A64">
        <v>27264</v>
      </c>
      <c r="B64">
        <v>192</v>
      </c>
      <c r="C64">
        <v>4</v>
      </c>
      <c r="D64">
        <v>4</v>
      </c>
      <c r="E64">
        <v>10.7042</v>
      </c>
      <c r="G64">
        <v>27264</v>
      </c>
      <c r="H64">
        <v>192</v>
      </c>
      <c r="I64">
        <v>4</v>
      </c>
      <c r="J64">
        <v>4</v>
      </c>
      <c r="K64">
        <v>10.745199999999999</v>
      </c>
    </row>
    <row r="65" spans="1:11" x14ac:dyDescent="0.25">
      <c r="A65">
        <v>27264</v>
      </c>
      <c r="B65">
        <v>224</v>
      </c>
      <c r="C65">
        <v>4</v>
      </c>
      <c r="D65">
        <v>4</v>
      </c>
      <c r="E65">
        <v>10.602599999999999</v>
      </c>
      <c r="G65">
        <v>27264</v>
      </c>
      <c r="H65">
        <v>224</v>
      </c>
      <c r="I65">
        <v>4</v>
      </c>
      <c r="J65">
        <v>4</v>
      </c>
      <c r="K65">
        <v>10.5314</v>
      </c>
    </row>
    <row r="66" spans="1:11" x14ac:dyDescent="0.25">
      <c r="A66">
        <v>27264</v>
      </c>
      <c r="B66">
        <v>256</v>
      </c>
      <c r="C66">
        <v>4</v>
      </c>
      <c r="D66">
        <v>4</v>
      </c>
      <c r="E66">
        <v>10.4788</v>
      </c>
      <c r="G66">
        <v>27264</v>
      </c>
      <c r="H66">
        <v>256</v>
      </c>
      <c r="I66">
        <v>4</v>
      </c>
      <c r="J66">
        <v>4</v>
      </c>
      <c r="K66">
        <v>10.512600000000001</v>
      </c>
    </row>
    <row r="67" spans="1:11" x14ac:dyDescent="0.25">
      <c r="A67">
        <v>25728</v>
      </c>
      <c r="B67">
        <v>32</v>
      </c>
      <c r="C67">
        <v>4</v>
      </c>
      <c r="D67">
        <v>4</v>
      </c>
      <c r="E67">
        <v>9.9754199999999997</v>
      </c>
      <c r="G67">
        <v>25728</v>
      </c>
      <c r="H67">
        <v>32</v>
      </c>
      <c r="I67">
        <v>4</v>
      </c>
      <c r="J67">
        <v>4</v>
      </c>
      <c r="K67">
        <v>9.7889800000000005</v>
      </c>
    </row>
    <row r="68" spans="1:11" x14ac:dyDescent="0.25">
      <c r="A68">
        <v>25728</v>
      </c>
      <c r="B68">
        <v>64</v>
      </c>
      <c r="C68">
        <v>4</v>
      </c>
      <c r="D68">
        <v>4</v>
      </c>
      <c r="E68">
        <v>10.5442</v>
      </c>
      <c r="G68">
        <v>25728</v>
      </c>
      <c r="H68">
        <v>64</v>
      </c>
      <c r="I68">
        <v>4</v>
      </c>
      <c r="J68">
        <v>4</v>
      </c>
      <c r="K68">
        <v>10.258199999999999</v>
      </c>
    </row>
    <row r="69" spans="1:11" x14ac:dyDescent="0.25">
      <c r="A69">
        <v>25728</v>
      </c>
      <c r="B69">
        <v>96</v>
      </c>
      <c r="C69">
        <v>4</v>
      </c>
      <c r="D69">
        <v>4</v>
      </c>
      <c r="E69">
        <v>10.763400000000001</v>
      </c>
      <c r="G69">
        <v>25728</v>
      </c>
      <c r="H69">
        <v>96</v>
      </c>
      <c r="I69">
        <v>4</v>
      </c>
      <c r="J69">
        <v>4</v>
      </c>
      <c r="K69">
        <v>10.392199999999999</v>
      </c>
    </row>
    <row r="70" spans="1:11" x14ac:dyDescent="0.25">
      <c r="A70">
        <v>25728</v>
      </c>
      <c r="B70">
        <v>128</v>
      </c>
      <c r="C70">
        <v>4</v>
      </c>
      <c r="D70">
        <v>4</v>
      </c>
      <c r="E70">
        <v>10.599399999999999</v>
      </c>
      <c r="G70">
        <v>25728</v>
      </c>
      <c r="H70">
        <v>128</v>
      </c>
      <c r="I70">
        <v>4</v>
      </c>
      <c r="J70">
        <v>4</v>
      </c>
      <c r="K70">
        <v>10.4308</v>
      </c>
    </row>
    <row r="71" spans="1:11" x14ac:dyDescent="0.25">
      <c r="A71">
        <v>25728</v>
      </c>
      <c r="B71">
        <v>160</v>
      </c>
      <c r="C71">
        <v>4</v>
      </c>
      <c r="D71">
        <v>4</v>
      </c>
      <c r="E71">
        <v>10.332800000000001</v>
      </c>
      <c r="G71">
        <v>25728</v>
      </c>
      <c r="H71">
        <v>160</v>
      </c>
      <c r="I71">
        <v>4</v>
      </c>
      <c r="J71">
        <v>4</v>
      </c>
      <c r="K71">
        <v>10.414800000000001</v>
      </c>
    </row>
    <row r="72" spans="1:11" x14ac:dyDescent="0.25">
      <c r="A72">
        <v>25728</v>
      </c>
      <c r="B72">
        <v>192</v>
      </c>
      <c r="C72">
        <v>4</v>
      </c>
      <c r="D72">
        <v>4</v>
      </c>
      <c r="E72">
        <v>10.436600000000002</v>
      </c>
      <c r="G72">
        <v>25728</v>
      </c>
      <c r="H72">
        <v>192</v>
      </c>
      <c r="I72">
        <v>4</v>
      </c>
      <c r="J72">
        <v>4</v>
      </c>
      <c r="K72">
        <v>10.350399999999999</v>
      </c>
    </row>
    <row r="73" spans="1:11" x14ac:dyDescent="0.25">
      <c r="A73">
        <v>25728</v>
      </c>
      <c r="B73">
        <v>224</v>
      </c>
      <c r="C73">
        <v>4</v>
      </c>
      <c r="D73">
        <v>4</v>
      </c>
      <c r="E73">
        <v>10.300800000000001</v>
      </c>
      <c r="G73">
        <v>25728</v>
      </c>
      <c r="H73">
        <v>224</v>
      </c>
      <c r="I73">
        <v>4</v>
      </c>
      <c r="J73">
        <v>4</v>
      </c>
      <c r="K73">
        <v>10.220000000000002</v>
      </c>
    </row>
    <row r="74" spans="1:11" x14ac:dyDescent="0.25">
      <c r="A74">
        <v>25728</v>
      </c>
      <c r="B74">
        <v>256</v>
      </c>
      <c r="C74">
        <v>4</v>
      </c>
      <c r="D74">
        <v>4</v>
      </c>
      <c r="E74">
        <v>10.223800000000001</v>
      </c>
      <c r="G74">
        <v>25728</v>
      </c>
      <c r="H74">
        <v>256</v>
      </c>
      <c r="I74">
        <v>4</v>
      </c>
      <c r="J74">
        <v>4</v>
      </c>
      <c r="K74">
        <v>10.1158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Arch details</vt:lpstr>
      <vt:lpstr>HPL_Builds</vt:lpstr>
      <vt:lpstr>ATLAS builds</vt:lpstr>
      <vt:lpstr>HPL 4 nodes, builds</vt:lpstr>
      <vt:lpstr>1 node, params, RAW</vt:lpstr>
      <vt:lpstr>4 node, params, RAW</vt:lpstr>
      <vt:lpstr>1 node, params</vt:lpstr>
      <vt:lpstr>4 node, params</vt:lpstr>
      <vt:lpstr>Scalability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Zdravko Krpić</dc:creator>
  <cp:keywords/>
  <dc:description/>
  <cp:lastModifiedBy>Zdravko Krpić</cp:lastModifiedBy>
  <cp:revision/>
  <dcterms:created xsi:type="dcterms:W3CDTF">2022-06-10T13:31:47Z</dcterms:created>
  <dcterms:modified xsi:type="dcterms:W3CDTF">2025-02-06T13:19:51Z</dcterms:modified>
  <cp:category/>
  <cp:contentStatus/>
</cp:coreProperties>
</file>