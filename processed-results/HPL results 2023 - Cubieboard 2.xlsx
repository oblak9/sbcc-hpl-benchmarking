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foshr-my.sharepoint.com/personal/krpic_etfos_hr/Documents/Istraživanje/1. SBCC/Results2/"/>
    </mc:Choice>
  </mc:AlternateContent>
  <xr:revisionPtr revIDLastSave="192" documentId="13_ncr:1_{A6250535-8A2B-4A33-8BDA-A9ED26C60A00}" xr6:coauthVersionLast="47" xr6:coauthVersionMax="47" xr10:uidLastSave="{F6C56907-B273-448A-B5B9-D2D64EEB9D1A}"/>
  <bookViews>
    <workbookView xWindow="-105" yWindow="0" windowWidth="38610" windowHeight="20985" activeTab="9" xr2:uid="{A2AD9453-B2DD-442A-8FF6-DE56922957DD}"/>
  </bookViews>
  <sheets>
    <sheet name="4 - node" sheetId="5" r:id="rId1"/>
    <sheet name="Arch details" sheetId="6" r:id="rId2"/>
    <sheet name="HPL_Builds" sheetId="8" r:id="rId3"/>
    <sheet name="ATLAS builds" sheetId="9" r:id="rId4"/>
    <sheet name="HPL 4 nodes, builds" sheetId="12" r:id="rId5"/>
    <sheet name="1 node, params, RAW" sheetId="15" r:id="rId6"/>
    <sheet name="4 node, params, RAW" sheetId="14" r:id="rId7"/>
    <sheet name="1 node, params" sheetId="16" r:id="rId8"/>
    <sheet name="4 node, params" sheetId="17" r:id="rId9"/>
    <sheet name="Scalability analysis" sheetId="1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8" l="1"/>
  <c r="BA26" i="18" l="1"/>
  <c r="AY26" i="18"/>
  <c r="BA25" i="18"/>
  <c r="AY25" i="18"/>
  <c r="BA24" i="18"/>
  <c r="AY24" i="18"/>
  <c r="BA23" i="18"/>
  <c r="AY23" i="18"/>
  <c r="BA22" i="18"/>
  <c r="AY22" i="18"/>
  <c r="BA21" i="18"/>
  <c r="AY21" i="18"/>
  <c r="BA20" i="18"/>
  <c r="AY20" i="18"/>
  <c r="BA19" i="18"/>
  <c r="AY19" i="18"/>
  <c r="BA18" i="18"/>
  <c r="AY18" i="18"/>
  <c r="BA17" i="18"/>
  <c r="AY17" i="18"/>
  <c r="BA16" i="18"/>
  <c r="AY16" i="18"/>
  <c r="BA15" i="18"/>
  <c r="AY15" i="18"/>
  <c r="BA14" i="18"/>
  <c r="AY14" i="18"/>
  <c r="BA13" i="18"/>
  <c r="AY13" i="18"/>
  <c r="BA12" i="18"/>
  <c r="AY12" i="18"/>
  <c r="BA11" i="18"/>
  <c r="AY11" i="18"/>
  <c r="BA10" i="18"/>
  <c r="AY10" i="18"/>
  <c r="BA9" i="18"/>
  <c r="AY9" i="18"/>
  <c r="BA8" i="18"/>
  <c r="AY8" i="18"/>
  <c r="BA7" i="18"/>
  <c r="AY7" i="18"/>
  <c r="BA6" i="18"/>
  <c r="AY6" i="18"/>
  <c r="BA5" i="18"/>
  <c r="AY5" i="18"/>
  <c r="BA4" i="18"/>
  <c r="AY4" i="18"/>
  <c r="BA3" i="18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4" i="16"/>
  <c r="L4" i="9"/>
  <c r="L5" i="9"/>
  <c r="L6" i="9"/>
  <c r="L7" i="9"/>
  <c r="L8" i="9"/>
  <c r="L9" i="9"/>
  <c r="L10" i="9"/>
  <c r="L3" i="9"/>
  <c r="X75" i="12"/>
  <c r="X76" i="12" s="1"/>
  <c r="X77" i="12" s="1"/>
  <c r="X78" i="12" s="1"/>
  <c r="X79" i="12" s="1"/>
  <c r="X70" i="12"/>
  <c r="X71" i="12"/>
  <c r="X72" i="12" s="1"/>
  <c r="X73" i="12" s="1"/>
  <c r="X74" i="12" s="1"/>
  <c r="X80" i="12"/>
  <c r="X81" i="12" s="1"/>
  <c r="X82" i="12" s="1"/>
  <c r="X83" i="12" s="1"/>
  <c r="X84" i="12" s="1"/>
  <c r="X45" i="12"/>
  <c r="X46" i="12" s="1"/>
  <c r="X47" i="12" s="1"/>
  <c r="X48" i="12" s="1"/>
  <c r="X49" i="12" s="1"/>
  <c r="X65" i="12"/>
  <c r="X66" i="12" s="1"/>
  <c r="X67" i="12" s="1"/>
  <c r="X68" i="12" s="1"/>
  <c r="X69" i="12" s="1"/>
  <c r="X60" i="12"/>
  <c r="X61" i="12" s="1"/>
  <c r="X62" i="12" s="1"/>
  <c r="X63" i="12" s="1"/>
  <c r="X64" i="12" s="1"/>
  <c r="X55" i="12"/>
  <c r="X56" i="12" s="1"/>
  <c r="X57" i="12" s="1"/>
  <c r="X58" i="12" s="1"/>
  <c r="X59" i="12" s="1"/>
  <c r="X50" i="12"/>
  <c r="X51" i="12" s="1"/>
  <c r="X52" i="12" s="1"/>
  <c r="X53" i="12" s="1"/>
  <c r="X54" i="12" s="1"/>
  <c r="X19" i="12"/>
  <c r="X20" i="12" s="1"/>
  <c r="X21" i="12" s="1"/>
  <c r="X22" i="12" s="1"/>
  <c r="X23" i="12" s="1"/>
  <c r="X14" i="12"/>
  <c r="X15" i="12" s="1"/>
  <c r="X16" i="12" s="1"/>
  <c r="X17" i="12" s="1"/>
  <c r="X18" i="12" s="1"/>
  <c r="X24" i="12"/>
  <c r="X25" i="12" s="1"/>
  <c r="X26" i="12" s="1"/>
  <c r="X27" i="12" s="1"/>
  <c r="X28" i="12" s="1"/>
  <c r="X4" i="12"/>
  <c r="X5" i="12" s="1"/>
  <c r="X6" i="12" s="1"/>
  <c r="X7" i="12" s="1"/>
  <c r="X8" i="12" s="1"/>
  <c r="X39" i="12"/>
  <c r="X40" i="12" s="1"/>
  <c r="X41" i="12" s="1"/>
  <c r="X42" i="12" s="1"/>
  <c r="X43" i="12" s="1"/>
  <c r="X29" i="12"/>
  <c r="X30" i="12" s="1"/>
  <c r="X31" i="12" s="1"/>
  <c r="X32" i="12" s="1"/>
  <c r="X33" i="12" s="1"/>
  <c r="X34" i="12"/>
  <c r="X35" i="12" s="1"/>
  <c r="X36" i="12" s="1"/>
  <c r="X37" i="12" s="1"/>
  <c r="X38" i="12" s="1"/>
  <c r="X9" i="12"/>
  <c r="X10" i="12" s="1"/>
  <c r="X11" i="12" s="1"/>
  <c r="X12" i="12" s="1"/>
  <c r="X13" i="12" s="1"/>
  <c r="AW29" i="12"/>
  <c r="AW30" i="12" s="1"/>
  <c r="AW31" i="12" s="1"/>
  <c r="AW32" i="12" s="1"/>
  <c r="AW33" i="12" s="1"/>
  <c r="AW39" i="12"/>
  <c r="AW40" i="12" s="1"/>
  <c r="AW41" i="12" s="1"/>
  <c r="AW42" i="12" s="1"/>
  <c r="AW43" i="12" s="1"/>
  <c r="AW4" i="12"/>
  <c r="AW5" i="12" s="1"/>
  <c r="AW6" i="12" s="1"/>
  <c r="AW7" i="12" s="1"/>
  <c r="AW8" i="12" s="1"/>
  <c r="AW19" i="12"/>
  <c r="AW20" i="12" s="1"/>
  <c r="AW21" i="12" s="1"/>
  <c r="AW22" i="12" s="1"/>
  <c r="AW23" i="12" s="1"/>
  <c r="AW14" i="12"/>
  <c r="AW15" i="12"/>
  <c r="AW16" i="12" s="1"/>
  <c r="AW17" i="12" s="1"/>
  <c r="AW18" i="12" s="1"/>
  <c r="AW24" i="12"/>
  <c r="AW25" i="12" s="1"/>
  <c r="AW26" i="12" s="1"/>
  <c r="AW27" i="12" s="1"/>
  <c r="AW28" i="12" s="1"/>
  <c r="AW34" i="12"/>
  <c r="AW35" i="12"/>
  <c r="AW36" i="12" s="1"/>
  <c r="AW37" i="12" s="1"/>
  <c r="AW38" i="12" s="1"/>
  <c r="V12" i="17"/>
  <c r="V20" i="17"/>
  <c r="V28" i="17"/>
  <c r="V36" i="17"/>
  <c r="V44" i="17"/>
  <c r="V5" i="17"/>
  <c r="V13" i="17"/>
  <c r="V21" i="17"/>
  <c r="V29" i="17"/>
  <c r="V37" i="17"/>
  <c r="V45" i="17"/>
  <c r="V6" i="17"/>
  <c r="V14" i="17"/>
  <c r="V22" i="17"/>
  <c r="V30" i="17"/>
  <c r="V38" i="17"/>
  <c r="V46" i="17"/>
  <c r="V7" i="17"/>
  <c r="V15" i="17"/>
  <c r="V23" i="17"/>
  <c r="V31" i="17"/>
  <c r="V39" i="17"/>
  <c r="V47" i="17"/>
  <c r="V8" i="17"/>
  <c r="V16" i="17"/>
  <c r="V24" i="17"/>
  <c r="V32" i="17"/>
  <c r="V40" i="17"/>
  <c r="V48" i="17"/>
  <c r="V9" i="17"/>
  <c r="V17" i="17"/>
  <c r="V25" i="17"/>
  <c r="V33" i="17"/>
  <c r="V41" i="17"/>
  <c r="V49" i="17"/>
  <c r="V10" i="17"/>
  <c r="V18" i="17"/>
  <c r="V26" i="17"/>
  <c r="V34" i="17"/>
  <c r="V42" i="17"/>
  <c r="V50" i="17"/>
  <c r="V11" i="17"/>
  <c r="V19" i="17"/>
  <c r="V27" i="17"/>
  <c r="V35" i="17"/>
  <c r="V43" i="17"/>
  <c r="V51" i="17"/>
  <c r="V4" i="17"/>
  <c r="O12" i="17"/>
  <c r="O20" i="17"/>
  <c r="O28" i="17"/>
  <c r="O36" i="17"/>
  <c r="O44" i="17"/>
  <c r="O5" i="17"/>
  <c r="O13" i="17"/>
  <c r="O21" i="17"/>
  <c r="O29" i="17"/>
  <c r="O37" i="17"/>
  <c r="O45" i="17"/>
  <c r="O6" i="17"/>
  <c r="O14" i="17"/>
  <c r="O22" i="17"/>
  <c r="O30" i="17"/>
  <c r="O38" i="17"/>
  <c r="O46" i="17"/>
  <c r="O7" i="17"/>
  <c r="O15" i="17"/>
  <c r="O23" i="17"/>
  <c r="O31" i="17"/>
  <c r="O39" i="17"/>
  <c r="O47" i="17"/>
  <c r="O8" i="17"/>
  <c r="O16" i="17"/>
  <c r="O24" i="17"/>
  <c r="O32" i="17"/>
  <c r="O40" i="17"/>
  <c r="O48" i="17"/>
  <c r="O9" i="17"/>
  <c r="O17" i="17"/>
  <c r="O25" i="17"/>
  <c r="O33" i="17"/>
  <c r="O41" i="17"/>
  <c r="O49" i="17"/>
  <c r="O10" i="17"/>
  <c r="O18" i="17"/>
  <c r="O26" i="17"/>
  <c r="O34" i="17"/>
  <c r="O42" i="17"/>
  <c r="O50" i="17"/>
  <c r="O11" i="17"/>
  <c r="O19" i="17"/>
  <c r="O27" i="17"/>
  <c r="O35" i="17"/>
  <c r="O43" i="17"/>
  <c r="O51" i="17"/>
  <c r="O4" i="17"/>
  <c r="G4" i="17" l="1" a="1"/>
  <c r="G4" i="17" s="1"/>
  <c r="A4" i="17" a="1"/>
  <c r="A4" i="17" s="1"/>
  <c r="G4" i="16" a="1"/>
  <c r="G4" i="16" s="1"/>
  <c r="A4" i="16" a="1"/>
  <c r="A4" i="16" s="1"/>
  <c r="AA1" i="12"/>
  <c r="AC2" i="12"/>
  <c r="AW9" i="12"/>
  <c r="AW10" i="12" s="1"/>
  <c r="AW11" i="12" s="1"/>
  <c r="AW12" i="12" s="1"/>
  <c r="AW13" i="12" s="1"/>
  <c r="AC19" i="15"/>
  <c r="AC4" i="15"/>
  <c r="N109" i="15"/>
  <c r="N99" i="15"/>
  <c r="N84" i="15"/>
  <c r="N74" i="15"/>
  <c r="N49" i="15"/>
  <c r="N39" i="15"/>
  <c r="N24" i="15"/>
  <c r="N14" i="15"/>
  <c r="C2" i="15"/>
  <c r="AC119" i="15"/>
  <c r="N119" i="15"/>
  <c r="AC114" i="15"/>
  <c r="N114" i="15"/>
  <c r="AC109" i="15"/>
  <c r="AC104" i="15"/>
  <c r="N104" i="15"/>
  <c r="AC99" i="15"/>
  <c r="AC94" i="15"/>
  <c r="N94" i="15"/>
  <c r="AC89" i="15"/>
  <c r="AC84" i="15"/>
  <c r="AC79" i="15"/>
  <c r="N79" i="15"/>
  <c r="AC74" i="15"/>
  <c r="AC69" i="15"/>
  <c r="N69" i="15"/>
  <c r="AC64" i="15"/>
  <c r="N64" i="15"/>
  <c r="AC59" i="15"/>
  <c r="N59" i="15"/>
  <c r="AC54" i="15"/>
  <c r="N54" i="15"/>
  <c r="AC49" i="15"/>
  <c r="AC44" i="15"/>
  <c r="N44" i="15"/>
  <c r="AC39" i="15"/>
  <c r="AC34" i="15"/>
  <c r="N34" i="15"/>
  <c r="AC29" i="15"/>
  <c r="AC24" i="15"/>
  <c r="N19" i="15"/>
  <c r="AC14" i="15"/>
  <c r="AC9" i="15"/>
  <c r="N9" i="15"/>
  <c r="N4" i="15"/>
  <c r="R2" i="15"/>
  <c r="AE1" i="14"/>
  <c r="AF1" i="14"/>
  <c r="AG1" i="14"/>
  <c r="AD1" i="14"/>
  <c r="AU9" i="14"/>
  <c r="AU14" i="14"/>
  <c r="AU19" i="14"/>
  <c r="AU24" i="14"/>
  <c r="AU29" i="14"/>
  <c r="AU34" i="14"/>
  <c r="AU39" i="14"/>
  <c r="AU44" i="14"/>
  <c r="AU49" i="14"/>
  <c r="AU54" i="14"/>
  <c r="AU59" i="14"/>
  <c r="AU64" i="14"/>
  <c r="AU69" i="14"/>
  <c r="AU74" i="14"/>
  <c r="AU79" i="14"/>
  <c r="AU84" i="14"/>
  <c r="AU89" i="14"/>
  <c r="AU94" i="14"/>
  <c r="AU99" i="14"/>
  <c r="AU104" i="14"/>
  <c r="AU109" i="14"/>
  <c r="AU114" i="14"/>
  <c r="AU119" i="14"/>
  <c r="AU124" i="14"/>
  <c r="AU129" i="14"/>
  <c r="AU134" i="14"/>
  <c r="AU139" i="14"/>
  <c r="AU144" i="14"/>
  <c r="AU149" i="14"/>
  <c r="AU154" i="14"/>
  <c r="AU159" i="14"/>
  <c r="AU164" i="14"/>
  <c r="AU169" i="14"/>
  <c r="AU174" i="14"/>
  <c r="AU179" i="14"/>
  <c r="AU184" i="14"/>
  <c r="AU189" i="14"/>
  <c r="AU194" i="14"/>
  <c r="AU199" i="14"/>
  <c r="AU204" i="14"/>
  <c r="AU209" i="14"/>
  <c r="AU214" i="14"/>
  <c r="AU219" i="14"/>
  <c r="AU224" i="14"/>
  <c r="AU229" i="14"/>
  <c r="AU234" i="14"/>
  <c r="AU239" i="14"/>
  <c r="AU4" i="14"/>
  <c r="AA2" i="14"/>
  <c r="D2" i="12"/>
  <c r="J1" i="12"/>
  <c r="I1" i="12"/>
  <c r="H1" i="12"/>
  <c r="G1" i="12"/>
  <c r="AE1" i="12" l="1"/>
  <c r="AI1" i="12"/>
  <c r="AH1" i="12"/>
  <c r="AF1" i="12"/>
  <c r="AG1" i="12"/>
  <c r="B2" i="17"/>
  <c r="A2" i="17"/>
  <c r="E2" i="17"/>
  <c r="H2" i="17"/>
  <c r="I2" i="17"/>
  <c r="D2" i="17"/>
  <c r="J2" i="17"/>
  <c r="C2" i="17"/>
  <c r="G2" i="17"/>
  <c r="K2" i="17"/>
  <c r="B2" i="16"/>
  <c r="A2" i="16"/>
  <c r="E2" i="16"/>
  <c r="H2" i="16"/>
  <c r="I2" i="16"/>
  <c r="J2" i="16"/>
  <c r="C2" i="16"/>
  <c r="D2" i="16"/>
  <c r="K2" i="16"/>
  <c r="G2" i="16"/>
  <c r="X1" i="15"/>
  <c r="W1" i="15"/>
  <c r="N29" i="15"/>
  <c r="N89" i="15"/>
  <c r="V1" i="15"/>
  <c r="T1" i="15"/>
  <c r="U1" i="15"/>
  <c r="AC1" i="14"/>
  <c r="W9" i="14"/>
  <c r="W14" i="14"/>
  <c r="W19" i="14"/>
  <c r="W24" i="14"/>
  <c r="W29" i="14"/>
  <c r="W34" i="14"/>
  <c r="W39" i="14"/>
  <c r="W44" i="14"/>
  <c r="W49" i="14"/>
  <c r="W54" i="14"/>
  <c r="W59" i="14"/>
  <c r="W64" i="14"/>
  <c r="W69" i="14"/>
  <c r="W74" i="14"/>
  <c r="W79" i="14"/>
  <c r="W84" i="14"/>
  <c r="W89" i="14"/>
  <c r="W94" i="14"/>
  <c r="W99" i="14"/>
  <c r="W104" i="14"/>
  <c r="W109" i="14"/>
  <c r="W114" i="14"/>
  <c r="W119" i="14"/>
  <c r="W124" i="14"/>
  <c r="W129" i="14"/>
  <c r="W134" i="14"/>
  <c r="W139" i="14"/>
  <c r="W144" i="14"/>
  <c r="W149" i="14"/>
  <c r="W154" i="14"/>
  <c r="W159" i="14"/>
  <c r="W164" i="14"/>
  <c r="W169" i="14"/>
  <c r="W174" i="14"/>
  <c r="W179" i="14"/>
  <c r="W184" i="14"/>
  <c r="W189" i="14"/>
  <c r="W194" i="14"/>
  <c r="W199" i="14"/>
  <c r="W204" i="14"/>
  <c r="W209" i="14"/>
  <c r="W214" i="14"/>
  <c r="W219" i="14"/>
  <c r="W224" i="14"/>
  <c r="W229" i="14"/>
  <c r="W234" i="14"/>
  <c r="W239" i="14"/>
  <c r="W4" i="14"/>
  <c r="C2" i="14"/>
  <c r="H1" i="15" l="1"/>
  <c r="E1" i="15"/>
  <c r="G1" i="15"/>
  <c r="F1" i="15"/>
  <c r="I1" i="15"/>
  <c r="G1" i="14"/>
  <c r="I1" i="14"/>
  <c r="E1" i="14"/>
  <c r="H1" i="14"/>
  <c r="F1" i="14"/>
  <c r="H14" i="6" l="1"/>
  <c r="I14" i="6" s="1"/>
  <c r="M14" i="6" s="1"/>
  <c r="N14" i="6" s="1"/>
  <c r="F14" i="6"/>
  <c r="G14" i="6" s="1"/>
  <c r="O14" i="6" s="1"/>
  <c r="H13" i="6"/>
  <c r="I13" i="6" s="1"/>
  <c r="F13" i="6"/>
  <c r="G13" i="6" s="1"/>
  <c r="O13" i="6" s="1"/>
  <c r="B1" i="12" l="1"/>
  <c r="F1" i="12"/>
  <c r="M13" i="6"/>
  <c r="N13" i="6" s="1"/>
  <c r="P13" i="6" s="1"/>
  <c r="Q13" i="6" s="1"/>
  <c r="P14" i="6"/>
  <c r="Q14" i="6" s="1"/>
  <c r="H121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<sst xmlns="http://schemas.openxmlformats.org/spreadsheetml/2006/main" count="1491" uniqueCount="197">
  <si>
    <t>Cubieboard2</t>
  </si>
  <si>
    <t>T/V</t>
  </si>
  <si>
    <t>N</t>
  </si>
  <si>
    <t>NB</t>
  </si>
  <si>
    <t>P</t>
  </si>
  <si>
    <t>Q</t>
  </si>
  <si>
    <t>Time</t>
  </si>
  <si>
    <t>GFLOPS</t>
  </si>
  <si>
    <t>WR00L2L2</t>
  </si>
  <si>
    <t>Cubieboard2s</t>
  </si>
  <si>
    <t>MFLOPS(?)</t>
  </si>
  <si>
    <t>2073.56</t>
  </si>
  <si>
    <t>2132.14</t>
  </si>
  <si>
    <t>2123.14</t>
  </si>
  <si>
    <t>2158.32</t>
  </si>
  <si>
    <t>2421.78</t>
  </si>
  <si>
    <t>2346.65</t>
  </si>
  <si>
    <t>2343.72</t>
  </si>
  <si>
    <t>2445.65</t>
  </si>
  <si>
    <t>2465.10</t>
  </si>
  <si>
    <t>2407.33</t>
  </si>
  <si>
    <t>2463.01</t>
  </si>
  <si>
    <t>2495.48</t>
  </si>
  <si>
    <t>2947.99</t>
  </si>
  <si>
    <t>2791.81</t>
  </si>
  <si>
    <t>2785.59</t>
  </si>
  <si>
    <t>2938.49</t>
  </si>
  <si>
    <t>2041.73</t>
  </si>
  <si>
    <t>2092.85</t>
  </si>
  <si>
    <t>2105.53</t>
  </si>
  <si>
    <t>2051.32</t>
  </si>
  <si>
    <t>2357.79</t>
  </si>
  <si>
    <t>2384.31</t>
  </si>
  <si>
    <t>2319.38</t>
  </si>
  <si>
    <t>2395.07</t>
  </si>
  <si>
    <t>2216.42</t>
  </si>
  <si>
    <t>2234.99</t>
  </si>
  <si>
    <t>2226.59</t>
  </si>
  <si>
    <t>2204.50</t>
  </si>
  <si>
    <t>2535.55</t>
  </si>
  <si>
    <t>2487.33</t>
  </si>
  <si>
    <t>2600.91</t>
  </si>
  <si>
    <t>2581.84</t>
  </si>
  <si>
    <t>2546.26</t>
  </si>
  <si>
    <t>2624.17</t>
  </si>
  <si>
    <t>2569.21</t>
  </si>
  <si>
    <t>3140.62</t>
  </si>
  <si>
    <t>3012.58</t>
  </si>
  <si>
    <t>3085.77</t>
  </si>
  <si>
    <t>2528.20</t>
  </si>
  <si>
    <t>2592.11</t>
  </si>
  <si>
    <t>2648.16</t>
  </si>
  <si>
    <t>2726.29</t>
  </si>
  <si>
    <t>2725.68</t>
  </si>
  <si>
    <t>2787.87</t>
  </si>
  <si>
    <t>2511.49</t>
  </si>
  <si>
    <t>2342.21</t>
  </si>
  <si>
    <t>2184.97</t>
  </si>
  <si>
    <t>2663.59</t>
  </si>
  <si>
    <t>2571.06</t>
  </si>
  <si>
    <t>2213.73</t>
  </si>
  <si>
    <t>2589.06</t>
  </si>
  <si>
    <t>2430.34</t>
  </si>
  <si>
    <t>2743.54</t>
  </si>
  <si>
    <t>2092.54</t>
  </si>
  <si>
    <t>2101.60</t>
  </si>
  <si>
    <t>2348.41</t>
  </si>
  <si>
    <t>2536.70</t>
  </si>
  <si>
    <t>2751.11</t>
  </si>
  <si>
    <t>2197.08</t>
  </si>
  <si>
    <t>3033.13</t>
  </si>
  <si>
    <t>3165.01</t>
  </si>
  <si>
    <t>2420.04</t>
  </si>
  <si>
    <t>2871.55</t>
  </si>
  <si>
    <t>2693.92</t>
  </si>
  <si>
    <t>SBC</t>
  </si>
  <si>
    <t>Cores</t>
  </si>
  <si>
    <t>march</t>
  </si>
  <si>
    <t>mcpu</t>
  </si>
  <si>
    <t>mtune</t>
  </si>
  <si>
    <t>fpu</t>
  </si>
  <si>
    <t>mfloat-abi</t>
  </si>
  <si>
    <t>ostalo</t>
  </si>
  <si>
    <t>ostalo (Thumb)</t>
  </si>
  <si>
    <t>Rpi 1B</t>
  </si>
  <si>
    <t>armv6</t>
  </si>
  <si>
    <t>arm1176jzf-s</t>
  </si>
  <si>
    <t>vfpv2 (alias is vfp)</t>
  </si>
  <si>
    <t>hard</t>
  </si>
  <si>
    <t>Thumb</t>
  </si>
  <si>
    <t>16KB L1 and no L2</t>
  </si>
  <si>
    <t>armv7-a</t>
  </si>
  <si>
    <t>cortex-a7</t>
  </si>
  <si>
    <t>neon-vfpv4</t>
  </si>
  <si>
    <t>-funsafe-math-optimizations</t>
  </si>
  <si>
    <t>Thumb-2</t>
  </si>
  <si>
    <t>OdroidU3</t>
  </si>
  <si>
    <t>cortex-a9</t>
  </si>
  <si>
    <t>neon-vfpv3 (alias is neon)</t>
  </si>
  <si>
    <t>Thumb or Thumb-2</t>
  </si>
  <si>
    <t>1MB L2 cache total? From paper…</t>
  </si>
  <si>
    <t>OdroidMC1</t>
  </si>
  <si>
    <t>LITTLE</t>
  </si>
  <si>
    <t>2 sockets, 2,5MB L2 cache per socket</t>
  </si>
  <si>
    <t>Big</t>
  </si>
  <si>
    <t>cortex-a15</t>
  </si>
  <si>
    <t>Raspberry Pi 1B</t>
  </si>
  <si>
    <t>Flags used for building ATLAS</t>
  </si>
  <si>
    <t>Flags used for flagsearching - mandatory</t>
  </si>
  <si>
    <t>Flags used for building HPL</t>
  </si>
  <si>
    <t>Machine setup for building HPL</t>
  </si>
  <si>
    <t>Ran?</t>
  </si>
  <si>
    <t>NOTE</t>
  </si>
  <si>
    <t>HPL Runs (fixed parameters)</t>
  </si>
  <si>
    <t>Node</t>
  </si>
  <si>
    <t>Total memory of a node (kB)</t>
  </si>
  <si>
    <t>N, alpha</t>
  </si>
  <si>
    <t>N, alpha (NB round)</t>
  </si>
  <si>
    <t>N, beta</t>
  </si>
  <si>
    <t>N, beta (NB round)</t>
  </si>
  <si>
    <t>Ns difference</t>
  </si>
  <si>
    <t>Half of the Ns difference</t>
  </si>
  <si>
    <t>N1</t>
  </si>
  <si>
    <t>N2</t>
  </si>
  <si>
    <t>N3</t>
  </si>
  <si>
    <t>Number of nodes</t>
  </si>
  <si>
    <t>Percentage of mem</t>
  </si>
  <si>
    <t>-</t>
  </si>
  <si>
    <t>-O2 -mcpu=cortex-a7 -fno-schedule-insns -fselective-scheduling2</t>
  </si>
  <si>
    <t>atlarch</t>
  </si>
  <si>
    <t>-D c -DWALL -b 32 -A ARMa7</t>
  </si>
  <si>
    <t xml:space="preserve"> -O2 -mcpu=cortex-a7 -fno-schedule-insns -fselective-scheduling2</t>
  </si>
  <si>
    <t>cpu-tune</t>
  </si>
  <si>
    <t>-D c -DWALL -b 32 -Fa al "-mcpu=native -mfloat-abi=hard -mfpu=neon-vfpv4"</t>
  </si>
  <si>
    <t>-mcpu=native -mfloat-abi=hard -mfpu=neon-vfpv4</t>
  </si>
  <si>
    <t xml:space="preserve"> -mcpu=native -mfloat-abi=hard -mfpu=neon-vfpv4</t>
  </si>
  <si>
    <t>arch-native-tune</t>
  </si>
  <si>
    <t>-D c -DWALL -b 32 -Fa al "-march=native -mtune=cortex-a7 -mfloat-abi=hard -mfpu=neon-vfpv4"</t>
  </si>
  <si>
    <t>-march=native -mtune=cortex-a7 -mfloat-abi=hard -mfpu=neon-vfpv4</t>
  </si>
  <si>
    <t>cpu-tune-overr</t>
  </si>
  <si>
    <t>-D c -DWALL -b 32 -F al "-mcpu=native -mfloat-abi=hard -mfpu=neon-vfpv4"</t>
  </si>
  <si>
    <t>atlarch-flags</t>
  </si>
  <si>
    <t>-D c -DWALL -b 32 -A ARMa7 -Fa al "-O2 -mcpu=cortex-a7 -fno-schedule-insns -fselective-scheduling2 -fschedule-insns -fno-schedule-insns -frename-registers -fno-tree-pre"</t>
  </si>
  <si>
    <t>-O2 -mcpu=cortex-a7 -fno-schedule-insns -fselective-scheduling2 -fschedule-insns -fno-schedule-insns -frename-registers -fno-tree-pre</t>
  </si>
  <si>
    <t>cpu-tune-flags</t>
  </si>
  <si>
    <t>-D c -DWALL -b 32 -Fa al "-O1 -mcpu=native -mfloat-abi=hard -mfpu=neon-vfpv4 -fno-expensive-optimizations -fschedule-insns -fschedule-insns2 -fselective-scheduling -fselective-scheduling2 -fno-tree-ter"</t>
  </si>
  <si>
    <t>-O1 -mcpu=native -mfloat-abi=hard -mfpu=neon-vfpv4 -fno-expensive-optimizations -fschedule-insns -fschedule-insns2 -fselective-scheduling -fselective-scheduling2 -fno-tree-ter</t>
  </si>
  <si>
    <t>arch-native-tune-flags</t>
  </si>
  <si>
    <t>-D c -DWALL -b 32 -Fa al "-Os -march=native -mtune=cortex-a7 -mfloat-abi=hard -mfpu=neon-vfpv4 -fno-expensive-optimizations -fschedule-insns2 -fschedule-insns -fselective-scheduling -fselective-scheduling2 -fno-tree-ter"</t>
  </si>
  <si>
    <t>-Os -march=native -mtune=cortex-a7 -mfloat-abi=hard -mfpu=neon-vfpv4 -fno-expensive-optimizations -fschedule-insns2 -fschedule-insns -fselective-scheduling -fselective-scheduling2 -fno-tree-ter</t>
  </si>
  <si>
    <t>cpu-tune-overr-flags</t>
  </si>
  <si>
    <t>-D c -DWALL -b 32 -F al "-O1 -mcpu=native -mfloat-abi=hard -mfpu=neon-vfpv4 -fno-expensive-optimizations -fschedule-insns -fschedule-insns2 -fselective-scheduling -fselective-scheduling2 -fno-tree-ter"</t>
  </si>
  <si>
    <t>Flags used for building</t>
  </si>
  <si>
    <t>Flags used for flagsearching - optional</t>
  </si>
  <si>
    <t>Machine originally
built on</t>
  </si>
  <si>
    <t>Needs
flagsearching</t>
  </si>
  <si>
    <t>Flagsearched (d)</t>
  </si>
  <si>
    <t>Flagsearched (s)
No need! HPL uses only double precision! See ATLAS install manual</t>
  </si>
  <si>
    <t>Flagsearched (Td)</t>
  </si>
  <si>
    <t>Kernel</t>
  </si>
  <si>
    <t>TODO</t>
  </si>
  <si>
    <t>In progress</t>
  </si>
  <si>
    <t>Freshly finished</t>
  </si>
  <si>
    <t>Done</t>
  </si>
  <si>
    <t>TODO with the same settings!</t>
  </si>
  <si>
    <t>-march=armv7-a</t>
  </si>
  <si>
    <t>Cubieboard 2</t>
  </si>
  <si>
    <t>cubie01</t>
  </si>
  <si>
    <t>-mcpu=cortex-a7</t>
  </si>
  <si>
    <t>cubie02</t>
  </si>
  <si>
    <t>cubie03</t>
  </si>
  <si>
    <t>cubie04</t>
  </si>
  <si>
    <t>Originalno je bilo "-O1 -march=native -mtune=cortex-a7 -mfloat-abi=hard -mfpu=neon-vfpv4 -fno-expensive-optimizations -fschedule-insns -fschedule-insns2 -fselective-scheduling -fsel-sched-pipelining -fselective-scheduling2 -fsel-sched-pipelining -fno-tree-ter" no TO NIJE RADILO, make je bacao error. Stavio sam samo ovo što sada piše.</t>
  </si>
  <si>
    <t>Build</t>
  </si>
  <si>
    <t>Date</t>
  </si>
  <si>
    <t>Average GFLOP/s</t>
  </si>
  <si>
    <t>OpenBLAS</t>
  </si>
  <si>
    <t>RUN</t>
  </si>
  <si>
    <t>OLD</t>
  </si>
  <si>
    <t>Max avg. GFLOPS (and params):</t>
  </si>
  <si>
    <t>MAX GFLOPS:</t>
  </si>
  <si>
    <t>cubie01 throttling time [1/100s]</t>
  </si>
  <si>
    <t>912MHz</t>
  </si>
  <si>
    <t>864MHz</t>
  </si>
  <si>
    <t>720MHz</t>
  </si>
  <si>
    <t>cubie02 throttling time [1/100s]</t>
  </si>
  <si>
    <t>cubie03 throttling time [1/100s]</t>
  </si>
  <si>
    <t>cubie04 throttling time [1/100s]</t>
  </si>
  <si>
    <t>ATLAS (atlarch-flags)</t>
  </si>
  <si>
    <t>ATLAS (with "-al")</t>
  </si>
  <si>
    <t>ATLAS (with "-alg")</t>
  </si>
  <si>
    <t>N (rounded)</t>
  </si>
  <si>
    <t>ATLAS speedup</t>
  </si>
  <si>
    <t>OpenBLAS speedup</t>
  </si>
  <si>
    <t>N(beta)</t>
  </si>
  <si>
    <t>N(mid)</t>
  </si>
  <si>
    <t>N(alpha)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</si>
</sst>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[$-F400]h:mm:ss\ AM/PM"/>
    <numFmt numFmtId="167" formatCode="0.00000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6" borderId="0" applyNumberFormat="0" applyBorder="0" applyAlignment="0" applyProtection="0"/>
  </cellStyleXfs>
  <cellXfs count="87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vertical="center" wrapText="1"/>
    </xf>
    <xf numFmtId="0" fontId="5" fillId="6" borderId="0" xfId="1"/>
    <xf numFmtId="49" fontId="5" fillId="6" borderId="0" xfId="1" applyNumberFormat="1" applyAlignment="1">
      <alignment wrapText="1"/>
    </xf>
    <xf numFmtId="49" fontId="5" fillId="6" borderId="0" xfId="1" applyNumberFormat="1"/>
    <xf numFmtId="14" fontId="0" fillId="0" borderId="0" xfId="0" applyNumberFormat="1" applyAlignment="1">
      <alignment horizontal="center"/>
    </xf>
    <xf numFmtId="21" fontId="0" fillId="0" borderId="0" xfId="0" applyNumberFormat="1"/>
    <xf numFmtId="14" fontId="0" fillId="0" borderId="0" xfId="0" applyNumberFormat="1"/>
    <xf numFmtId="0" fontId="6" fillId="0" borderId="0" xfId="0" applyFont="1"/>
    <xf numFmtId="14" fontId="6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vertical="center"/>
    </xf>
    <xf numFmtId="2" fontId="6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165" fontId="6" fillId="0" borderId="0" xfId="0" applyNumberFormat="1" applyFont="1"/>
    <xf numFmtId="165" fontId="0" fillId="0" borderId="0" xfId="0" applyNumberFormat="1"/>
    <xf numFmtId="1" fontId="0" fillId="0" borderId="0" xfId="0" applyNumberFormat="1"/>
    <xf numFmtId="1" fontId="6" fillId="0" borderId="0" xfId="0" applyNumberFormat="1" applyFont="1"/>
    <xf numFmtId="0" fontId="1" fillId="0" borderId="1" xfId="0" applyFont="1" applyBorder="1" applyAlignment="1">
      <alignment horizontal="left" vertical="center"/>
    </xf>
    <xf numFmtId="167" fontId="7" fillId="0" borderId="1" xfId="0" applyNumberFormat="1" applyFont="1" applyBorder="1"/>
    <xf numFmtId="0" fontId="0" fillId="0" borderId="1" xfId="0" applyBorder="1"/>
    <xf numFmtId="165" fontId="3" fillId="0" borderId="1" xfId="0" applyNumberFormat="1" applyFont="1" applyBorder="1"/>
    <xf numFmtId="165" fontId="0" fillId="0" borderId="1" xfId="0" applyNumberFormat="1" applyBorder="1"/>
    <xf numFmtId="0" fontId="8" fillId="0" borderId="1" xfId="0" applyFon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6" fontId="0" fillId="0" borderId="1" xfId="0" applyNumberFormat="1" applyBorder="1"/>
    <xf numFmtId="166" fontId="1" fillId="0" borderId="1" xfId="0" applyNumberFormat="1" applyFont="1" applyBorder="1"/>
    <xf numFmtId="1" fontId="8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1" fillId="0" borderId="1" xfId="0" applyNumberFormat="1" applyFont="1" applyBorder="1"/>
    <xf numFmtId="14" fontId="0" fillId="0" borderId="0" xfId="0" applyNumberFormat="1" applyAlignment="1">
      <alignment vertical="center"/>
    </xf>
    <xf numFmtId="165" fontId="0" fillId="0" borderId="0" xfId="0" quotePrefix="1" applyNumberFormat="1"/>
    <xf numFmtId="1" fontId="0" fillId="0" borderId="0" xfId="0" quotePrefix="1" applyNumberFormat="1"/>
    <xf numFmtId="1" fontId="1" fillId="0" borderId="1" xfId="0" applyNumberFormat="1" applyFont="1" applyBorder="1"/>
    <xf numFmtId="165" fontId="6" fillId="0" borderId="0" xfId="0" quotePrefix="1" applyNumberFormat="1" applyFont="1"/>
    <xf numFmtId="165" fontId="6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8" fillId="0" borderId="2" xfId="0" applyFont="1" applyBorder="1" applyAlignment="1">
      <alignment horizontal="center"/>
    </xf>
    <xf numFmtId="164" fontId="0" fillId="0" borderId="0" xfId="0" applyNumberFormat="1"/>
    <xf numFmtId="164" fontId="0" fillId="0" borderId="0" xfId="0" quotePrefix="1" applyNumberFormat="1"/>
    <xf numFmtId="165" fontId="7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2">
    <cellStyle name="Neutralno" xfId="1" builtinId="2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D391C-A6AD-45F0-A1DC-0790F44C9640}" name="Table1" displayName="Table1" ref="A2:E50" totalsRowShown="0">
  <autoFilter ref="A2:E50" xr:uid="{9D7D391C-A6AD-45F0-A1DC-0790F44C9640}"/>
  <sortState xmlns:xlrd2="http://schemas.microsoft.com/office/spreadsheetml/2017/richdata2" ref="A3:E50">
    <sortCondition ref="C3:C50"/>
    <sortCondition descending="1" ref="A3:A50"/>
    <sortCondition ref="B3:B50"/>
  </sortState>
  <tableColumns count="5">
    <tableColumn id="1" xr3:uid="{32303E93-AF0B-49F1-B124-0768AA74890F}" name="N (rounded)"/>
    <tableColumn id="2" xr3:uid="{116A7A50-F83E-4B0E-AE10-214CDD3A57A7}" name="NB"/>
    <tableColumn id="3" xr3:uid="{0CD04A2B-9072-4A33-8616-C3104C8B921E}" name="P"/>
    <tableColumn id="4" xr3:uid="{2810C2E6-B241-49A9-8769-910AB18A3527}" name="Q"/>
    <tableColumn id="5" xr3:uid="{0E25C415-A906-4077-89EF-50517FD7D9B5}" name="Average GFLOP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7B13D7-28AB-4E3C-86F3-AF3C113817FC}" name="Table2" displayName="Table2" ref="G2:K50" totalsRowShown="0">
  <autoFilter ref="G2:K50" xr:uid="{427B13D7-28AB-4E3C-86F3-AF3C113817FC}"/>
  <sortState xmlns:xlrd2="http://schemas.microsoft.com/office/spreadsheetml/2017/richdata2" ref="G3:K50">
    <sortCondition ref="I3:I50"/>
    <sortCondition descending="1" ref="G3:G50"/>
    <sortCondition ref="H3:H50"/>
  </sortState>
  <tableColumns count="5">
    <tableColumn id="1" xr3:uid="{8295F68A-D006-454A-8F8C-CC41AE8B75EF}" name="N (rounded)"/>
    <tableColumn id="2" xr3:uid="{EF6D77AF-3152-4DBD-9991-E30EB3ABCF30}" name="NB"/>
    <tableColumn id="3" xr3:uid="{30379871-303E-4D6E-9C9F-C52311E7F718}" name="P"/>
    <tableColumn id="4" xr3:uid="{6B9CCD0D-C886-406C-A6DD-9E3887853D77}" name="Q"/>
    <tableColumn id="5" xr3:uid="{A1780A18-57FE-4551-B20E-69CA04566C28}" name="Average GFLOP/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8DD7EC-05AA-49A8-B010-53BD503FC80E}" name="Table3" displayName="Table3" ref="M2:Q26" totalsRowShown="0">
  <autoFilter ref="M2:Q26" xr:uid="{C28DD7EC-05AA-49A8-B010-53BD503FC80E}"/>
  <sortState xmlns:xlrd2="http://schemas.microsoft.com/office/spreadsheetml/2017/richdata2" ref="M3:Q26">
    <sortCondition ref="O3:O26"/>
    <sortCondition descending="1" ref="M3:M26"/>
    <sortCondition ref="N3:N26"/>
  </sortState>
  <tableColumns count="5">
    <tableColumn id="1" xr3:uid="{F4ABA452-ECAB-49CC-9D8E-D2F307234A6B}" name="N"/>
    <tableColumn id="2" xr3:uid="{586559F6-304F-477E-898B-E3E5973A8784}" name="NB"/>
    <tableColumn id="3" xr3:uid="{FE0B816F-BCDD-454E-98F8-2A10CCF4936E}" name="P"/>
    <tableColumn id="4" xr3:uid="{D67FFE7B-D031-4567-A53E-08E5008E2115}" name="Q"/>
    <tableColumn id="5" xr3:uid="{D2598ACC-85E6-47CC-B673-1E4B5381FFE5}" name="Average GFLOP/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5FEFFA-458C-4B79-8C32-49A88F2FA941}" name="Table4" displayName="Table4" ref="S2:W26" totalsRowShown="0">
  <autoFilter ref="S2:W26" xr:uid="{7E5FEFFA-458C-4B79-8C32-49A88F2FA941}"/>
  <sortState xmlns:xlrd2="http://schemas.microsoft.com/office/spreadsheetml/2017/richdata2" ref="S3:W26">
    <sortCondition ref="U3:U26"/>
    <sortCondition descending="1" ref="S3:S26"/>
    <sortCondition ref="T3:T26"/>
  </sortState>
  <tableColumns count="5">
    <tableColumn id="1" xr3:uid="{6A55C255-60F2-406F-861E-ABB125EF6042}" name="N"/>
    <tableColumn id="2" xr3:uid="{BD6980E5-6321-4B54-9027-CEBBBA95E75D}" name="NB"/>
    <tableColumn id="3" xr3:uid="{9F3CAF76-B076-47B7-9745-94F6FD6BF9F7}" name="P"/>
    <tableColumn id="4" xr3:uid="{20FC059B-1B78-4C26-9825-907F85FA49D7}" name="Q"/>
    <tableColumn id="5" xr3:uid="{74EA337E-4D3C-4EE5-8FFE-2AD67910E520}" name="Average GFLOP/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C8CB-ABE2-446F-AAD8-ACA748096AF3}">
  <dimension ref="A1:K121"/>
  <sheetViews>
    <sheetView zoomScale="85" zoomScaleNormal="85" workbookViewId="0">
      <selection activeCell="L2" sqref="L1:AV1048576"/>
    </sheetView>
  </sheetViews>
  <sheetFormatPr defaultRowHeight="15" x14ac:dyDescent="0.25"/>
  <cols>
    <col min="1" max="7" width="9.140625" style="2"/>
  </cols>
  <sheetData>
    <row r="1" spans="1:10" x14ac:dyDescent="0.25">
      <c r="A1" s="68" t="s">
        <v>9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</row>
    <row r="3" spans="1:10" x14ac:dyDescent="0.25">
      <c r="B3" s="2" t="s">
        <v>8</v>
      </c>
      <c r="C3" s="2">
        <v>18432</v>
      </c>
      <c r="D3" s="2">
        <v>256</v>
      </c>
      <c r="E3" s="2">
        <v>1</v>
      </c>
      <c r="F3" s="2">
        <v>8</v>
      </c>
      <c r="G3" s="2" t="s">
        <v>11</v>
      </c>
      <c r="H3" s="1">
        <v>20136</v>
      </c>
      <c r="I3" s="1"/>
      <c r="J3" s="1"/>
    </row>
    <row r="4" spans="1:10" x14ac:dyDescent="0.25">
      <c r="B4" s="2" t="s">
        <v>8</v>
      </c>
      <c r="C4" s="2">
        <v>18432</v>
      </c>
      <c r="D4" s="2">
        <v>128</v>
      </c>
      <c r="E4" s="2">
        <v>1</v>
      </c>
      <c r="F4" s="2">
        <v>8</v>
      </c>
      <c r="G4" s="2" t="s">
        <v>12</v>
      </c>
      <c r="H4" s="1">
        <v>19582</v>
      </c>
      <c r="I4" s="1"/>
      <c r="J4" s="1"/>
    </row>
    <row r="5" spans="1:10" x14ac:dyDescent="0.25">
      <c r="B5" s="2" t="s">
        <v>8</v>
      </c>
      <c r="C5" s="2">
        <v>18432</v>
      </c>
      <c r="D5" s="2">
        <v>64</v>
      </c>
      <c r="E5" s="2">
        <v>1</v>
      </c>
      <c r="F5" s="2">
        <v>8</v>
      </c>
      <c r="G5" s="2" t="s">
        <v>13</v>
      </c>
      <c r="H5" s="1">
        <v>19665</v>
      </c>
      <c r="I5" s="1"/>
      <c r="J5" s="1"/>
    </row>
    <row r="6" spans="1:10" x14ac:dyDescent="0.25">
      <c r="B6" s="2" t="s">
        <v>8</v>
      </c>
      <c r="C6" s="2">
        <v>18432</v>
      </c>
      <c r="D6" s="2">
        <v>32</v>
      </c>
      <c r="E6" s="2">
        <v>1</v>
      </c>
      <c r="F6" s="2">
        <v>8</v>
      </c>
      <c r="G6" s="2" t="s">
        <v>14</v>
      </c>
      <c r="H6" s="1">
        <v>19345</v>
      </c>
      <c r="I6" s="1"/>
      <c r="J6" s="1"/>
    </row>
    <row r="7" spans="1:10" x14ac:dyDescent="0.25">
      <c r="B7" s="2" t="s">
        <v>8</v>
      </c>
      <c r="C7" s="2">
        <v>19456</v>
      </c>
      <c r="D7" s="2">
        <v>256</v>
      </c>
      <c r="E7" s="2">
        <v>1</v>
      </c>
      <c r="F7" s="2">
        <v>8</v>
      </c>
      <c r="G7" s="2" t="s">
        <v>15</v>
      </c>
      <c r="H7" s="1">
        <v>20276</v>
      </c>
      <c r="I7" s="1"/>
      <c r="J7" s="1"/>
    </row>
    <row r="8" spans="1:10" x14ac:dyDescent="0.25">
      <c r="B8" s="2" t="s">
        <v>8</v>
      </c>
      <c r="C8" s="2">
        <v>19456</v>
      </c>
      <c r="D8" s="2">
        <v>128</v>
      </c>
      <c r="E8" s="2">
        <v>1</v>
      </c>
      <c r="F8" s="2">
        <v>8</v>
      </c>
      <c r="G8" s="2" t="s">
        <v>16</v>
      </c>
      <c r="H8" s="1">
        <v>20925</v>
      </c>
      <c r="I8" s="1"/>
      <c r="J8" s="1"/>
    </row>
    <row r="9" spans="1:10" x14ac:dyDescent="0.25">
      <c r="B9" s="2" t="s">
        <v>8</v>
      </c>
      <c r="C9" s="2">
        <v>19456</v>
      </c>
      <c r="D9" s="2">
        <v>64</v>
      </c>
      <c r="E9" s="2">
        <v>1</v>
      </c>
      <c r="F9" s="2">
        <v>8</v>
      </c>
      <c r="G9" s="2" t="s">
        <v>17</v>
      </c>
      <c r="H9" s="1">
        <v>20951</v>
      </c>
      <c r="I9" s="1"/>
      <c r="J9" s="1"/>
    </row>
    <row r="10" spans="1:10" x14ac:dyDescent="0.25">
      <c r="B10" s="2" t="s">
        <v>8</v>
      </c>
      <c r="C10" s="2">
        <v>19456</v>
      </c>
      <c r="D10" s="2">
        <v>32</v>
      </c>
      <c r="E10" s="2">
        <v>1</v>
      </c>
      <c r="F10" s="2">
        <v>8</v>
      </c>
      <c r="G10" s="2" t="s">
        <v>18</v>
      </c>
      <c r="H10" s="1">
        <v>20078</v>
      </c>
      <c r="I10" s="1"/>
      <c r="J10" s="1"/>
    </row>
    <row r="11" spans="1:10" x14ac:dyDescent="0.25">
      <c r="B11" s="2" t="s">
        <v>8</v>
      </c>
      <c r="C11" s="2">
        <v>18432</v>
      </c>
      <c r="D11" s="2">
        <v>256</v>
      </c>
      <c r="E11" s="2">
        <v>8</v>
      </c>
      <c r="F11" s="2">
        <v>1</v>
      </c>
      <c r="G11" s="2" t="s">
        <v>19</v>
      </c>
      <c r="H11" s="1">
        <v>16937</v>
      </c>
      <c r="I11" s="1"/>
      <c r="J11" s="1"/>
    </row>
    <row r="12" spans="1:10" x14ac:dyDescent="0.25">
      <c r="B12" s="2" t="s">
        <v>8</v>
      </c>
      <c r="C12" s="2">
        <v>18432</v>
      </c>
      <c r="D12" s="2">
        <v>128</v>
      </c>
      <c r="E12" s="2">
        <v>8</v>
      </c>
      <c r="F12" s="2">
        <v>1</v>
      </c>
      <c r="G12" s="2" t="s">
        <v>20</v>
      </c>
      <c r="H12" s="1">
        <v>17344</v>
      </c>
      <c r="I12" s="1"/>
      <c r="J12" s="1"/>
    </row>
    <row r="13" spans="1:10" x14ac:dyDescent="0.25">
      <c r="B13" s="2" t="s">
        <v>8</v>
      </c>
      <c r="C13" s="2">
        <v>18432</v>
      </c>
      <c r="D13" s="2">
        <v>64</v>
      </c>
      <c r="E13" s="2">
        <v>8</v>
      </c>
      <c r="F13" s="2">
        <v>1</v>
      </c>
      <c r="G13" s="2" t="s">
        <v>21</v>
      </c>
      <c r="H13" s="1">
        <v>16952</v>
      </c>
      <c r="I13" s="1"/>
      <c r="J13" s="1"/>
    </row>
    <row r="14" spans="1:10" x14ac:dyDescent="0.25">
      <c r="B14" s="2" t="s">
        <v>8</v>
      </c>
      <c r="C14" s="2">
        <v>18432</v>
      </c>
      <c r="D14" s="2">
        <v>32</v>
      </c>
      <c r="E14" s="2">
        <v>8</v>
      </c>
      <c r="F14" s="2">
        <v>1</v>
      </c>
      <c r="G14" s="2" t="s">
        <v>22</v>
      </c>
      <c r="H14" s="1">
        <v>16731</v>
      </c>
      <c r="I14" s="1"/>
      <c r="J14" s="1"/>
    </row>
    <row r="15" spans="1:10" x14ac:dyDescent="0.25">
      <c r="B15" s="2" t="s">
        <v>8</v>
      </c>
      <c r="C15" s="2">
        <v>19456</v>
      </c>
      <c r="D15" s="2">
        <v>256</v>
      </c>
      <c r="E15" s="2">
        <v>8</v>
      </c>
      <c r="F15" s="2">
        <v>1</v>
      </c>
      <c r="G15" s="2" t="s">
        <v>23</v>
      </c>
      <c r="H15" s="1">
        <v>16657</v>
      </c>
      <c r="I15" s="1"/>
      <c r="J15" s="1"/>
    </row>
    <row r="16" spans="1:10" x14ac:dyDescent="0.25">
      <c r="B16" s="2" t="s">
        <v>8</v>
      </c>
      <c r="C16" s="2">
        <v>19456</v>
      </c>
      <c r="D16" s="2">
        <v>128</v>
      </c>
      <c r="E16" s="2">
        <v>8</v>
      </c>
      <c r="F16" s="2">
        <v>1</v>
      </c>
      <c r="G16" s="2" t="s">
        <v>24</v>
      </c>
      <c r="H16" s="1">
        <v>17589</v>
      </c>
      <c r="I16" s="1"/>
      <c r="J16" s="1"/>
    </row>
    <row r="17" spans="2:11" x14ac:dyDescent="0.25">
      <c r="B17" s="2" t="s">
        <v>8</v>
      </c>
      <c r="C17" s="2">
        <v>19456</v>
      </c>
      <c r="D17" s="2">
        <v>64</v>
      </c>
      <c r="E17" s="2">
        <v>8</v>
      </c>
      <c r="F17" s="2">
        <v>1</v>
      </c>
      <c r="G17" s="2" t="s">
        <v>25</v>
      </c>
      <c r="H17" s="1">
        <v>17628</v>
      </c>
      <c r="I17" s="1"/>
      <c r="J17" s="1"/>
    </row>
    <row r="18" spans="2:11" x14ac:dyDescent="0.25">
      <c r="B18" s="2" t="s">
        <v>8</v>
      </c>
      <c r="C18" s="2">
        <v>19456</v>
      </c>
      <c r="D18" s="2">
        <v>32</v>
      </c>
      <c r="E18" s="2">
        <v>8</v>
      </c>
      <c r="F18" s="2">
        <v>1</v>
      </c>
      <c r="G18" s="2" t="s">
        <v>26</v>
      </c>
      <c r="H18" s="1">
        <v>16711</v>
      </c>
      <c r="I18" s="1"/>
      <c r="J18" s="1"/>
    </row>
    <row r="19" spans="2:11" x14ac:dyDescent="0.25">
      <c r="B19" s="2" t="s">
        <v>8</v>
      </c>
      <c r="C19" s="2">
        <v>18432</v>
      </c>
      <c r="D19" s="2">
        <v>256</v>
      </c>
      <c r="E19" s="2">
        <v>2</v>
      </c>
      <c r="F19" s="2">
        <v>4</v>
      </c>
      <c r="G19" s="2" t="s">
        <v>27</v>
      </c>
      <c r="H19" s="1">
        <v>20449</v>
      </c>
      <c r="I19" s="1"/>
      <c r="J19" s="1"/>
    </row>
    <row r="20" spans="2:11" x14ac:dyDescent="0.25">
      <c r="B20" s="2" t="s">
        <v>8</v>
      </c>
      <c r="C20" s="2">
        <v>18432</v>
      </c>
      <c r="D20" s="2">
        <v>128</v>
      </c>
      <c r="E20" s="2">
        <v>2</v>
      </c>
      <c r="F20" s="2">
        <v>4</v>
      </c>
      <c r="G20" s="2" t="s">
        <v>28</v>
      </c>
      <c r="H20" s="1">
        <v>19950</v>
      </c>
      <c r="I20" s="1"/>
      <c r="J20" s="1"/>
    </row>
    <row r="21" spans="2:11" x14ac:dyDescent="0.25">
      <c r="B21" s="2" t="s">
        <v>8</v>
      </c>
      <c r="C21" s="2">
        <v>18432</v>
      </c>
      <c r="D21" s="2">
        <v>64</v>
      </c>
      <c r="E21" s="2">
        <v>2</v>
      </c>
      <c r="F21" s="2">
        <v>4</v>
      </c>
      <c r="G21" s="2" t="s">
        <v>29</v>
      </c>
      <c r="H21" s="1">
        <v>19830</v>
      </c>
      <c r="I21" s="1"/>
      <c r="J21" s="1"/>
      <c r="K21" s="1"/>
    </row>
    <row r="22" spans="2:11" x14ac:dyDescent="0.25">
      <c r="B22" s="2" t="s">
        <v>8</v>
      </c>
      <c r="C22" s="2">
        <v>18432</v>
      </c>
      <c r="D22" s="2">
        <v>32</v>
      </c>
      <c r="E22" s="2">
        <v>2</v>
      </c>
      <c r="F22" s="2">
        <v>4</v>
      </c>
      <c r="G22" s="2" t="s">
        <v>30</v>
      </c>
      <c r="H22" s="1">
        <v>20354</v>
      </c>
      <c r="I22" s="1"/>
      <c r="J22" s="1"/>
      <c r="K22" s="1"/>
    </row>
    <row r="23" spans="2:11" x14ac:dyDescent="0.25">
      <c r="B23" s="2" t="s">
        <v>8</v>
      </c>
      <c r="C23" s="2">
        <v>19456</v>
      </c>
      <c r="D23" s="2">
        <v>256</v>
      </c>
      <c r="E23" s="2">
        <v>2</v>
      </c>
      <c r="F23" s="2">
        <v>4</v>
      </c>
      <c r="G23" s="2" t="s">
        <v>31</v>
      </c>
      <c r="H23" s="1">
        <v>20826</v>
      </c>
      <c r="I23" s="1"/>
      <c r="J23" s="1"/>
      <c r="K23" s="1"/>
    </row>
    <row r="24" spans="2:11" x14ac:dyDescent="0.25">
      <c r="B24" s="2" t="s">
        <v>8</v>
      </c>
      <c r="C24" s="2">
        <v>19456</v>
      </c>
      <c r="D24" s="2">
        <v>128</v>
      </c>
      <c r="E24" s="2">
        <v>2</v>
      </c>
      <c r="F24" s="2">
        <v>4</v>
      </c>
      <c r="G24" s="2" t="s">
        <v>32</v>
      </c>
      <c r="H24" s="1">
        <v>20595</v>
      </c>
      <c r="I24" s="1"/>
      <c r="J24" s="1"/>
      <c r="K24" s="1"/>
    </row>
    <row r="25" spans="2:11" x14ac:dyDescent="0.25">
      <c r="B25" s="2" t="s">
        <v>8</v>
      </c>
      <c r="C25" s="2">
        <v>19456</v>
      </c>
      <c r="D25" s="2">
        <v>64</v>
      </c>
      <c r="E25" s="2">
        <v>2</v>
      </c>
      <c r="F25" s="2">
        <v>4</v>
      </c>
      <c r="G25" s="2" t="s">
        <v>33</v>
      </c>
      <c r="H25" s="1">
        <v>21171</v>
      </c>
      <c r="I25" s="1"/>
      <c r="J25" s="1"/>
      <c r="K25" s="1"/>
    </row>
    <row r="26" spans="2:11" x14ac:dyDescent="0.25">
      <c r="B26" s="2" t="s">
        <v>8</v>
      </c>
      <c r="C26" s="2">
        <v>19456</v>
      </c>
      <c r="D26" s="2">
        <v>32</v>
      </c>
      <c r="E26" s="2">
        <v>2</v>
      </c>
      <c r="F26" s="2">
        <v>4</v>
      </c>
      <c r="G26" s="2" t="s">
        <v>34</v>
      </c>
      <c r="H26" s="1">
        <v>20502</v>
      </c>
      <c r="I26" s="1"/>
      <c r="J26" s="1"/>
      <c r="K26" s="1"/>
    </row>
    <row r="27" spans="2:11" x14ac:dyDescent="0.25">
      <c r="B27" s="2" t="s">
        <v>8</v>
      </c>
      <c r="C27" s="2">
        <v>18432</v>
      </c>
      <c r="D27" s="2">
        <v>256</v>
      </c>
      <c r="E27" s="2">
        <v>4</v>
      </c>
      <c r="F27" s="2">
        <v>2</v>
      </c>
      <c r="G27" s="2" t="s">
        <v>35</v>
      </c>
      <c r="H27" s="1">
        <v>18838</v>
      </c>
      <c r="I27" s="1"/>
      <c r="J27" s="1"/>
      <c r="K27" s="1"/>
    </row>
    <row r="28" spans="2:11" x14ac:dyDescent="0.25">
      <c r="B28" s="2" t="s">
        <v>8</v>
      </c>
      <c r="C28" s="2">
        <v>18432</v>
      </c>
      <c r="D28" s="2">
        <v>128</v>
      </c>
      <c r="E28" s="2">
        <v>4</v>
      </c>
      <c r="F28" s="2">
        <v>2</v>
      </c>
      <c r="G28" s="2" t="s">
        <v>36</v>
      </c>
      <c r="H28" s="1">
        <v>18681</v>
      </c>
      <c r="I28" s="1"/>
      <c r="J28" s="1"/>
      <c r="K28" s="1"/>
    </row>
    <row r="29" spans="2:11" x14ac:dyDescent="0.25">
      <c r="B29" s="2" t="s">
        <v>8</v>
      </c>
      <c r="C29" s="2">
        <v>18432</v>
      </c>
      <c r="D29" s="2">
        <v>64</v>
      </c>
      <c r="E29" s="2">
        <v>4</v>
      </c>
      <c r="F29" s="2">
        <v>2</v>
      </c>
      <c r="G29" s="2" t="s">
        <v>37</v>
      </c>
      <c r="H29" s="1">
        <v>18752</v>
      </c>
      <c r="I29" s="1"/>
      <c r="J29" s="1"/>
    </row>
    <row r="30" spans="2:11" x14ac:dyDescent="0.25">
      <c r="B30" s="2" t="s">
        <v>8</v>
      </c>
      <c r="C30" s="2">
        <v>18432</v>
      </c>
      <c r="D30" s="2">
        <v>32</v>
      </c>
      <c r="E30" s="2">
        <v>4</v>
      </c>
      <c r="F30" s="2">
        <v>2</v>
      </c>
      <c r="G30" s="2" t="s">
        <v>38</v>
      </c>
      <c r="H30" s="1">
        <v>18940</v>
      </c>
      <c r="I30" s="1"/>
      <c r="J30" s="1"/>
    </row>
    <row r="31" spans="2:11" x14ac:dyDescent="0.25">
      <c r="B31" s="2" t="s">
        <v>8</v>
      </c>
      <c r="C31" s="2">
        <v>19456</v>
      </c>
      <c r="D31" s="2">
        <v>256</v>
      </c>
      <c r="E31" s="2">
        <v>4</v>
      </c>
      <c r="F31" s="2">
        <v>2</v>
      </c>
      <c r="G31" s="2" t="s">
        <v>39</v>
      </c>
      <c r="H31" s="1">
        <v>19366</v>
      </c>
      <c r="I31" s="1"/>
      <c r="J31" s="1"/>
    </row>
    <row r="32" spans="2:11" x14ac:dyDescent="0.25">
      <c r="B32" s="2" t="s">
        <v>8</v>
      </c>
      <c r="C32" s="2">
        <v>19456</v>
      </c>
      <c r="D32" s="2">
        <v>128</v>
      </c>
      <c r="E32" s="2">
        <v>4</v>
      </c>
      <c r="F32" s="2">
        <v>2</v>
      </c>
      <c r="G32" s="2" t="s">
        <v>40</v>
      </c>
      <c r="H32" s="1">
        <v>19742</v>
      </c>
    </row>
    <row r="33" spans="2:8" x14ac:dyDescent="0.25">
      <c r="B33" s="2" t="s">
        <v>8</v>
      </c>
      <c r="C33" s="2">
        <v>19456</v>
      </c>
      <c r="D33" s="2">
        <v>64</v>
      </c>
      <c r="E33" s="2">
        <v>4</v>
      </c>
      <c r="F33" s="2">
        <v>2</v>
      </c>
      <c r="G33" s="2" t="s">
        <v>41</v>
      </c>
      <c r="H33" s="1">
        <v>18880</v>
      </c>
    </row>
    <row r="34" spans="2:8" x14ac:dyDescent="0.25">
      <c r="B34" s="2" t="s">
        <v>8</v>
      </c>
      <c r="C34" s="2">
        <v>19456</v>
      </c>
      <c r="D34" s="2">
        <v>32</v>
      </c>
      <c r="E34" s="2">
        <v>4</v>
      </c>
      <c r="F34" s="2">
        <v>2</v>
      </c>
      <c r="G34" s="2" t="s">
        <v>42</v>
      </c>
      <c r="H34" s="1">
        <v>19019</v>
      </c>
    </row>
    <row r="35" spans="2:8" x14ac:dyDescent="0.25">
      <c r="B35" s="2" t="s">
        <v>8</v>
      </c>
      <c r="C35" s="2">
        <v>19968</v>
      </c>
      <c r="D35" s="2">
        <v>128</v>
      </c>
      <c r="E35" s="2">
        <v>1</v>
      </c>
      <c r="F35" s="2">
        <v>8</v>
      </c>
      <c r="G35" s="2" t="s">
        <v>43</v>
      </c>
      <c r="H35" s="1">
        <v>20848</v>
      </c>
    </row>
    <row r="36" spans="2:8" x14ac:dyDescent="0.25">
      <c r="B36" s="2" t="s">
        <v>8</v>
      </c>
      <c r="C36" s="2">
        <v>19968</v>
      </c>
      <c r="D36" s="2">
        <v>64</v>
      </c>
      <c r="E36" s="2">
        <v>1</v>
      </c>
      <c r="F36" s="2">
        <v>8</v>
      </c>
      <c r="G36" s="2" t="s">
        <v>44</v>
      </c>
      <c r="H36" s="1">
        <v>20229</v>
      </c>
    </row>
    <row r="37" spans="2:8" x14ac:dyDescent="0.25">
      <c r="B37" s="2" t="s">
        <v>8</v>
      </c>
      <c r="C37" s="2">
        <v>19968</v>
      </c>
      <c r="D37" s="2">
        <v>32</v>
      </c>
      <c r="E37" s="2">
        <v>1</v>
      </c>
      <c r="F37" s="2">
        <v>8</v>
      </c>
      <c r="G37" s="2" t="s">
        <v>45</v>
      </c>
      <c r="H37" s="1">
        <v>20662</v>
      </c>
    </row>
    <row r="38" spans="2:8" x14ac:dyDescent="0.25">
      <c r="B38" s="2" t="s">
        <v>8</v>
      </c>
      <c r="C38" s="2">
        <v>19968</v>
      </c>
      <c r="D38" s="2">
        <v>128</v>
      </c>
      <c r="E38" s="2">
        <v>8</v>
      </c>
      <c r="F38" s="2">
        <v>1</v>
      </c>
      <c r="G38" s="2" t="s">
        <v>46</v>
      </c>
      <c r="H38" s="1">
        <v>16902</v>
      </c>
    </row>
    <row r="39" spans="2:8" x14ac:dyDescent="0.25">
      <c r="B39" s="2" t="s">
        <v>8</v>
      </c>
      <c r="C39" s="2">
        <v>19968</v>
      </c>
      <c r="D39" s="2">
        <v>64</v>
      </c>
      <c r="E39" s="2">
        <v>8</v>
      </c>
      <c r="F39" s="2">
        <v>1</v>
      </c>
      <c r="G39" s="2" t="s">
        <v>47</v>
      </c>
      <c r="H39" s="1">
        <v>17621</v>
      </c>
    </row>
    <row r="40" spans="2:8" x14ac:dyDescent="0.25">
      <c r="B40" s="2" t="s">
        <v>8</v>
      </c>
      <c r="C40" s="2">
        <v>19968</v>
      </c>
      <c r="D40" s="2">
        <v>32</v>
      </c>
      <c r="E40" s="2">
        <v>8</v>
      </c>
      <c r="F40" s="2">
        <v>1</v>
      </c>
      <c r="G40" s="2" t="s">
        <v>48</v>
      </c>
      <c r="H40" s="1">
        <v>17203</v>
      </c>
    </row>
    <row r="41" spans="2:8" x14ac:dyDescent="0.25">
      <c r="B41" s="2" t="s">
        <v>8</v>
      </c>
      <c r="C41" s="2">
        <v>19968</v>
      </c>
      <c r="D41" s="2">
        <v>128</v>
      </c>
      <c r="E41" s="2">
        <v>2</v>
      </c>
      <c r="F41" s="2">
        <v>4</v>
      </c>
      <c r="G41" s="2" t="s">
        <v>49</v>
      </c>
      <c r="H41" s="1">
        <v>20997</v>
      </c>
    </row>
    <row r="42" spans="2:8" x14ac:dyDescent="0.25">
      <c r="B42" s="2" t="s">
        <v>8</v>
      </c>
      <c r="C42" s="2">
        <v>19968</v>
      </c>
      <c r="D42" s="2">
        <v>64</v>
      </c>
      <c r="E42" s="2">
        <v>2</v>
      </c>
      <c r="F42" s="2">
        <v>4</v>
      </c>
      <c r="G42" s="2" t="s">
        <v>50</v>
      </c>
      <c r="H42" s="1">
        <v>20479</v>
      </c>
    </row>
    <row r="43" spans="2:8" x14ac:dyDescent="0.25">
      <c r="B43" s="2" t="s">
        <v>8</v>
      </c>
      <c r="C43" s="2">
        <v>19968</v>
      </c>
      <c r="D43" s="2">
        <v>32</v>
      </c>
      <c r="E43" s="2">
        <v>2</v>
      </c>
      <c r="F43" s="2">
        <v>4</v>
      </c>
      <c r="G43" s="2" t="s">
        <v>51</v>
      </c>
      <c r="H43" s="1">
        <v>20045</v>
      </c>
    </row>
    <row r="44" spans="2:8" x14ac:dyDescent="0.25">
      <c r="B44" s="2" t="s">
        <v>8</v>
      </c>
      <c r="C44" s="2">
        <v>19968</v>
      </c>
      <c r="D44" s="2">
        <v>128</v>
      </c>
      <c r="E44" s="2">
        <v>4</v>
      </c>
      <c r="F44" s="2">
        <v>2</v>
      </c>
      <c r="G44" s="2" t="s">
        <v>52</v>
      </c>
      <c r="H44" s="1">
        <v>19471</v>
      </c>
    </row>
    <row r="45" spans="2:8" x14ac:dyDescent="0.25">
      <c r="B45" s="2" t="s">
        <v>8</v>
      </c>
      <c r="C45" s="2">
        <v>19968</v>
      </c>
      <c r="D45" s="2">
        <v>64</v>
      </c>
      <c r="E45" s="2">
        <v>4</v>
      </c>
      <c r="F45" s="2">
        <v>2</v>
      </c>
      <c r="G45" s="2" t="s">
        <v>53</v>
      </c>
      <c r="H45" s="1">
        <v>19475</v>
      </c>
    </row>
    <row r="46" spans="2:8" x14ac:dyDescent="0.25">
      <c r="B46" s="2" t="s">
        <v>8</v>
      </c>
      <c r="C46" s="2">
        <v>19968</v>
      </c>
      <c r="D46" s="2">
        <v>32</v>
      </c>
      <c r="E46" s="2">
        <v>4</v>
      </c>
      <c r="F46" s="2">
        <v>2</v>
      </c>
      <c r="G46" s="2" t="s">
        <v>54</v>
      </c>
      <c r="H46" s="1">
        <v>19041</v>
      </c>
    </row>
    <row r="48" spans="2:8" x14ac:dyDescent="0.25">
      <c r="B48" s="2" t="s">
        <v>8</v>
      </c>
      <c r="C48" s="2">
        <v>20208</v>
      </c>
      <c r="D48" s="2">
        <v>40</v>
      </c>
      <c r="E48" s="2">
        <v>2</v>
      </c>
      <c r="F48" s="2">
        <v>4</v>
      </c>
      <c r="G48" s="2" t="s">
        <v>55</v>
      </c>
      <c r="H48" s="1">
        <v>21908</v>
      </c>
    </row>
    <row r="49" spans="2:8" x14ac:dyDescent="0.25">
      <c r="B49" s="2" t="s">
        <v>8</v>
      </c>
      <c r="C49" s="2">
        <v>19440</v>
      </c>
      <c r="D49" s="2">
        <v>40</v>
      </c>
      <c r="E49" s="2">
        <v>2</v>
      </c>
      <c r="F49" s="2">
        <v>4</v>
      </c>
      <c r="G49" s="2" t="s">
        <v>56</v>
      </c>
      <c r="H49" s="1">
        <v>20913</v>
      </c>
    </row>
    <row r="50" spans="2:8" x14ac:dyDescent="0.25">
      <c r="B50" s="2" t="s">
        <v>8</v>
      </c>
      <c r="C50" s="2">
        <v>18960</v>
      </c>
      <c r="D50" s="2">
        <v>40</v>
      </c>
      <c r="E50" s="2">
        <v>1</v>
      </c>
      <c r="F50" s="2">
        <v>8</v>
      </c>
      <c r="G50" s="2" t="s">
        <v>57</v>
      </c>
      <c r="H50" s="1">
        <v>20798</v>
      </c>
    </row>
    <row r="51" spans="2:8" x14ac:dyDescent="0.25">
      <c r="B51" s="2" t="s">
        <v>8</v>
      </c>
      <c r="C51" s="2">
        <v>20208</v>
      </c>
      <c r="D51" s="2">
        <v>40</v>
      </c>
      <c r="E51" s="2">
        <v>1</v>
      </c>
      <c r="F51" s="2">
        <v>8</v>
      </c>
      <c r="G51" s="2" t="s">
        <v>58</v>
      </c>
      <c r="H51" s="1">
        <v>20657</v>
      </c>
    </row>
    <row r="52" spans="2:8" x14ac:dyDescent="0.25">
      <c r="B52" s="2" t="s">
        <v>8</v>
      </c>
      <c r="C52" s="2">
        <v>19968</v>
      </c>
      <c r="D52" s="2">
        <v>40</v>
      </c>
      <c r="E52" s="2">
        <v>2</v>
      </c>
      <c r="F52" s="2">
        <v>4</v>
      </c>
      <c r="G52" s="2" t="s">
        <v>59</v>
      </c>
      <c r="H52" s="1">
        <v>20647</v>
      </c>
    </row>
    <row r="53" spans="2:8" x14ac:dyDescent="0.25">
      <c r="B53" s="2" t="s">
        <v>8</v>
      </c>
      <c r="C53" s="2">
        <v>18960</v>
      </c>
      <c r="D53" s="2">
        <v>40</v>
      </c>
      <c r="E53" s="2">
        <v>2</v>
      </c>
      <c r="F53" s="2">
        <v>4</v>
      </c>
      <c r="G53" s="2" t="s">
        <v>60</v>
      </c>
      <c r="H53" s="1">
        <v>20528</v>
      </c>
    </row>
    <row r="54" spans="2:8" x14ac:dyDescent="0.25">
      <c r="B54" s="2" t="s">
        <v>8</v>
      </c>
      <c r="C54" s="2">
        <v>19968</v>
      </c>
      <c r="D54" s="2">
        <v>40</v>
      </c>
      <c r="E54" s="2">
        <v>1</v>
      </c>
      <c r="F54" s="2">
        <v>8</v>
      </c>
      <c r="G54" s="2" t="s">
        <v>61</v>
      </c>
      <c r="H54" s="1">
        <v>20503</v>
      </c>
    </row>
    <row r="55" spans="2:8" x14ac:dyDescent="0.25">
      <c r="B55" s="2" t="s">
        <v>8</v>
      </c>
      <c r="C55" s="2">
        <v>19440</v>
      </c>
      <c r="D55" s="2">
        <v>40</v>
      </c>
      <c r="E55" s="2">
        <v>1</v>
      </c>
      <c r="F55" s="2">
        <v>8</v>
      </c>
      <c r="G55" s="2" t="s">
        <v>62</v>
      </c>
      <c r="H55" s="1">
        <v>20155</v>
      </c>
    </row>
    <row r="56" spans="2:8" x14ac:dyDescent="0.25">
      <c r="B56" s="2" t="s">
        <v>8</v>
      </c>
      <c r="C56" s="2">
        <v>20208</v>
      </c>
      <c r="D56" s="2">
        <v>40</v>
      </c>
      <c r="E56" s="2">
        <v>4</v>
      </c>
      <c r="F56" s="2">
        <v>2</v>
      </c>
      <c r="G56" s="2" t="s">
        <v>63</v>
      </c>
      <c r="H56" s="1">
        <v>20055</v>
      </c>
    </row>
    <row r="57" spans="2:8" x14ac:dyDescent="0.25">
      <c r="B57" s="2" t="s">
        <v>8</v>
      </c>
      <c r="C57" s="2">
        <v>18432</v>
      </c>
      <c r="D57" s="2">
        <v>40</v>
      </c>
      <c r="E57" s="2">
        <v>2</v>
      </c>
      <c r="F57" s="2">
        <v>4</v>
      </c>
      <c r="G57" s="2" t="s">
        <v>64</v>
      </c>
      <c r="H57" s="1">
        <v>19953</v>
      </c>
    </row>
    <row r="58" spans="2:8" x14ac:dyDescent="0.25">
      <c r="B58" s="2" t="s">
        <v>8</v>
      </c>
      <c r="C58" s="2">
        <v>18432</v>
      </c>
      <c r="D58" s="2">
        <v>40</v>
      </c>
      <c r="E58" s="2">
        <v>1</v>
      </c>
      <c r="F58" s="2">
        <v>8</v>
      </c>
      <c r="G58" s="2" t="s">
        <v>65</v>
      </c>
      <c r="H58" s="1">
        <v>19867</v>
      </c>
    </row>
    <row r="59" spans="2:8" x14ac:dyDescent="0.25">
      <c r="B59" s="2" t="s">
        <v>8</v>
      </c>
      <c r="C59" s="2">
        <v>18960</v>
      </c>
      <c r="D59" s="2">
        <v>40</v>
      </c>
      <c r="E59" s="2">
        <v>4</v>
      </c>
      <c r="F59" s="2">
        <v>2</v>
      </c>
      <c r="G59" s="2" t="s">
        <v>66</v>
      </c>
      <c r="H59" s="1">
        <v>19351</v>
      </c>
    </row>
    <row r="60" spans="2:8" x14ac:dyDescent="0.25">
      <c r="B60" s="2" t="s">
        <v>8</v>
      </c>
      <c r="C60" s="2">
        <v>19440</v>
      </c>
      <c r="D60" s="2">
        <v>40</v>
      </c>
      <c r="E60" s="2">
        <v>4</v>
      </c>
      <c r="F60" s="2">
        <v>2</v>
      </c>
      <c r="G60" s="2" t="s">
        <v>67</v>
      </c>
      <c r="H60" s="1">
        <v>19310</v>
      </c>
    </row>
    <row r="61" spans="2:8" x14ac:dyDescent="0.25">
      <c r="B61" s="2" t="s">
        <v>8</v>
      </c>
      <c r="C61" s="2">
        <v>19968</v>
      </c>
      <c r="D61" s="2">
        <v>40</v>
      </c>
      <c r="E61" s="2">
        <v>4</v>
      </c>
      <c r="F61" s="2">
        <v>2</v>
      </c>
      <c r="G61" s="2" t="s">
        <v>68</v>
      </c>
      <c r="H61" s="1">
        <v>19295</v>
      </c>
    </row>
    <row r="62" spans="2:8" x14ac:dyDescent="0.25">
      <c r="B62" s="2" t="s">
        <v>8</v>
      </c>
      <c r="C62" s="2">
        <v>18432</v>
      </c>
      <c r="D62" s="2">
        <v>40</v>
      </c>
      <c r="E62" s="2">
        <v>4</v>
      </c>
      <c r="F62" s="2">
        <v>2</v>
      </c>
      <c r="G62" s="2" t="s">
        <v>69</v>
      </c>
      <c r="H62" s="1">
        <v>19003</v>
      </c>
    </row>
    <row r="63" spans="2:8" x14ac:dyDescent="0.25">
      <c r="B63" s="2" t="s">
        <v>8</v>
      </c>
      <c r="C63" s="2">
        <v>19968</v>
      </c>
      <c r="D63" s="2">
        <v>40</v>
      </c>
      <c r="E63" s="2">
        <v>8</v>
      </c>
      <c r="F63" s="2">
        <v>1</v>
      </c>
      <c r="G63" s="2" t="s">
        <v>70</v>
      </c>
      <c r="H63" s="1">
        <v>17501</v>
      </c>
    </row>
    <row r="64" spans="2:8" x14ac:dyDescent="0.25">
      <c r="B64" s="2" t="s">
        <v>8</v>
      </c>
      <c r="C64" s="2">
        <v>20208</v>
      </c>
      <c r="D64" s="2">
        <v>40</v>
      </c>
      <c r="E64" s="2">
        <v>8</v>
      </c>
      <c r="F64" s="2">
        <v>1</v>
      </c>
      <c r="G64" s="2" t="s">
        <v>71</v>
      </c>
      <c r="H64" s="1">
        <v>17384</v>
      </c>
    </row>
    <row r="65" spans="2:8" x14ac:dyDescent="0.25">
      <c r="B65" s="2" t="s">
        <v>8</v>
      </c>
      <c r="C65" s="2">
        <v>18432</v>
      </c>
      <c r="D65" s="2">
        <v>40</v>
      </c>
      <c r="E65" s="2">
        <v>8</v>
      </c>
      <c r="F65" s="2">
        <v>1</v>
      </c>
      <c r="G65" s="2" t="s">
        <v>72</v>
      </c>
      <c r="H65" s="1">
        <v>17253</v>
      </c>
    </row>
    <row r="66" spans="2:8" x14ac:dyDescent="0.25">
      <c r="B66" s="2" t="s">
        <v>8</v>
      </c>
      <c r="C66" s="2">
        <v>19440</v>
      </c>
      <c r="D66" s="2">
        <v>40</v>
      </c>
      <c r="E66" s="2">
        <v>8</v>
      </c>
      <c r="F66" s="2">
        <v>1</v>
      </c>
      <c r="G66" s="2" t="s">
        <v>73</v>
      </c>
      <c r="H66" s="1">
        <v>17058</v>
      </c>
    </row>
    <row r="67" spans="2:8" x14ac:dyDescent="0.25">
      <c r="B67" s="2" t="s">
        <v>8</v>
      </c>
      <c r="C67" s="2">
        <v>18960</v>
      </c>
      <c r="D67" s="2">
        <v>40</v>
      </c>
      <c r="E67" s="2">
        <v>8</v>
      </c>
      <c r="F67" s="2">
        <v>1</v>
      </c>
      <c r="G67" s="2" t="s">
        <v>74</v>
      </c>
      <c r="H67" s="1">
        <v>16869</v>
      </c>
    </row>
    <row r="121" spans="8:8" x14ac:dyDescent="0.25">
      <c r="H121" t="e">
        <f>#REF!/#REF!</f>
        <v>#REF!</v>
      </c>
    </row>
  </sheetData>
  <mergeCells count="1">
    <mergeCell ref="A1:J1"/>
  </mergeCells>
  <conditionalFormatting sqref="G3:G46 A3:B46 A47:G9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4B5-93CF-4B8A-8DFF-B002923152E4}">
  <dimension ref="A1:Q14"/>
  <sheetViews>
    <sheetView workbookViewId="0">
      <selection activeCell="O13" sqref="O13:Q13"/>
    </sheetView>
  </sheetViews>
  <sheetFormatPr defaultRowHeight="15" x14ac:dyDescent="0.25"/>
  <cols>
    <col min="1" max="1" width="12.28515625" bestFit="1" customWidth="1"/>
    <col min="2" max="2" width="6.28515625" bestFit="1" customWidth="1"/>
    <col min="3" max="3" width="8.140625" bestFit="1" customWidth="1"/>
    <col min="4" max="5" width="12.140625" bestFit="1" customWidth="1"/>
    <col min="6" max="6" width="26.28515625" customWidth="1"/>
    <col min="7" max="7" width="10.5703125" customWidth="1"/>
    <col min="10" max="10" width="27.140625" bestFit="1" customWidth="1"/>
    <col min="11" max="11" width="18" bestFit="1" customWidth="1"/>
    <col min="12" max="12" width="31.140625" bestFit="1" customWidth="1"/>
  </cols>
  <sheetData>
    <row r="1" spans="1:17" x14ac:dyDescent="0.25">
      <c r="A1" s="7" t="s">
        <v>75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/>
      <c r="I1" s="6"/>
      <c r="J1" s="6" t="s">
        <v>82</v>
      </c>
      <c r="K1" t="s">
        <v>83</v>
      </c>
    </row>
    <row r="2" spans="1:17" x14ac:dyDescent="0.25">
      <c r="A2" s="7" t="s">
        <v>84</v>
      </c>
      <c r="C2" t="s">
        <v>85</v>
      </c>
      <c r="D2" t="s">
        <v>86</v>
      </c>
      <c r="E2" t="s">
        <v>86</v>
      </c>
      <c r="F2" t="s">
        <v>87</v>
      </c>
      <c r="G2" t="s">
        <v>88</v>
      </c>
      <c r="K2" t="s">
        <v>89</v>
      </c>
      <c r="L2" t="s">
        <v>90</v>
      </c>
    </row>
    <row r="3" spans="1:17" x14ac:dyDescent="0.25">
      <c r="A3" s="7" t="s">
        <v>0</v>
      </c>
      <c r="C3" t="s">
        <v>91</v>
      </c>
      <c r="D3" t="s">
        <v>92</v>
      </c>
      <c r="E3" t="s">
        <v>92</v>
      </c>
      <c r="F3" t="s">
        <v>93</v>
      </c>
      <c r="G3" t="s">
        <v>88</v>
      </c>
      <c r="J3" t="s">
        <v>94</v>
      </c>
      <c r="K3" t="s">
        <v>95</v>
      </c>
    </row>
    <row r="4" spans="1:17" x14ac:dyDescent="0.25">
      <c r="A4" s="7" t="s">
        <v>96</v>
      </c>
      <c r="C4" t="s">
        <v>91</v>
      </c>
      <c r="D4" t="s">
        <v>97</v>
      </c>
      <c r="E4" t="s">
        <v>97</v>
      </c>
      <c r="F4" t="s">
        <v>98</v>
      </c>
      <c r="G4" t="s">
        <v>88</v>
      </c>
      <c r="J4" t="s">
        <v>94</v>
      </c>
      <c r="K4" t="s">
        <v>99</v>
      </c>
      <c r="L4" t="s">
        <v>100</v>
      </c>
    </row>
    <row r="5" spans="1:17" x14ac:dyDescent="0.25">
      <c r="A5" s="69" t="s">
        <v>101</v>
      </c>
      <c r="B5" s="3" t="s">
        <v>102</v>
      </c>
      <c r="C5" t="s">
        <v>91</v>
      </c>
      <c r="D5" t="s">
        <v>92</v>
      </c>
      <c r="E5" t="s">
        <v>92</v>
      </c>
      <c r="F5" t="s">
        <v>93</v>
      </c>
      <c r="G5" t="s">
        <v>88</v>
      </c>
      <c r="J5" t="s">
        <v>94</v>
      </c>
      <c r="K5" t="s">
        <v>95</v>
      </c>
      <c r="L5" s="70" t="s">
        <v>103</v>
      </c>
    </row>
    <row r="6" spans="1:17" x14ac:dyDescent="0.25">
      <c r="A6" s="69"/>
      <c r="B6" s="3" t="s">
        <v>104</v>
      </c>
      <c r="C6" t="s">
        <v>91</v>
      </c>
      <c r="D6" t="s">
        <v>105</v>
      </c>
      <c r="E6" t="s">
        <v>105</v>
      </c>
      <c r="F6" t="s">
        <v>93</v>
      </c>
      <c r="G6" t="s">
        <v>88</v>
      </c>
      <c r="J6" t="s">
        <v>94</v>
      </c>
      <c r="K6" t="s">
        <v>95</v>
      </c>
      <c r="L6" s="70"/>
    </row>
    <row r="12" spans="1:17" ht="60" x14ac:dyDescent="0.25">
      <c r="A12" s="71" t="s">
        <v>113</v>
      </c>
      <c r="B12" s="71"/>
      <c r="C12" s="12" t="s">
        <v>125</v>
      </c>
      <c r="D12" s="12" t="s">
        <v>114</v>
      </c>
      <c r="E12" s="12" t="s">
        <v>115</v>
      </c>
      <c r="F12" s="12" t="s">
        <v>116</v>
      </c>
      <c r="G12" s="12" t="s">
        <v>117</v>
      </c>
      <c r="H12" s="12" t="s">
        <v>118</v>
      </c>
      <c r="I12" s="12" t="s">
        <v>119</v>
      </c>
      <c r="J12" s="12" t="s">
        <v>3</v>
      </c>
      <c r="K12" s="12" t="s">
        <v>4</v>
      </c>
      <c r="L12" s="12" t="s">
        <v>5</v>
      </c>
      <c r="M12" s="12" t="s">
        <v>120</v>
      </c>
      <c r="N12" s="12" t="s">
        <v>121</v>
      </c>
      <c r="O12" s="12" t="s">
        <v>122</v>
      </c>
      <c r="P12" s="12" t="s">
        <v>123</v>
      </c>
      <c r="Q12" s="12" t="s">
        <v>124</v>
      </c>
    </row>
    <row r="13" spans="1:17" x14ac:dyDescent="0.25">
      <c r="A13" t="s">
        <v>125</v>
      </c>
      <c r="B13">
        <v>4</v>
      </c>
      <c r="C13">
        <v>1</v>
      </c>
      <c r="D13" t="s">
        <v>0</v>
      </c>
      <c r="E13">
        <v>1022960</v>
      </c>
      <c r="F13">
        <f>$B$14*SQRT(($C13*$E13*1024)/8)</f>
        <v>9154.2822329224709</v>
      </c>
      <c r="G13">
        <f>_xlfn.CEILING.MATH(F13/J13)*J13</f>
        <v>9216</v>
      </c>
      <c r="H13">
        <f>SQRT($B$14*($C13*$E13*1024)/8)</f>
        <v>10234.798679016603</v>
      </c>
      <c r="I13">
        <f>_xlfn.CEILING.MATH(H13/J13)*J13</f>
        <v>10240</v>
      </c>
      <c r="J13">
        <v>64</v>
      </c>
      <c r="K13">
        <v>1</v>
      </c>
      <c r="L13">
        <v>2</v>
      </c>
      <c r="M13">
        <f>I13-G13</f>
        <v>1024</v>
      </c>
      <c r="N13">
        <f>M13/2</f>
        <v>512</v>
      </c>
      <c r="O13">
        <f>G13</f>
        <v>9216</v>
      </c>
      <c r="P13">
        <f>_xlfn.CEILING.MATH((O13+N13)/J13)*J13</f>
        <v>9728</v>
      </c>
      <c r="Q13">
        <f>_xlfn.CEILING.MATH((P13+N13)/J13)*J13</f>
        <v>10240</v>
      </c>
    </row>
    <row r="14" spans="1:17" x14ac:dyDescent="0.25">
      <c r="A14" t="s">
        <v>126</v>
      </c>
      <c r="B14">
        <v>0.8</v>
      </c>
      <c r="C14">
        <v>4</v>
      </c>
      <c r="D14" t="s">
        <v>0</v>
      </c>
      <c r="E14">
        <v>1022961</v>
      </c>
      <c r="F14">
        <f>$B$14*SQRT(($B$13*$E14*1024)/8)</f>
        <v>18308.573414660139</v>
      </c>
      <c r="G14">
        <f>_xlfn.CEILING.MATH(F14/J14)*J14</f>
        <v>18368</v>
      </c>
      <c r="H14">
        <f>SQRT($B$14*($B$13*$E14*1024)/8)</f>
        <v>20469.607363112758</v>
      </c>
      <c r="I14">
        <f>_xlfn.CEILING.MATH(H14/J14)*J14</f>
        <v>20480</v>
      </c>
      <c r="J14">
        <v>64</v>
      </c>
      <c r="K14">
        <v>2</v>
      </c>
      <c r="L14">
        <v>4</v>
      </c>
      <c r="M14">
        <f>I14-G14</f>
        <v>2112</v>
      </c>
      <c r="N14">
        <f>M14/2</f>
        <v>1056</v>
      </c>
      <c r="O14">
        <f>G14</f>
        <v>18368</v>
      </c>
      <c r="P14">
        <f>_xlfn.CEILING.MATH((O14+N14)/J14)*J14</f>
        <v>19456</v>
      </c>
      <c r="Q14">
        <f>_xlfn.CEILING.MATH((P14+N14)/J14)*J14</f>
        <v>20544</v>
      </c>
    </row>
  </sheetData>
  <mergeCells count="3">
    <mergeCell ref="A5:A6"/>
    <mergeCell ref="L5:L6"/>
    <mergeCell ref="A12:B1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CB29-1A3B-42C4-A0B1-1C7B04D9111F}">
  <dimension ref="A1:H9"/>
  <sheetViews>
    <sheetView zoomScale="85" zoomScaleNormal="85" workbookViewId="0">
      <selection activeCell="E27" sqref="E27"/>
    </sheetView>
  </sheetViews>
  <sheetFormatPr defaultRowHeight="15" x14ac:dyDescent="0.25"/>
  <cols>
    <col min="1" max="1" width="3" bestFit="1" customWidth="1"/>
    <col min="2" max="2" width="30.5703125" bestFit="1" customWidth="1"/>
    <col min="3" max="3" width="46.28515625" style="5" bestFit="1" customWidth="1"/>
    <col min="4" max="4" width="35.85546875" bestFit="1" customWidth="1"/>
    <col min="5" max="5" width="53.85546875" style="8" bestFit="1" customWidth="1"/>
    <col min="6" max="6" width="17.5703125" bestFit="1" customWidth="1"/>
    <col min="7" max="7" width="17.5703125" customWidth="1"/>
    <col min="8" max="8" width="13.140625" style="4" customWidth="1"/>
  </cols>
  <sheetData>
    <row r="1" spans="1:8" ht="30" x14ac:dyDescent="0.25">
      <c r="A1" s="68" t="s">
        <v>0</v>
      </c>
      <c r="B1" s="68"/>
      <c r="C1" s="11" t="s">
        <v>107</v>
      </c>
      <c r="D1" s="11" t="s">
        <v>108</v>
      </c>
      <c r="E1" s="11" t="s">
        <v>109</v>
      </c>
      <c r="F1" s="12" t="s">
        <v>110</v>
      </c>
      <c r="G1" s="12" t="s">
        <v>111</v>
      </c>
      <c r="H1" s="12" t="s">
        <v>112</v>
      </c>
    </row>
    <row r="2" spans="1:8" ht="30" x14ac:dyDescent="0.25">
      <c r="A2">
        <v>1</v>
      </c>
      <c r="B2" t="s">
        <v>129</v>
      </c>
      <c r="C2" s="15" t="s">
        <v>130</v>
      </c>
      <c r="D2" s="15" t="s">
        <v>128</v>
      </c>
      <c r="E2" s="15" t="s">
        <v>131</v>
      </c>
    </row>
    <row r="3" spans="1:8" ht="30" x14ac:dyDescent="0.25">
      <c r="A3">
        <v>2</v>
      </c>
      <c r="B3" t="s">
        <v>132</v>
      </c>
      <c r="C3" s="15" t="s">
        <v>133</v>
      </c>
      <c r="D3" s="15" t="s">
        <v>134</v>
      </c>
      <c r="E3" s="15" t="s">
        <v>135</v>
      </c>
    </row>
    <row r="4" spans="1:8" ht="45" x14ac:dyDescent="0.25">
      <c r="A4">
        <v>3</v>
      </c>
      <c r="B4" t="s">
        <v>136</v>
      </c>
      <c r="C4" s="15" t="s">
        <v>137</v>
      </c>
      <c r="D4" s="15" t="s">
        <v>138</v>
      </c>
      <c r="E4" s="15" t="s">
        <v>138</v>
      </c>
    </row>
    <row r="5" spans="1:8" ht="30" x14ac:dyDescent="0.25">
      <c r="A5">
        <v>4</v>
      </c>
      <c r="B5" t="s">
        <v>139</v>
      </c>
      <c r="C5" s="15" t="s">
        <v>140</v>
      </c>
      <c r="D5" s="15" t="s">
        <v>134</v>
      </c>
      <c r="E5" s="15" t="s">
        <v>134</v>
      </c>
    </row>
    <row r="6" spans="1:8" ht="60" x14ac:dyDescent="0.25">
      <c r="A6">
        <v>5</v>
      </c>
      <c r="B6" t="s">
        <v>141</v>
      </c>
      <c r="C6" s="15" t="s">
        <v>142</v>
      </c>
      <c r="D6" s="15"/>
      <c r="E6" s="15" t="s">
        <v>143</v>
      </c>
    </row>
    <row r="7" spans="1:8" ht="75" x14ac:dyDescent="0.25">
      <c r="A7">
        <v>6</v>
      </c>
      <c r="B7" t="s">
        <v>144</v>
      </c>
      <c r="C7" s="15" t="s">
        <v>145</v>
      </c>
      <c r="D7" s="9"/>
      <c r="E7" s="15" t="s">
        <v>146</v>
      </c>
    </row>
    <row r="8" spans="1:8" ht="75" x14ac:dyDescent="0.25">
      <c r="A8">
        <v>7</v>
      </c>
      <c r="B8" t="s">
        <v>147</v>
      </c>
      <c r="C8" s="25" t="s">
        <v>148</v>
      </c>
      <c r="D8" s="15"/>
      <c r="E8" s="15" t="s">
        <v>149</v>
      </c>
    </row>
    <row r="9" spans="1:8" ht="75" x14ac:dyDescent="0.25">
      <c r="A9">
        <v>8</v>
      </c>
      <c r="B9" t="s">
        <v>150</v>
      </c>
      <c r="C9" s="25" t="s">
        <v>151</v>
      </c>
      <c r="D9" s="15"/>
      <c r="E9" s="15" t="s">
        <v>146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2C3B-9CE2-42F1-979D-DD3786550C7D}">
  <dimension ref="A1:O18"/>
  <sheetViews>
    <sheetView zoomScale="85" zoomScaleNormal="85" workbookViewId="0">
      <selection activeCell="L3" sqref="L3"/>
    </sheetView>
  </sheetViews>
  <sheetFormatPr defaultRowHeight="15" x14ac:dyDescent="0.25"/>
  <cols>
    <col min="2" max="2" width="32.28515625" bestFit="1" customWidth="1"/>
    <col min="3" max="3" width="56.140625" style="8" customWidth="1"/>
    <col min="4" max="4" width="34.140625" style="8" bestFit="1" customWidth="1"/>
    <col min="5" max="5" width="35.140625" style="5" bestFit="1" customWidth="1"/>
    <col min="6" max="6" width="17.5703125" bestFit="1" customWidth="1"/>
    <col min="7" max="7" width="12.7109375" bestFit="1" customWidth="1"/>
    <col min="8" max="8" width="15.7109375" bestFit="1" customWidth="1"/>
    <col min="9" max="9" width="15.42578125" bestFit="1" customWidth="1"/>
    <col min="10" max="10" width="16.7109375" bestFit="1" customWidth="1"/>
    <col min="11" max="11" width="16.42578125" bestFit="1" customWidth="1"/>
    <col min="12" max="12" width="16.42578125" customWidth="1"/>
    <col min="13" max="13" width="79.140625" style="4" customWidth="1"/>
    <col min="15" max="15" width="16.140625" bestFit="1" customWidth="1"/>
  </cols>
  <sheetData>
    <row r="1" spans="1:15" s="14" customFormat="1" ht="105" x14ac:dyDescent="0.25">
      <c r="A1" s="69" t="s">
        <v>106</v>
      </c>
      <c r="B1" s="69"/>
      <c r="C1" s="11" t="s">
        <v>152</v>
      </c>
      <c r="D1" s="11" t="s">
        <v>108</v>
      </c>
      <c r="E1" s="11" t="s">
        <v>153</v>
      </c>
      <c r="F1" s="12" t="s">
        <v>154</v>
      </c>
      <c r="G1" s="12" t="s">
        <v>155</v>
      </c>
      <c r="H1" s="10" t="s">
        <v>156</v>
      </c>
      <c r="I1" s="16" t="s">
        <v>157</v>
      </c>
      <c r="J1" s="10" t="s">
        <v>158</v>
      </c>
      <c r="K1" s="10" t="s">
        <v>159</v>
      </c>
      <c r="L1" s="10" t="s">
        <v>7</v>
      </c>
      <c r="M1" s="13" t="s">
        <v>112</v>
      </c>
      <c r="N1" s="17"/>
      <c r="O1" s="18" t="s">
        <v>160</v>
      </c>
    </row>
    <row r="2" spans="1:15" s="9" customFormat="1" x14ac:dyDescent="0.25">
      <c r="A2" s="68" t="s">
        <v>166</v>
      </c>
      <c r="B2" s="68"/>
      <c r="C2" s="8"/>
      <c r="D2" s="8"/>
      <c r="E2" s="5"/>
      <c r="F2"/>
      <c r="G2"/>
      <c r="H2"/>
      <c r="I2"/>
      <c r="J2"/>
      <c r="K2"/>
      <c r="L2"/>
      <c r="M2" s="4"/>
      <c r="N2" s="19"/>
      <c r="O2" s="18" t="s">
        <v>161</v>
      </c>
    </row>
    <row r="3" spans="1:15" s="9" customFormat="1" ht="30" x14ac:dyDescent="0.25">
      <c r="A3">
        <v>1</v>
      </c>
      <c r="B3" t="s">
        <v>129</v>
      </c>
      <c r="C3" s="8" t="s">
        <v>130</v>
      </c>
      <c r="D3" s="15" t="s">
        <v>128</v>
      </c>
      <c r="E3" s="5" t="s">
        <v>127</v>
      </c>
      <c r="F3" t="s">
        <v>167</v>
      </c>
      <c r="G3"/>
      <c r="H3"/>
      <c r="I3"/>
      <c r="J3"/>
      <c r="K3"/>
      <c r="L3">
        <f>VLOOKUP(B3,'HPL 4 nodes, builds'!$Z$4:$AW$43,24,FALSE)</f>
        <v>1.9152200000000001</v>
      </c>
      <c r="M3" s="4"/>
      <c r="N3" s="21"/>
      <c r="O3" s="18" t="s">
        <v>162</v>
      </c>
    </row>
    <row r="4" spans="1:15" s="9" customFormat="1" ht="30" x14ac:dyDescent="0.25">
      <c r="A4">
        <v>2</v>
      </c>
      <c r="B4" t="s">
        <v>132</v>
      </c>
      <c r="C4" s="8" t="s">
        <v>133</v>
      </c>
      <c r="D4" s="8" t="s">
        <v>134</v>
      </c>
      <c r="E4" s="5" t="s">
        <v>168</v>
      </c>
      <c r="F4" t="s">
        <v>169</v>
      </c>
      <c r="G4"/>
      <c r="H4"/>
      <c r="I4"/>
      <c r="J4"/>
      <c r="K4"/>
      <c r="L4">
        <f>VLOOKUP(B4,'HPL 4 nodes, builds'!$Z$4:$AW$43,24,FALSE)</f>
        <v>1.67164</v>
      </c>
      <c r="M4" s="4"/>
      <c r="N4" s="20"/>
      <c r="O4" s="18" t="s">
        <v>163</v>
      </c>
    </row>
    <row r="5" spans="1:15" s="9" customFormat="1" ht="30" x14ac:dyDescent="0.25">
      <c r="A5">
        <v>3</v>
      </c>
      <c r="B5" t="s">
        <v>136</v>
      </c>
      <c r="C5" s="8" t="s">
        <v>137</v>
      </c>
      <c r="D5" s="8" t="s">
        <v>138</v>
      </c>
      <c r="E5" s="5" t="s">
        <v>165</v>
      </c>
      <c r="F5" t="s">
        <v>170</v>
      </c>
      <c r="G5"/>
      <c r="H5"/>
      <c r="I5"/>
      <c r="J5"/>
      <c r="K5"/>
      <c r="L5">
        <f>VLOOKUP(B5,'HPL 4 nodes, builds'!$Z$4:$AW$43,24,FALSE)</f>
        <v>1.6871800000000001</v>
      </c>
      <c r="M5" s="4"/>
      <c r="N5" s="22"/>
      <c r="O5" s="23" t="s">
        <v>164</v>
      </c>
    </row>
    <row r="6" spans="1:15" s="9" customFormat="1" ht="30" x14ac:dyDescent="0.25">
      <c r="A6">
        <v>4</v>
      </c>
      <c r="B6" t="s">
        <v>139</v>
      </c>
      <c r="C6" s="8" t="s">
        <v>140</v>
      </c>
      <c r="D6" s="8" t="s">
        <v>134</v>
      </c>
      <c r="E6" s="5" t="s">
        <v>168</v>
      </c>
      <c r="F6" t="s">
        <v>171</v>
      </c>
      <c r="G6"/>
      <c r="H6"/>
      <c r="I6"/>
      <c r="J6"/>
      <c r="K6"/>
      <c r="L6">
        <f>VLOOKUP(B6,'HPL 4 nodes, builds'!$Z$4:$AW$43,24,FALSE)</f>
        <v>1.2845799999999998</v>
      </c>
      <c r="M6" s="4"/>
    </row>
    <row r="7" spans="1:15" s="9" customFormat="1" ht="45" x14ac:dyDescent="0.25">
      <c r="A7">
        <v>5</v>
      </c>
      <c r="B7" t="s">
        <v>141</v>
      </c>
      <c r="C7" s="8" t="s">
        <v>142</v>
      </c>
      <c r="D7" s="8"/>
      <c r="E7" s="5"/>
      <c r="F7" t="s">
        <v>167</v>
      </c>
      <c r="G7"/>
      <c r="H7"/>
      <c r="I7"/>
      <c r="J7"/>
      <c r="K7"/>
      <c r="L7">
        <f>VLOOKUP(B7,'HPL 4 nodes, builds'!$Z$4:$AW$43,24,FALSE)</f>
        <v>1.9634999999999998</v>
      </c>
      <c r="M7" s="4"/>
    </row>
    <row r="8" spans="1:15" s="9" customFormat="1" ht="60" x14ac:dyDescent="0.25">
      <c r="A8">
        <v>6</v>
      </c>
      <c r="B8" t="s">
        <v>144</v>
      </c>
      <c r="C8" s="8" t="s">
        <v>145</v>
      </c>
      <c r="D8"/>
      <c r="E8" s="5"/>
      <c r="F8" t="s">
        <v>169</v>
      </c>
      <c r="G8"/>
      <c r="H8"/>
      <c r="I8"/>
      <c r="J8"/>
      <c r="K8"/>
      <c r="L8">
        <f>VLOOKUP(B8,'HPL 4 nodes, builds'!$Z$4:$AW$43,24,FALSE)</f>
        <v>1.81704</v>
      </c>
      <c r="M8" s="4"/>
    </row>
    <row r="9" spans="1:15" s="9" customFormat="1" ht="75" x14ac:dyDescent="0.25">
      <c r="A9">
        <v>7</v>
      </c>
      <c r="B9" t="s">
        <v>147</v>
      </c>
      <c r="C9" s="24" t="s">
        <v>148</v>
      </c>
      <c r="D9" s="8"/>
      <c r="E9" s="5"/>
      <c r="F9" t="s">
        <v>170</v>
      </c>
      <c r="G9"/>
      <c r="H9"/>
      <c r="I9"/>
      <c r="J9"/>
      <c r="K9"/>
      <c r="L9">
        <f>VLOOKUP(B9,'HPL 4 nodes, builds'!$Z$4:$AW$43,24,FALSE)</f>
        <v>1.8735199999999999</v>
      </c>
      <c r="M9" s="4" t="s">
        <v>172</v>
      </c>
    </row>
    <row r="10" spans="1:15" s="9" customFormat="1" ht="60" x14ac:dyDescent="0.25">
      <c r="A10">
        <v>8</v>
      </c>
      <c r="B10" t="s">
        <v>150</v>
      </c>
      <c r="C10" s="24" t="s">
        <v>151</v>
      </c>
      <c r="D10" s="8"/>
      <c r="E10" s="5"/>
      <c r="F10" t="s">
        <v>171</v>
      </c>
      <c r="G10"/>
      <c r="H10"/>
      <c r="I10"/>
      <c r="J10"/>
      <c r="K10"/>
      <c r="L10">
        <f>VLOOKUP(B10,'HPL 4 nodes, builds'!$Z$4:$AW$43,24,FALSE)</f>
        <v>1.8137000000000001</v>
      </c>
      <c r="M10" s="4"/>
    </row>
    <row r="11" spans="1:15" s="9" customFormat="1" x14ac:dyDescent="0.25">
      <c r="A11" s="26"/>
      <c r="B11" s="27"/>
      <c r="C11" s="27"/>
      <c r="D11" s="28"/>
      <c r="E11" s="26"/>
      <c r="F11"/>
      <c r="G11"/>
      <c r="H11"/>
      <c r="I11"/>
      <c r="J11"/>
      <c r="K11"/>
      <c r="L11"/>
    </row>
    <row r="12" spans="1:15" s="9" customFormat="1" x14ac:dyDescent="0.25">
      <c r="A12"/>
      <c r="B12" s="8"/>
      <c r="C12" s="8"/>
      <c r="D12" s="5"/>
      <c r="E12"/>
      <c r="F12"/>
      <c r="G12"/>
      <c r="H12"/>
      <c r="I12"/>
      <c r="J12"/>
      <c r="K12"/>
      <c r="L12" s="4"/>
    </row>
    <row r="13" spans="1:15" s="9" customFormat="1" x14ac:dyDescent="0.25">
      <c r="A13"/>
      <c r="B13" s="8"/>
      <c r="C13" s="8"/>
      <c r="D13" s="5"/>
      <c r="E13"/>
      <c r="F13"/>
      <c r="G13"/>
      <c r="H13"/>
      <c r="I13"/>
      <c r="J13"/>
      <c r="K13"/>
      <c r="L13" s="4"/>
    </row>
    <row r="14" spans="1:15" s="9" customFormat="1" x14ac:dyDescent="0.25">
      <c r="A14"/>
      <c r="B14" s="8"/>
      <c r="C14" s="8"/>
      <c r="D14" s="5"/>
      <c r="E14"/>
      <c r="F14"/>
      <c r="G14"/>
      <c r="H14"/>
      <c r="I14"/>
      <c r="J14"/>
      <c r="K14"/>
      <c r="L14" s="4"/>
    </row>
    <row r="15" spans="1:15" x14ac:dyDescent="0.25">
      <c r="B15" s="8"/>
      <c r="D15" s="5"/>
      <c r="E15"/>
      <c r="L15" s="4"/>
      <c r="M15"/>
    </row>
    <row r="16" spans="1:15" x14ac:dyDescent="0.25">
      <c r="B16" s="8"/>
      <c r="D16" s="5"/>
      <c r="E16"/>
      <c r="L16" s="4"/>
      <c r="M16"/>
    </row>
    <row r="17" spans="2:13" x14ac:dyDescent="0.25">
      <c r="B17" s="8"/>
      <c r="D17" s="5"/>
      <c r="E17"/>
      <c r="L17" s="4"/>
      <c r="M17"/>
    </row>
    <row r="18" spans="2:13" x14ac:dyDescent="0.25">
      <c r="B18" s="8"/>
      <c r="D18" s="5"/>
      <c r="E18"/>
      <c r="L18" s="4"/>
      <c r="M18"/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260-EAAF-4A97-9410-92857D597ED2}">
  <dimension ref="A1:AX84"/>
  <sheetViews>
    <sheetView topLeftCell="E1" zoomScale="85" zoomScaleNormal="85" workbookViewId="0">
      <selection activeCell="Z29" sqref="Z29"/>
    </sheetView>
  </sheetViews>
  <sheetFormatPr defaultRowHeight="15" x14ac:dyDescent="0.25"/>
  <cols>
    <col min="1" max="1" width="29.28515625" bestFit="1" customWidth="1"/>
    <col min="2" max="2" width="8.7109375" bestFit="1" customWidth="1"/>
    <col min="3" max="3" width="9.85546875" bestFit="1" customWidth="1"/>
    <col min="4" max="4" width="8.7109375" bestFit="1" customWidth="1"/>
    <col min="5" max="7" width="8.28515625" customWidth="1"/>
    <col min="8" max="8" width="8.7109375" style="2" bestFit="1" customWidth="1"/>
    <col min="9" max="9" width="8.7109375" style="40" bestFit="1" customWidth="1"/>
    <col min="12" max="23" width="7.7109375" bestFit="1" customWidth="1"/>
    <col min="24" max="24" width="9.85546875" style="40" customWidth="1"/>
    <col min="26" max="26" width="29.28515625" bestFit="1" customWidth="1"/>
    <col min="34" max="34" width="9.140625" style="65"/>
    <col min="50" max="50" width="9.140625" style="65"/>
  </cols>
  <sheetData>
    <row r="1" spans="1:49" ht="15" customHeight="1" x14ac:dyDescent="0.25">
      <c r="A1" s="43" t="s">
        <v>179</v>
      </c>
      <c r="B1" s="72" t="str">
        <f>INDEX(A:A,MATCH(MAX($X:$X),$X:$X,0))</f>
        <v>atlarch-flags</v>
      </c>
      <c r="C1" s="72"/>
      <c r="D1" s="72"/>
      <c r="E1" s="72"/>
      <c r="F1" s="44">
        <f>MAX(X:X)</f>
        <v>1.9554800000000001</v>
      </c>
      <c r="G1" s="60">
        <f>INDEX(D:D,MATCH(MAX($W:$W),$W:$W,0))</f>
        <v>18368</v>
      </c>
      <c r="H1" s="60">
        <f>INDEX(E:E,MATCH(MAX($W:$W),$W:$W,0))</f>
        <v>64</v>
      </c>
      <c r="I1" s="60">
        <f t="shared" ref="I1:J1" si="0">INDEX(F:F,MATCH(MAX($W:$W),$W:$W,0))</f>
        <v>2</v>
      </c>
      <c r="J1" s="60">
        <f t="shared" si="0"/>
        <v>4</v>
      </c>
      <c r="K1" s="52"/>
      <c r="L1" s="73" t="s">
        <v>189</v>
      </c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5" t="s">
        <v>175</v>
      </c>
      <c r="Z1" s="43" t="s">
        <v>179</v>
      </c>
      <c r="AA1" s="72" t="str">
        <f>INDEX(Z:Z,MATCH(MAX($AW:$AW),$AW:$AW,0))</f>
        <v>atlarch-flags</v>
      </c>
      <c r="AB1" s="72"/>
      <c r="AC1" s="72"/>
      <c r="AD1" s="72"/>
      <c r="AE1" s="44">
        <f>MAX(AW:AW)</f>
        <v>1.9634999999999998</v>
      </c>
      <c r="AF1" s="60">
        <f>INDEX(AC:AC,MATCH(MAX($AW:$AW),$AW:$AW,0))</f>
        <v>18368</v>
      </c>
      <c r="AG1" s="60">
        <f t="shared" ref="AG1:AI1" si="1">INDEX(AD:AD,MATCH(MAX($AW:$AW),$AW:$AW,0))</f>
        <v>64</v>
      </c>
      <c r="AH1" s="60">
        <f t="shared" si="1"/>
        <v>2</v>
      </c>
      <c r="AI1" s="60">
        <f t="shared" si="1"/>
        <v>4</v>
      </c>
      <c r="AJ1" s="52"/>
      <c r="AK1" s="73" t="s">
        <v>190</v>
      </c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5" t="s">
        <v>175</v>
      </c>
    </row>
    <row r="2" spans="1:49" x14ac:dyDescent="0.25">
      <c r="A2" s="76" t="s">
        <v>180</v>
      </c>
      <c r="B2" s="76"/>
      <c r="C2" s="76"/>
      <c r="D2" s="46">
        <f>MAX(I4:I841)</f>
        <v>2.0587</v>
      </c>
      <c r="E2" s="45"/>
      <c r="F2" s="45"/>
      <c r="G2" s="45"/>
      <c r="H2" s="55"/>
      <c r="I2" s="47"/>
      <c r="J2" s="45"/>
      <c r="K2" s="52"/>
      <c r="L2" s="77" t="s">
        <v>181</v>
      </c>
      <c r="M2" s="77"/>
      <c r="N2" s="77"/>
      <c r="O2" s="77" t="s">
        <v>185</v>
      </c>
      <c r="P2" s="77"/>
      <c r="Q2" s="77"/>
      <c r="R2" s="77" t="s">
        <v>186</v>
      </c>
      <c r="S2" s="77"/>
      <c r="T2" s="77"/>
      <c r="U2" s="77" t="s">
        <v>187</v>
      </c>
      <c r="V2" s="77"/>
      <c r="W2" s="78"/>
      <c r="X2" s="75"/>
      <c r="Z2" s="76" t="s">
        <v>180</v>
      </c>
      <c r="AA2" s="76"/>
      <c r="AB2" s="76"/>
      <c r="AC2" s="46">
        <f>MAX(AH4:AH841)</f>
        <v>2.0078999999999998</v>
      </c>
      <c r="AD2" s="45"/>
      <c r="AE2" s="45"/>
      <c r="AF2" s="45"/>
      <c r="AG2" s="55"/>
      <c r="AH2" s="47"/>
      <c r="AI2" s="45"/>
      <c r="AJ2" s="52"/>
      <c r="AK2" s="77" t="s">
        <v>181</v>
      </c>
      <c r="AL2" s="77"/>
      <c r="AM2" s="77"/>
      <c r="AN2" s="77" t="s">
        <v>185</v>
      </c>
      <c r="AO2" s="77"/>
      <c r="AP2" s="77"/>
      <c r="AQ2" s="77" t="s">
        <v>186</v>
      </c>
      <c r="AR2" s="77"/>
      <c r="AS2" s="77"/>
      <c r="AT2" s="77" t="s">
        <v>187</v>
      </c>
      <c r="AU2" s="77"/>
      <c r="AV2" s="78"/>
      <c r="AW2" s="75"/>
    </row>
    <row r="3" spans="1:49" x14ac:dyDescent="0.25">
      <c r="A3" s="51" t="s">
        <v>173</v>
      </c>
      <c r="B3" s="49" t="s">
        <v>177</v>
      </c>
      <c r="C3" s="49"/>
      <c r="D3" s="49" t="s">
        <v>2</v>
      </c>
      <c r="E3" s="49" t="s">
        <v>3</v>
      </c>
      <c r="F3" s="49" t="s">
        <v>4</v>
      </c>
      <c r="G3" s="49" t="s">
        <v>5</v>
      </c>
      <c r="H3" s="56" t="s">
        <v>6</v>
      </c>
      <c r="I3" s="50" t="s">
        <v>7</v>
      </c>
      <c r="J3" s="50" t="s">
        <v>174</v>
      </c>
      <c r="K3" s="53" t="s">
        <v>6</v>
      </c>
      <c r="L3" s="48" t="s">
        <v>184</v>
      </c>
      <c r="M3" s="54" t="s">
        <v>183</v>
      </c>
      <c r="N3" s="48" t="s">
        <v>182</v>
      </c>
      <c r="O3" s="48" t="s">
        <v>184</v>
      </c>
      <c r="P3" s="48" t="s">
        <v>183</v>
      </c>
      <c r="Q3" s="48" t="s">
        <v>182</v>
      </c>
      <c r="R3" s="48" t="s">
        <v>184</v>
      </c>
      <c r="S3" s="48" t="s">
        <v>183</v>
      </c>
      <c r="T3" s="48" t="s">
        <v>182</v>
      </c>
      <c r="U3" s="48" t="s">
        <v>184</v>
      </c>
      <c r="V3" s="48" t="s">
        <v>183</v>
      </c>
      <c r="W3" s="64" t="s">
        <v>182</v>
      </c>
      <c r="X3" s="75"/>
      <c r="Z3" s="51" t="s">
        <v>173</v>
      </c>
      <c r="AA3" s="49" t="s">
        <v>177</v>
      </c>
      <c r="AB3" s="49"/>
      <c r="AC3" s="49" t="s">
        <v>2</v>
      </c>
      <c r="AD3" s="49" t="s">
        <v>3</v>
      </c>
      <c r="AE3" s="49" t="s">
        <v>4</v>
      </c>
      <c r="AF3" s="49" t="s">
        <v>5</v>
      </c>
      <c r="AG3" s="56" t="s">
        <v>6</v>
      </c>
      <c r="AH3" s="50" t="s">
        <v>7</v>
      </c>
      <c r="AI3" s="50" t="s">
        <v>174</v>
      </c>
      <c r="AJ3" s="53" t="s">
        <v>6</v>
      </c>
      <c r="AK3" s="48" t="s">
        <v>184</v>
      </c>
      <c r="AL3" s="54" t="s">
        <v>183</v>
      </c>
      <c r="AM3" s="48" t="s">
        <v>182</v>
      </c>
      <c r="AN3" s="48" t="s">
        <v>184</v>
      </c>
      <c r="AO3" s="48" t="s">
        <v>183</v>
      </c>
      <c r="AP3" s="48" t="s">
        <v>182</v>
      </c>
      <c r="AQ3" s="48" t="s">
        <v>184</v>
      </c>
      <c r="AR3" s="48" t="s">
        <v>183</v>
      </c>
      <c r="AS3" s="48" t="s">
        <v>182</v>
      </c>
      <c r="AT3" s="48" t="s">
        <v>184</v>
      </c>
      <c r="AU3" s="48" t="s">
        <v>183</v>
      </c>
      <c r="AV3" s="64" t="s">
        <v>182</v>
      </c>
      <c r="AW3" s="75"/>
    </row>
    <row r="4" spans="1:49" x14ac:dyDescent="0.25">
      <c r="A4" t="s">
        <v>141</v>
      </c>
      <c r="B4">
        <v>0</v>
      </c>
      <c r="C4" t="s">
        <v>8</v>
      </c>
      <c r="D4">
        <v>18368</v>
      </c>
      <c r="E4">
        <v>64</v>
      </c>
      <c r="F4">
        <v>2</v>
      </c>
      <c r="G4">
        <v>4</v>
      </c>
      <c r="H4" s="2">
        <v>2205.23</v>
      </c>
      <c r="I4" s="40">
        <v>1.8736999999999999</v>
      </c>
      <c r="J4" s="31">
        <v>45457</v>
      </c>
      <c r="K4" s="30">
        <v>0.557037037037037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40">
        <f>AVERAGE(I4:I8)</f>
        <v>1.91936</v>
      </c>
      <c r="Z4" t="s">
        <v>141</v>
      </c>
      <c r="AA4">
        <v>0</v>
      </c>
      <c r="AB4" t="s">
        <v>8</v>
      </c>
      <c r="AC4">
        <v>18368</v>
      </c>
      <c r="AD4">
        <v>64</v>
      </c>
      <c r="AE4">
        <v>2</v>
      </c>
      <c r="AF4">
        <v>4</v>
      </c>
      <c r="AG4">
        <v>2160.37</v>
      </c>
      <c r="AH4" s="66">
        <v>1.9126000000000001</v>
      </c>
      <c r="AI4" s="31">
        <v>45484</v>
      </c>
      <c r="AJ4" s="30">
        <v>0.39947916666666666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s="65">
        <f>AVERAGE(AH4:AH8)</f>
        <v>1.9634999999999998</v>
      </c>
    </row>
    <row r="5" spans="1:49" x14ac:dyDescent="0.25">
      <c r="A5" t="s">
        <v>141</v>
      </c>
      <c r="B5">
        <v>1</v>
      </c>
      <c r="C5" t="s">
        <v>8</v>
      </c>
      <c r="D5">
        <v>18368</v>
      </c>
      <c r="E5">
        <v>64</v>
      </c>
      <c r="F5">
        <v>2</v>
      </c>
      <c r="G5">
        <v>4</v>
      </c>
      <c r="H5" s="2">
        <v>2116.61</v>
      </c>
      <c r="I5" s="40">
        <v>1.9520999999999999</v>
      </c>
      <c r="J5" s="31">
        <v>45457</v>
      </c>
      <c r="K5" s="30">
        <v>0.58211805555555551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40">
        <f>X4</f>
        <v>1.91936</v>
      </c>
      <c r="Z5" t="s">
        <v>141</v>
      </c>
      <c r="AA5">
        <v>1</v>
      </c>
      <c r="AB5" t="s">
        <v>8</v>
      </c>
      <c r="AC5">
        <v>18368</v>
      </c>
      <c r="AD5">
        <v>64</v>
      </c>
      <c r="AE5">
        <v>2</v>
      </c>
      <c r="AF5">
        <v>4</v>
      </c>
      <c r="AG5">
        <v>2107</v>
      </c>
      <c r="AH5" s="66">
        <v>1.9610000000000001</v>
      </c>
      <c r="AI5" s="31">
        <v>45484</v>
      </c>
      <c r="AJ5" s="30">
        <v>0.42444444444444446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s="65">
        <f>AW4</f>
        <v>1.9634999999999998</v>
      </c>
    </row>
    <row r="6" spans="1:49" x14ac:dyDescent="0.25">
      <c r="A6" t="s">
        <v>141</v>
      </c>
      <c r="B6">
        <v>2</v>
      </c>
      <c r="C6" t="s">
        <v>8</v>
      </c>
      <c r="D6">
        <v>18368</v>
      </c>
      <c r="E6">
        <v>64</v>
      </c>
      <c r="F6">
        <v>2</v>
      </c>
      <c r="G6">
        <v>4</v>
      </c>
      <c r="H6" s="2">
        <v>2167</v>
      </c>
      <c r="I6" s="40">
        <v>1.9067000000000001</v>
      </c>
      <c r="J6" s="31">
        <v>45457</v>
      </c>
      <c r="K6" s="30">
        <v>0.60790509259259262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40">
        <f>X5</f>
        <v>1.91936</v>
      </c>
      <c r="Z6" t="s">
        <v>141</v>
      </c>
      <c r="AA6">
        <v>2</v>
      </c>
      <c r="AB6" t="s">
        <v>8</v>
      </c>
      <c r="AC6">
        <v>18368</v>
      </c>
      <c r="AD6">
        <v>64</v>
      </c>
      <c r="AE6">
        <v>2</v>
      </c>
      <c r="AF6">
        <v>4</v>
      </c>
      <c r="AG6">
        <v>2057.83</v>
      </c>
      <c r="AH6" s="66">
        <v>2.0078999999999998</v>
      </c>
      <c r="AI6" s="31">
        <v>45484</v>
      </c>
      <c r="AJ6" s="30">
        <v>0.44895833333333335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s="65">
        <f>AW5</f>
        <v>1.9634999999999998</v>
      </c>
    </row>
    <row r="7" spans="1:49" x14ac:dyDescent="0.25">
      <c r="A7" t="s">
        <v>141</v>
      </c>
      <c r="B7">
        <v>3</v>
      </c>
      <c r="C7" t="s">
        <v>8</v>
      </c>
      <c r="D7">
        <v>18368</v>
      </c>
      <c r="E7">
        <v>64</v>
      </c>
      <c r="F7">
        <v>2</v>
      </c>
      <c r="G7">
        <v>4</v>
      </c>
      <c r="H7" s="2">
        <v>2131.4</v>
      </c>
      <c r="I7" s="40">
        <v>1.9386000000000001</v>
      </c>
      <c r="J7" s="31">
        <v>45457</v>
      </c>
      <c r="K7" s="30">
        <v>0.63314814814814813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40">
        <f>X6</f>
        <v>1.91936</v>
      </c>
      <c r="Z7" t="s">
        <v>141</v>
      </c>
      <c r="AA7">
        <v>3</v>
      </c>
      <c r="AB7" t="s">
        <v>8</v>
      </c>
      <c r="AC7">
        <v>18368</v>
      </c>
      <c r="AD7">
        <v>64</v>
      </c>
      <c r="AE7">
        <v>2</v>
      </c>
      <c r="AF7">
        <v>4</v>
      </c>
      <c r="AG7">
        <v>2087.44</v>
      </c>
      <c r="AH7" s="66">
        <v>1.9794</v>
      </c>
      <c r="AI7" s="31">
        <v>45484</v>
      </c>
      <c r="AJ7" s="30">
        <v>0.47373842592592591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s="65">
        <f>AW6</f>
        <v>1.9634999999999998</v>
      </c>
    </row>
    <row r="8" spans="1:49" x14ac:dyDescent="0.25">
      <c r="A8" t="s">
        <v>141</v>
      </c>
      <c r="B8">
        <v>4</v>
      </c>
      <c r="C8" t="s">
        <v>8</v>
      </c>
      <c r="D8">
        <v>18368</v>
      </c>
      <c r="E8">
        <v>64</v>
      </c>
      <c r="F8">
        <v>2</v>
      </c>
      <c r="G8">
        <v>4</v>
      </c>
      <c r="H8" s="2">
        <v>2145.6</v>
      </c>
      <c r="I8" s="40">
        <v>1.9257</v>
      </c>
      <c r="J8" s="31">
        <v>45457</v>
      </c>
      <c r="K8" s="30">
        <v>0.65855324074074073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40">
        <f>X7</f>
        <v>1.91936</v>
      </c>
      <c r="Z8" t="s">
        <v>141</v>
      </c>
      <c r="AA8">
        <v>4</v>
      </c>
      <c r="AB8" t="s">
        <v>8</v>
      </c>
      <c r="AC8">
        <v>18368</v>
      </c>
      <c r="AD8">
        <v>64</v>
      </c>
      <c r="AE8">
        <v>2</v>
      </c>
      <c r="AF8">
        <v>4</v>
      </c>
      <c r="AG8">
        <v>2111.73</v>
      </c>
      <c r="AH8" s="66">
        <v>1.9565999999999999</v>
      </c>
      <c r="AI8" s="31">
        <v>45484</v>
      </c>
      <c r="AJ8" s="30">
        <v>0.49894675925925924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s="65">
        <f>AW7</f>
        <v>1.9634999999999998</v>
      </c>
    </row>
    <row r="9" spans="1:49" x14ac:dyDescent="0.25">
      <c r="A9" t="s">
        <v>129</v>
      </c>
      <c r="B9">
        <v>0</v>
      </c>
      <c r="C9" t="s">
        <v>8</v>
      </c>
      <c r="D9">
        <v>18368</v>
      </c>
      <c r="E9">
        <v>64</v>
      </c>
      <c r="F9">
        <v>2</v>
      </c>
      <c r="G9">
        <v>4</v>
      </c>
      <c r="H9" s="2">
        <v>2188.9699999999998</v>
      </c>
      <c r="I9" s="40">
        <v>1.8875999999999999</v>
      </c>
      <c r="J9" s="31">
        <v>45456</v>
      </c>
      <c r="K9" s="30">
        <v>0.92225694444444439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40">
        <f>AVERAGE(I9:I13)</f>
        <v>1.9093400000000003</v>
      </c>
      <c r="Z9" t="s">
        <v>129</v>
      </c>
      <c r="AA9">
        <v>0</v>
      </c>
      <c r="AB9" t="s">
        <v>8</v>
      </c>
      <c r="AC9">
        <v>18368</v>
      </c>
      <c r="AD9">
        <v>64</v>
      </c>
      <c r="AE9">
        <v>2</v>
      </c>
      <c r="AF9">
        <v>4</v>
      </c>
      <c r="AG9">
        <v>2090.85</v>
      </c>
      <c r="AH9" s="66">
        <v>1.9762</v>
      </c>
      <c r="AI9" s="31">
        <v>45483</v>
      </c>
      <c r="AJ9" s="30">
        <v>0.75483796296296302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s="65">
        <f>AVERAGE(AH9:AH13)</f>
        <v>1.9152200000000001</v>
      </c>
    </row>
    <row r="10" spans="1:49" x14ac:dyDescent="0.25">
      <c r="A10" t="s">
        <v>129</v>
      </c>
      <c r="B10">
        <v>1</v>
      </c>
      <c r="C10" t="s">
        <v>8</v>
      </c>
      <c r="D10">
        <v>18368</v>
      </c>
      <c r="E10">
        <v>64</v>
      </c>
      <c r="F10">
        <v>2</v>
      </c>
      <c r="G10">
        <v>4</v>
      </c>
      <c r="H10" s="2">
        <v>2162.75</v>
      </c>
      <c r="I10" s="40">
        <v>1.9105000000000001</v>
      </c>
      <c r="J10" s="31">
        <v>45456</v>
      </c>
      <c r="K10" s="30">
        <v>0.94797453703703705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40">
        <f>X9</f>
        <v>1.9093400000000003</v>
      </c>
      <c r="Z10" t="s">
        <v>129</v>
      </c>
      <c r="AA10">
        <v>1</v>
      </c>
      <c r="AB10" t="s">
        <v>8</v>
      </c>
      <c r="AC10">
        <v>18368</v>
      </c>
      <c r="AD10">
        <v>64</v>
      </c>
      <c r="AE10">
        <v>2</v>
      </c>
      <c r="AF10">
        <v>4</v>
      </c>
      <c r="AG10">
        <v>2198.31</v>
      </c>
      <c r="AH10" s="66">
        <v>1.8795999999999999</v>
      </c>
      <c r="AI10" s="31">
        <v>45483</v>
      </c>
      <c r="AJ10" s="30">
        <v>0.78275462962962961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s="65">
        <f>AW9</f>
        <v>1.9152200000000001</v>
      </c>
    </row>
    <row r="11" spans="1:49" x14ac:dyDescent="0.25">
      <c r="A11" t="s">
        <v>129</v>
      </c>
      <c r="B11">
        <v>2</v>
      </c>
      <c r="C11" t="s">
        <v>8</v>
      </c>
      <c r="D11">
        <v>18368</v>
      </c>
      <c r="E11">
        <v>64</v>
      </c>
      <c r="F11">
        <v>2</v>
      </c>
      <c r="G11">
        <v>4</v>
      </c>
      <c r="H11" s="2">
        <v>2124.4899999999998</v>
      </c>
      <c r="I11" s="40">
        <v>1.9449000000000001</v>
      </c>
      <c r="J11" s="31">
        <v>45456</v>
      </c>
      <c r="K11" s="30">
        <v>0.97324074074074074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40">
        <f>X10</f>
        <v>1.9093400000000003</v>
      </c>
      <c r="Z11" t="s">
        <v>129</v>
      </c>
      <c r="AA11">
        <v>2</v>
      </c>
      <c r="AB11" t="s">
        <v>8</v>
      </c>
      <c r="AC11">
        <v>18368</v>
      </c>
      <c r="AD11">
        <v>64</v>
      </c>
      <c r="AE11">
        <v>2</v>
      </c>
      <c r="AF11">
        <v>4</v>
      </c>
      <c r="AG11">
        <v>2191.25</v>
      </c>
      <c r="AH11" s="66">
        <v>1.8855999999999999</v>
      </c>
      <c r="AI11" s="31">
        <v>45483</v>
      </c>
      <c r="AJ11" s="30">
        <v>0.8105324074074074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s="65">
        <f>AW10</f>
        <v>1.9152200000000001</v>
      </c>
    </row>
    <row r="12" spans="1:49" x14ac:dyDescent="0.25">
      <c r="A12" t="s">
        <v>129</v>
      </c>
      <c r="B12">
        <v>3</v>
      </c>
      <c r="C12" t="s">
        <v>8</v>
      </c>
      <c r="D12">
        <v>18368</v>
      </c>
      <c r="E12">
        <v>64</v>
      </c>
      <c r="F12">
        <v>2</v>
      </c>
      <c r="G12">
        <v>4</v>
      </c>
      <c r="H12" s="2">
        <v>2143.94</v>
      </c>
      <c r="I12" s="40">
        <v>1.9272</v>
      </c>
      <c r="J12" s="31">
        <v>45456</v>
      </c>
      <c r="K12" s="30">
        <v>0.99876157407407407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40">
        <f>X11</f>
        <v>1.9093400000000003</v>
      </c>
      <c r="Z12" t="s">
        <v>129</v>
      </c>
      <c r="AA12">
        <v>3</v>
      </c>
      <c r="AB12" t="s">
        <v>8</v>
      </c>
      <c r="AC12">
        <v>18368</v>
      </c>
      <c r="AD12">
        <v>64</v>
      </c>
      <c r="AE12">
        <v>2</v>
      </c>
      <c r="AF12">
        <v>4</v>
      </c>
      <c r="AG12">
        <v>2132.4699999999998</v>
      </c>
      <c r="AH12" s="66">
        <v>1.9376</v>
      </c>
      <c r="AI12" s="31">
        <v>45483</v>
      </c>
      <c r="AJ12" s="30">
        <v>0.83788194444444442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s="65">
        <f>AW11</f>
        <v>1.9152200000000001</v>
      </c>
    </row>
    <row r="13" spans="1:49" x14ac:dyDescent="0.25">
      <c r="A13" t="s">
        <v>129</v>
      </c>
      <c r="B13">
        <v>4</v>
      </c>
      <c r="C13" t="s">
        <v>8</v>
      </c>
      <c r="D13">
        <v>18368</v>
      </c>
      <c r="E13">
        <v>64</v>
      </c>
      <c r="F13">
        <v>2</v>
      </c>
      <c r="G13">
        <v>4</v>
      </c>
      <c r="H13" s="2">
        <v>2201.94</v>
      </c>
      <c r="I13" s="40">
        <v>1.8765000000000001</v>
      </c>
      <c r="J13" s="31">
        <v>45457</v>
      </c>
      <c r="K13" s="30">
        <v>2.4826388888888887E-2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40">
        <f>X12</f>
        <v>1.9093400000000003</v>
      </c>
      <c r="Z13" t="s">
        <v>129</v>
      </c>
      <c r="AA13">
        <v>4</v>
      </c>
      <c r="AB13" t="s">
        <v>8</v>
      </c>
      <c r="AC13">
        <v>18368</v>
      </c>
      <c r="AD13">
        <v>64</v>
      </c>
      <c r="AE13">
        <v>2</v>
      </c>
      <c r="AF13">
        <v>4</v>
      </c>
      <c r="AG13">
        <v>2177.9899999999998</v>
      </c>
      <c r="AH13" s="66">
        <v>1.8971</v>
      </c>
      <c r="AI13" s="31">
        <v>45483</v>
      </c>
      <c r="AJ13" s="30">
        <v>0.86559027777777775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s="65">
        <f>AW12</f>
        <v>1.9152200000000001</v>
      </c>
    </row>
    <row r="14" spans="1:49" x14ac:dyDescent="0.25">
      <c r="A14" t="s">
        <v>147</v>
      </c>
      <c r="B14">
        <v>0</v>
      </c>
      <c r="C14" t="s">
        <v>8</v>
      </c>
      <c r="D14">
        <v>18368</v>
      </c>
      <c r="E14">
        <v>64</v>
      </c>
      <c r="F14">
        <v>2</v>
      </c>
      <c r="G14">
        <v>4</v>
      </c>
      <c r="H14" s="2">
        <v>2277.34</v>
      </c>
      <c r="I14" s="40">
        <v>1.8143</v>
      </c>
      <c r="J14" s="31">
        <v>45457</v>
      </c>
      <c r="K14" s="30">
        <v>0.82138888888888884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40">
        <f>AVERAGE(I14:I18)</f>
        <v>1.8427399999999998</v>
      </c>
      <c r="Z14" t="s">
        <v>147</v>
      </c>
      <c r="AA14">
        <v>0</v>
      </c>
      <c r="AB14" t="s">
        <v>8</v>
      </c>
      <c r="AC14">
        <v>18368</v>
      </c>
      <c r="AD14">
        <v>64</v>
      </c>
      <c r="AE14">
        <v>2</v>
      </c>
      <c r="AF14">
        <v>4</v>
      </c>
      <c r="AG14">
        <v>2236.66</v>
      </c>
      <c r="AH14" s="66">
        <v>1.8472999999999999</v>
      </c>
      <c r="AI14" s="31">
        <v>45484</v>
      </c>
      <c r="AJ14" s="30">
        <v>0.66046296296296292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s="65">
        <f>AVERAGE(AH14:AH18)</f>
        <v>1.8735199999999999</v>
      </c>
    </row>
    <row r="15" spans="1:49" x14ac:dyDescent="0.25">
      <c r="A15" t="s">
        <v>147</v>
      </c>
      <c r="B15">
        <v>1</v>
      </c>
      <c r="C15" t="s">
        <v>8</v>
      </c>
      <c r="D15">
        <v>18368</v>
      </c>
      <c r="E15">
        <v>64</v>
      </c>
      <c r="F15">
        <v>2</v>
      </c>
      <c r="G15">
        <v>4</v>
      </c>
      <c r="H15" s="2">
        <v>2291.4299999999998</v>
      </c>
      <c r="I15" s="40">
        <v>1.8031999999999999</v>
      </c>
      <c r="J15" s="31">
        <v>45457</v>
      </c>
      <c r="K15" s="30">
        <v>0.84855324074074079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40">
        <f>X14</f>
        <v>1.8427399999999998</v>
      </c>
      <c r="Z15" t="s">
        <v>147</v>
      </c>
      <c r="AA15">
        <v>1</v>
      </c>
      <c r="AB15" t="s">
        <v>8</v>
      </c>
      <c r="AC15">
        <v>18368</v>
      </c>
      <c r="AD15">
        <v>64</v>
      </c>
      <c r="AE15">
        <v>2</v>
      </c>
      <c r="AF15">
        <v>4</v>
      </c>
      <c r="AG15">
        <v>2100.84</v>
      </c>
      <c r="AH15" s="66">
        <v>1.9668000000000001</v>
      </c>
      <c r="AI15" s="31">
        <v>45484</v>
      </c>
      <c r="AJ15" s="30">
        <v>0.68550925925925921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s="65">
        <f>AW14</f>
        <v>1.8735199999999999</v>
      </c>
    </row>
    <row r="16" spans="1:49" x14ac:dyDescent="0.25">
      <c r="A16" t="s">
        <v>147</v>
      </c>
      <c r="B16">
        <v>2</v>
      </c>
      <c r="C16" t="s">
        <v>8</v>
      </c>
      <c r="D16">
        <v>18368</v>
      </c>
      <c r="E16">
        <v>64</v>
      </c>
      <c r="F16">
        <v>2</v>
      </c>
      <c r="G16">
        <v>4</v>
      </c>
      <c r="H16" s="2">
        <v>2220.41</v>
      </c>
      <c r="I16" s="40">
        <v>1.8609</v>
      </c>
      <c r="J16" s="31">
        <v>45457</v>
      </c>
      <c r="K16" s="30">
        <v>0.87494212962962958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40">
        <f>X15</f>
        <v>1.8427399999999998</v>
      </c>
      <c r="Z16" t="s">
        <v>147</v>
      </c>
      <c r="AA16">
        <v>2</v>
      </c>
      <c r="AB16" t="s">
        <v>8</v>
      </c>
      <c r="AC16">
        <v>18368</v>
      </c>
      <c r="AD16">
        <v>64</v>
      </c>
      <c r="AE16">
        <v>2</v>
      </c>
      <c r="AF16">
        <v>4</v>
      </c>
      <c r="AG16">
        <v>2156.79</v>
      </c>
      <c r="AH16" s="66">
        <v>1.9157999999999999</v>
      </c>
      <c r="AI16" s="31">
        <v>45484</v>
      </c>
      <c r="AJ16" s="30">
        <v>0.71121527777777782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s="65">
        <f>AW15</f>
        <v>1.8735199999999999</v>
      </c>
    </row>
    <row r="17" spans="1:49" x14ac:dyDescent="0.25">
      <c r="A17" t="s">
        <v>147</v>
      </c>
      <c r="B17">
        <v>3</v>
      </c>
      <c r="C17" t="s">
        <v>8</v>
      </c>
      <c r="D17">
        <v>18368</v>
      </c>
      <c r="E17">
        <v>64</v>
      </c>
      <c r="F17">
        <v>2</v>
      </c>
      <c r="G17">
        <v>4</v>
      </c>
      <c r="H17" s="2">
        <v>2212.66</v>
      </c>
      <c r="I17" s="40">
        <v>1.8673999999999999</v>
      </c>
      <c r="J17" s="31">
        <v>45457</v>
      </c>
      <c r="K17" s="30">
        <v>0.90118055555555554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40">
        <f>X16</f>
        <v>1.8427399999999998</v>
      </c>
      <c r="Z17" t="s">
        <v>147</v>
      </c>
      <c r="AA17">
        <v>3</v>
      </c>
      <c r="AB17" t="s">
        <v>8</v>
      </c>
      <c r="AC17">
        <v>18368</v>
      </c>
      <c r="AD17">
        <v>64</v>
      </c>
      <c r="AE17">
        <v>2</v>
      </c>
      <c r="AF17">
        <v>4</v>
      </c>
      <c r="AG17">
        <v>2287.4499999999998</v>
      </c>
      <c r="AH17" s="66">
        <v>1.8063</v>
      </c>
      <c r="AI17" s="31">
        <v>45484</v>
      </c>
      <c r="AJ17" s="30">
        <v>0.73829861111111106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s="65">
        <f>AW16</f>
        <v>1.8735199999999999</v>
      </c>
    </row>
    <row r="18" spans="1:49" x14ac:dyDescent="0.25">
      <c r="A18" t="s">
        <v>147</v>
      </c>
      <c r="B18">
        <v>4</v>
      </c>
      <c r="C18" t="s">
        <v>8</v>
      </c>
      <c r="D18">
        <v>18368</v>
      </c>
      <c r="E18">
        <v>64</v>
      </c>
      <c r="F18">
        <v>2</v>
      </c>
      <c r="G18">
        <v>4</v>
      </c>
      <c r="H18" s="2">
        <v>2212.09</v>
      </c>
      <c r="I18" s="40">
        <v>1.8678999999999999</v>
      </c>
      <c r="J18" s="31">
        <v>45457</v>
      </c>
      <c r="K18" s="30">
        <v>0.92768518518518517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40">
        <f>X17</f>
        <v>1.8427399999999998</v>
      </c>
      <c r="Z18" t="s">
        <v>147</v>
      </c>
      <c r="AA18">
        <v>4</v>
      </c>
      <c r="AB18" t="s">
        <v>8</v>
      </c>
      <c r="AC18">
        <v>18368</v>
      </c>
      <c r="AD18">
        <v>64</v>
      </c>
      <c r="AE18">
        <v>2</v>
      </c>
      <c r="AF18">
        <v>4</v>
      </c>
      <c r="AG18">
        <v>2256.13</v>
      </c>
      <c r="AH18" s="66">
        <v>1.8313999999999999</v>
      </c>
      <c r="AI18" s="31">
        <v>45484</v>
      </c>
      <c r="AJ18" s="30">
        <v>0.76506944444444447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65">
        <f>AW17</f>
        <v>1.8735199999999999</v>
      </c>
    </row>
    <row r="19" spans="1:49" x14ac:dyDescent="0.25">
      <c r="A19" t="s">
        <v>150</v>
      </c>
      <c r="B19">
        <v>0</v>
      </c>
      <c r="C19" t="s">
        <v>8</v>
      </c>
      <c r="D19">
        <v>18368</v>
      </c>
      <c r="E19">
        <v>64</v>
      </c>
      <c r="F19">
        <v>2</v>
      </c>
      <c r="G19">
        <v>4</v>
      </c>
      <c r="H19" s="2">
        <v>2254.38</v>
      </c>
      <c r="I19" s="40">
        <v>1.8328</v>
      </c>
      <c r="J19" s="31">
        <v>45457</v>
      </c>
      <c r="K19" s="30">
        <v>0.95446759259259262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40">
        <f>AVERAGE(I19:I23)</f>
        <v>1.8255400000000002</v>
      </c>
      <c r="Z19" t="s">
        <v>144</v>
      </c>
      <c r="AA19">
        <v>0</v>
      </c>
      <c r="AB19" t="s">
        <v>8</v>
      </c>
      <c r="AC19">
        <v>18368</v>
      </c>
      <c r="AD19">
        <v>64</v>
      </c>
      <c r="AE19">
        <v>2</v>
      </c>
      <c r="AF19">
        <v>4</v>
      </c>
      <c r="AG19">
        <v>2343.2800000000002</v>
      </c>
      <c r="AH19" s="66">
        <v>1.7633000000000001</v>
      </c>
      <c r="AI19" s="31">
        <v>45484</v>
      </c>
      <c r="AJ19" s="30">
        <v>0.52680555555555553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s="65">
        <f>AVERAGE(AH19:AH23)</f>
        <v>1.81704</v>
      </c>
    </row>
    <row r="20" spans="1:49" x14ac:dyDescent="0.25">
      <c r="A20" t="s">
        <v>150</v>
      </c>
      <c r="B20">
        <v>1</v>
      </c>
      <c r="C20" t="s">
        <v>8</v>
      </c>
      <c r="D20">
        <v>18368</v>
      </c>
      <c r="E20">
        <v>64</v>
      </c>
      <c r="F20">
        <v>2</v>
      </c>
      <c r="G20">
        <v>4</v>
      </c>
      <c r="H20" s="2">
        <v>2302.59</v>
      </c>
      <c r="I20" s="40">
        <v>1.7944</v>
      </c>
      <c r="J20" s="31">
        <v>45457</v>
      </c>
      <c r="K20" s="30">
        <v>0.9818055555555556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40">
        <f>X19</f>
        <v>1.8255400000000002</v>
      </c>
      <c r="Z20" t="s">
        <v>144</v>
      </c>
      <c r="AA20">
        <v>1</v>
      </c>
      <c r="AB20" t="s">
        <v>8</v>
      </c>
      <c r="AC20">
        <v>18368</v>
      </c>
      <c r="AD20">
        <v>64</v>
      </c>
      <c r="AE20">
        <v>2</v>
      </c>
      <c r="AF20">
        <v>4</v>
      </c>
      <c r="AG20">
        <v>2264.46</v>
      </c>
      <c r="AH20" s="66">
        <v>1.8247</v>
      </c>
      <c r="AI20" s="31">
        <v>45484</v>
      </c>
      <c r="AJ20" s="30">
        <v>0.55365740740740743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s="65">
        <f>AW19</f>
        <v>1.81704</v>
      </c>
    </row>
    <row r="21" spans="1:49" x14ac:dyDescent="0.25">
      <c r="A21" t="s">
        <v>150</v>
      </c>
      <c r="B21">
        <v>2</v>
      </c>
      <c r="C21" t="s">
        <v>8</v>
      </c>
      <c r="D21">
        <v>18368</v>
      </c>
      <c r="E21">
        <v>64</v>
      </c>
      <c r="F21">
        <v>2</v>
      </c>
      <c r="G21">
        <v>4</v>
      </c>
      <c r="H21" s="2">
        <v>2229.77</v>
      </c>
      <c r="I21" s="40">
        <v>1.8531</v>
      </c>
      <c r="J21" s="31">
        <v>45458</v>
      </c>
      <c r="K21" s="30">
        <v>8.4953703703703701E-3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40">
        <f>X20</f>
        <v>1.8255400000000002</v>
      </c>
      <c r="Z21" t="s">
        <v>144</v>
      </c>
      <c r="AA21">
        <v>2</v>
      </c>
      <c r="AB21" t="s">
        <v>8</v>
      </c>
      <c r="AC21">
        <v>18368</v>
      </c>
      <c r="AD21">
        <v>64</v>
      </c>
      <c r="AE21">
        <v>2</v>
      </c>
      <c r="AF21">
        <v>4</v>
      </c>
      <c r="AG21">
        <v>2218.2800000000002</v>
      </c>
      <c r="AH21" s="66">
        <v>1.8627</v>
      </c>
      <c r="AI21" s="31">
        <v>45484</v>
      </c>
      <c r="AJ21" s="30">
        <v>0.57997685185185188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s="65">
        <f>AW20</f>
        <v>1.81704</v>
      </c>
    </row>
    <row r="22" spans="1:49" x14ac:dyDescent="0.25">
      <c r="A22" t="s">
        <v>150</v>
      </c>
      <c r="B22">
        <v>3</v>
      </c>
      <c r="C22" t="s">
        <v>8</v>
      </c>
      <c r="D22">
        <v>18368</v>
      </c>
      <c r="E22">
        <v>64</v>
      </c>
      <c r="F22">
        <v>2</v>
      </c>
      <c r="G22">
        <v>4</v>
      </c>
      <c r="H22" s="2">
        <v>2259.7800000000002</v>
      </c>
      <c r="I22" s="40">
        <v>1.8284</v>
      </c>
      <c r="J22" s="31">
        <v>45458</v>
      </c>
      <c r="K22" s="30">
        <v>3.5358796296296298E-2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40">
        <f>X21</f>
        <v>1.8255400000000002</v>
      </c>
      <c r="Z22" t="s">
        <v>144</v>
      </c>
      <c r="AA22">
        <v>3</v>
      </c>
      <c r="AB22" t="s">
        <v>8</v>
      </c>
      <c r="AC22">
        <v>18368</v>
      </c>
      <c r="AD22">
        <v>64</v>
      </c>
      <c r="AE22">
        <v>2</v>
      </c>
      <c r="AF22">
        <v>4</v>
      </c>
      <c r="AG22">
        <v>2266.2800000000002</v>
      </c>
      <c r="AH22" s="66">
        <v>1.8231999999999999</v>
      </c>
      <c r="AI22" s="31">
        <v>45484</v>
      </c>
      <c r="AJ22" s="30">
        <v>0.60682870370370368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s="65">
        <f>AW21</f>
        <v>1.81704</v>
      </c>
    </row>
    <row r="23" spans="1:49" x14ac:dyDescent="0.25">
      <c r="A23" t="s">
        <v>150</v>
      </c>
      <c r="B23">
        <v>4</v>
      </c>
      <c r="C23" t="s">
        <v>8</v>
      </c>
      <c r="D23">
        <v>18368</v>
      </c>
      <c r="E23">
        <v>64</v>
      </c>
      <c r="F23">
        <v>2</v>
      </c>
      <c r="G23">
        <v>4</v>
      </c>
      <c r="H23" s="2">
        <v>2271.5500000000002</v>
      </c>
      <c r="I23" s="40">
        <v>1.819</v>
      </c>
      <c r="J23" s="31">
        <v>45458</v>
      </c>
      <c r="K23" s="30">
        <v>6.2395833333333331E-2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40">
        <f>X22</f>
        <v>1.8255400000000002</v>
      </c>
      <c r="Z23" t="s">
        <v>144</v>
      </c>
      <c r="AA23">
        <v>4</v>
      </c>
      <c r="AB23" t="s">
        <v>8</v>
      </c>
      <c r="AC23">
        <v>18368</v>
      </c>
      <c r="AD23">
        <v>64</v>
      </c>
      <c r="AE23">
        <v>2</v>
      </c>
      <c r="AF23">
        <v>4</v>
      </c>
      <c r="AG23">
        <v>2281.12</v>
      </c>
      <c r="AH23" s="66">
        <v>1.8112999999999999</v>
      </c>
      <c r="AI23" s="31">
        <v>45484</v>
      </c>
      <c r="AJ23" s="30">
        <v>0.63395833333333329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s="65">
        <f>AW22</f>
        <v>1.81704</v>
      </c>
    </row>
    <row r="24" spans="1:49" x14ac:dyDescent="0.25">
      <c r="A24" t="s">
        <v>144</v>
      </c>
      <c r="B24">
        <v>0</v>
      </c>
      <c r="C24" t="s">
        <v>8</v>
      </c>
      <c r="D24">
        <v>18368</v>
      </c>
      <c r="E24">
        <v>64</v>
      </c>
      <c r="F24">
        <v>2</v>
      </c>
      <c r="G24">
        <v>4</v>
      </c>
      <c r="H24" s="2">
        <v>2273.9899999999998</v>
      </c>
      <c r="I24" s="40">
        <v>1.8169999999999999</v>
      </c>
      <c r="J24" s="31">
        <v>45457</v>
      </c>
      <c r="K24" s="30">
        <v>0.68550925925925921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40">
        <f>AVERAGE(I24:I28)</f>
        <v>1.8091200000000001</v>
      </c>
      <c r="Z24" t="s">
        <v>150</v>
      </c>
      <c r="AA24">
        <v>0</v>
      </c>
      <c r="AB24" t="s">
        <v>8</v>
      </c>
      <c r="AC24">
        <v>18368</v>
      </c>
      <c r="AD24">
        <v>64</v>
      </c>
      <c r="AE24">
        <v>2</v>
      </c>
      <c r="AF24">
        <v>4</v>
      </c>
      <c r="AG24">
        <v>2274.61</v>
      </c>
      <c r="AH24" s="66">
        <v>1.8165</v>
      </c>
      <c r="AI24" s="31">
        <v>45484</v>
      </c>
      <c r="AJ24" s="30">
        <v>0.79208333333333336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s="65">
        <f>AVERAGE(AH24:AH28)</f>
        <v>1.8137000000000001</v>
      </c>
    </row>
    <row r="25" spans="1:49" x14ac:dyDescent="0.25">
      <c r="A25" t="s">
        <v>144</v>
      </c>
      <c r="B25">
        <v>1</v>
      </c>
      <c r="C25" t="s">
        <v>8</v>
      </c>
      <c r="D25">
        <v>18368</v>
      </c>
      <c r="E25">
        <v>64</v>
      </c>
      <c r="F25">
        <v>2</v>
      </c>
      <c r="G25">
        <v>4</v>
      </c>
      <c r="H25" s="2">
        <v>2331.69</v>
      </c>
      <c r="I25" s="40">
        <v>1.7721</v>
      </c>
      <c r="J25" s="31">
        <v>45457</v>
      </c>
      <c r="K25" s="30">
        <v>0.71324074074074073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40">
        <f>X24</f>
        <v>1.8091200000000001</v>
      </c>
      <c r="Z25" t="s">
        <v>150</v>
      </c>
      <c r="AA25">
        <v>1</v>
      </c>
      <c r="AB25" t="s">
        <v>8</v>
      </c>
      <c r="AC25">
        <v>18368</v>
      </c>
      <c r="AD25">
        <v>64</v>
      </c>
      <c r="AE25">
        <v>2</v>
      </c>
      <c r="AF25">
        <v>4</v>
      </c>
      <c r="AG25">
        <v>2232.54</v>
      </c>
      <c r="AH25" s="66">
        <v>1.8507</v>
      </c>
      <c r="AI25" s="31">
        <v>45484</v>
      </c>
      <c r="AJ25" s="30">
        <v>0.81870370370370371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s="65">
        <f>AW24</f>
        <v>1.8137000000000001</v>
      </c>
    </row>
    <row r="26" spans="1:49" x14ac:dyDescent="0.25">
      <c r="A26" t="s">
        <v>144</v>
      </c>
      <c r="B26">
        <v>2</v>
      </c>
      <c r="C26" t="s">
        <v>8</v>
      </c>
      <c r="D26">
        <v>18368</v>
      </c>
      <c r="E26">
        <v>64</v>
      </c>
      <c r="F26">
        <v>2</v>
      </c>
      <c r="G26">
        <v>4</v>
      </c>
      <c r="H26" s="2">
        <v>2216.08</v>
      </c>
      <c r="I26" s="40">
        <v>1.8645</v>
      </c>
      <c r="J26" s="31">
        <v>45457</v>
      </c>
      <c r="K26" s="30">
        <v>0.73968750000000005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40">
        <f>X25</f>
        <v>1.8091200000000001</v>
      </c>
      <c r="Z26" t="s">
        <v>150</v>
      </c>
      <c r="AA26">
        <v>2</v>
      </c>
      <c r="AB26" t="s">
        <v>8</v>
      </c>
      <c r="AC26">
        <v>18368</v>
      </c>
      <c r="AD26">
        <v>64</v>
      </c>
      <c r="AE26">
        <v>2</v>
      </c>
      <c r="AF26">
        <v>4</v>
      </c>
      <c r="AG26">
        <v>2302.16</v>
      </c>
      <c r="AH26" s="66">
        <v>1.7948</v>
      </c>
      <c r="AI26" s="31">
        <v>45484</v>
      </c>
      <c r="AJ26" s="30">
        <v>0.84613425925925922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s="65">
        <f>AW25</f>
        <v>1.8137000000000001</v>
      </c>
    </row>
    <row r="27" spans="1:49" x14ac:dyDescent="0.25">
      <c r="A27" t="s">
        <v>144</v>
      </c>
      <c r="B27">
        <v>3</v>
      </c>
      <c r="C27" t="s">
        <v>8</v>
      </c>
      <c r="D27">
        <v>18368</v>
      </c>
      <c r="E27">
        <v>64</v>
      </c>
      <c r="F27">
        <v>2</v>
      </c>
      <c r="G27">
        <v>4</v>
      </c>
      <c r="H27" s="2">
        <v>2330.84</v>
      </c>
      <c r="I27" s="40">
        <v>1.7726999999999999</v>
      </c>
      <c r="J27" s="31">
        <v>45457</v>
      </c>
      <c r="K27" s="30">
        <v>0.76741898148148147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40">
        <f>X26</f>
        <v>1.8091200000000001</v>
      </c>
      <c r="Z27" t="s">
        <v>150</v>
      </c>
      <c r="AA27">
        <v>3</v>
      </c>
      <c r="AB27" t="s">
        <v>8</v>
      </c>
      <c r="AC27">
        <v>18368</v>
      </c>
      <c r="AD27">
        <v>64</v>
      </c>
      <c r="AE27">
        <v>2</v>
      </c>
      <c r="AF27">
        <v>4</v>
      </c>
      <c r="AG27">
        <v>2307.63</v>
      </c>
      <c r="AH27" s="66">
        <v>1.7905</v>
      </c>
      <c r="AI27" s="31">
        <v>45484</v>
      </c>
      <c r="AJ27" s="30">
        <v>0.87358796296296293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s="65">
        <f>AW26</f>
        <v>1.8137000000000001</v>
      </c>
    </row>
    <row r="28" spans="1:49" x14ac:dyDescent="0.25">
      <c r="A28" t="s">
        <v>144</v>
      </c>
      <c r="B28">
        <v>4</v>
      </c>
      <c r="C28" t="s">
        <v>8</v>
      </c>
      <c r="D28">
        <v>18368</v>
      </c>
      <c r="E28">
        <v>64</v>
      </c>
      <c r="F28">
        <v>2</v>
      </c>
      <c r="G28">
        <v>4</v>
      </c>
      <c r="H28" s="2">
        <v>2271.15</v>
      </c>
      <c r="I28" s="40">
        <v>1.8192999999999999</v>
      </c>
      <c r="J28" s="31">
        <v>45457</v>
      </c>
      <c r="K28" s="30">
        <v>0.79440972222222217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40">
        <f>X27</f>
        <v>1.8091200000000001</v>
      </c>
      <c r="Z28" t="s">
        <v>150</v>
      </c>
      <c r="AA28">
        <v>4</v>
      </c>
      <c r="AB28" t="s">
        <v>8</v>
      </c>
      <c r="AC28">
        <v>18368</v>
      </c>
      <c r="AD28">
        <v>64</v>
      </c>
      <c r="AE28">
        <v>2</v>
      </c>
      <c r="AF28">
        <v>4</v>
      </c>
      <c r="AG28">
        <v>2275.27</v>
      </c>
      <c r="AH28" s="66">
        <v>1.8160000000000001</v>
      </c>
      <c r="AI28" s="31">
        <v>45484</v>
      </c>
      <c r="AJ28" s="30">
        <v>0.90056712962962959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s="65">
        <f>AW27</f>
        <v>1.8137000000000001</v>
      </c>
    </row>
    <row r="29" spans="1:49" x14ac:dyDescent="0.25">
      <c r="A29" t="s">
        <v>136</v>
      </c>
      <c r="B29">
        <v>0</v>
      </c>
      <c r="C29" t="s">
        <v>8</v>
      </c>
      <c r="D29">
        <v>18368</v>
      </c>
      <c r="E29">
        <v>64</v>
      </c>
      <c r="F29">
        <v>2</v>
      </c>
      <c r="G29">
        <v>4</v>
      </c>
      <c r="H29" s="2">
        <v>2394.29</v>
      </c>
      <c r="I29" s="40">
        <v>1.7257</v>
      </c>
      <c r="J29" s="31">
        <v>45457</v>
      </c>
      <c r="K29" s="30">
        <v>0.21112268518518518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40">
        <f>AVERAGE(I29:I33)</f>
        <v>1.6840599999999999</v>
      </c>
      <c r="Z29" t="s">
        <v>136</v>
      </c>
      <c r="AA29">
        <v>0</v>
      </c>
      <c r="AB29" t="s">
        <v>8</v>
      </c>
      <c r="AC29">
        <v>18368</v>
      </c>
      <c r="AD29">
        <v>64</v>
      </c>
      <c r="AE29">
        <v>2</v>
      </c>
      <c r="AF29">
        <v>4</v>
      </c>
      <c r="AG29">
        <v>2514.06</v>
      </c>
      <c r="AH29" s="66">
        <v>1.6435</v>
      </c>
      <c r="AI29" s="31">
        <v>45484</v>
      </c>
      <c r="AJ29" s="30">
        <v>5.275462962962963E-2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s="65">
        <f>AVERAGE(AH29:AH33)</f>
        <v>1.6871800000000001</v>
      </c>
    </row>
    <row r="30" spans="1:49" x14ac:dyDescent="0.25">
      <c r="A30" t="s">
        <v>136</v>
      </c>
      <c r="B30">
        <v>1</v>
      </c>
      <c r="C30" t="s">
        <v>8</v>
      </c>
      <c r="D30">
        <v>18368</v>
      </c>
      <c r="E30">
        <v>64</v>
      </c>
      <c r="F30">
        <v>2</v>
      </c>
      <c r="G30">
        <v>4</v>
      </c>
      <c r="H30" s="2">
        <v>2494.1799999999998</v>
      </c>
      <c r="I30" s="40">
        <v>1.6566000000000001</v>
      </c>
      <c r="J30" s="31">
        <v>45457</v>
      </c>
      <c r="K30" s="30">
        <v>0.24241898148148147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40">
        <f>X29</f>
        <v>1.6840599999999999</v>
      </c>
      <c r="Z30" t="s">
        <v>136</v>
      </c>
      <c r="AA30">
        <v>1</v>
      </c>
      <c r="AB30" t="s">
        <v>8</v>
      </c>
      <c r="AC30">
        <v>18368</v>
      </c>
      <c r="AD30">
        <v>64</v>
      </c>
      <c r="AE30">
        <v>2</v>
      </c>
      <c r="AF30">
        <v>4</v>
      </c>
      <c r="AG30">
        <v>2473.41</v>
      </c>
      <c r="AH30" s="66">
        <v>1.6705000000000001</v>
      </c>
      <c r="AI30" s="31">
        <v>45484</v>
      </c>
      <c r="AJ30" s="30">
        <v>8.3842592592592594E-2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s="65">
        <f>AW29</f>
        <v>1.6871800000000001</v>
      </c>
    </row>
    <row r="31" spans="1:49" x14ac:dyDescent="0.25">
      <c r="A31" t="s">
        <v>136</v>
      </c>
      <c r="B31">
        <v>2</v>
      </c>
      <c r="C31" t="s">
        <v>8</v>
      </c>
      <c r="D31">
        <v>18368</v>
      </c>
      <c r="E31">
        <v>64</v>
      </c>
      <c r="F31">
        <v>2</v>
      </c>
      <c r="G31">
        <v>4</v>
      </c>
      <c r="H31" s="2">
        <v>2405.44</v>
      </c>
      <c r="I31" s="40">
        <v>1.7177</v>
      </c>
      <c r="J31" s="31">
        <v>45457</v>
      </c>
      <c r="K31" s="30">
        <v>0.27284722222222224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40">
        <f>X30</f>
        <v>1.6840599999999999</v>
      </c>
      <c r="Z31" t="s">
        <v>136</v>
      </c>
      <c r="AA31">
        <v>2</v>
      </c>
      <c r="AB31" t="s">
        <v>8</v>
      </c>
      <c r="AC31">
        <v>18368</v>
      </c>
      <c r="AD31">
        <v>64</v>
      </c>
      <c r="AE31">
        <v>2</v>
      </c>
      <c r="AF31">
        <v>4</v>
      </c>
      <c r="AG31">
        <v>2416.5500000000002</v>
      </c>
      <c r="AH31" s="66">
        <v>1.7098</v>
      </c>
      <c r="AI31" s="31">
        <v>45484</v>
      </c>
      <c r="AJ31" s="30">
        <v>0.11425925925925925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s="65">
        <f>AW30</f>
        <v>1.6871800000000001</v>
      </c>
    </row>
    <row r="32" spans="1:49" x14ac:dyDescent="0.25">
      <c r="A32" t="s">
        <v>136</v>
      </c>
      <c r="B32">
        <v>3</v>
      </c>
      <c r="C32" t="s">
        <v>8</v>
      </c>
      <c r="D32">
        <v>18368</v>
      </c>
      <c r="E32">
        <v>64</v>
      </c>
      <c r="F32">
        <v>2</v>
      </c>
      <c r="G32">
        <v>4</v>
      </c>
      <c r="H32" s="2">
        <v>2504.8200000000002</v>
      </c>
      <c r="I32" s="40">
        <v>1.6496</v>
      </c>
      <c r="J32" s="31">
        <v>45457</v>
      </c>
      <c r="K32" s="30">
        <v>0.3043865740740741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40">
        <f>X31</f>
        <v>1.6840599999999999</v>
      </c>
      <c r="Z32" t="s">
        <v>136</v>
      </c>
      <c r="AA32">
        <v>3</v>
      </c>
      <c r="AB32" t="s">
        <v>8</v>
      </c>
      <c r="AC32">
        <v>18368</v>
      </c>
      <c r="AD32">
        <v>64</v>
      </c>
      <c r="AE32">
        <v>2</v>
      </c>
      <c r="AF32">
        <v>4</v>
      </c>
      <c r="AG32">
        <v>2448.33</v>
      </c>
      <c r="AH32" s="66">
        <v>1.6876</v>
      </c>
      <c r="AI32" s="31">
        <v>45484</v>
      </c>
      <c r="AJ32" s="30">
        <v>0.14504629629629628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s="65">
        <f>AW31</f>
        <v>1.6871800000000001</v>
      </c>
    </row>
    <row r="33" spans="1:49" x14ac:dyDescent="0.25">
      <c r="A33" t="s">
        <v>136</v>
      </c>
      <c r="B33">
        <v>4</v>
      </c>
      <c r="C33" t="s">
        <v>8</v>
      </c>
      <c r="D33">
        <v>18368</v>
      </c>
      <c r="E33">
        <v>64</v>
      </c>
      <c r="F33">
        <v>2</v>
      </c>
      <c r="G33">
        <v>4</v>
      </c>
      <c r="H33" s="2">
        <v>2473.1999999999998</v>
      </c>
      <c r="I33" s="40">
        <v>1.6707000000000001</v>
      </c>
      <c r="J33" s="31">
        <v>45457</v>
      </c>
      <c r="K33" s="30">
        <v>0.33559027777777778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40">
        <f>X32</f>
        <v>1.6840599999999999</v>
      </c>
      <c r="Z33" t="s">
        <v>136</v>
      </c>
      <c r="AA33">
        <v>4</v>
      </c>
      <c r="AB33" t="s">
        <v>8</v>
      </c>
      <c r="AC33">
        <v>18368</v>
      </c>
      <c r="AD33">
        <v>64</v>
      </c>
      <c r="AE33">
        <v>2</v>
      </c>
      <c r="AF33">
        <v>4</v>
      </c>
      <c r="AG33">
        <v>2395.92</v>
      </c>
      <c r="AH33" s="66">
        <v>1.7244999999999999</v>
      </c>
      <c r="AI33" s="31">
        <v>45484</v>
      </c>
      <c r="AJ33" s="30">
        <v>0.17515046296296297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s="65">
        <f>AW32</f>
        <v>1.6871800000000001</v>
      </c>
    </row>
    <row r="34" spans="1:49" x14ac:dyDescent="0.25">
      <c r="A34" t="s">
        <v>132</v>
      </c>
      <c r="B34">
        <v>0</v>
      </c>
      <c r="C34" t="s">
        <v>8</v>
      </c>
      <c r="D34">
        <v>18368</v>
      </c>
      <c r="E34">
        <v>64</v>
      </c>
      <c r="F34">
        <v>2</v>
      </c>
      <c r="G34">
        <v>4</v>
      </c>
      <c r="H34" s="2">
        <v>2439.06</v>
      </c>
      <c r="I34" s="40">
        <v>1.694</v>
      </c>
      <c r="J34" s="31">
        <v>45457</v>
      </c>
      <c r="K34" s="30">
        <v>5.5474537037037037E-2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40">
        <f>AVERAGE(I34:I38)</f>
        <v>1.66248</v>
      </c>
      <c r="Z34" t="s">
        <v>132</v>
      </c>
      <c r="AA34">
        <v>0</v>
      </c>
      <c r="AB34" t="s">
        <v>8</v>
      </c>
      <c r="AC34">
        <v>18368</v>
      </c>
      <c r="AD34">
        <v>64</v>
      </c>
      <c r="AE34">
        <v>2</v>
      </c>
      <c r="AF34">
        <v>4</v>
      </c>
      <c r="AG34">
        <v>2427.0100000000002</v>
      </c>
      <c r="AH34" s="66">
        <v>1.7024999999999999</v>
      </c>
      <c r="AI34" s="31">
        <v>45483</v>
      </c>
      <c r="AJ34" s="30">
        <v>0.89611111111111108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s="65">
        <f>AVERAGE(AH34:AH38)</f>
        <v>1.67164</v>
      </c>
    </row>
    <row r="35" spans="1:49" x14ac:dyDescent="0.25">
      <c r="A35" t="s">
        <v>132</v>
      </c>
      <c r="B35">
        <v>1</v>
      </c>
      <c r="C35" t="s">
        <v>8</v>
      </c>
      <c r="D35">
        <v>18368</v>
      </c>
      <c r="E35">
        <v>64</v>
      </c>
      <c r="F35">
        <v>2</v>
      </c>
      <c r="G35">
        <v>4</v>
      </c>
      <c r="H35" s="2">
        <v>2470.92</v>
      </c>
      <c r="I35" s="40">
        <v>1.6721999999999999</v>
      </c>
      <c r="J35" s="31">
        <v>45457</v>
      </c>
      <c r="K35" s="30">
        <v>8.6493055555555559E-2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40">
        <f>X34</f>
        <v>1.66248</v>
      </c>
      <c r="Z35" t="s">
        <v>132</v>
      </c>
      <c r="AA35">
        <v>1</v>
      </c>
      <c r="AB35" t="s">
        <v>8</v>
      </c>
      <c r="AC35">
        <v>18368</v>
      </c>
      <c r="AD35">
        <v>64</v>
      </c>
      <c r="AE35">
        <v>2</v>
      </c>
      <c r="AF35">
        <v>4</v>
      </c>
      <c r="AG35">
        <v>2461.33</v>
      </c>
      <c r="AH35" s="66">
        <v>1.6787000000000001</v>
      </c>
      <c r="AI35" s="31">
        <v>45483</v>
      </c>
      <c r="AJ35" s="30">
        <v>0.92719907407407409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s="65">
        <f>AW34</f>
        <v>1.67164</v>
      </c>
    </row>
    <row r="36" spans="1:49" x14ac:dyDescent="0.25">
      <c r="A36" t="s">
        <v>132</v>
      </c>
      <c r="B36">
        <v>2</v>
      </c>
      <c r="C36" t="s">
        <v>8</v>
      </c>
      <c r="D36">
        <v>18368</v>
      </c>
      <c r="E36">
        <v>64</v>
      </c>
      <c r="F36">
        <v>2</v>
      </c>
      <c r="G36">
        <v>4</v>
      </c>
      <c r="H36" s="2">
        <v>2521.36</v>
      </c>
      <c r="I36" s="40">
        <v>1.6387</v>
      </c>
      <c r="J36" s="31">
        <v>45457</v>
      </c>
      <c r="K36" s="30">
        <v>0.11828703703703704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40">
        <f>X35</f>
        <v>1.66248</v>
      </c>
      <c r="Z36" t="s">
        <v>132</v>
      </c>
      <c r="AA36">
        <v>2</v>
      </c>
      <c r="AB36" t="s">
        <v>8</v>
      </c>
      <c r="AC36">
        <v>18368</v>
      </c>
      <c r="AD36">
        <v>64</v>
      </c>
      <c r="AE36">
        <v>2</v>
      </c>
      <c r="AF36">
        <v>4</v>
      </c>
      <c r="AG36">
        <v>2460.79</v>
      </c>
      <c r="AH36" s="66">
        <v>1.6791</v>
      </c>
      <c r="AI36" s="31">
        <v>45483</v>
      </c>
      <c r="AJ36" s="30">
        <v>0.95799768518518513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s="65">
        <f>AW35</f>
        <v>1.67164</v>
      </c>
    </row>
    <row r="37" spans="1:49" x14ac:dyDescent="0.25">
      <c r="A37" t="s">
        <v>132</v>
      </c>
      <c r="B37">
        <v>3</v>
      </c>
      <c r="C37" t="s">
        <v>8</v>
      </c>
      <c r="D37">
        <v>18368</v>
      </c>
      <c r="E37">
        <v>64</v>
      </c>
      <c r="F37">
        <v>2</v>
      </c>
      <c r="G37">
        <v>4</v>
      </c>
      <c r="H37" s="2">
        <v>2475.94</v>
      </c>
      <c r="I37" s="40">
        <v>1.6688000000000001</v>
      </c>
      <c r="J37" s="31">
        <v>45457</v>
      </c>
      <c r="K37" s="30">
        <v>0.14923611111111112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40">
        <f>X36</f>
        <v>1.66248</v>
      </c>
      <c r="Z37" t="s">
        <v>132</v>
      </c>
      <c r="AA37">
        <v>3</v>
      </c>
      <c r="AB37" t="s">
        <v>8</v>
      </c>
      <c r="AC37">
        <v>18368</v>
      </c>
      <c r="AD37">
        <v>64</v>
      </c>
      <c r="AE37">
        <v>2</v>
      </c>
      <c r="AF37">
        <v>4</v>
      </c>
      <c r="AG37">
        <v>2490</v>
      </c>
      <c r="AH37" s="66">
        <v>1.6594</v>
      </c>
      <c r="AI37" s="31">
        <v>45483</v>
      </c>
      <c r="AJ37" s="30">
        <v>0.98940972222222223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s="65">
        <f>AW36</f>
        <v>1.67164</v>
      </c>
    </row>
    <row r="38" spans="1:49" x14ac:dyDescent="0.25">
      <c r="A38" t="s">
        <v>132</v>
      </c>
      <c r="B38">
        <v>4</v>
      </c>
      <c r="C38" t="s">
        <v>8</v>
      </c>
      <c r="D38">
        <v>18368</v>
      </c>
      <c r="E38">
        <v>64</v>
      </c>
      <c r="F38">
        <v>2</v>
      </c>
      <c r="G38">
        <v>4</v>
      </c>
      <c r="H38" s="2">
        <v>2521.36</v>
      </c>
      <c r="I38" s="40">
        <v>1.6387</v>
      </c>
      <c r="J38" s="31">
        <v>45457</v>
      </c>
      <c r="K38" s="30">
        <v>0.18086805555555555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40">
        <f>X37</f>
        <v>1.66248</v>
      </c>
      <c r="Z38" t="s">
        <v>132</v>
      </c>
      <c r="AA38">
        <v>4</v>
      </c>
      <c r="AB38" t="s">
        <v>8</v>
      </c>
      <c r="AC38">
        <v>18368</v>
      </c>
      <c r="AD38">
        <v>64</v>
      </c>
      <c r="AE38">
        <v>2</v>
      </c>
      <c r="AF38">
        <v>4</v>
      </c>
      <c r="AG38">
        <v>2521.71</v>
      </c>
      <c r="AH38" s="66">
        <v>1.6385000000000001</v>
      </c>
      <c r="AI38" s="31">
        <v>45484</v>
      </c>
      <c r="AJ38" s="30">
        <v>2.119212962962963E-2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s="65">
        <f>AW37</f>
        <v>1.67164</v>
      </c>
    </row>
    <row r="39" spans="1:49" x14ac:dyDescent="0.25">
      <c r="A39" t="s">
        <v>139</v>
      </c>
      <c r="B39">
        <v>0</v>
      </c>
      <c r="C39" t="s">
        <v>8</v>
      </c>
      <c r="D39">
        <v>18368</v>
      </c>
      <c r="E39">
        <v>64</v>
      </c>
      <c r="F39">
        <v>2</v>
      </c>
      <c r="G39">
        <v>4</v>
      </c>
      <c r="H39" s="2">
        <v>3243.27</v>
      </c>
      <c r="I39" s="40">
        <v>1.274</v>
      </c>
      <c r="J39" s="31">
        <v>45457</v>
      </c>
      <c r="K39" s="30">
        <v>0.37559027777777776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40">
        <f>AVERAGE(I39:I43)</f>
        <v>1.3088000000000002</v>
      </c>
      <c r="Z39" t="s">
        <v>139</v>
      </c>
      <c r="AA39">
        <v>0</v>
      </c>
      <c r="AB39" t="s">
        <v>8</v>
      </c>
      <c r="AC39">
        <v>18368</v>
      </c>
      <c r="AD39">
        <v>64</v>
      </c>
      <c r="AE39">
        <v>2</v>
      </c>
      <c r="AF39">
        <v>4</v>
      </c>
      <c r="AG39">
        <v>3141.6</v>
      </c>
      <c r="AH39" s="66">
        <v>1.3151999999999999</v>
      </c>
      <c r="AI39" s="31">
        <v>45484</v>
      </c>
      <c r="AJ39" s="30">
        <v>0.21409722222222222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s="65">
        <f>AVERAGE(AH39:AH43)</f>
        <v>1.2845799999999998</v>
      </c>
    </row>
    <row r="40" spans="1:49" x14ac:dyDescent="0.25">
      <c r="A40" t="s">
        <v>139</v>
      </c>
      <c r="B40">
        <v>1</v>
      </c>
      <c r="C40" t="s">
        <v>8</v>
      </c>
      <c r="D40">
        <v>18368</v>
      </c>
      <c r="E40">
        <v>64</v>
      </c>
      <c r="F40">
        <v>2</v>
      </c>
      <c r="G40">
        <v>4</v>
      </c>
      <c r="H40" s="2">
        <v>3015.37</v>
      </c>
      <c r="I40" s="40">
        <v>1.3703000000000001</v>
      </c>
      <c r="J40" s="31">
        <v>45457</v>
      </c>
      <c r="K40" s="30">
        <v>0.41295138888888888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40">
        <f>X39</f>
        <v>1.3088000000000002</v>
      </c>
      <c r="Z40" t="s">
        <v>139</v>
      </c>
      <c r="AA40">
        <v>1</v>
      </c>
      <c r="AB40" t="s">
        <v>8</v>
      </c>
      <c r="AC40">
        <v>18368</v>
      </c>
      <c r="AD40">
        <v>64</v>
      </c>
      <c r="AE40">
        <v>2</v>
      </c>
      <c r="AF40">
        <v>4</v>
      </c>
      <c r="AG40">
        <v>3225.71</v>
      </c>
      <c r="AH40" s="66">
        <v>1.2808999999999999</v>
      </c>
      <c r="AI40" s="31">
        <v>45484</v>
      </c>
      <c r="AJ40" s="30">
        <v>0.25408564814814816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s="65">
        <f>AW39</f>
        <v>1.2845799999999998</v>
      </c>
    </row>
    <row r="41" spans="1:49" x14ac:dyDescent="0.25">
      <c r="A41" t="s">
        <v>139</v>
      </c>
      <c r="B41">
        <v>2</v>
      </c>
      <c r="C41" t="s">
        <v>8</v>
      </c>
      <c r="D41">
        <v>18368</v>
      </c>
      <c r="E41">
        <v>64</v>
      </c>
      <c r="F41">
        <v>2</v>
      </c>
      <c r="G41">
        <v>4</v>
      </c>
      <c r="H41" s="2">
        <v>3159.36</v>
      </c>
      <c r="I41" s="40">
        <v>1.3078000000000001</v>
      </c>
      <c r="J41" s="31">
        <v>45457</v>
      </c>
      <c r="K41" s="30">
        <v>0.45196759259259262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40">
        <f>X40</f>
        <v>1.3088000000000002</v>
      </c>
      <c r="Z41" t="s">
        <v>139</v>
      </c>
      <c r="AA41">
        <v>2</v>
      </c>
      <c r="AB41" t="s">
        <v>8</v>
      </c>
      <c r="AC41">
        <v>18368</v>
      </c>
      <c r="AD41">
        <v>64</v>
      </c>
      <c r="AE41">
        <v>2</v>
      </c>
      <c r="AF41">
        <v>4</v>
      </c>
      <c r="AG41">
        <v>3255.11</v>
      </c>
      <c r="AH41" s="66">
        <v>1.2694000000000001</v>
      </c>
      <c r="AI41" s="31">
        <v>45484</v>
      </c>
      <c r="AJ41" s="30">
        <v>0.29422453703703705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s="65">
        <f>AW40</f>
        <v>1.2845799999999998</v>
      </c>
    </row>
    <row r="42" spans="1:49" x14ac:dyDescent="0.25">
      <c r="A42" t="s">
        <v>139</v>
      </c>
      <c r="B42">
        <v>3</v>
      </c>
      <c r="C42" t="s">
        <v>8</v>
      </c>
      <c r="D42">
        <v>18368</v>
      </c>
      <c r="E42">
        <v>64</v>
      </c>
      <c r="F42">
        <v>2</v>
      </c>
      <c r="G42">
        <v>4</v>
      </c>
      <c r="H42" s="2">
        <v>3225.95</v>
      </c>
      <c r="I42" s="40">
        <v>1.2807999999999999</v>
      </c>
      <c r="J42" s="31">
        <v>45457</v>
      </c>
      <c r="K42" s="30">
        <v>0.49172453703703706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40">
        <f>X41</f>
        <v>1.3088000000000002</v>
      </c>
      <c r="Z42" t="s">
        <v>139</v>
      </c>
      <c r="AA42">
        <v>3</v>
      </c>
      <c r="AB42" t="s">
        <v>8</v>
      </c>
      <c r="AC42">
        <v>18368</v>
      </c>
      <c r="AD42">
        <v>64</v>
      </c>
      <c r="AE42">
        <v>2</v>
      </c>
      <c r="AF42">
        <v>4</v>
      </c>
      <c r="AG42">
        <v>3247.71</v>
      </c>
      <c r="AH42" s="66">
        <v>1.2722</v>
      </c>
      <c r="AI42" s="31">
        <v>45484</v>
      </c>
      <c r="AJ42" s="30">
        <v>0.33425925925925926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s="65">
        <f>AW41</f>
        <v>1.2845799999999998</v>
      </c>
    </row>
    <row r="43" spans="1:49" x14ac:dyDescent="0.25">
      <c r="A43" t="s">
        <v>139</v>
      </c>
      <c r="B43">
        <v>4</v>
      </c>
      <c r="C43" t="s">
        <v>8</v>
      </c>
      <c r="D43">
        <v>18368</v>
      </c>
      <c r="E43">
        <v>64</v>
      </c>
      <c r="F43">
        <v>2</v>
      </c>
      <c r="G43">
        <v>4</v>
      </c>
      <c r="H43" s="2">
        <v>3151.46</v>
      </c>
      <c r="I43" s="40">
        <v>1.3110999999999999</v>
      </c>
      <c r="J43" s="31">
        <v>45457</v>
      </c>
      <c r="K43" s="30">
        <v>0.53081018518518519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40">
        <f>X42</f>
        <v>1.3088000000000002</v>
      </c>
      <c r="Z43" t="s">
        <v>139</v>
      </c>
      <c r="AA43">
        <v>4</v>
      </c>
      <c r="AB43" t="s">
        <v>8</v>
      </c>
      <c r="AC43">
        <v>18368</v>
      </c>
      <c r="AD43">
        <v>64</v>
      </c>
      <c r="AE43">
        <v>2</v>
      </c>
      <c r="AF43">
        <v>4</v>
      </c>
      <c r="AG43">
        <v>3214.99</v>
      </c>
      <c r="AH43" s="66">
        <v>1.2851999999999999</v>
      </c>
      <c r="AI43" s="31">
        <v>45484</v>
      </c>
      <c r="AJ43" s="30">
        <v>0.37391203703703701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s="65">
        <f>AW42</f>
        <v>1.2845799999999998</v>
      </c>
    </row>
    <row r="44" spans="1:49" x14ac:dyDescent="0.25">
      <c r="A44" s="79" t="s">
        <v>178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1"/>
    </row>
    <row r="45" spans="1:49" x14ac:dyDescent="0.25">
      <c r="A45" s="1" t="s">
        <v>141</v>
      </c>
      <c r="B45">
        <v>0</v>
      </c>
      <c r="C45" t="s">
        <v>8</v>
      </c>
      <c r="D45">
        <v>18368</v>
      </c>
      <c r="E45">
        <v>64</v>
      </c>
      <c r="F45">
        <v>2</v>
      </c>
      <c r="G45">
        <v>4</v>
      </c>
      <c r="H45" s="2">
        <v>2142.17</v>
      </c>
      <c r="I45" s="40">
        <v>1.9288000000000001</v>
      </c>
      <c r="J45" s="31">
        <v>45118</v>
      </c>
      <c r="K45" s="30">
        <v>0.30031249999999998</v>
      </c>
      <c r="X45" s="40">
        <f>AVERAGE(I45:I49)</f>
        <v>1.9554800000000001</v>
      </c>
    </row>
    <row r="46" spans="1:49" x14ac:dyDescent="0.25">
      <c r="A46" s="1" t="s">
        <v>141</v>
      </c>
      <c r="B46">
        <v>1</v>
      </c>
      <c r="C46" t="s">
        <v>8</v>
      </c>
      <c r="D46">
        <v>18368</v>
      </c>
      <c r="E46">
        <v>64</v>
      </c>
      <c r="F46">
        <v>2</v>
      </c>
      <c r="G46">
        <v>4</v>
      </c>
      <c r="H46" s="2">
        <v>2103.25</v>
      </c>
      <c r="I46" s="40">
        <v>1.9644999999999999</v>
      </c>
      <c r="J46" s="31">
        <v>45118</v>
      </c>
      <c r="K46" s="30">
        <v>0.32521990740740742</v>
      </c>
      <c r="X46" s="40">
        <f>X45</f>
        <v>1.9554800000000001</v>
      </c>
    </row>
    <row r="47" spans="1:49" x14ac:dyDescent="0.25">
      <c r="A47" s="1" t="s">
        <v>141</v>
      </c>
      <c r="B47">
        <v>2</v>
      </c>
      <c r="C47" t="s">
        <v>8</v>
      </c>
      <c r="D47">
        <v>18368</v>
      </c>
      <c r="E47">
        <v>64</v>
      </c>
      <c r="F47">
        <v>2</v>
      </c>
      <c r="G47">
        <v>4</v>
      </c>
      <c r="H47" s="2">
        <v>2085.94</v>
      </c>
      <c r="I47" s="40">
        <v>1.9807999999999999</v>
      </c>
      <c r="J47" s="31">
        <v>45118</v>
      </c>
      <c r="K47" s="30">
        <v>0.35000000000000003</v>
      </c>
      <c r="X47" s="40">
        <f>X46</f>
        <v>1.9554800000000001</v>
      </c>
    </row>
    <row r="48" spans="1:49" x14ac:dyDescent="0.25">
      <c r="A48" s="1" t="s">
        <v>141</v>
      </c>
      <c r="B48">
        <v>3</v>
      </c>
      <c r="C48" t="s">
        <v>8</v>
      </c>
      <c r="D48">
        <v>18368</v>
      </c>
      <c r="E48">
        <v>64</v>
      </c>
      <c r="F48">
        <v>2</v>
      </c>
      <c r="G48">
        <v>4</v>
      </c>
      <c r="H48" s="2">
        <v>2079.3200000000002</v>
      </c>
      <c r="I48" s="40">
        <v>1.9871000000000001</v>
      </c>
      <c r="J48" s="31">
        <v>45118</v>
      </c>
      <c r="K48" s="30">
        <v>0.37457175925925923</v>
      </c>
      <c r="X48" s="40">
        <f>X47</f>
        <v>1.9554800000000001</v>
      </c>
    </row>
    <row r="49" spans="1:24" x14ac:dyDescent="0.25">
      <c r="A49" s="1" t="s">
        <v>141</v>
      </c>
      <c r="B49">
        <v>4</v>
      </c>
      <c r="C49" t="s">
        <v>8</v>
      </c>
      <c r="D49">
        <v>18368</v>
      </c>
      <c r="E49">
        <v>64</v>
      </c>
      <c r="F49">
        <v>2</v>
      </c>
      <c r="G49">
        <v>4</v>
      </c>
      <c r="H49" s="2">
        <v>2156.2399999999998</v>
      </c>
      <c r="I49" s="40">
        <v>1.9161999999999999</v>
      </c>
      <c r="J49" s="31">
        <v>45118</v>
      </c>
      <c r="K49" s="30">
        <v>0.40003472222222225</v>
      </c>
      <c r="X49" s="40">
        <f>X48</f>
        <v>1.9554800000000001</v>
      </c>
    </row>
    <row r="50" spans="1:24" x14ac:dyDescent="0.25">
      <c r="A50" t="s">
        <v>129</v>
      </c>
      <c r="B50">
        <v>0</v>
      </c>
      <c r="C50" t="s">
        <v>8</v>
      </c>
      <c r="D50">
        <v>18368</v>
      </c>
      <c r="E50">
        <v>64</v>
      </c>
      <c r="F50">
        <v>2</v>
      </c>
      <c r="G50">
        <v>4</v>
      </c>
      <c r="H50" s="2">
        <v>2007.03</v>
      </c>
      <c r="I50" s="40">
        <v>2.0587</v>
      </c>
      <c r="J50" s="29">
        <v>45117</v>
      </c>
      <c r="K50" s="30">
        <v>0.59475694444444438</v>
      </c>
      <c r="X50" s="40">
        <f>AVERAGE(I50:I54)</f>
        <v>1.9468399999999999</v>
      </c>
    </row>
    <row r="51" spans="1:24" x14ac:dyDescent="0.25">
      <c r="A51" t="s">
        <v>129</v>
      </c>
      <c r="B51">
        <v>1</v>
      </c>
      <c r="C51" t="s">
        <v>8</v>
      </c>
      <c r="D51">
        <v>18368</v>
      </c>
      <c r="E51">
        <v>64</v>
      </c>
      <c r="F51">
        <v>2</v>
      </c>
      <c r="G51">
        <v>4</v>
      </c>
      <c r="H51" s="2">
        <v>2121.42</v>
      </c>
      <c r="I51" s="40">
        <v>1.9477</v>
      </c>
      <c r="J51" s="29">
        <v>45117</v>
      </c>
      <c r="K51" s="30">
        <v>0.61981481481481482</v>
      </c>
      <c r="X51" s="40">
        <f>X50</f>
        <v>1.9468399999999999</v>
      </c>
    </row>
    <row r="52" spans="1:24" x14ac:dyDescent="0.25">
      <c r="A52" t="s">
        <v>129</v>
      </c>
      <c r="B52">
        <v>2</v>
      </c>
      <c r="C52" t="s">
        <v>8</v>
      </c>
      <c r="D52">
        <v>18368</v>
      </c>
      <c r="E52">
        <v>64</v>
      </c>
      <c r="F52">
        <v>2</v>
      </c>
      <c r="G52">
        <v>4</v>
      </c>
      <c r="H52" s="2">
        <v>2174.4699999999998</v>
      </c>
      <c r="I52" s="40">
        <v>1.9001999999999999</v>
      </c>
      <c r="J52" s="29">
        <v>45117</v>
      </c>
      <c r="K52" s="30">
        <v>0.64550925925925928</v>
      </c>
      <c r="X52" s="40">
        <f>X51</f>
        <v>1.9468399999999999</v>
      </c>
    </row>
    <row r="53" spans="1:24" x14ac:dyDescent="0.25">
      <c r="A53" t="s">
        <v>129</v>
      </c>
      <c r="B53">
        <v>3</v>
      </c>
      <c r="C53" t="s">
        <v>8</v>
      </c>
      <c r="D53">
        <v>18368</v>
      </c>
      <c r="E53">
        <v>64</v>
      </c>
      <c r="F53">
        <v>2</v>
      </c>
      <c r="G53">
        <v>4</v>
      </c>
      <c r="H53" s="2">
        <v>2174.4699999999998</v>
      </c>
      <c r="I53" s="40">
        <v>1.9001999999999999</v>
      </c>
      <c r="J53" s="29">
        <v>45117</v>
      </c>
      <c r="K53" s="30">
        <v>0.67131944444444447</v>
      </c>
      <c r="X53" s="40">
        <f>X52</f>
        <v>1.9468399999999999</v>
      </c>
    </row>
    <row r="54" spans="1:24" x14ac:dyDescent="0.25">
      <c r="A54" t="s">
        <v>129</v>
      </c>
      <c r="B54">
        <v>4</v>
      </c>
      <c r="C54" t="s">
        <v>8</v>
      </c>
      <c r="D54">
        <v>18368</v>
      </c>
      <c r="E54">
        <v>64</v>
      </c>
      <c r="F54">
        <v>2</v>
      </c>
      <c r="G54">
        <v>4</v>
      </c>
      <c r="H54" s="2">
        <v>2143.75</v>
      </c>
      <c r="I54" s="40">
        <v>1.9274</v>
      </c>
      <c r="J54" s="31">
        <v>45117</v>
      </c>
      <c r="K54" s="30">
        <v>0.69663194444444443</v>
      </c>
      <c r="X54" s="40">
        <f>X53</f>
        <v>1.9468399999999999</v>
      </c>
    </row>
    <row r="55" spans="1:24" x14ac:dyDescent="0.25">
      <c r="A55" t="s">
        <v>150</v>
      </c>
      <c r="B55">
        <v>0</v>
      </c>
      <c r="C55" t="s">
        <v>8</v>
      </c>
      <c r="D55">
        <v>18368</v>
      </c>
      <c r="E55">
        <v>64</v>
      </c>
      <c r="F55">
        <v>2</v>
      </c>
      <c r="G55">
        <v>4</v>
      </c>
      <c r="H55" s="2">
        <v>2229.48</v>
      </c>
      <c r="I55" s="40">
        <v>1.8532999999999999</v>
      </c>
      <c r="J55" s="31">
        <v>45118</v>
      </c>
      <c r="K55" s="30">
        <v>0.69355324074074076</v>
      </c>
      <c r="X55" s="40">
        <f>AVERAGE(I55:I59)</f>
        <v>1.89646</v>
      </c>
    </row>
    <row r="56" spans="1:24" x14ac:dyDescent="0.25">
      <c r="A56" t="s">
        <v>150</v>
      </c>
      <c r="B56">
        <v>1</v>
      </c>
      <c r="C56" t="s">
        <v>8</v>
      </c>
      <c r="D56">
        <v>18368</v>
      </c>
      <c r="E56">
        <v>64</v>
      </c>
      <c r="F56">
        <v>2</v>
      </c>
      <c r="G56">
        <v>4</v>
      </c>
      <c r="H56" s="2">
        <v>2159.7800000000002</v>
      </c>
      <c r="I56" s="40">
        <v>1.9131</v>
      </c>
      <c r="J56" s="31">
        <v>45118</v>
      </c>
      <c r="K56" s="30">
        <v>0.71912037037037047</v>
      </c>
      <c r="X56" s="40">
        <f>X55</f>
        <v>1.89646</v>
      </c>
    </row>
    <row r="57" spans="1:24" x14ac:dyDescent="0.25">
      <c r="A57" t="s">
        <v>150</v>
      </c>
      <c r="B57">
        <v>2</v>
      </c>
      <c r="C57" t="s">
        <v>8</v>
      </c>
      <c r="D57">
        <v>18368</v>
      </c>
      <c r="E57">
        <v>64</v>
      </c>
      <c r="F57">
        <v>2</v>
      </c>
      <c r="G57">
        <v>4</v>
      </c>
      <c r="H57" s="2">
        <v>2216.7800000000002</v>
      </c>
      <c r="I57" s="40">
        <v>1.8638999999999999</v>
      </c>
      <c r="J57" s="31">
        <v>45118</v>
      </c>
      <c r="K57" s="30">
        <v>0.74547453703703714</v>
      </c>
      <c r="X57" s="40">
        <f>X56</f>
        <v>1.89646</v>
      </c>
    </row>
    <row r="58" spans="1:24" x14ac:dyDescent="0.25">
      <c r="A58" t="s">
        <v>150</v>
      </c>
      <c r="B58">
        <v>3</v>
      </c>
      <c r="C58" t="s">
        <v>8</v>
      </c>
      <c r="D58">
        <v>18368</v>
      </c>
      <c r="E58">
        <v>64</v>
      </c>
      <c r="F58">
        <v>2</v>
      </c>
      <c r="G58">
        <v>4</v>
      </c>
      <c r="H58" s="2">
        <v>2133.67</v>
      </c>
      <c r="I58" s="40">
        <v>1.9365000000000001</v>
      </c>
      <c r="J58" s="31">
        <v>45118</v>
      </c>
      <c r="K58" s="30">
        <v>0.77079861111111114</v>
      </c>
      <c r="X58" s="40">
        <f>X57</f>
        <v>1.89646</v>
      </c>
    </row>
    <row r="59" spans="1:24" x14ac:dyDescent="0.25">
      <c r="A59" t="s">
        <v>150</v>
      </c>
      <c r="B59">
        <v>4</v>
      </c>
      <c r="C59" t="s">
        <v>8</v>
      </c>
      <c r="D59">
        <v>18368</v>
      </c>
      <c r="E59">
        <v>64</v>
      </c>
      <c r="F59">
        <v>2</v>
      </c>
      <c r="G59">
        <v>4</v>
      </c>
      <c r="H59" s="2">
        <v>2157.1</v>
      </c>
      <c r="I59" s="40">
        <v>1.9155</v>
      </c>
      <c r="J59" s="31">
        <v>45118</v>
      </c>
      <c r="K59" s="30">
        <v>0.79648148148148146</v>
      </c>
      <c r="X59" s="40">
        <f>X58</f>
        <v>1.89646</v>
      </c>
    </row>
    <row r="60" spans="1:24" x14ac:dyDescent="0.25">
      <c r="A60" s="1" t="s">
        <v>147</v>
      </c>
      <c r="B60">
        <v>0</v>
      </c>
      <c r="C60" t="s">
        <v>8</v>
      </c>
      <c r="D60">
        <v>18368</v>
      </c>
      <c r="E60">
        <v>64</v>
      </c>
      <c r="F60">
        <v>2</v>
      </c>
      <c r="G60">
        <v>4</v>
      </c>
      <c r="H60" s="2">
        <v>2168.58</v>
      </c>
      <c r="I60" s="40">
        <v>1.9053</v>
      </c>
      <c r="J60" s="31">
        <v>45118</v>
      </c>
      <c r="K60" s="30">
        <v>0.56236111111111109</v>
      </c>
      <c r="X60" s="40">
        <f>AVERAGE(I60:I64)</f>
        <v>1.8802600000000003</v>
      </c>
    </row>
    <row r="61" spans="1:24" x14ac:dyDescent="0.25">
      <c r="A61" s="1" t="s">
        <v>147</v>
      </c>
      <c r="B61">
        <v>1</v>
      </c>
      <c r="C61" t="s">
        <v>8</v>
      </c>
      <c r="D61">
        <v>18368</v>
      </c>
      <c r="E61">
        <v>64</v>
      </c>
      <c r="F61">
        <v>2</v>
      </c>
      <c r="G61">
        <v>4</v>
      </c>
      <c r="H61" s="2">
        <v>2058.83</v>
      </c>
      <c r="I61" s="40">
        <v>2.0068999999999999</v>
      </c>
      <c r="J61" s="31">
        <v>45118</v>
      </c>
      <c r="K61" s="30">
        <v>0.58679398148148143</v>
      </c>
      <c r="X61" s="40">
        <f>X60</f>
        <v>1.8802600000000003</v>
      </c>
    </row>
    <row r="62" spans="1:24" x14ac:dyDescent="0.25">
      <c r="A62" t="s">
        <v>147</v>
      </c>
      <c r="B62">
        <v>2</v>
      </c>
      <c r="C62" t="s">
        <v>8</v>
      </c>
      <c r="D62">
        <v>18368</v>
      </c>
      <c r="E62">
        <v>64</v>
      </c>
      <c r="F62">
        <v>2</v>
      </c>
      <c r="G62">
        <v>4</v>
      </c>
      <c r="H62" s="2">
        <v>2228.13</v>
      </c>
      <c r="I62" s="40">
        <v>1.8544</v>
      </c>
      <c r="J62" s="31">
        <v>45118</v>
      </c>
      <c r="K62" s="30">
        <v>0.61315972222222226</v>
      </c>
      <c r="X62" s="40">
        <f>X61</f>
        <v>1.8802600000000003</v>
      </c>
    </row>
    <row r="63" spans="1:24" x14ac:dyDescent="0.25">
      <c r="A63" t="s">
        <v>147</v>
      </c>
      <c r="B63">
        <v>3</v>
      </c>
      <c r="C63" t="s">
        <v>8</v>
      </c>
      <c r="D63">
        <v>18368</v>
      </c>
      <c r="E63">
        <v>64</v>
      </c>
      <c r="F63">
        <v>2</v>
      </c>
      <c r="G63">
        <v>4</v>
      </c>
      <c r="H63" s="2">
        <v>2268.8200000000002</v>
      </c>
      <c r="I63" s="40">
        <v>1.8211999999999999</v>
      </c>
      <c r="J63" s="31">
        <v>45118</v>
      </c>
      <c r="K63" s="30">
        <v>0.64003472222222224</v>
      </c>
      <c r="X63" s="40">
        <f>X62</f>
        <v>1.8802600000000003</v>
      </c>
    </row>
    <row r="64" spans="1:24" x14ac:dyDescent="0.25">
      <c r="A64" t="s">
        <v>147</v>
      </c>
      <c r="B64">
        <v>4</v>
      </c>
      <c r="C64" t="s">
        <v>8</v>
      </c>
      <c r="D64">
        <v>18368</v>
      </c>
      <c r="E64">
        <v>64</v>
      </c>
      <c r="F64">
        <v>2</v>
      </c>
      <c r="G64">
        <v>4</v>
      </c>
      <c r="H64" s="2">
        <v>2278.38</v>
      </c>
      <c r="I64" s="40">
        <v>1.8134999999999999</v>
      </c>
      <c r="J64" s="31">
        <v>45118</v>
      </c>
      <c r="K64" s="30">
        <v>0.66702546296296295</v>
      </c>
      <c r="X64" s="40">
        <f>X63</f>
        <v>1.8802600000000003</v>
      </c>
    </row>
    <row r="65" spans="1:24" x14ac:dyDescent="0.25">
      <c r="A65" s="1" t="s">
        <v>144</v>
      </c>
      <c r="B65">
        <v>0</v>
      </c>
      <c r="C65" t="s">
        <v>8</v>
      </c>
      <c r="D65">
        <v>18368</v>
      </c>
      <c r="E65">
        <v>64</v>
      </c>
      <c r="F65">
        <v>2</v>
      </c>
      <c r="G65">
        <v>4</v>
      </c>
      <c r="H65" s="2">
        <v>2317.77</v>
      </c>
      <c r="I65" s="40">
        <v>1.7827</v>
      </c>
      <c r="J65" s="31">
        <v>45118</v>
      </c>
      <c r="K65" s="30">
        <v>0.42749999999999999</v>
      </c>
      <c r="X65" s="40">
        <f>AVERAGE(I65:I69)</f>
        <v>1.7945199999999999</v>
      </c>
    </row>
    <row r="66" spans="1:24" x14ac:dyDescent="0.25">
      <c r="A66" s="1" t="s">
        <v>144</v>
      </c>
      <c r="B66">
        <v>1</v>
      </c>
      <c r="C66" t="s">
        <v>8</v>
      </c>
      <c r="D66">
        <v>18368</v>
      </c>
      <c r="E66">
        <v>64</v>
      </c>
      <c r="F66">
        <v>2</v>
      </c>
      <c r="G66">
        <v>4</v>
      </c>
      <c r="H66" s="2">
        <v>2290.14</v>
      </c>
      <c r="I66" s="40">
        <v>1.8042</v>
      </c>
      <c r="J66" s="31">
        <v>45118</v>
      </c>
      <c r="K66" s="30">
        <v>0.45467592592592593</v>
      </c>
      <c r="X66" s="40">
        <f>X65</f>
        <v>1.7945199999999999</v>
      </c>
    </row>
    <row r="67" spans="1:24" x14ac:dyDescent="0.25">
      <c r="A67" s="1" t="s">
        <v>144</v>
      </c>
      <c r="B67">
        <v>2</v>
      </c>
      <c r="C67" t="s">
        <v>8</v>
      </c>
      <c r="D67">
        <v>18368</v>
      </c>
      <c r="E67">
        <v>64</v>
      </c>
      <c r="F67">
        <v>2</v>
      </c>
      <c r="G67">
        <v>4</v>
      </c>
      <c r="H67" s="2">
        <v>2326.25</v>
      </c>
      <c r="I67" s="40">
        <v>1.7762</v>
      </c>
      <c r="J67" s="31">
        <v>45118</v>
      </c>
      <c r="K67" s="30">
        <v>0.48231481481481481</v>
      </c>
      <c r="X67" s="40">
        <f>X66</f>
        <v>1.7945199999999999</v>
      </c>
    </row>
    <row r="68" spans="1:24" x14ac:dyDescent="0.25">
      <c r="A68" s="1" t="s">
        <v>144</v>
      </c>
      <c r="B68">
        <v>3</v>
      </c>
      <c r="C68" t="s">
        <v>8</v>
      </c>
      <c r="D68">
        <v>18368</v>
      </c>
      <c r="E68">
        <v>64</v>
      </c>
      <c r="F68">
        <v>2</v>
      </c>
      <c r="G68">
        <v>4</v>
      </c>
      <c r="H68" s="2">
        <v>2276.7800000000002</v>
      </c>
      <c r="I68" s="40">
        <v>1.8148</v>
      </c>
      <c r="J68" s="31">
        <v>45118</v>
      </c>
      <c r="K68" s="30">
        <v>0.50942129629629629</v>
      </c>
      <c r="X68" s="40">
        <f>X67</f>
        <v>1.7945199999999999</v>
      </c>
    </row>
    <row r="69" spans="1:24" x14ac:dyDescent="0.25">
      <c r="A69" s="1" t="s">
        <v>144</v>
      </c>
      <c r="B69">
        <v>4</v>
      </c>
      <c r="C69" t="s">
        <v>8</v>
      </c>
      <c r="D69">
        <v>18368</v>
      </c>
      <c r="E69">
        <v>64</v>
      </c>
      <c r="F69">
        <v>2</v>
      </c>
      <c r="G69">
        <v>4</v>
      </c>
      <c r="H69" s="2">
        <v>2302.2600000000002</v>
      </c>
      <c r="I69" s="40">
        <v>1.7947</v>
      </c>
      <c r="J69" s="31">
        <v>45118</v>
      </c>
      <c r="K69" s="30">
        <v>0.53671296296296289</v>
      </c>
      <c r="X69" s="40">
        <f>X68</f>
        <v>1.7945199999999999</v>
      </c>
    </row>
    <row r="70" spans="1:24" x14ac:dyDescent="0.25">
      <c r="A70" t="s">
        <v>136</v>
      </c>
      <c r="B70">
        <v>0</v>
      </c>
      <c r="C70" t="s">
        <v>8</v>
      </c>
      <c r="D70">
        <v>18368</v>
      </c>
      <c r="E70">
        <v>64</v>
      </c>
      <c r="F70">
        <v>2</v>
      </c>
      <c r="G70">
        <v>4</v>
      </c>
      <c r="H70" s="2">
        <v>2491.75</v>
      </c>
      <c r="I70" s="40">
        <v>1.6581999999999999</v>
      </c>
      <c r="J70" s="31">
        <v>45117</v>
      </c>
      <c r="K70" s="30">
        <v>0.88394675925925925</v>
      </c>
      <c r="X70" s="40">
        <f>AVERAGE(I70:I74)</f>
        <v>1.6817199999999999</v>
      </c>
    </row>
    <row r="71" spans="1:24" x14ac:dyDescent="0.25">
      <c r="A71" t="s">
        <v>136</v>
      </c>
      <c r="B71">
        <v>1</v>
      </c>
      <c r="C71" t="s">
        <v>8</v>
      </c>
      <c r="D71">
        <v>18368</v>
      </c>
      <c r="E71">
        <v>64</v>
      </c>
      <c r="F71">
        <v>2</v>
      </c>
      <c r="G71">
        <v>4</v>
      </c>
      <c r="H71" s="2">
        <v>2439.87</v>
      </c>
      <c r="I71" s="40">
        <v>1.6935</v>
      </c>
      <c r="J71" s="31">
        <v>45117</v>
      </c>
      <c r="K71" s="30">
        <v>0.91454861111111108</v>
      </c>
      <c r="X71" s="40">
        <f>X70</f>
        <v>1.6817199999999999</v>
      </c>
    </row>
    <row r="72" spans="1:24" x14ac:dyDescent="0.25">
      <c r="A72" t="s">
        <v>136</v>
      </c>
      <c r="B72">
        <v>2</v>
      </c>
      <c r="C72" t="s">
        <v>8</v>
      </c>
      <c r="D72">
        <v>18368</v>
      </c>
      <c r="E72">
        <v>64</v>
      </c>
      <c r="F72">
        <v>2</v>
      </c>
      <c r="G72">
        <v>4</v>
      </c>
      <c r="H72" s="2">
        <v>2450.7399999999998</v>
      </c>
      <c r="I72" s="40">
        <v>1.6859999999999999</v>
      </c>
      <c r="J72" s="31">
        <v>45117</v>
      </c>
      <c r="K72" s="30">
        <v>0.94543981481481476</v>
      </c>
      <c r="X72" s="40">
        <f>X71</f>
        <v>1.6817199999999999</v>
      </c>
    </row>
    <row r="73" spans="1:24" x14ac:dyDescent="0.25">
      <c r="A73" t="s">
        <v>136</v>
      </c>
      <c r="B73">
        <v>3</v>
      </c>
      <c r="C73" t="s">
        <v>8</v>
      </c>
      <c r="D73">
        <v>18368</v>
      </c>
      <c r="E73">
        <v>64</v>
      </c>
      <c r="F73">
        <v>2</v>
      </c>
      <c r="G73">
        <v>4</v>
      </c>
      <c r="H73" s="2">
        <v>2442.6999999999998</v>
      </c>
      <c r="I73" s="40">
        <v>1.6915</v>
      </c>
      <c r="J73" s="31">
        <v>45117</v>
      </c>
      <c r="K73" s="30">
        <v>0.976099537037037</v>
      </c>
      <c r="X73" s="40">
        <f>X72</f>
        <v>1.6817199999999999</v>
      </c>
    </row>
    <row r="74" spans="1:24" x14ac:dyDescent="0.25">
      <c r="A74" t="s">
        <v>136</v>
      </c>
      <c r="B74">
        <v>4</v>
      </c>
      <c r="C74" t="s">
        <v>8</v>
      </c>
      <c r="D74">
        <v>18368</v>
      </c>
      <c r="E74">
        <v>64</v>
      </c>
      <c r="F74">
        <v>2</v>
      </c>
      <c r="G74">
        <v>4</v>
      </c>
      <c r="H74" s="2">
        <v>2460.36</v>
      </c>
      <c r="I74" s="40">
        <v>1.6794</v>
      </c>
      <c r="J74" s="31">
        <v>45118</v>
      </c>
      <c r="K74" s="30">
        <v>6.9212962962962969E-3</v>
      </c>
      <c r="X74" s="40">
        <f>X73</f>
        <v>1.6817199999999999</v>
      </c>
    </row>
    <row r="75" spans="1:24" x14ac:dyDescent="0.25">
      <c r="A75" t="s">
        <v>132</v>
      </c>
      <c r="B75">
        <v>0</v>
      </c>
      <c r="C75" t="s">
        <v>8</v>
      </c>
      <c r="D75">
        <v>18368</v>
      </c>
      <c r="E75">
        <v>64</v>
      </c>
      <c r="F75">
        <v>2</v>
      </c>
      <c r="G75">
        <v>4</v>
      </c>
      <c r="H75" s="2">
        <v>2511.63</v>
      </c>
      <c r="I75" s="40">
        <v>1.6451</v>
      </c>
      <c r="J75" s="31">
        <v>45117</v>
      </c>
      <c r="K75" s="30">
        <v>0.72806712962962961</v>
      </c>
      <c r="X75" s="40">
        <f>AVERAGE(I75:I79)</f>
        <v>1.6560399999999997</v>
      </c>
    </row>
    <row r="76" spans="1:24" x14ac:dyDescent="0.25">
      <c r="A76" t="s">
        <v>132</v>
      </c>
      <c r="B76">
        <v>1</v>
      </c>
      <c r="C76" t="s">
        <v>8</v>
      </c>
      <c r="D76">
        <v>18368</v>
      </c>
      <c r="E76">
        <v>64</v>
      </c>
      <c r="F76">
        <v>2</v>
      </c>
      <c r="G76">
        <v>4</v>
      </c>
      <c r="H76" s="2">
        <v>2560.3200000000002</v>
      </c>
      <c r="I76" s="40">
        <v>1.6137999999999999</v>
      </c>
      <c r="J76" s="31">
        <v>45117</v>
      </c>
      <c r="K76" s="30">
        <v>0.76004629629629628</v>
      </c>
      <c r="X76" s="40">
        <f>X75</f>
        <v>1.6560399999999997</v>
      </c>
    </row>
    <row r="77" spans="1:24" x14ac:dyDescent="0.25">
      <c r="A77" t="s">
        <v>132</v>
      </c>
      <c r="B77">
        <v>2</v>
      </c>
      <c r="C77" t="s">
        <v>8</v>
      </c>
      <c r="D77">
        <v>18368</v>
      </c>
      <c r="E77">
        <v>64</v>
      </c>
      <c r="F77">
        <v>2</v>
      </c>
      <c r="G77">
        <v>4</v>
      </c>
      <c r="H77" s="2">
        <v>2456.8200000000002</v>
      </c>
      <c r="I77" s="40">
        <v>1.6818</v>
      </c>
      <c r="J77" s="31">
        <v>45117</v>
      </c>
      <c r="K77" s="30">
        <v>0.7906712962962964</v>
      </c>
      <c r="X77" s="40">
        <f>X76</f>
        <v>1.6560399999999997</v>
      </c>
    </row>
    <row r="78" spans="1:24" x14ac:dyDescent="0.25">
      <c r="A78" t="s">
        <v>132</v>
      </c>
      <c r="B78">
        <v>3</v>
      </c>
      <c r="C78" t="s">
        <v>8</v>
      </c>
      <c r="D78">
        <v>18368</v>
      </c>
      <c r="E78">
        <v>64</v>
      </c>
      <c r="F78">
        <v>2</v>
      </c>
      <c r="G78">
        <v>4</v>
      </c>
      <c r="H78" s="2">
        <v>2428.23</v>
      </c>
      <c r="I78" s="40">
        <v>1.7016</v>
      </c>
      <c r="J78" s="31">
        <v>45117</v>
      </c>
      <c r="K78" s="30">
        <v>0.82112268518518527</v>
      </c>
      <c r="X78" s="40">
        <f>X77</f>
        <v>1.6560399999999997</v>
      </c>
    </row>
    <row r="79" spans="1:24" x14ac:dyDescent="0.25">
      <c r="A79" t="s">
        <v>132</v>
      </c>
      <c r="B79">
        <v>4</v>
      </c>
      <c r="C79" t="s">
        <v>8</v>
      </c>
      <c r="D79">
        <v>18368</v>
      </c>
      <c r="E79">
        <v>64</v>
      </c>
      <c r="F79">
        <v>2</v>
      </c>
      <c r="G79">
        <v>4</v>
      </c>
      <c r="H79" s="2">
        <v>2522.65</v>
      </c>
      <c r="I79" s="40">
        <v>1.6378999999999999</v>
      </c>
      <c r="J79" s="31">
        <v>45117</v>
      </c>
      <c r="K79" s="30">
        <v>0.85271990740740744</v>
      </c>
      <c r="X79" s="40">
        <f>X78</f>
        <v>1.6560399999999997</v>
      </c>
    </row>
    <row r="80" spans="1:24" x14ac:dyDescent="0.25">
      <c r="A80" t="s">
        <v>139</v>
      </c>
      <c r="B80">
        <v>0</v>
      </c>
      <c r="C80" t="s">
        <v>8</v>
      </c>
      <c r="D80">
        <v>18368</v>
      </c>
      <c r="E80">
        <v>64</v>
      </c>
      <c r="F80">
        <v>2</v>
      </c>
      <c r="G80">
        <v>4</v>
      </c>
      <c r="H80" s="2">
        <v>3183.63</v>
      </c>
      <c r="I80" s="40">
        <v>1.2979000000000001</v>
      </c>
      <c r="J80" s="31">
        <v>45118</v>
      </c>
      <c r="K80" s="30">
        <v>4.611111111111111E-2</v>
      </c>
      <c r="X80" s="40">
        <f>AVERAGE(I80:I84)</f>
        <v>1.3086</v>
      </c>
    </row>
    <row r="81" spans="1:24" x14ac:dyDescent="0.25">
      <c r="A81" t="s">
        <v>139</v>
      </c>
      <c r="B81">
        <v>1</v>
      </c>
      <c r="C81" t="s">
        <v>8</v>
      </c>
      <c r="D81">
        <v>18368</v>
      </c>
      <c r="E81">
        <v>64</v>
      </c>
      <c r="F81">
        <v>2</v>
      </c>
      <c r="G81">
        <v>4</v>
      </c>
      <c r="H81" s="2">
        <v>3142.47</v>
      </c>
      <c r="I81" s="40">
        <v>1.3149</v>
      </c>
      <c r="J81" s="31">
        <v>45118</v>
      </c>
      <c r="K81" s="30">
        <v>8.50462962962963E-2</v>
      </c>
      <c r="X81" s="40">
        <f>X80</f>
        <v>1.3086</v>
      </c>
    </row>
    <row r="82" spans="1:24" x14ac:dyDescent="0.25">
      <c r="A82" t="s">
        <v>139</v>
      </c>
      <c r="B82">
        <v>2</v>
      </c>
      <c r="C82" t="s">
        <v>8</v>
      </c>
      <c r="D82">
        <v>18368</v>
      </c>
      <c r="E82">
        <v>64</v>
      </c>
      <c r="F82">
        <v>2</v>
      </c>
      <c r="G82">
        <v>4</v>
      </c>
      <c r="H82" s="2">
        <v>3116.18</v>
      </c>
      <c r="I82" s="40">
        <v>1.3259000000000001</v>
      </c>
      <c r="J82" s="31">
        <v>45118</v>
      </c>
      <c r="K82" s="30">
        <v>0.1234837962962963</v>
      </c>
      <c r="X82" s="40">
        <f>X81</f>
        <v>1.3086</v>
      </c>
    </row>
    <row r="83" spans="1:24" x14ac:dyDescent="0.25">
      <c r="A83" t="s">
        <v>139</v>
      </c>
      <c r="B83">
        <v>3</v>
      </c>
      <c r="C83" t="s">
        <v>8</v>
      </c>
      <c r="D83">
        <v>18368</v>
      </c>
      <c r="E83">
        <v>64</v>
      </c>
      <c r="F83">
        <v>2</v>
      </c>
      <c r="G83">
        <v>4</v>
      </c>
      <c r="H83" s="2">
        <v>3262.66</v>
      </c>
      <c r="I83" s="40">
        <v>1.2664</v>
      </c>
      <c r="J83" s="31">
        <v>45118</v>
      </c>
      <c r="K83" s="30">
        <v>0.16362268518518519</v>
      </c>
      <c r="X83" s="40">
        <f>X82</f>
        <v>1.3086</v>
      </c>
    </row>
    <row r="84" spans="1:24" x14ac:dyDescent="0.25">
      <c r="A84" t="s">
        <v>139</v>
      </c>
      <c r="B84">
        <v>4</v>
      </c>
      <c r="C84" t="s">
        <v>8</v>
      </c>
      <c r="D84">
        <v>18368</v>
      </c>
      <c r="E84">
        <v>64</v>
      </c>
      <c r="F84">
        <v>2</v>
      </c>
      <c r="G84">
        <v>4</v>
      </c>
      <c r="H84" s="2">
        <v>3088.38</v>
      </c>
      <c r="I84" s="40">
        <v>1.3379000000000001</v>
      </c>
      <c r="J84" s="31">
        <v>45118</v>
      </c>
      <c r="K84" s="30">
        <v>0.2018634259259259</v>
      </c>
      <c r="X84" s="40">
        <f>X83</f>
        <v>1.3086</v>
      </c>
    </row>
  </sheetData>
  <sortState xmlns:xlrd2="http://schemas.microsoft.com/office/spreadsheetml/2017/richdata2" ref="A45:X84">
    <sortCondition descending="1" ref="X45:X84"/>
    <sortCondition ref="A45:A84"/>
    <sortCondition ref="B45:B84"/>
  </sortState>
  <mergeCells count="17">
    <mergeCell ref="A44:X44"/>
    <mergeCell ref="B1:E1"/>
    <mergeCell ref="L1:W1"/>
    <mergeCell ref="L2:N2"/>
    <mergeCell ref="O2:Q2"/>
    <mergeCell ref="R2:T2"/>
    <mergeCell ref="U2:W2"/>
    <mergeCell ref="A2:C2"/>
    <mergeCell ref="X1:X3"/>
    <mergeCell ref="AA1:AD1"/>
    <mergeCell ref="AK1:AV1"/>
    <mergeCell ref="AW1:AW3"/>
    <mergeCell ref="Z2:AB2"/>
    <mergeCell ref="AK2:AM2"/>
    <mergeCell ref="AN2:AP2"/>
    <mergeCell ref="AQ2:AS2"/>
    <mergeCell ref="AT2:AV2"/>
  </mergeCells>
  <conditionalFormatting sqref="X4:X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5:X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:AW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7BC4-8F36-472F-ACE3-563C17D120A4}">
  <dimension ref="A1:AC243"/>
  <sheetViews>
    <sheetView zoomScale="70" zoomScaleNormal="70" workbookViewId="0">
      <selection activeCell="AE33" sqref="AE33"/>
    </sheetView>
  </sheetViews>
  <sheetFormatPr defaultRowHeight="15" x14ac:dyDescent="0.25"/>
  <cols>
    <col min="7" max="7" width="9.140625" style="2"/>
    <col min="8" max="8" width="9.140625" style="40"/>
    <col min="9" max="9" width="9.7109375" bestFit="1" customWidth="1"/>
    <col min="10" max="10" width="9.140625" style="38"/>
    <col min="11" max="13" width="9.140625" style="41"/>
    <col min="14" max="14" width="9.140625" style="40"/>
    <col min="15" max="15" width="9.140625" style="2"/>
    <col min="23" max="23" width="9.140625" style="40"/>
    <col min="24" max="24" width="9.7109375" bestFit="1" customWidth="1"/>
  </cols>
  <sheetData>
    <row r="1" spans="1:29" s="6" customFormat="1" x14ac:dyDescent="0.25">
      <c r="A1" s="84" t="s">
        <v>179</v>
      </c>
      <c r="B1" s="84"/>
      <c r="C1" s="84"/>
      <c r="D1" s="84"/>
      <c r="E1" s="44">
        <f>MAX(N:N)</f>
        <v>0.66076000000000001</v>
      </c>
      <c r="F1" s="60">
        <f>INDEX(C:C,MATCH(MAX($N:$N),$N:$N,0))</f>
        <v>9696</v>
      </c>
      <c r="G1" s="60">
        <f>INDEX(D:D,MATCH(MAX($N:$N),$N:$N,0))</f>
        <v>96</v>
      </c>
      <c r="H1" s="60">
        <f>INDEX(E:E,MATCH(MAX($N:$N),$N:$N,0))</f>
        <v>1</v>
      </c>
      <c r="I1" s="60">
        <f>INDEX(F:F,MATCH(MAX($N:$N),$N:$N,0))</f>
        <v>2</v>
      </c>
      <c r="J1" s="52"/>
      <c r="K1" s="73" t="s">
        <v>188</v>
      </c>
      <c r="L1" s="74"/>
      <c r="M1" s="74"/>
      <c r="N1" s="85" t="s">
        <v>175</v>
      </c>
      <c r="O1" s="34"/>
      <c r="P1" s="84" t="s">
        <v>179</v>
      </c>
      <c r="Q1" s="84"/>
      <c r="R1" s="84"/>
      <c r="S1" s="84"/>
      <c r="T1" s="44">
        <f>MAX(AC:AC)</f>
        <v>0.72249799999999997</v>
      </c>
      <c r="U1" s="60">
        <f>INDEX(R:R,MATCH(MAX($AC:$AC),$AC:$AC,0))</f>
        <v>10080</v>
      </c>
      <c r="V1" s="60">
        <f>INDEX(S:S,MATCH(MAX($AC:$AC),$AC:$AC,0))</f>
        <v>224</v>
      </c>
      <c r="W1" s="60">
        <f>INDEX(T:T,MATCH(MAX($AC:$AC),$AC:$AC,0))</f>
        <v>1</v>
      </c>
      <c r="X1" s="60">
        <f>INDEX(U:U,MATCH(MAX($AC:$AC),$AC:$AC,0))</f>
        <v>2</v>
      </c>
      <c r="Y1" s="52"/>
      <c r="Z1" s="73" t="s">
        <v>176</v>
      </c>
      <c r="AA1" s="74"/>
      <c r="AB1" s="74"/>
      <c r="AC1" s="85" t="s">
        <v>175</v>
      </c>
    </row>
    <row r="2" spans="1:29" s="14" customFormat="1" x14ac:dyDescent="0.25">
      <c r="A2" s="76" t="s">
        <v>180</v>
      </c>
      <c r="B2" s="76"/>
      <c r="C2" s="46">
        <f>MAX(H4:H841)</f>
        <v>0.66798000000000002</v>
      </c>
      <c r="D2" s="45"/>
      <c r="E2" s="45"/>
      <c r="F2" s="45"/>
      <c r="G2" s="55"/>
      <c r="H2" s="47"/>
      <c r="I2" s="45"/>
      <c r="J2" s="52"/>
      <c r="K2" s="77" t="s">
        <v>181</v>
      </c>
      <c r="L2" s="77"/>
      <c r="M2" s="78"/>
      <c r="N2" s="85"/>
      <c r="O2" s="35"/>
      <c r="P2" s="76" t="s">
        <v>180</v>
      </c>
      <c r="Q2" s="76"/>
      <c r="R2" s="46">
        <f>MAX(W4:W841)</f>
        <v>0.73424</v>
      </c>
      <c r="S2" s="45"/>
      <c r="T2" s="45"/>
      <c r="U2" s="45"/>
      <c r="V2" s="55"/>
      <c r="W2" s="47"/>
      <c r="X2" s="45"/>
      <c r="Y2" s="52"/>
      <c r="Z2" s="77" t="s">
        <v>185</v>
      </c>
      <c r="AA2" s="77"/>
      <c r="AB2" s="78"/>
      <c r="AC2" s="85"/>
    </row>
    <row r="3" spans="1:29" s="32" customFormat="1" x14ac:dyDescent="0.25">
      <c r="A3" s="49" t="s">
        <v>177</v>
      </c>
      <c r="B3" s="49"/>
      <c r="C3" s="49" t="s">
        <v>2</v>
      </c>
      <c r="D3" s="49" t="s">
        <v>3</v>
      </c>
      <c r="E3" s="49" t="s">
        <v>4</v>
      </c>
      <c r="F3" s="49" t="s">
        <v>5</v>
      </c>
      <c r="G3" s="56" t="s">
        <v>6</v>
      </c>
      <c r="H3" s="50" t="s">
        <v>7</v>
      </c>
      <c r="I3" s="50" t="s">
        <v>174</v>
      </c>
      <c r="J3" s="53" t="s">
        <v>6</v>
      </c>
      <c r="K3" s="48" t="s">
        <v>184</v>
      </c>
      <c r="L3" s="54" t="s">
        <v>183</v>
      </c>
      <c r="M3" s="64" t="s">
        <v>182</v>
      </c>
      <c r="N3" s="85"/>
      <c r="O3" s="36"/>
      <c r="P3" s="49" t="s">
        <v>177</v>
      </c>
      <c r="Q3" s="49"/>
      <c r="R3" s="49" t="s">
        <v>2</v>
      </c>
      <c r="S3" s="49" t="s">
        <v>3</v>
      </c>
      <c r="T3" s="49" t="s">
        <v>4</v>
      </c>
      <c r="U3" s="49" t="s">
        <v>5</v>
      </c>
      <c r="V3" s="56" t="s">
        <v>6</v>
      </c>
      <c r="W3" s="50" t="s">
        <v>7</v>
      </c>
      <c r="X3" s="50" t="s">
        <v>174</v>
      </c>
      <c r="Y3" s="53" t="s">
        <v>6</v>
      </c>
      <c r="Z3" s="48" t="s">
        <v>184</v>
      </c>
      <c r="AA3" s="54" t="s">
        <v>183</v>
      </c>
      <c r="AB3" s="64" t="s">
        <v>182</v>
      </c>
      <c r="AC3" s="85"/>
    </row>
    <row r="4" spans="1:29" x14ac:dyDescent="0.25">
      <c r="A4" s="32">
        <v>0</v>
      </c>
      <c r="B4" s="32" t="s">
        <v>8</v>
      </c>
      <c r="C4" s="32">
        <v>9216</v>
      </c>
      <c r="D4" s="32">
        <v>32</v>
      </c>
      <c r="E4" s="32">
        <v>1</v>
      </c>
      <c r="F4" s="32">
        <v>2</v>
      </c>
      <c r="G4" s="36">
        <v>850.46</v>
      </c>
      <c r="H4" s="61">
        <v>0.61373999999999995</v>
      </c>
      <c r="I4" s="33">
        <v>45473</v>
      </c>
      <c r="J4" s="37">
        <v>0.8442708333333333</v>
      </c>
      <c r="K4" s="42">
        <v>0</v>
      </c>
      <c r="L4" s="42">
        <v>0</v>
      </c>
      <c r="M4" s="42">
        <v>0</v>
      </c>
      <c r="N4" s="82">
        <f>AVERAGE(H4:H8)</f>
        <v>0.61635200000000001</v>
      </c>
      <c r="P4">
        <v>0</v>
      </c>
      <c r="Q4" t="s">
        <v>8</v>
      </c>
      <c r="R4">
        <v>9216</v>
      </c>
      <c r="S4">
        <v>32</v>
      </c>
      <c r="T4">
        <v>1</v>
      </c>
      <c r="U4">
        <v>2</v>
      </c>
      <c r="V4">
        <v>783.63</v>
      </c>
      <c r="W4" s="58">
        <v>0.66608000000000001</v>
      </c>
      <c r="X4" s="57">
        <v>45473</v>
      </c>
      <c r="Y4" s="30">
        <v>0.84574074074074079</v>
      </c>
      <c r="Z4">
        <v>0</v>
      </c>
      <c r="AA4">
        <v>0</v>
      </c>
      <c r="AB4">
        <v>0</v>
      </c>
      <c r="AC4" s="83">
        <f>AVERAGE(W4:W8)</f>
        <v>0.66597800000000007</v>
      </c>
    </row>
    <row r="5" spans="1:29" x14ac:dyDescent="0.25">
      <c r="A5">
        <v>1</v>
      </c>
      <c r="B5" t="s">
        <v>8</v>
      </c>
      <c r="C5">
        <v>9216</v>
      </c>
      <c r="D5">
        <v>32</v>
      </c>
      <c r="E5">
        <v>1</v>
      </c>
      <c r="F5">
        <v>2</v>
      </c>
      <c r="G5" s="2">
        <v>840.96</v>
      </c>
      <c r="H5" s="58">
        <v>0.62068000000000001</v>
      </c>
      <c r="I5" s="31">
        <v>45474</v>
      </c>
      <c r="J5" s="38">
        <v>0.12278935185185186</v>
      </c>
      <c r="K5" s="41">
        <v>0</v>
      </c>
      <c r="L5" s="41">
        <v>0</v>
      </c>
      <c r="M5" s="41">
        <v>0</v>
      </c>
      <c r="N5" s="82"/>
      <c r="P5">
        <v>1</v>
      </c>
      <c r="Q5" t="s">
        <v>8</v>
      </c>
      <c r="R5">
        <v>9216</v>
      </c>
      <c r="S5">
        <v>32</v>
      </c>
      <c r="T5">
        <v>1</v>
      </c>
      <c r="U5">
        <v>2</v>
      </c>
      <c r="V5">
        <v>781.1</v>
      </c>
      <c r="W5" s="58">
        <v>0.66825000000000001</v>
      </c>
      <c r="X5" s="31">
        <v>45474</v>
      </c>
      <c r="Y5" s="30">
        <v>0.14606481481481481</v>
      </c>
      <c r="Z5">
        <v>0</v>
      </c>
      <c r="AA5">
        <v>0</v>
      </c>
      <c r="AB5">
        <v>0</v>
      </c>
      <c r="AC5" s="83"/>
    </row>
    <row r="6" spans="1:29" x14ac:dyDescent="0.25">
      <c r="A6">
        <v>2</v>
      </c>
      <c r="B6" t="s">
        <v>8</v>
      </c>
      <c r="C6">
        <v>9216</v>
      </c>
      <c r="D6">
        <v>32</v>
      </c>
      <c r="E6">
        <v>1</v>
      </c>
      <c r="F6">
        <v>2</v>
      </c>
      <c r="G6" s="2">
        <v>843.14</v>
      </c>
      <c r="H6" s="58">
        <v>0.61907999999999996</v>
      </c>
      <c r="I6" s="31">
        <v>45474</v>
      </c>
      <c r="J6" s="38">
        <v>0.40077546296296296</v>
      </c>
      <c r="K6" s="41">
        <v>0</v>
      </c>
      <c r="L6" s="41">
        <v>0</v>
      </c>
      <c r="M6" s="41">
        <v>0</v>
      </c>
      <c r="N6" s="82"/>
      <c r="P6">
        <v>2</v>
      </c>
      <c r="Q6" t="s">
        <v>8</v>
      </c>
      <c r="R6">
        <v>9216</v>
      </c>
      <c r="S6">
        <v>32</v>
      </c>
      <c r="T6">
        <v>1</v>
      </c>
      <c r="U6">
        <v>2</v>
      </c>
      <c r="V6">
        <v>790.89</v>
      </c>
      <c r="W6" s="58">
        <v>0.65998000000000001</v>
      </c>
      <c r="X6" s="57">
        <v>45474</v>
      </c>
      <c r="Y6" s="30">
        <v>0.44636574074074076</v>
      </c>
      <c r="Z6">
        <v>0</v>
      </c>
      <c r="AA6">
        <v>0</v>
      </c>
      <c r="AB6">
        <v>0</v>
      </c>
      <c r="AC6" s="83"/>
    </row>
    <row r="7" spans="1:29" x14ac:dyDescent="0.25">
      <c r="A7">
        <v>3</v>
      </c>
      <c r="B7" t="s">
        <v>8</v>
      </c>
      <c r="C7">
        <v>9216</v>
      </c>
      <c r="D7">
        <v>32</v>
      </c>
      <c r="E7">
        <v>1</v>
      </c>
      <c r="F7">
        <v>2</v>
      </c>
      <c r="G7" s="2">
        <v>857.83</v>
      </c>
      <c r="H7" s="58">
        <v>0.60846999999999996</v>
      </c>
      <c r="I7" s="31">
        <v>45474</v>
      </c>
      <c r="J7" s="38">
        <v>0.67914351851851851</v>
      </c>
      <c r="K7" s="41">
        <v>0</v>
      </c>
      <c r="L7" s="41">
        <v>0</v>
      </c>
      <c r="M7" s="41">
        <v>0</v>
      </c>
      <c r="N7" s="82"/>
      <c r="P7">
        <v>3</v>
      </c>
      <c r="Q7" t="s">
        <v>8</v>
      </c>
      <c r="R7">
        <v>9216</v>
      </c>
      <c r="S7">
        <v>32</v>
      </c>
      <c r="T7">
        <v>1</v>
      </c>
      <c r="U7">
        <v>2</v>
      </c>
      <c r="V7">
        <v>781.3</v>
      </c>
      <c r="W7" s="58">
        <v>0.66807000000000005</v>
      </c>
      <c r="X7" s="57">
        <v>45474</v>
      </c>
      <c r="Y7" s="30">
        <v>0.74613425925925925</v>
      </c>
      <c r="Z7">
        <v>0</v>
      </c>
      <c r="AA7">
        <v>0</v>
      </c>
      <c r="AB7">
        <v>0</v>
      </c>
      <c r="AC7" s="83"/>
    </row>
    <row r="8" spans="1:29" x14ac:dyDescent="0.25">
      <c r="A8">
        <v>4</v>
      </c>
      <c r="B8" t="s">
        <v>8</v>
      </c>
      <c r="C8">
        <v>9216</v>
      </c>
      <c r="D8">
        <v>32</v>
      </c>
      <c r="E8">
        <v>1</v>
      </c>
      <c r="F8">
        <v>2</v>
      </c>
      <c r="G8" s="2">
        <v>842.16</v>
      </c>
      <c r="H8" s="58">
        <v>0.61978999999999995</v>
      </c>
      <c r="I8" s="31">
        <v>45474</v>
      </c>
      <c r="J8" s="38">
        <v>0.95700231481481479</v>
      </c>
      <c r="K8" s="41">
        <v>0</v>
      </c>
      <c r="L8" s="41">
        <v>0</v>
      </c>
      <c r="M8" s="41">
        <v>0</v>
      </c>
      <c r="N8" s="82"/>
      <c r="P8">
        <v>4</v>
      </c>
      <c r="Q8" t="s">
        <v>8</v>
      </c>
      <c r="R8">
        <v>9216</v>
      </c>
      <c r="S8">
        <v>32</v>
      </c>
      <c r="T8">
        <v>1</v>
      </c>
      <c r="U8">
        <v>2</v>
      </c>
      <c r="V8">
        <v>781.95</v>
      </c>
      <c r="W8" s="58">
        <v>0.66751000000000005</v>
      </c>
      <c r="X8" s="57">
        <v>45475</v>
      </c>
      <c r="Y8" s="30">
        <v>4.6875E-2</v>
      </c>
      <c r="Z8">
        <v>0</v>
      </c>
      <c r="AA8">
        <v>0</v>
      </c>
      <c r="AB8">
        <v>0</v>
      </c>
      <c r="AC8" s="83"/>
    </row>
    <row r="9" spans="1:29" x14ac:dyDescent="0.25">
      <c r="A9">
        <v>0</v>
      </c>
      <c r="B9" t="s">
        <v>8</v>
      </c>
      <c r="C9">
        <v>9728</v>
      </c>
      <c r="D9">
        <v>32</v>
      </c>
      <c r="E9">
        <v>1</v>
      </c>
      <c r="F9">
        <v>2</v>
      </c>
      <c r="G9" s="2">
        <v>1002.9</v>
      </c>
      <c r="H9" s="58">
        <v>0.61209999999999998</v>
      </c>
      <c r="I9" s="31">
        <v>45473</v>
      </c>
      <c r="J9" s="38">
        <v>0.92534722222222221</v>
      </c>
      <c r="K9" s="41">
        <v>0</v>
      </c>
      <c r="L9" s="41">
        <v>0</v>
      </c>
      <c r="M9" s="41">
        <v>0</v>
      </c>
      <c r="N9" s="82">
        <f>AVERAGE(H9:H13)</f>
        <v>0.61668800000000001</v>
      </c>
      <c r="P9">
        <v>0</v>
      </c>
      <c r="Q9" t="s">
        <v>8</v>
      </c>
      <c r="R9">
        <v>9728</v>
      </c>
      <c r="S9">
        <v>32</v>
      </c>
      <c r="T9">
        <v>1</v>
      </c>
      <c r="U9">
        <v>2</v>
      </c>
      <c r="V9">
        <v>924.5</v>
      </c>
      <c r="W9" s="58">
        <v>0.66400999999999999</v>
      </c>
      <c r="X9" s="57">
        <v>45473</v>
      </c>
      <c r="Y9" s="30">
        <v>0.93405092592592598</v>
      </c>
      <c r="Z9">
        <v>0</v>
      </c>
      <c r="AA9">
        <v>0</v>
      </c>
      <c r="AB9">
        <v>0</v>
      </c>
      <c r="AC9" s="83">
        <f t="shared" ref="AC9" si="0">AVERAGE(W9:W13)</f>
        <v>0.67175200000000002</v>
      </c>
    </row>
    <row r="10" spans="1:29" x14ac:dyDescent="0.25">
      <c r="A10">
        <v>1</v>
      </c>
      <c r="B10" t="s">
        <v>8</v>
      </c>
      <c r="C10">
        <v>9728</v>
      </c>
      <c r="D10">
        <v>32</v>
      </c>
      <c r="E10">
        <v>1</v>
      </c>
      <c r="F10">
        <v>2</v>
      </c>
      <c r="G10" s="2">
        <v>999.26</v>
      </c>
      <c r="H10" s="58">
        <v>0.61433000000000004</v>
      </c>
      <c r="I10" s="31">
        <v>45474</v>
      </c>
      <c r="J10" s="38">
        <v>0.20395833333333332</v>
      </c>
      <c r="K10" s="41">
        <v>0</v>
      </c>
      <c r="L10" s="41">
        <v>0</v>
      </c>
      <c r="M10" s="41">
        <v>0</v>
      </c>
      <c r="N10" s="82"/>
      <c r="P10">
        <v>1</v>
      </c>
      <c r="Q10" t="s">
        <v>8</v>
      </c>
      <c r="R10">
        <v>9728</v>
      </c>
      <c r="S10">
        <v>32</v>
      </c>
      <c r="T10">
        <v>1</v>
      </c>
      <c r="U10">
        <v>2</v>
      </c>
      <c r="V10">
        <v>924.1</v>
      </c>
      <c r="W10" s="58">
        <v>0.66429000000000005</v>
      </c>
      <c r="X10" s="57">
        <v>45474</v>
      </c>
      <c r="Y10" s="30">
        <v>0.2338773148148148</v>
      </c>
      <c r="Z10">
        <v>0</v>
      </c>
      <c r="AA10">
        <v>0</v>
      </c>
      <c r="AB10">
        <v>0</v>
      </c>
      <c r="AC10" s="83"/>
    </row>
    <row r="11" spans="1:29" x14ac:dyDescent="0.25">
      <c r="A11">
        <v>2</v>
      </c>
      <c r="B11" t="s">
        <v>8</v>
      </c>
      <c r="C11">
        <v>9728</v>
      </c>
      <c r="D11">
        <v>32</v>
      </c>
      <c r="E11">
        <v>1</v>
      </c>
      <c r="F11">
        <v>2</v>
      </c>
      <c r="G11" s="2">
        <v>980.72</v>
      </c>
      <c r="H11" s="58">
        <v>0.62594000000000005</v>
      </c>
      <c r="I11" s="31">
        <v>45474</v>
      </c>
      <c r="J11" s="38">
        <v>0.48185185185185186</v>
      </c>
      <c r="K11" s="41">
        <v>0</v>
      </c>
      <c r="L11" s="41">
        <v>0</v>
      </c>
      <c r="M11" s="41">
        <v>0</v>
      </c>
      <c r="N11" s="82"/>
      <c r="P11">
        <v>2</v>
      </c>
      <c r="Q11" t="s">
        <v>8</v>
      </c>
      <c r="R11">
        <v>9728</v>
      </c>
      <c r="S11">
        <v>32</v>
      </c>
      <c r="T11">
        <v>1</v>
      </c>
      <c r="U11">
        <v>2</v>
      </c>
      <c r="V11">
        <v>904.82</v>
      </c>
      <c r="W11" s="58">
        <v>0.67845</v>
      </c>
      <c r="X11" s="57">
        <v>45474</v>
      </c>
      <c r="Y11" s="30">
        <v>0.53435185185185186</v>
      </c>
      <c r="Z11">
        <v>0</v>
      </c>
      <c r="AA11">
        <v>0</v>
      </c>
      <c r="AB11">
        <v>0</v>
      </c>
      <c r="AC11" s="83"/>
    </row>
    <row r="12" spans="1:29" x14ac:dyDescent="0.25">
      <c r="A12">
        <v>3</v>
      </c>
      <c r="B12" t="s">
        <v>8</v>
      </c>
      <c r="C12">
        <v>9728</v>
      </c>
      <c r="D12">
        <v>32</v>
      </c>
      <c r="E12">
        <v>1</v>
      </c>
      <c r="F12">
        <v>2</v>
      </c>
      <c r="G12" s="2">
        <v>992.32</v>
      </c>
      <c r="H12" s="58">
        <v>0.61863000000000001</v>
      </c>
      <c r="I12" s="31">
        <v>45474</v>
      </c>
      <c r="J12" s="38">
        <v>0.76027777777777783</v>
      </c>
      <c r="K12" s="41">
        <v>0</v>
      </c>
      <c r="L12" s="41">
        <v>0</v>
      </c>
      <c r="M12" s="41">
        <v>0</v>
      </c>
      <c r="N12" s="82"/>
      <c r="P12">
        <v>3</v>
      </c>
      <c r="Q12" t="s">
        <v>8</v>
      </c>
      <c r="R12">
        <v>9728</v>
      </c>
      <c r="S12">
        <v>32</v>
      </c>
      <c r="T12">
        <v>1</v>
      </c>
      <c r="U12">
        <v>2</v>
      </c>
      <c r="V12">
        <v>904.35</v>
      </c>
      <c r="W12" s="58">
        <v>0.67879999999999996</v>
      </c>
      <c r="X12" s="57">
        <v>45474</v>
      </c>
      <c r="Y12" s="30">
        <v>0.8344907407407407</v>
      </c>
      <c r="Z12">
        <v>0</v>
      </c>
      <c r="AA12">
        <v>0</v>
      </c>
      <c r="AB12">
        <v>0</v>
      </c>
      <c r="AC12" s="83"/>
    </row>
    <row r="13" spans="1:29" x14ac:dyDescent="0.25">
      <c r="A13">
        <v>4</v>
      </c>
      <c r="B13" t="s">
        <v>8</v>
      </c>
      <c r="C13">
        <v>9728</v>
      </c>
      <c r="D13">
        <v>32</v>
      </c>
      <c r="E13">
        <v>1</v>
      </c>
      <c r="F13">
        <v>2</v>
      </c>
      <c r="G13" s="2">
        <v>1002.34</v>
      </c>
      <c r="H13" s="58">
        <v>0.61243999999999998</v>
      </c>
      <c r="I13" s="31">
        <v>45475</v>
      </c>
      <c r="J13" s="38">
        <v>3.8414351851851852E-2</v>
      </c>
      <c r="K13" s="41">
        <v>0</v>
      </c>
      <c r="L13" s="41">
        <v>0</v>
      </c>
      <c r="M13" s="41">
        <v>0</v>
      </c>
      <c r="N13" s="82"/>
      <c r="P13">
        <v>4</v>
      </c>
      <c r="Q13" t="s">
        <v>8</v>
      </c>
      <c r="R13">
        <v>9728</v>
      </c>
      <c r="S13">
        <v>32</v>
      </c>
      <c r="T13">
        <v>1</v>
      </c>
      <c r="U13">
        <v>2</v>
      </c>
      <c r="V13">
        <v>911.86</v>
      </c>
      <c r="W13" s="58">
        <v>0.67320999999999998</v>
      </c>
      <c r="X13" s="31">
        <v>45475</v>
      </c>
      <c r="Y13" s="30">
        <v>0.13518518518518519</v>
      </c>
      <c r="Z13">
        <v>0</v>
      </c>
      <c r="AA13">
        <v>0</v>
      </c>
      <c r="AB13">
        <v>0</v>
      </c>
      <c r="AC13" s="83"/>
    </row>
    <row r="14" spans="1:29" x14ac:dyDescent="0.25">
      <c r="A14">
        <v>0</v>
      </c>
      <c r="B14" t="s">
        <v>8</v>
      </c>
      <c r="C14">
        <v>10240</v>
      </c>
      <c r="D14">
        <v>32</v>
      </c>
      <c r="E14">
        <v>1</v>
      </c>
      <c r="F14">
        <v>2</v>
      </c>
      <c r="G14" s="2">
        <v>1165.6500000000001</v>
      </c>
      <c r="H14" s="58">
        <v>0.61424000000000001</v>
      </c>
      <c r="I14" s="31">
        <v>45474</v>
      </c>
      <c r="J14" s="38">
        <v>1.9201388888888889E-2</v>
      </c>
      <c r="K14" s="41">
        <v>0</v>
      </c>
      <c r="L14" s="41">
        <v>0</v>
      </c>
      <c r="M14" s="41">
        <v>0</v>
      </c>
      <c r="N14" s="82">
        <f>AVERAGE(H14:H18)</f>
        <v>0.61732999999999993</v>
      </c>
      <c r="P14">
        <v>0</v>
      </c>
      <c r="Q14" t="s">
        <v>8</v>
      </c>
      <c r="R14">
        <v>10240</v>
      </c>
      <c r="S14">
        <v>32</v>
      </c>
      <c r="T14">
        <v>1</v>
      </c>
      <c r="U14">
        <v>2</v>
      </c>
      <c r="V14">
        <v>1050.1600000000001</v>
      </c>
      <c r="W14" s="58">
        <v>0.68179000000000001</v>
      </c>
      <c r="X14" s="57">
        <v>45474</v>
      </c>
      <c r="Y14" s="30">
        <v>3.5312499999999997E-2</v>
      </c>
      <c r="Z14">
        <v>0</v>
      </c>
      <c r="AA14">
        <v>0</v>
      </c>
      <c r="AB14">
        <v>0</v>
      </c>
      <c r="AC14" s="83">
        <f t="shared" ref="AC14" si="1">AVERAGE(W14:W18)</f>
        <v>0.67843600000000004</v>
      </c>
    </row>
    <row r="15" spans="1:29" x14ac:dyDescent="0.25">
      <c r="A15">
        <v>1</v>
      </c>
      <c r="B15" t="s">
        <v>8</v>
      </c>
      <c r="C15">
        <v>10240</v>
      </c>
      <c r="D15">
        <v>32</v>
      </c>
      <c r="E15">
        <v>1</v>
      </c>
      <c r="F15">
        <v>2</v>
      </c>
      <c r="G15" s="2">
        <v>1152.0899999999999</v>
      </c>
      <c r="H15" s="58">
        <v>0.62146999999999997</v>
      </c>
      <c r="I15" s="31">
        <v>45474</v>
      </c>
      <c r="J15" s="38">
        <v>0.29756944444444444</v>
      </c>
      <c r="K15" s="41">
        <v>0</v>
      </c>
      <c r="L15" s="41">
        <v>0</v>
      </c>
      <c r="M15" s="41">
        <v>0</v>
      </c>
      <c r="N15" s="82"/>
      <c r="P15">
        <v>1</v>
      </c>
      <c r="Q15" t="s">
        <v>8</v>
      </c>
      <c r="R15">
        <v>10240</v>
      </c>
      <c r="S15">
        <v>32</v>
      </c>
      <c r="T15">
        <v>1</v>
      </c>
      <c r="U15">
        <v>2</v>
      </c>
      <c r="V15">
        <v>1063.51</v>
      </c>
      <c r="W15" s="58">
        <v>0.67323</v>
      </c>
      <c r="X15" s="57">
        <v>45474</v>
      </c>
      <c r="Y15" s="30">
        <v>0.33534722222222224</v>
      </c>
      <c r="Z15">
        <v>0</v>
      </c>
      <c r="AA15">
        <v>0</v>
      </c>
      <c r="AB15">
        <v>0</v>
      </c>
      <c r="AC15" s="83"/>
    </row>
    <row r="16" spans="1:29" x14ac:dyDescent="0.25">
      <c r="A16">
        <v>2</v>
      </c>
      <c r="B16" t="s">
        <v>8</v>
      </c>
      <c r="C16">
        <v>10240</v>
      </c>
      <c r="D16">
        <v>32</v>
      </c>
      <c r="E16">
        <v>1</v>
      </c>
      <c r="F16">
        <v>2</v>
      </c>
      <c r="G16" s="2">
        <v>1168.1300000000001</v>
      </c>
      <c r="H16" s="58">
        <v>0.61292999999999997</v>
      </c>
      <c r="I16" s="31">
        <v>45474</v>
      </c>
      <c r="J16" s="38">
        <v>0.57547453703703699</v>
      </c>
      <c r="K16" s="41">
        <v>0</v>
      </c>
      <c r="L16" s="41">
        <v>0</v>
      </c>
      <c r="M16" s="41">
        <v>0</v>
      </c>
      <c r="N16" s="82"/>
      <c r="P16">
        <v>2</v>
      </c>
      <c r="Q16" t="s">
        <v>8</v>
      </c>
      <c r="R16">
        <v>10240</v>
      </c>
      <c r="S16">
        <v>32</v>
      </c>
      <c r="T16">
        <v>1</v>
      </c>
      <c r="U16">
        <v>2</v>
      </c>
      <c r="V16">
        <v>1047.74</v>
      </c>
      <c r="W16" s="58">
        <v>0.68335999999999997</v>
      </c>
      <c r="X16" s="31">
        <v>45474</v>
      </c>
      <c r="Y16" s="30">
        <v>0.63537037037037036</v>
      </c>
      <c r="Z16">
        <v>0</v>
      </c>
      <c r="AA16">
        <v>0</v>
      </c>
      <c r="AB16">
        <v>0</v>
      </c>
      <c r="AC16" s="83"/>
    </row>
    <row r="17" spans="1:29" x14ac:dyDescent="0.25">
      <c r="A17">
        <v>3</v>
      </c>
      <c r="B17" t="s">
        <v>8</v>
      </c>
      <c r="C17">
        <v>10240</v>
      </c>
      <c r="D17">
        <v>32</v>
      </c>
      <c r="E17">
        <v>1</v>
      </c>
      <c r="F17">
        <v>2</v>
      </c>
      <c r="G17" s="2">
        <v>1156.02</v>
      </c>
      <c r="H17" s="58">
        <v>0.61934999999999996</v>
      </c>
      <c r="I17" s="31">
        <v>45474</v>
      </c>
      <c r="J17" s="38">
        <v>0.85364583333333333</v>
      </c>
      <c r="K17" s="41">
        <v>0</v>
      </c>
      <c r="L17" s="41">
        <v>0</v>
      </c>
      <c r="M17" s="41">
        <v>0</v>
      </c>
      <c r="N17" s="82"/>
      <c r="P17">
        <v>3</v>
      </c>
      <c r="Q17" t="s">
        <v>8</v>
      </c>
      <c r="R17">
        <v>10240</v>
      </c>
      <c r="S17">
        <v>32</v>
      </c>
      <c r="T17">
        <v>1</v>
      </c>
      <c r="U17">
        <v>2</v>
      </c>
      <c r="V17">
        <v>1062.82</v>
      </c>
      <c r="W17" s="58">
        <v>0.67366999999999999</v>
      </c>
      <c r="X17" s="31">
        <v>45474</v>
      </c>
      <c r="Y17" s="30">
        <v>0.93585648148148148</v>
      </c>
      <c r="Z17">
        <v>0</v>
      </c>
      <c r="AA17">
        <v>0</v>
      </c>
      <c r="AB17">
        <v>0</v>
      </c>
      <c r="AC17" s="83"/>
    </row>
    <row r="18" spans="1:29" x14ac:dyDescent="0.25">
      <c r="A18">
        <v>4</v>
      </c>
      <c r="B18" t="s">
        <v>8</v>
      </c>
      <c r="C18">
        <v>10240</v>
      </c>
      <c r="D18">
        <v>32</v>
      </c>
      <c r="E18">
        <v>1</v>
      </c>
      <c r="F18">
        <v>2</v>
      </c>
      <c r="G18" s="2">
        <v>1157.32</v>
      </c>
      <c r="H18" s="58">
        <v>0.61865999999999999</v>
      </c>
      <c r="I18" s="31">
        <v>45475</v>
      </c>
      <c r="J18" s="38">
        <v>0.13216435185185185</v>
      </c>
      <c r="K18" s="41">
        <v>0</v>
      </c>
      <c r="L18" s="41">
        <v>0</v>
      </c>
      <c r="M18" s="41">
        <v>0</v>
      </c>
      <c r="N18" s="82"/>
      <c r="P18">
        <v>4</v>
      </c>
      <c r="Q18" t="s">
        <v>8</v>
      </c>
      <c r="R18">
        <v>10240</v>
      </c>
      <c r="S18">
        <v>32</v>
      </c>
      <c r="T18">
        <v>1</v>
      </c>
      <c r="U18">
        <v>2</v>
      </c>
      <c r="V18">
        <v>1052.72</v>
      </c>
      <c r="W18" s="58">
        <v>0.68013000000000001</v>
      </c>
      <c r="X18" s="57">
        <v>45475</v>
      </c>
      <c r="Y18" s="30">
        <v>0.23612268518518517</v>
      </c>
      <c r="Z18">
        <v>0</v>
      </c>
      <c r="AA18">
        <v>0</v>
      </c>
      <c r="AB18">
        <v>0</v>
      </c>
      <c r="AC18" s="83"/>
    </row>
    <row r="19" spans="1:29" x14ac:dyDescent="0.25">
      <c r="A19">
        <v>0</v>
      </c>
      <c r="B19" t="s">
        <v>8</v>
      </c>
      <c r="C19">
        <v>9216</v>
      </c>
      <c r="D19">
        <v>64</v>
      </c>
      <c r="E19">
        <v>1</v>
      </c>
      <c r="F19">
        <v>2</v>
      </c>
      <c r="G19" s="2">
        <v>840.69</v>
      </c>
      <c r="H19" s="58">
        <v>0.62087999999999999</v>
      </c>
      <c r="I19" s="31">
        <v>45473</v>
      </c>
      <c r="J19" s="38">
        <v>0.85447916666666668</v>
      </c>
      <c r="K19" s="41">
        <v>0</v>
      </c>
      <c r="L19" s="41">
        <v>0</v>
      </c>
      <c r="M19" s="41">
        <v>0</v>
      </c>
      <c r="N19" s="82">
        <f>AVERAGE(H19:H23)</f>
        <v>0.62129800000000002</v>
      </c>
      <c r="P19">
        <v>0</v>
      </c>
      <c r="Q19" t="s">
        <v>8</v>
      </c>
      <c r="R19">
        <v>9216</v>
      </c>
      <c r="S19">
        <v>64</v>
      </c>
      <c r="T19">
        <v>1</v>
      </c>
      <c r="U19">
        <v>2</v>
      </c>
      <c r="V19">
        <v>740.71</v>
      </c>
      <c r="W19" s="58">
        <v>0.70467999999999997</v>
      </c>
      <c r="X19" s="57">
        <v>45473</v>
      </c>
      <c r="Y19" s="30">
        <v>0.85666666666666669</v>
      </c>
      <c r="Z19">
        <v>0</v>
      </c>
      <c r="AA19">
        <v>0</v>
      </c>
      <c r="AB19">
        <v>0</v>
      </c>
      <c r="AC19" s="83">
        <f t="shared" ref="AC19" si="2">AVERAGE(W19:W23)</f>
        <v>0.70793800000000007</v>
      </c>
    </row>
    <row r="20" spans="1:29" x14ac:dyDescent="0.25">
      <c r="A20">
        <v>1</v>
      </c>
      <c r="B20" t="s">
        <v>8</v>
      </c>
      <c r="C20">
        <v>9216</v>
      </c>
      <c r="D20">
        <v>64</v>
      </c>
      <c r="E20">
        <v>1</v>
      </c>
      <c r="F20">
        <v>2</v>
      </c>
      <c r="G20" s="2">
        <v>854.12</v>
      </c>
      <c r="H20" s="58">
        <v>0.61111000000000004</v>
      </c>
      <c r="I20" s="31">
        <v>45474</v>
      </c>
      <c r="J20" s="38">
        <v>0.13311342592592593</v>
      </c>
      <c r="K20" s="41">
        <v>0</v>
      </c>
      <c r="L20" s="41">
        <v>0</v>
      </c>
      <c r="M20" s="41">
        <v>0</v>
      </c>
      <c r="N20" s="82"/>
      <c r="P20">
        <v>1</v>
      </c>
      <c r="Q20" t="s">
        <v>8</v>
      </c>
      <c r="R20">
        <v>9216</v>
      </c>
      <c r="S20">
        <v>64</v>
      </c>
      <c r="T20">
        <v>1</v>
      </c>
      <c r="U20">
        <v>2</v>
      </c>
      <c r="V20">
        <v>741.5</v>
      </c>
      <c r="W20" s="58">
        <v>0.70392999999999994</v>
      </c>
      <c r="X20" s="57">
        <v>45474</v>
      </c>
      <c r="Y20" s="30">
        <v>0.15679398148148149</v>
      </c>
      <c r="Z20">
        <v>0</v>
      </c>
      <c r="AA20">
        <v>0</v>
      </c>
      <c r="AB20">
        <v>0</v>
      </c>
      <c r="AC20" s="83"/>
    </row>
    <row r="21" spans="1:29" x14ac:dyDescent="0.25">
      <c r="A21">
        <v>2</v>
      </c>
      <c r="B21" t="s">
        <v>8</v>
      </c>
      <c r="C21">
        <v>9216</v>
      </c>
      <c r="D21">
        <v>64</v>
      </c>
      <c r="E21">
        <v>1</v>
      </c>
      <c r="F21">
        <v>2</v>
      </c>
      <c r="G21" s="2">
        <v>835.61</v>
      </c>
      <c r="H21" s="58">
        <v>0.62465000000000004</v>
      </c>
      <c r="I21" s="31">
        <v>45474</v>
      </c>
      <c r="J21" s="38">
        <v>0.41089120370370369</v>
      </c>
      <c r="K21" s="41">
        <v>0</v>
      </c>
      <c r="L21" s="41">
        <v>0</v>
      </c>
      <c r="M21" s="41">
        <v>0</v>
      </c>
      <c r="N21" s="82"/>
      <c r="P21">
        <v>2</v>
      </c>
      <c r="Q21" t="s">
        <v>8</v>
      </c>
      <c r="R21">
        <v>9216</v>
      </c>
      <c r="S21">
        <v>64</v>
      </c>
      <c r="T21">
        <v>1</v>
      </c>
      <c r="U21">
        <v>2</v>
      </c>
      <c r="V21">
        <v>738.96</v>
      </c>
      <c r="W21" s="58">
        <v>0.70635000000000003</v>
      </c>
      <c r="X21" s="31">
        <v>45474</v>
      </c>
      <c r="Y21" s="30">
        <v>0.45706018518518521</v>
      </c>
      <c r="Z21">
        <v>0</v>
      </c>
      <c r="AA21">
        <v>0</v>
      </c>
      <c r="AB21">
        <v>0</v>
      </c>
      <c r="AC21" s="83"/>
    </row>
    <row r="22" spans="1:29" x14ac:dyDescent="0.25">
      <c r="A22">
        <v>3</v>
      </c>
      <c r="B22" t="s">
        <v>8</v>
      </c>
      <c r="C22">
        <v>9216</v>
      </c>
      <c r="D22">
        <v>64</v>
      </c>
      <c r="E22">
        <v>1</v>
      </c>
      <c r="F22">
        <v>2</v>
      </c>
      <c r="G22" s="2">
        <v>833.96</v>
      </c>
      <c r="H22" s="58">
        <v>0.62588999999999995</v>
      </c>
      <c r="I22" s="31">
        <v>45474</v>
      </c>
      <c r="J22" s="38">
        <v>0.68923611111111116</v>
      </c>
      <c r="K22" s="41">
        <v>0</v>
      </c>
      <c r="L22" s="41">
        <v>0</v>
      </c>
      <c r="M22" s="41">
        <v>0</v>
      </c>
      <c r="N22" s="82"/>
      <c r="P22">
        <v>3</v>
      </c>
      <c r="Q22" t="s">
        <v>8</v>
      </c>
      <c r="R22">
        <v>9216</v>
      </c>
      <c r="S22">
        <v>64</v>
      </c>
      <c r="T22">
        <v>1</v>
      </c>
      <c r="U22">
        <v>2</v>
      </c>
      <c r="V22">
        <v>742.58</v>
      </c>
      <c r="W22" s="58">
        <v>0.70291000000000003</v>
      </c>
      <c r="X22" s="31">
        <v>45474</v>
      </c>
      <c r="Y22" s="30">
        <v>0.75695601851851857</v>
      </c>
      <c r="Z22">
        <v>0</v>
      </c>
      <c r="AA22">
        <v>0</v>
      </c>
      <c r="AB22">
        <v>0</v>
      </c>
      <c r="AC22" s="83"/>
    </row>
    <row r="23" spans="1:29" x14ac:dyDescent="0.25">
      <c r="A23">
        <v>4</v>
      </c>
      <c r="B23" t="s">
        <v>8</v>
      </c>
      <c r="C23">
        <v>9216</v>
      </c>
      <c r="D23">
        <v>64</v>
      </c>
      <c r="E23">
        <v>1</v>
      </c>
      <c r="F23">
        <v>2</v>
      </c>
      <c r="G23" s="2">
        <v>836.54</v>
      </c>
      <c r="H23" s="58">
        <v>0.62395999999999996</v>
      </c>
      <c r="I23" s="31">
        <v>45474</v>
      </c>
      <c r="J23" s="38">
        <v>0.96711805555555552</v>
      </c>
      <c r="K23" s="41">
        <v>0</v>
      </c>
      <c r="L23" s="41">
        <v>0</v>
      </c>
      <c r="M23" s="41">
        <v>0</v>
      </c>
      <c r="N23" s="82"/>
      <c r="P23">
        <v>4</v>
      </c>
      <c r="Q23" t="s">
        <v>8</v>
      </c>
      <c r="R23">
        <v>9216</v>
      </c>
      <c r="S23">
        <v>64</v>
      </c>
      <c r="T23">
        <v>1</v>
      </c>
      <c r="U23">
        <v>2</v>
      </c>
      <c r="V23">
        <v>723.12</v>
      </c>
      <c r="W23" s="58">
        <v>0.72182000000000002</v>
      </c>
      <c r="X23" s="57">
        <v>45475</v>
      </c>
      <c r="Y23" s="30">
        <v>5.7800925925925929E-2</v>
      </c>
      <c r="Z23">
        <v>0</v>
      </c>
      <c r="AA23">
        <v>0</v>
      </c>
      <c r="AB23">
        <v>0</v>
      </c>
      <c r="AC23" s="83"/>
    </row>
    <row r="24" spans="1:29" x14ac:dyDescent="0.25">
      <c r="A24">
        <v>0</v>
      </c>
      <c r="B24" t="s">
        <v>8</v>
      </c>
      <c r="C24">
        <v>9728</v>
      </c>
      <c r="D24">
        <v>64</v>
      </c>
      <c r="E24">
        <v>1</v>
      </c>
      <c r="F24">
        <v>2</v>
      </c>
      <c r="G24" s="2">
        <v>990.62</v>
      </c>
      <c r="H24" s="58">
        <v>0.61968999999999996</v>
      </c>
      <c r="I24" s="31">
        <v>45473</v>
      </c>
      <c r="J24" s="38">
        <v>0.93729166666666663</v>
      </c>
      <c r="K24" s="41">
        <v>0</v>
      </c>
      <c r="L24" s="41">
        <v>0</v>
      </c>
      <c r="M24" s="41">
        <v>0</v>
      </c>
      <c r="N24" s="82">
        <f>AVERAGE(H24:H28)</f>
        <v>0.62430400000000008</v>
      </c>
      <c r="P24">
        <v>0</v>
      </c>
      <c r="Q24" t="s">
        <v>8</v>
      </c>
      <c r="R24">
        <v>9728</v>
      </c>
      <c r="S24">
        <v>64</v>
      </c>
      <c r="T24">
        <v>1</v>
      </c>
      <c r="U24">
        <v>2</v>
      </c>
      <c r="V24">
        <v>857.94</v>
      </c>
      <c r="W24" s="58">
        <v>0.71552000000000004</v>
      </c>
      <c r="X24" s="31">
        <v>45473</v>
      </c>
      <c r="Y24" s="30">
        <v>0.94672453703703707</v>
      </c>
      <c r="Z24">
        <v>0</v>
      </c>
      <c r="AA24">
        <v>0</v>
      </c>
      <c r="AB24">
        <v>0</v>
      </c>
      <c r="AC24" s="83">
        <f t="shared" ref="AC24" si="3">AVERAGE(W24:W28)</f>
        <v>0.71590200000000004</v>
      </c>
    </row>
    <row r="25" spans="1:29" x14ac:dyDescent="0.25">
      <c r="A25">
        <v>1</v>
      </c>
      <c r="B25" t="s">
        <v>8</v>
      </c>
      <c r="C25">
        <v>9728</v>
      </c>
      <c r="D25">
        <v>64</v>
      </c>
      <c r="E25">
        <v>1</v>
      </c>
      <c r="F25">
        <v>2</v>
      </c>
      <c r="G25" s="2">
        <v>988.54</v>
      </c>
      <c r="H25" s="58">
        <v>0.62099000000000004</v>
      </c>
      <c r="I25" s="31">
        <v>45474</v>
      </c>
      <c r="J25" s="38">
        <v>0.21589120370370371</v>
      </c>
      <c r="K25" s="41">
        <v>0</v>
      </c>
      <c r="L25" s="41">
        <v>0</v>
      </c>
      <c r="M25" s="41">
        <v>0</v>
      </c>
      <c r="N25" s="82"/>
      <c r="P25">
        <v>1</v>
      </c>
      <c r="Q25" t="s">
        <v>8</v>
      </c>
      <c r="R25">
        <v>9728</v>
      </c>
      <c r="S25">
        <v>64</v>
      </c>
      <c r="T25">
        <v>1</v>
      </c>
      <c r="U25">
        <v>2</v>
      </c>
      <c r="V25">
        <v>857.41</v>
      </c>
      <c r="W25" s="58">
        <v>0.71597</v>
      </c>
      <c r="X25" s="57">
        <v>45474</v>
      </c>
      <c r="Y25" s="30">
        <v>0.24657407407407408</v>
      </c>
      <c r="Z25">
        <v>0</v>
      </c>
      <c r="AA25">
        <v>0</v>
      </c>
      <c r="AB25">
        <v>0</v>
      </c>
      <c r="AC25" s="83"/>
    </row>
    <row r="26" spans="1:29" x14ac:dyDescent="0.25">
      <c r="A26">
        <v>2</v>
      </c>
      <c r="B26" t="s">
        <v>8</v>
      </c>
      <c r="C26">
        <v>9728</v>
      </c>
      <c r="D26">
        <v>64</v>
      </c>
      <c r="E26">
        <v>1</v>
      </c>
      <c r="F26">
        <v>2</v>
      </c>
      <c r="G26" s="2">
        <v>972.73</v>
      </c>
      <c r="H26" s="58">
        <v>0.63107999999999997</v>
      </c>
      <c r="I26" s="31">
        <v>45474</v>
      </c>
      <c r="J26" s="38">
        <v>0.49361111111111111</v>
      </c>
      <c r="K26" s="41">
        <v>0</v>
      </c>
      <c r="L26" s="41">
        <v>0</v>
      </c>
      <c r="M26" s="41">
        <v>0</v>
      </c>
      <c r="N26" s="82"/>
      <c r="P26">
        <v>2</v>
      </c>
      <c r="Q26" t="s">
        <v>8</v>
      </c>
      <c r="R26">
        <v>9728</v>
      </c>
      <c r="S26">
        <v>64</v>
      </c>
      <c r="T26">
        <v>1</v>
      </c>
      <c r="U26">
        <v>2</v>
      </c>
      <c r="V26">
        <v>856.97</v>
      </c>
      <c r="W26" s="58">
        <v>0.71633000000000002</v>
      </c>
      <c r="X26" s="57">
        <v>45474</v>
      </c>
      <c r="Y26" s="30">
        <v>0.54703703703703699</v>
      </c>
      <c r="Z26">
        <v>0</v>
      </c>
      <c r="AA26">
        <v>0</v>
      </c>
      <c r="AB26">
        <v>0</v>
      </c>
      <c r="AC26" s="83"/>
    </row>
    <row r="27" spans="1:29" x14ac:dyDescent="0.25">
      <c r="A27">
        <v>3</v>
      </c>
      <c r="B27" t="s">
        <v>8</v>
      </c>
      <c r="C27">
        <v>9728</v>
      </c>
      <c r="D27">
        <v>64</v>
      </c>
      <c r="E27">
        <v>1</v>
      </c>
      <c r="F27">
        <v>2</v>
      </c>
      <c r="G27" s="2">
        <v>972.4</v>
      </c>
      <c r="H27" s="58">
        <v>0.63129999999999997</v>
      </c>
      <c r="I27" s="31">
        <v>45474</v>
      </c>
      <c r="J27" s="38">
        <v>0.77201388888888889</v>
      </c>
      <c r="K27" s="41">
        <v>0</v>
      </c>
      <c r="L27" s="41">
        <v>0</v>
      </c>
      <c r="M27" s="41">
        <v>0</v>
      </c>
      <c r="N27" s="82"/>
      <c r="P27">
        <v>3</v>
      </c>
      <c r="Q27" t="s">
        <v>8</v>
      </c>
      <c r="R27">
        <v>9728</v>
      </c>
      <c r="S27">
        <v>64</v>
      </c>
      <c r="T27">
        <v>1</v>
      </c>
      <c r="U27">
        <v>2</v>
      </c>
      <c r="V27">
        <v>857.95</v>
      </c>
      <c r="W27" s="58">
        <v>0.71550999999999998</v>
      </c>
      <c r="X27" s="57">
        <v>45474</v>
      </c>
      <c r="Y27" s="30">
        <v>0.84700231481481481</v>
      </c>
      <c r="Z27">
        <v>0</v>
      </c>
      <c r="AA27">
        <v>0</v>
      </c>
      <c r="AB27">
        <v>0</v>
      </c>
      <c r="AC27" s="83"/>
    </row>
    <row r="28" spans="1:29" x14ac:dyDescent="0.25">
      <c r="A28">
        <v>4</v>
      </c>
      <c r="B28" t="s">
        <v>8</v>
      </c>
      <c r="C28">
        <v>9728</v>
      </c>
      <c r="D28">
        <v>64</v>
      </c>
      <c r="E28">
        <v>1</v>
      </c>
      <c r="F28">
        <v>2</v>
      </c>
      <c r="G28" s="2">
        <v>992.58</v>
      </c>
      <c r="H28" s="58">
        <v>0.61846000000000001</v>
      </c>
      <c r="I28" s="31">
        <v>45475</v>
      </c>
      <c r="J28" s="38">
        <v>5.0381944444444444E-2</v>
      </c>
      <c r="K28" s="41">
        <v>0</v>
      </c>
      <c r="L28" s="41">
        <v>0</v>
      </c>
      <c r="M28" s="41">
        <v>0</v>
      </c>
      <c r="N28" s="82"/>
      <c r="P28">
        <v>4</v>
      </c>
      <c r="Q28" t="s">
        <v>8</v>
      </c>
      <c r="R28">
        <v>9728</v>
      </c>
      <c r="S28">
        <v>64</v>
      </c>
      <c r="T28">
        <v>1</v>
      </c>
      <c r="U28">
        <v>2</v>
      </c>
      <c r="V28">
        <v>857.15</v>
      </c>
      <c r="W28" s="58">
        <v>0.71618000000000004</v>
      </c>
      <c r="X28" s="57">
        <v>45475</v>
      </c>
      <c r="Y28" s="30">
        <v>0.14765046296296297</v>
      </c>
      <c r="Z28">
        <v>0</v>
      </c>
      <c r="AA28">
        <v>0</v>
      </c>
      <c r="AB28">
        <v>0</v>
      </c>
      <c r="AC28" s="83"/>
    </row>
    <row r="29" spans="1:29" x14ac:dyDescent="0.25">
      <c r="A29">
        <v>0</v>
      </c>
      <c r="B29" t="s">
        <v>8</v>
      </c>
      <c r="C29">
        <v>10240</v>
      </c>
      <c r="D29">
        <v>64</v>
      </c>
      <c r="E29">
        <v>1</v>
      </c>
      <c r="F29">
        <v>2</v>
      </c>
      <c r="G29" s="2">
        <v>1145.03</v>
      </c>
      <c r="H29" s="58">
        <v>0.62529999999999997</v>
      </c>
      <c r="I29" s="31">
        <v>45474</v>
      </c>
      <c r="J29" s="38">
        <v>3.3148148148148149E-2</v>
      </c>
      <c r="K29" s="41">
        <v>0</v>
      </c>
      <c r="L29" s="41">
        <v>0</v>
      </c>
      <c r="M29" s="41">
        <v>0</v>
      </c>
      <c r="N29" s="82">
        <f>AVERAGE(H29:H33)</f>
        <v>0.62390999999999996</v>
      </c>
      <c r="P29">
        <v>0</v>
      </c>
      <c r="Q29" t="s">
        <v>8</v>
      </c>
      <c r="R29">
        <v>10240</v>
      </c>
      <c r="S29">
        <v>64</v>
      </c>
      <c r="T29">
        <v>1</v>
      </c>
      <c r="U29">
        <v>2</v>
      </c>
      <c r="V29">
        <v>1009.13</v>
      </c>
      <c r="W29" s="58">
        <v>0.70950999999999997</v>
      </c>
      <c r="X29" s="57">
        <v>45474</v>
      </c>
      <c r="Y29" s="30">
        <v>4.9641203703703701E-2</v>
      </c>
      <c r="Z29">
        <v>0</v>
      </c>
      <c r="AA29">
        <v>0</v>
      </c>
      <c r="AB29">
        <v>0</v>
      </c>
      <c r="AC29" s="83">
        <f t="shared" ref="AC29" si="4">AVERAGE(W29:W33)</f>
        <v>0.70856199999999991</v>
      </c>
    </row>
    <row r="30" spans="1:29" x14ac:dyDescent="0.25">
      <c r="A30">
        <v>1</v>
      </c>
      <c r="B30" t="s">
        <v>8</v>
      </c>
      <c r="C30">
        <v>10240</v>
      </c>
      <c r="D30">
        <v>64</v>
      </c>
      <c r="E30">
        <v>1</v>
      </c>
      <c r="F30">
        <v>2</v>
      </c>
      <c r="G30" s="2">
        <v>1145.93</v>
      </c>
      <c r="H30" s="58">
        <v>0.62480999999999998</v>
      </c>
      <c r="I30" s="31">
        <v>45474</v>
      </c>
      <c r="J30" s="38">
        <v>0.31152777777777779</v>
      </c>
      <c r="K30" s="41">
        <v>0</v>
      </c>
      <c r="L30" s="41">
        <v>0</v>
      </c>
      <c r="M30" s="41">
        <v>0</v>
      </c>
      <c r="N30" s="82"/>
      <c r="P30">
        <v>1</v>
      </c>
      <c r="Q30" t="s">
        <v>8</v>
      </c>
      <c r="R30">
        <v>10240</v>
      </c>
      <c r="S30">
        <v>64</v>
      </c>
      <c r="T30">
        <v>1</v>
      </c>
      <c r="U30">
        <v>2</v>
      </c>
      <c r="V30">
        <v>1023.2</v>
      </c>
      <c r="W30" s="58">
        <v>0.69974999999999998</v>
      </c>
      <c r="X30" s="57">
        <v>45474</v>
      </c>
      <c r="Y30" s="30">
        <v>0.34990740740740739</v>
      </c>
      <c r="Z30">
        <v>0</v>
      </c>
      <c r="AA30">
        <v>0</v>
      </c>
      <c r="AB30">
        <v>0</v>
      </c>
      <c r="AC30" s="83"/>
    </row>
    <row r="31" spans="1:29" x14ac:dyDescent="0.25">
      <c r="A31">
        <v>2</v>
      </c>
      <c r="B31" t="s">
        <v>8</v>
      </c>
      <c r="C31">
        <v>10240</v>
      </c>
      <c r="D31">
        <v>64</v>
      </c>
      <c r="E31">
        <v>1</v>
      </c>
      <c r="F31">
        <v>2</v>
      </c>
      <c r="G31" s="2">
        <v>1143.3900000000001</v>
      </c>
      <c r="H31" s="58">
        <v>0.62619000000000002</v>
      </c>
      <c r="I31" s="31">
        <v>45474</v>
      </c>
      <c r="J31" s="38">
        <v>0.58923611111111107</v>
      </c>
      <c r="K31" s="41">
        <v>0</v>
      </c>
      <c r="L31" s="41">
        <v>0</v>
      </c>
      <c r="M31" s="41">
        <v>0</v>
      </c>
      <c r="N31" s="82"/>
      <c r="P31">
        <v>2</v>
      </c>
      <c r="Q31" t="s">
        <v>8</v>
      </c>
      <c r="R31">
        <v>10240</v>
      </c>
      <c r="S31">
        <v>64</v>
      </c>
      <c r="T31">
        <v>1</v>
      </c>
      <c r="U31">
        <v>2</v>
      </c>
      <c r="V31">
        <v>1006.87</v>
      </c>
      <c r="W31" s="58">
        <v>0.71109999999999995</v>
      </c>
      <c r="X31" s="57">
        <v>45474</v>
      </c>
      <c r="Y31" s="30">
        <v>0.64986111111111111</v>
      </c>
      <c r="Z31">
        <v>0</v>
      </c>
      <c r="AA31">
        <v>0</v>
      </c>
      <c r="AB31">
        <v>0</v>
      </c>
      <c r="AC31" s="83"/>
    </row>
    <row r="32" spans="1:29" x14ac:dyDescent="0.25">
      <c r="A32">
        <v>3</v>
      </c>
      <c r="B32" t="s">
        <v>8</v>
      </c>
      <c r="C32">
        <v>10240</v>
      </c>
      <c r="D32">
        <v>64</v>
      </c>
      <c r="E32">
        <v>1</v>
      </c>
      <c r="F32">
        <v>2</v>
      </c>
      <c r="G32" s="2">
        <v>1161</v>
      </c>
      <c r="H32" s="58">
        <v>0.61670000000000003</v>
      </c>
      <c r="I32" s="31">
        <v>45474</v>
      </c>
      <c r="J32" s="38">
        <v>0.86761574074074077</v>
      </c>
      <c r="K32" s="41">
        <v>0</v>
      </c>
      <c r="L32" s="41">
        <v>0</v>
      </c>
      <c r="M32" s="41">
        <v>0</v>
      </c>
      <c r="N32" s="82"/>
      <c r="P32">
        <v>3</v>
      </c>
      <c r="Q32" t="s">
        <v>8</v>
      </c>
      <c r="R32">
        <v>10240</v>
      </c>
      <c r="S32">
        <v>64</v>
      </c>
      <c r="T32">
        <v>1</v>
      </c>
      <c r="U32">
        <v>2</v>
      </c>
      <c r="V32">
        <v>1008.08</v>
      </c>
      <c r="W32" s="58">
        <v>0.71023999999999998</v>
      </c>
      <c r="X32" s="31">
        <v>45474</v>
      </c>
      <c r="Y32" s="30">
        <v>0.95034722222222223</v>
      </c>
      <c r="Z32">
        <v>0</v>
      </c>
      <c r="AA32">
        <v>0</v>
      </c>
      <c r="AB32">
        <v>0</v>
      </c>
      <c r="AC32" s="83"/>
    </row>
    <row r="33" spans="1:29" x14ac:dyDescent="0.25">
      <c r="A33">
        <v>4</v>
      </c>
      <c r="B33" t="s">
        <v>8</v>
      </c>
      <c r="C33">
        <v>10240</v>
      </c>
      <c r="D33">
        <v>64</v>
      </c>
      <c r="E33">
        <v>1</v>
      </c>
      <c r="F33">
        <v>2</v>
      </c>
      <c r="G33" s="2">
        <v>1142.74</v>
      </c>
      <c r="H33" s="58">
        <v>0.62655000000000005</v>
      </c>
      <c r="I33" s="31">
        <v>45475</v>
      </c>
      <c r="J33" s="38">
        <v>0.14592592592592593</v>
      </c>
      <c r="K33" s="41">
        <v>0</v>
      </c>
      <c r="L33" s="41">
        <v>0</v>
      </c>
      <c r="M33" s="41">
        <v>0</v>
      </c>
      <c r="N33" s="82"/>
      <c r="P33">
        <v>4</v>
      </c>
      <c r="Q33" t="s">
        <v>8</v>
      </c>
      <c r="R33">
        <v>10240</v>
      </c>
      <c r="S33">
        <v>64</v>
      </c>
      <c r="T33">
        <v>1</v>
      </c>
      <c r="U33">
        <v>2</v>
      </c>
      <c r="V33">
        <v>1005.31</v>
      </c>
      <c r="W33" s="58">
        <v>0.71221000000000001</v>
      </c>
      <c r="X33" s="57">
        <v>45475</v>
      </c>
      <c r="Y33" s="30">
        <v>0.25057870370370372</v>
      </c>
      <c r="Z33">
        <v>0</v>
      </c>
      <c r="AA33">
        <v>0</v>
      </c>
      <c r="AB33">
        <v>0</v>
      </c>
      <c r="AC33" s="83"/>
    </row>
    <row r="34" spans="1:29" x14ac:dyDescent="0.25">
      <c r="A34">
        <v>0</v>
      </c>
      <c r="B34" t="s">
        <v>8</v>
      </c>
      <c r="C34">
        <v>9216</v>
      </c>
      <c r="D34">
        <v>96</v>
      </c>
      <c r="E34">
        <v>1</v>
      </c>
      <c r="F34">
        <v>2</v>
      </c>
      <c r="G34" s="2">
        <v>810.13</v>
      </c>
      <c r="H34" s="58">
        <v>0.64429999999999998</v>
      </c>
      <c r="I34" s="31">
        <v>45473</v>
      </c>
      <c r="J34" s="38">
        <v>0.86429398148148151</v>
      </c>
      <c r="K34" s="41">
        <v>0</v>
      </c>
      <c r="L34" s="41">
        <v>0</v>
      </c>
      <c r="M34" s="41">
        <v>0</v>
      </c>
      <c r="N34" s="82">
        <f>AVERAGE(H34:H38)</f>
        <v>0.64347600000000005</v>
      </c>
      <c r="P34">
        <v>0</v>
      </c>
      <c r="Q34" t="s">
        <v>8</v>
      </c>
      <c r="R34">
        <v>9216</v>
      </c>
      <c r="S34">
        <v>96</v>
      </c>
      <c r="T34">
        <v>1</v>
      </c>
      <c r="U34">
        <v>2</v>
      </c>
      <c r="V34">
        <v>730.77</v>
      </c>
      <c r="W34" s="58">
        <v>0.71426999999999996</v>
      </c>
      <c r="X34" s="57">
        <v>45473</v>
      </c>
      <c r="Y34" s="30">
        <v>0.86745370370370367</v>
      </c>
      <c r="Z34">
        <v>0</v>
      </c>
      <c r="AA34">
        <v>0</v>
      </c>
      <c r="AB34">
        <v>0</v>
      </c>
      <c r="AC34" s="83">
        <f t="shared" ref="AC34" si="5">AVERAGE(W34:W38)</f>
        <v>0.7139899999999999</v>
      </c>
    </row>
    <row r="35" spans="1:29" x14ac:dyDescent="0.25">
      <c r="A35">
        <v>1</v>
      </c>
      <c r="B35" t="s">
        <v>8</v>
      </c>
      <c r="C35">
        <v>9216</v>
      </c>
      <c r="D35">
        <v>96</v>
      </c>
      <c r="E35">
        <v>1</v>
      </c>
      <c r="F35">
        <v>2</v>
      </c>
      <c r="G35" s="2">
        <v>800.92</v>
      </c>
      <c r="H35" s="58">
        <v>0.65171000000000001</v>
      </c>
      <c r="I35" s="31">
        <v>45474</v>
      </c>
      <c r="J35" s="38">
        <v>0.14292824074074073</v>
      </c>
      <c r="K35" s="41">
        <v>0</v>
      </c>
      <c r="L35" s="41">
        <v>0</v>
      </c>
      <c r="M35" s="41">
        <v>0</v>
      </c>
      <c r="N35" s="82"/>
      <c r="P35">
        <v>1</v>
      </c>
      <c r="Q35" t="s">
        <v>8</v>
      </c>
      <c r="R35">
        <v>9216</v>
      </c>
      <c r="S35">
        <v>96</v>
      </c>
      <c r="T35">
        <v>1</v>
      </c>
      <c r="U35">
        <v>2</v>
      </c>
      <c r="V35">
        <v>733</v>
      </c>
      <c r="W35" s="58">
        <v>0.71209</v>
      </c>
      <c r="X35" s="57">
        <v>45474</v>
      </c>
      <c r="Y35" s="30">
        <v>0.16753472222222221</v>
      </c>
      <c r="Z35">
        <v>0</v>
      </c>
      <c r="AA35">
        <v>0</v>
      </c>
      <c r="AB35">
        <v>0</v>
      </c>
      <c r="AC35" s="83"/>
    </row>
    <row r="36" spans="1:29" x14ac:dyDescent="0.25">
      <c r="A36">
        <v>2</v>
      </c>
      <c r="B36" t="s">
        <v>8</v>
      </c>
      <c r="C36">
        <v>9216</v>
      </c>
      <c r="D36">
        <v>96</v>
      </c>
      <c r="E36">
        <v>1</v>
      </c>
      <c r="F36">
        <v>2</v>
      </c>
      <c r="G36" s="2">
        <v>810.6</v>
      </c>
      <c r="H36" s="58">
        <v>0.64393</v>
      </c>
      <c r="I36" s="31">
        <v>45474</v>
      </c>
      <c r="J36" s="38">
        <v>0.42086805555555556</v>
      </c>
      <c r="K36" s="41">
        <v>0</v>
      </c>
      <c r="L36" s="41">
        <v>0</v>
      </c>
      <c r="M36" s="41">
        <v>0</v>
      </c>
      <c r="N36" s="82"/>
      <c r="P36">
        <v>2</v>
      </c>
      <c r="Q36" t="s">
        <v>8</v>
      </c>
      <c r="R36">
        <v>9216</v>
      </c>
      <c r="S36">
        <v>96</v>
      </c>
      <c r="T36">
        <v>1</v>
      </c>
      <c r="U36">
        <v>2</v>
      </c>
      <c r="V36">
        <v>729.05</v>
      </c>
      <c r="W36" s="58">
        <v>0.71596000000000004</v>
      </c>
      <c r="X36" s="57">
        <v>45474</v>
      </c>
      <c r="Y36" s="30">
        <v>0.46785879629629629</v>
      </c>
      <c r="Z36">
        <v>0</v>
      </c>
      <c r="AA36">
        <v>0</v>
      </c>
      <c r="AB36">
        <v>0</v>
      </c>
      <c r="AC36" s="83"/>
    </row>
    <row r="37" spans="1:29" x14ac:dyDescent="0.25">
      <c r="A37">
        <v>3</v>
      </c>
      <c r="B37" t="s">
        <v>8</v>
      </c>
      <c r="C37">
        <v>9216</v>
      </c>
      <c r="D37">
        <v>96</v>
      </c>
      <c r="E37">
        <v>1</v>
      </c>
      <c r="F37">
        <v>2</v>
      </c>
      <c r="G37" s="2">
        <v>808.48</v>
      </c>
      <c r="H37" s="58">
        <v>0.64561999999999997</v>
      </c>
      <c r="I37" s="31">
        <v>45474</v>
      </c>
      <c r="J37" s="38">
        <v>0.6990277777777778</v>
      </c>
      <c r="K37" s="41">
        <v>0</v>
      </c>
      <c r="L37" s="41">
        <v>0</v>
      </c>
      <c r="M37" s="41">
        <v>0</v>
      </c>
      <c r="N37" s="82"/>
      <c r="P37">
        <v>3</v>
      </c>
      <c r="Q37" t="s">
        <v>8</v>
      </c>
      <c r="R37">
        <v>9216</v>
      </c>
      <c r="S37">
        <v>96</v>
      </c>
      <c r="T37">
        <v>1</v>
      </c>
      <c r="U37">
        <v>2</v>
      </c>
      <c r="V37">
        <v>728.9</v>
      </c>
      <c r="W37" s="58">
        <v>0.71609999999999996</v>
      </c>
      <c r="X37" s="31">
        <v>45474</v>
      </c>
      <c r="Y37" s="30">
        <v>0.76777777777777778</v>
      </c>
      <c r="Z37">
        <v>0</v>
      </c>
      <c r="AA37">
        <v>0</v>
      </c>
      <c r="AB37">
        <v>0</v>
      </c>
      <c r="AC37" s="83"/>
    </row>
    <row r="38" spans="1:29" x14ac:dyDescent="0.25">
      <c r="A38">
        <v>4</v>
      </c>
      <c r="B38" t="s">
        <v>8</v>
      </c>
      <c r="C38">
        <v>9216</v>
      </c>
      <c r="D38">
        <v>96</v>
      </c>
      <c r="E38">
        <v>1</v>
      </c>
      <c r="F38">
        <v>2</v>
      </c>
      <c r="G38" s="2">
        <v>826.13</v>
      </c>
      <c r="H38" s="58">
        <v>0.63182000000000005</v>
      </c>
      <c r="I38" s="31">
        <v>45474</v>
      </c>
      <c r="J38" s="38">
        <v>0.97711805555555553</v>
      </c>
      <c r="K38" s="41">
        <v>0</v>
      </c>
      <c r="L38" s="41">
        <v>0</v>
      </c>
      <c r="M38" s="41">
        <v>0</v>
      </c>
      <c r="N38" s="82"/>
      <c r="P38">
        <v>4</v>
      </c>
      <c r="Q38" t="s">
        <v>8</v>
      </c>
      <c r="R38">
        <v>9216</v>
      </c>
      <c r="S38">
        <v>96</v>
      </c>
      <c r="T38">
        <v>1</v>
      </c>
      <c r="U38">
        <v>2</v>
      </c>
      <c r="V38">
        <v>733.58</v>
      </c>
      <c r="W38" s="58">
        <v>0.71153</v>
      </c>
      <c r="X38" s="57">
        <v>45475</v>
      </c>
      <c r="Y38" s="30">
        <v>6.8622685185185189E-2</v>
      </c>
      <c r="Z38">
        <v>0</v>
      </c>
      <c r="AA38">
        <v>0</v>
      </c>
      <c r="AB38">
        <v>0</v>
      </c>
      <c r="AC38" s="83"/>
    </row>
    <row r="39" spans="1:29" x14ac:dyDescent="0.25">
      <c r="A39">
        <v>0</v>
      </c>
      <c r="B39" t="s">
        <v>8</v>
      </c>
      <c r="C39">
        <v>9696</v>
      </c>
      <c r="D39">
        <v>96</v>
      </c>
      <c r="E39">
        <v>1</v>
      </c>
      <c r="F39">
        <v>2</v>
      </c>
      <c r="G39" s="2">
        <v>917.37</v>
      </c>
      <c r="H39" s="58">
        <v>0.66257999999999995</v>
      </c>
      <c r="I39" s="31">
        <v>45473</v>
      </c>
      <c r="J39" s="38">
        <v>0.9485069444444445</v>
      </c>
      <c r="K39" s="41">
        <v>0</v>
      </c>
      <c r="L39" s="41">
        <v>0</v>
      </c>
      <c r="M39" s="41">
        <v>0</v>
      </c>
      <c r="N39" s="82">
        <f>AVERAGE(H39:H43)</f>
        <v>0.66076000000000001</v>
      </c>
      <c r="P39">
        <v>0</v>
      </c>
      <c r="Q39" t="s">
        <v>8</v>
      </c>
      <c r="R39">
        <v>9696</v>
      </c>
      <c r="S39">
        <v>96</v>
      </c>
      <c r="T39">
        <v>1</v>
      </c>
      <c r="U39">
        <v>2</v>
      </c>
      <c r="V39">
        <v>837.85</v>
      </c>
      <c r="W39" s="58">
        <v>0.72546999999999995</v>
      </c>
      <c r="X39" s="57">
        <v>45473</v>
      </c>
      <c r="Y39" s="30">
        <v>0.95898148148148143</v>
      </c>
      <c r="Z39">
        <v>0</v>
      </c>
      <c r="AA39">
        <v>0</v>
      </c>
      <c r="AB39">
        <v>0</v>
      </c>
      <c r="AC39" s="83">
        <f t="shared" ref="AC39" si="6">AVERAGE(W39:W43)</f>
        <v>0.72216800000000003</v>
      </c>
    </row>
    <row r="40" spans="1:29" x14ac:dyDescent="0.25">
      <c r="A40">
        <v>1</v>
      </c>
      <c r="B40" t="s">
        <v>8</v>
      </c>
      <c r="C40">
        <v>9696</v>
      </c>
      <c r="D40">
        <v>96</v>
      </c>
      <c r="E40">
        <v>1</v>
      </c>
      <c r="F40">
        <v>2</v>
      </c>
      <c r="G40" s="2">
        <v>929.15</v>
      </c>
      <c r="H40" s="58">
        <v>0.65417999999999998</v>
      </c>
      <c r="I40" s="31">
        <v>45474</v>
      </c>
      <c r="J40" s="38">
        <v>0.22712962962962963</v>
      </c>
      <c r="K40" s="41">
        <v>0</v>
      </c>
      <c r="L40" s="41">
        <v>0</v>
      </c>
      <c r="M40" s="41">
        <v>0</v>
      </c>
      <c r="N40" s="82"/>
      <c r="P40">
        <v>1</v>
      </c>
      <c r="Q40" t="s">
        <v>8</v>
      </c>
      <c r="R40">
        <v>9696</v>
      </c>
      <c r="S40">
        <v>96</v>
      </c>
      <c r="T40">
        <v>1</v>
      </c>
      <c r="U40">
        <v>2</v>
      </c>
      <c r="V40">
        <v>836.88</v>
      </c>
      <c r="W40" s="58">
        <v>0.72631000000000001</v>
      </c>
      <c r="X40" s="31">
        <v>45474</v>
      </c>
      <c r="Y40" s="30">
        <v>0.25883101851851853</v>
      </c>
      <c r="Z40">
        <v>0</v>
      </c>
      <c r="AA40">
        <v>0</v>
      </c>
      <c r="AB40">
        <v>0</v>
      </c>
      <c r="AC40" s="83"/>
    </row>
    <row r="41" spans="1:29" x14ac:dyDescent="0.25">
      <c r="A41">
        <v>2</v>
      </c>
      <c r="B41" t="s">
        <v>8</v>
      </c>
      <c r="C41">
        <v>9696</v>
      </c>
      <c r="D41">
        <v>96</v>
      </c>
      <c r="E41">
        <v>1</v>
      </c>
      <c r="F41">
        <v>2</v>
      </c>
      <c r="G41" s="2">
        <v>922</v>
      </c>
      <c r="H41" s="58">
        <v>0.65925999999999996</v>
      </c>
      <c r="I41" s="31">
        <v>45474</v>
      </c>
      <c r="J41" s="38">
        <v>0.50483796296296302</v>
      </c>
      <c r="K41" s="41">
        <v>0</v>
      </c>
      <c r="L41" s="41">
        <v>0</v>
      </c>
      <c r="M41" s="41">
        <v>0</v>
      </c>
      <c r="N41" s="82"/>
      <c r="P41">
        <v>2</v>
      </c>
      <c r="Q41" t="s">
        <v>8</v>
      </c>
      <c r="R41">
        <v>9696</v>
      </c>
      <c r="S41">
        <v>96</v>
      </c>
      <c r="T41">
        <v>1</v>
      </c>
      <c r="U41">
        <v>2</v>
      </c>
      <c r="V41">
        <v>837.91</v>
      </c>
      <c r="W41" s="58">
        <v>0.72541999999999995</v>
      </c>
      <c r="X41" s="31">
        <v>45474</v>
      </c>
      <c r="Y41" s="30">
        <v>0.55914351851851851</v>
      </c>
      <c r="Z41">
        <v>0</v>
      </c>
      <c r="AA41">
        <v>0</v>
      </c>
      <c r="AB41">
        <v>0</v>
      </c>
      <c r="AC41" s="83"/>
    </row>
    <row r="42" spans="1:29" x14ac:dyDescent="0.25">
      <c r="A42">
        <v>3</v>
      </c>
      <c r="B42" t="s">
        <v>8</v>
      </c>
      <c r="C42">
        <v>9696</v>
      </c>
      <c r="D42">
        <v>96</v>
      </c>
      <c r="E42">
        <v>1</v>
      </c>
      <c r="F42">
        <v>2</v>
      </c>
      <c r="G42" s="2">
        <v>921.24</v>
      </c>
      <c r="H42" s="58">
        <v>0.65980000000000005</v>
      </c>
      <c r="I42" s="31">
        <v>45474</v>
      </c>
      <c r="J42" s="38">
        <v>0.78325231481481483</v>
      </c>
      <c r="K42" s="41">
        <v>0</v>
      </c>
      <c r="L42" s="41">
        <v>0</v>
      </c>
      <c r="M42" s="41">
        <v>0</v>
      </c>
      <c r="N42" s="82"/>
      <c r="P42">
        <v>3</v>
      </c>
      <c r="Q42" t="s">
        <v>8</v>
      </c>
      <c r="R42">
        <v>9696</v>
      </c>
      <c r="S42">
        <v>96</v>
      </c>
      <c r="T42">
        <v>1</v>
      </c>
      <c r="U42">
        <v>2</v>
      </c>
      <c r="V42">
        <v>858.96</v>
      </c>
      <c r="W42" s="58">
        <v>0.70765</v>
      </c>
      <c r="X42" s="57">
        <v>45474</v>
      </c>
      <c r="Y42" s="30">
        <v>0.85932870370370373</v>
      </c>
      <c r="Z42">
        <v>0</v>
      </c>
      <c r="AA42">
        <v>0</v>
      </c>
      <c r="AB42">
        <v>0</v>
      </c>
      <c r="AC42" s="83"/>
    </row>
    <row r="43" spans="1:29" x14ac:dyDescent="0.25">
      <c r="A43">
        <v>4</v>
      </c>
      <c r="B43" t="s">
        <v>8</v>
      </c>
      <c r="C43">
        <v>9696</v>
      </c>
      <c r="D43">
        <v>96</v>
      </c>
      <c r="E43">
        <v>1</v>
      </c>
      <c r="F43">
        <v>2</v>
      </c>
      <c r="G43" s="2">
        <v>909.96</v>
      </c>
      <c r="H43" s="58">
        <v>0.66798000000000002</v>
      </c>
      <c r="I43" s="31">
        <v>45475</v>
      </c>
      <c r="J43" s="38">
        <v>6.1388888888888889E-2</v>
      </c>
      <c r="K43" s="41">
        <v>0</v>
      </c>
      <c r="L43" s="41">
        <v>0</v>
      </c>
      <c r="M43" s="41">
        <v>0</v>
      </c>
      <c r="N43" s="82"/>
      <c r="P43">
        <v>4</v>
      </c>
      <c r="Q43" t="s">
        <v>8</v>
      </c>
      <c r="R43">
        <v>9696</v>
      </c>
      <c r="S43">
        <v>96</v>
      </c>
      <c r="T43">
        <v>1</v>
      </c>
      <c r="U43">
        <v>2</v>
      </c>
      <c r="V43">
        <v>837.26</v>
      </c>
      <c r="W43" s="58">
        <v>0.72599000000000002</v>
      </c>
      <c r="X43" s="57">
        <v>45475</v>
      </c>
      <c r="Y43" s="30">
        <v>0.15976851851851853</v>
      </c>
      <c r="Z43">
        <v>0</v>
      </c>
      <c r="AA43">
        <v>0</v>
      </c>
      <c r="AB43">
        <v>0</v>
      </c>
      <c r="AC43" s="83"/>
    </row>
    <row r="44" spans="1:29" x14ac:dyDescent="0.25">
      <c r="A44">
        <v>0</v>
      </c>
      <c r="B44" t="s">
        <v>8</v>
      </c>
      <c r="C44">
        <v>10176</v>
      </c>
      <c r="D44">
        <v>96</v>
      </c>
      <c r="E44">
        <v>1</v>
      </c>
      <c r="F44">
        <v>2</v>
      </c>
      <c r="G44" s="2">
        <v>1065.58</v>
      </c>
      <c r="H44" s="58">
        <v>0.65939999999999999</v>
      </c>
      <c r="I44" s="31">
        <v>45474</v>
      </c>
      <c r="J44" s="38">
        <v>4.6006944444444448E-2</v>
      </c>
      <c r="K44" s="41">
        <v>0</v>
      </c>
      <c r="L44" s="41">
        <v>0</v>
      </c>
      <c r="M44" s="41">
        <v>0</v>
      </c>
      <c r="N44" s="82">
        <f>AVERAGE(H44:H48)</f>
        <v>0.65985000000000005</v>
      </c>
      <c r="P44">
        <v>0</v>
      </c>
      <c r="Q44" t="s">
        <v>8</v>
      </c>
      <c r="R44">
        <v>10176</v>
      </c>
      <c r="S44">
        <v>96</v>
      </c>
      <c r="T44">
        <v>1</v>
      </c>
      <c r="U44">
        <v>2</v>
      </c>
      <c r="V44">
        <v>973.73</v>
      </c>
      <c r="W44" s="58">
        <v>0.72160000000000002</v>
      </c>
      <c r="X44" s="57">
        <v>45474</v>
      </c>
      <c r="Y44" s="30">
        <v>6.3750000000000001E-2</v>
      </c>
      <c r="Z44">
        <v>0</v>
      </c>
      <c r="AA44">
        <v>0</v>
      </c>
      <c r="AB44">
        <v>0</v>
      </c>
      <c r="AC44" s="83">
        <f t="shared" ref="AC44" si="7">AVERAGE(W44:W48)</f>
        <v>0.72211799999999993</v>
      </c>
    </row>
    <row r="45" spans="1:29" x14ac:dyDescent="0.25">
      <c r="A45">
        <v>1</v>
      </c>
      <c r="B45" t="s">
        <v>8</v>
      </c>
      <c r="C45">
        <v>10176</v>
      </c>
      <c r="D45">
        <v>96</v>
      </c>
      <c r="E45">
        <v>1</v>
      </c>
      <c r="F45">
        <v>2</v>
      </c>
      <c r="G45" s="2">
        <v>1064.68</v>
      </c>
      <c r="H45" s="58">
        <v>0.65995999999999999</v>
      </c>
      <c r="I45" s="31">
        <v>45474</v>
      </c>
      <c r="J45" s="38">
        <v>0.32438657407407406</v>
      </c>
      <c r="K45" s="41">
        <v>0</v>
      </c>
      <c r="L45" s="41">
        <v>0</v>
      </c>
      <c r="M45" s="41">
        <v>0</v>
      </c>
      <c r="N45" s="82"/>
      <c r="P45">
        <v>1</v>
      </c>
      <c r="Q45" t="s">
        <v>8</v>
      </c>
      <c r="R45">
        <v>10176</v>
      </c>
      <c r="S45">
        <v>96</v>
      </c>
      <c r="T45">
        <v>1</v>
      </c>
      <c r="U45">
        <v>2</v>
      </c>
      <c r="V45">
        <v>966.16</v>
      </c>
      <c r="W45" s="58">
        <v>0.72726000000000002</v>
      </c>
      <c r="X45" s="57">
        <v>45474</v>
      </c>
      <c r="Y45" s="30">
        <v>0.36398148148148146</v>
      </c>
      <c r="Z45">
        <v>0</v>
      </c>
      <c r="AA45">
        <v>0</v>
      </c>
      <c r="AB45">
        <v>0</v>
      </c>
      <c r="AC45" s="83"/>
    </row>
    <row r="46" spans="1:29" x14ac:dyDescent="0.25">
      <c r="A46">
        <v>2</v>
      </c>
      <c r="B46" t="s">
        <v>8</v>
      </c>
      <c r="C46">
        <v>10176</v>
      </c>
      <c r="D46">
        <v>96</v>
      </c>
      <c r="E46">
        <v>1</v>
      </c>
      <c r="F46">
        <v>2</v>
      </c>
      <c r="G46" s="2">
        <v>1065.3900000000001</v>
      </c>
      <c r="H46" s="58">
        <v>0.65952</v>
      </c>
      <c r="I46" s="31">
        <v>45474</v>
      </c>
      <c r="J46" s="38">
        <v>0.6020833333333333</v>
      </c>
      <c r="K46" s="41">
        <v>0</v>
      </c>
      <c r="L46" s="41">
        <v>0</v>
      </c>
      <c r="M46" s="41">
        <v>0</v>
      </c>
      <c r="N46" s="82"/>
      <c r="P46">
        <v>2</v>
      </c>
      <c r="Q46" t="s">
        <v>8</v>
      </c>
      <c r="R46">
        <v>10176</v>
      </c>
      <c r="S46">
        <v>96</v>
      </c>
      <c r="T46">
        <v>1</v>
      </c>
      <c r="U46">
        <v>2</v>
      </c>
      <c r="V46">
        <v>974.51</v>
      </c>
      <c r="W46" s="58">
        <v>0.72102999999999995</v>
      </c>
      <c r="X46" s="57">
        <v>45474</v>
      </c>
      <c r="Y46" s="30">
        <v>0.66374999999999995</v>
      </c>
      <c r="Z46">
        <v>0</v>
      </c>
      <c r="AA46">
        <v>0</v>
      </c>
      <c r="AB46">
        <v>0</v>
      </c>
      <c r="AC46" s="83"/>
    </row>
    <row r="47" spans="1:29" x14ac:dyDescent="0.25">
      <c r="A47">
        <v>3</v>
      </c>
      <c r="B47" t="s">
        <v>8</v>
      </c>
      <c r="C47">
        <v>10176</v>
      </c>
      <c r="D47">
        <v>96</v>
      </c>
      <c r="E47">
        <v>1</v>
      </c>
      <c r="F47">
        <v>2</v>
      </c>
      <c r="G47" s="2">
        <v>1063.55</v>
      </c>
      <c r="H47" s="58">
        <v>0.66066000000000003</v>
      </c>
      <c r="I47" s="31">
        <v>45474</v>
      </c>
      <c r="J47" s="38">
        <v>0.88045138888888885</v>
      </c>
      <c r="K47" s="41">
        <v>0</v>
      </c>
      <c r="L47" s="41">
        <v>0</v>
      </c>
      <c r="M47" s="41">
        <v>0</v>
      </c>
      <c r="N47" s="82"/>
      <c r="P47">
        <v>3</v>
      </c>
      <c r="Q47" t="s">
        <v>8</v>
      </c>
      <c r="R47">
        <v>10176</v>
      </c>
      <c r="S47">
        <v>96</v>
      </c>
      <c r="T47">
        <v>1</v>
      </c>
      <c r="U47">
        <v>2</v>
      </c>
      <c r="V47">
        <v>976.81</v>
      </c>
      <c r="W47" s="58">
        <v>0.71933000000000002</v>
      </c>
      <c r="X47" s="57">
        <v>45474</v>
      </c>
      <c r="Y47" s="30">
        <v>0.96423611111111107</v>
      </c>
      <c r="Z47">
        <v>0</v>
      </c>
      <c r="AA47">
        <v>0</v>
      </c>
      <c r="AB47">
        <v>0</v>
      </c>
      <c r="AC47" s="83"/>
    </row>
    <row r="48" spans="1:29" x14ac:dyDescent="0.25">
      <c r="A48">
        <v>4</v>
      </c>
      <c r="B48" t="s">
        <v>8</v>
      </c>
      <c r="C48">
        <v>10176</v>
      </c>
      <c r="D48">
        <v>96</v>
      </c>
      <c r="E48">
        <v>1</v>
      </c>
      <c r="F48">
        <v>2</v>
      </c>
      <c r="G48" s="2">
        <v>1065.0899999999999</v>
      </c>
      <c r="H48" s="58">
        <v>0.65971000000000002</v>
      </c>
      <c r="I48" s="31">
        <v>45475</v>
      </c>
      <c r="J48" s="38">
        <v>0.15878472222222223</v>
      </c>
      <c r="K48" s="41">
        <v>0</v>
      </c>
      <c r="L48" s="41">
        <v>0</v>
      </c>
      <c r="M48" s="41">
        <v>0</v>
      </c>
      <c r="N48" s="82"/>
      <c r="P48">
        <v>4</v>
      </c>
      <c r="Q48" t="s">
        <v>8</v>
      </c>
      <c r="R48">
        <v>10176</v>
      </c>
      <c r="S48">
        <v>96</v>
      </c>
      <c r="T48">
        <v>1</v>
      </c>
      <c r="U48">
        <v>2</v>
      </c>
      <c r="V48">
        <v>974.05</v>
      </c>
      <c r="W48" s="58">
        <v>0.72136999999999996</v>
      </c>
      <c r="X48" s="31">
        <v>45475</v>
      </c>
      <c r="Y48" s="30">
        <v>0.26442129629629629</v>
      </c>
      <c r="Z48">
        <v>0</v>
      </c>
      <c r="AA48">
        <v>0</v>
      </c>
      <c r="AB48">
        <v>0</v>
      </c>
      <c r="AC48" s="83"/>
    </row>
    <row r="49" spans="1:29" x14ac:dyDescent="0.25">
      <c r="A49">
        <v>0</v>
      </c>
      <c r="B49" t="s">
        <v>8</v>
      </c>
      <c r="C49">
        <v>9216</v>
      </c>
      <c r="D49">
        <v>128</v>
      </c>
      <c r="E49">
        <v>1</v>
      </c>
      <c r="F49">
        <v>2</v>
      </c>
      <c r="G49" s="2">
        <v>820.47</v>
      </c>
      <c r="H49" s="58">
        <v>0.63617999999999997</v>
      </c>
      <c r="I49" s="31">
        <v>45473</v>
      </c>
      <c r="J49" s="38">
        <v>0.87422453703703706</v>
      </c>
      <c r="K49" s="41">
        <v>0</v>
      </c>
      <c r="L49" s="41">
        <v>0</v>
      </c>
      <c r="M49" s="41">
        <v>0</v>
      </c>
      <c r="N49" s="82">
        <f>AVERAGE(H49:H53)</f>
        <v>0.63427999999999995</v>
      </c>
      <c r="P49">
        <v>0</v>
      </c>
      <c r="Q49" t="s">
        <v>8</v>
      </c>
      <c r="R49">
        <v>9216</v>
      </c>
      <c r="S49">
        <v>128</v>
      </c>
      <c r="T49">
        <v>1</v>
      </c>
      <c r="U49">
        <v>2</v>
      </c>
      <c r="V49">
        <v>741.14</v>
      </c>
      <c r="W49" s="58">
        <v>0.70428000000000002</v>
      </c>
      <c r="X49" s="57">
        <v>45473</v>
      </c>
      <c r="Y49" s="30">
        <v>0.87817129629629631</v>
      </c>
      <c r="Z49">
        <v>0</v>
      </c>
      <c r="AA49">
        <v>0</v>
      </c>
      <c r="AB49">
        <v>0</v>
      </c>
      <c r="AC49" s="83">
        <f t="shared" ref="AC49" si="8">AVERAGE(W49:W53)</f>
        <v>0.70786199999999999</v>
      </c>
    </row>
    <row r="50" spans="1:29" x14ac:dyDescent="0.25">
      <c r="A50">
        <v>1</v>
      </c>
      <c r="B50" t="s">
        <v>8</v>
      </c>
      <c r="C50">
        <v>9216</v>
      </c>
      <c r="D50">
        <v>128</v>
      </c>
      <c r="E50">
        <v>1</v>
      </c>
      <c r="F50">
        <v>2</v>
      </c>
      <c r="G50" s="2">
        <v>821.44</v>
      </c>
      <c r="H50" s="58">
        <v>0.63541999999999998</v>
      </c>
      <c r="I50" s="31">
        <v>45474</v>
      </c>
      <c r="J50" s="38">
        <v>0.15287037037037038</v>
      </c>
      <c r="K50" s="41">
        <v>0</v>
      </c>
      <c r="L50" s="41">
        <v>0</v>
      </c>
      <c r="M50" s="41">
        <v>0</v>
      </c>
      <c r="N50" s="82"/>
      <c r="P50">
        <v>1</v>
      </c>
      <c r="Q50" t="s">
        <v>8</v>
      </c>
      <c r="R50">
        <v>9216</v>
      </c>
      <c r="S50">
        <v>128</v>
      </c>
      <c r="T50">
        <v>1</v>
      </c>
      <c r="U50">
        <v>2</v>
      </c>
      <c r="V50">
        <v>722.31</v>
      </c>
      <c r="W50" s="58">
        <v>0.72263999999999995</v>
      </c>
      <c r="X50" s="57">
        <v>45474</v>
      </c>
      <c r="Y50" s="30">
        <v>0.17826388888888889</v>
      </c>
      <c r="Z50">
        <v>0</v>
      </c>
      <c r="AA50">
        <v>0</v>
      </c>
      <c r="AB50">
        <v>0</v>
      </c>
      <c r="AC50" s="83"/>
    </row>
    <row r="51" spans="1:29" x14ac:dyDescent="0.25">
      <c r="A51">
        <v>2</v>
      </c>
      <c r="B51" t="s">
        <v>8</v>
      </c>
      <c r="C51">
        <v>9216</v>
      </c>
      <c r="D51">
        <v>128</v>
      </c>
      <c r="E51">
        <v>1</v>
      </c>
      <c r="F51">
        <v>2</v>
      </c>
      <c r="G51" s="2">
        <v>820.54</v>
      </c>
      <c r="H51" s="58">
        <v>0.63612000000000002</v>
      </c>
      <c r="I51" s="31">
        <v>45474</v>
      </c>
      <c r="J51" s="38">
        <v>0.43082175925925925</v>
      </c>
      <c r="K51" s="41">
        <v>0</v>
      </c>
      <c r="L51" s="41">
        <v>0</v>
      </c>
      <c r="M51" s="41">
        <v>0</v>
      </c>
      <c r="N51" s="82"/>
      <c r="P51">
        <v>2</v>
      </c>
      <c r="Q51" t="s">
        <v>8</v>
      </c>
      <c r="R51">
        <v>9216</v>
      </c>
      <c r="S51">
        <v>128</v>
      </c>
      <c r="T51">
        <v>1</v>
      </c>
      <c r="U51">
        <v>2</v>
      </c>
      <c r="V51">
        <v>740.23</v>
      </c>
      <c r="W51" s="58">
        <v>0.70513999999999999</v>
      </c>
      <c r="X51" s="57">
        <v>45474</v>
      </c>
      <c r="Y51" s="30">
        <v>0.47857638888888887</v>
      </c>
      <c r="Z51">
        <v>0</v>
      </c>
      <c r="AA51">
        <v>0</v>
      </c>
      <c r="AB51">
        <v>0</v>
      </c>
      <c r="AC51" s="83"/>
    </row>
    <row r="52" spans="1:29" x14ac:dyDescent="0.25">
      <c r="A52">
        <v>3</v>
      </c>
      <c r="B52" t="s">
        <v>8</v>
      </c>
      <c r="C52">
        <v>9216</v>
      </c>
      <c r="D52">
        <v>128</v>
      </c>
      <c r="E52">
        <v>1</v>
      </c>
      <c r="F52">
        <v>2</v>
      </c>
      <c r="G52" s="2">
        <v>833.42</v>
      </c>
      <c r="H52" s="58">
        <v>0.62629999999999997</v>
      </c>
      <c r="I52" s="31">
        <v>45474</v>
      </c>
      <c r="J52" s="38">
        <v>0.7091898148148148</v>
      </c>
      <c r="K52" s="41">
        <v>0</v>
      </c>
      <c r="L52" s="41">
        <v>0</v>
      </c>
      <c r="M52" s="41">
        <v>0</v>
      </c>
      <c r="N52" s="82"/>
      <c r="P52">
        <v>3</v>
      </c>
      <c r="Q52" t="s">
        <v>8</v>
      </c>
      <c r="R52">
        <v>9216</v>
      </c>
      <c r="S52">
        <v>128</v>
      </c>
      <c r="T52">
        <v>1</v>
      </c>
      <c r="U52">
        <v>2</v>
      </c>
      <c r="V52">
        <v>741.54</v>
      </c>
      <c r="W52" s="58">
        <v>0.70389999999999997</v>
      </c>
      <c r="X52" s="57">
        <v>45474</v>
      </c>
      <c r="Y52" s="30">
        <v>0.77850694444444446</v>
      </c>
      <c r="Z52">
        <v>0</v>
      </c>
      <c r="AA52">
        <v>0</v>
      </c>
      <c r="AB52">
        <v>0</v>
      </c>
      <c r="AC52" s="83"/>
    </row>
    <row r="53" spans="1:29" x14ac:dyDescent="0.25">
      <c r="A53">
        <v>4</v>
      </c>
      <c r="B53" t="s">
        <v>8</v>
      </c>
      <c r="C53">
        <v>9216</v>
      </c>
      <c r="D53">
        <v>128</v>
      </c>
      <c r="E53">
        <v>1</v>
      </c>
      <c r="F53">
        <v>2</v>
      </c>
      <c r="G53" s="2">
        <v>818.92</v>
      </c>
      <c r="H53" s="58">
        <v>0.63737999999999995</v>
      </c>
      <c r="I53" s="31">
        <v>45474</v>
      </c>
      <c r="J53" s="38">
        <v>0.98703703703703705</v>
      </c>
      <c r="K53" s="41">
        <v>0</v>
      </c>
      <c r="L53" s="41">
        <v>0</v>
      </c>
      <c r="M53" s="41">
        <v>0</v>
      </c>
      <c r="N53" s="82"/>
      <c r="P53">
        <v>4</v>
      </c>
      <c r="Q53" t="s">
        <v>8</v>
      </c>
      <c r="R53">
        <v>9216</v>
      </c>
      <c r="S53">
        <v>128</v>
      </c>
      <c r="T53">
        <v>1</v>
      </c>
      <c r="U53">
        <v>2</v>
      </c>
      <c r="V53">
        <v>742.11</v>
      </c>
      <c r="W53" s="58">
        <v>0.70335000000000003</v>
      </c>
      <c r="X53" s="31">
        <v>45475</v>
      </c>
      <c r="Y53" s="30">
        <v>7.9328703703703707E-2</v>
      </c>
      <c r="Z53">
        <v>0</v>
      </c>
      <c r="AA53">
        <v>0</v>
      </c>
      <c r="AB53">
        <v>0</v>
      </c>
      <c r="AC53" s="83"/>
    </row>
    <row r="54" spans="1:29" x14ac:dyDescent="0.25">
      <c r="A54">
        <v>0</v>
      </c>
      <c r="B54" t="s">
        <v>8</v>
      </c>
      <c r="C54">
        <v>9728</v>
      </c>
      <c r="D54">
        <v>128</v>
      </c>
      <c r="E54">
        <v>1</v>
      </c>
      <c r="F54">
        <v>2</v>
      </c>
      <c r="G54" s="2">
        <v>954.29</v>
      </c>
      <c r="H54" s="58">
        <v>0.64327999999999996</v>
      </c>
      <c r="I54" s="31">
        <v>45473</v>
      </c>
      <c r="J54" s="38">
        <v>0.96008101851851857</v>
      </c>
      <c r="K54" s="41">
        <v>0</v>
      </c>
      <c r="L54" s="41">
        <v>0</v>
      </c>
      <c r="M54" s="41">
        <v>0</v>
      </c>
      <c r="N54" s="82">
        <f>AVERAGE(H54:H58)</f>
        <v>0.63583999999999996</v>
      </c>
      <c r="P54">
        <v>0</v>
      </c>
      <c r="Q54" t="s">
        <v>8</v>
      </c>
      <c r="R54">
        <v>9728</v>
      </c>
      <c r="S54">
        <v>128</v>
      </c>
      <c r="T54">
        <v>1</v>
      </c>
      <c r="U54">
        <v>2</v>
      </c>
      <c r="V54">
        <v>860.91</v>
      </c>
      <c r="W54" s="58">
        <v>0.71304999999999996</v>
      </c>
      <c r="X54" s="57">
        <v>45473</v>
      </c>
      <c r="Y54" s="30">
        <v>0.97130787037037036</v>
      </c>
      <c r="Z54">
        <v>0</v>
      </c>
      <c r="AA54">
        <v>0</v>
      </c>
      <c r="AB54">
        <v>0</v>
      </c>
      <c r="AC54" s="83">
        <f t="shared" ref="AC54" si="9">AVERAGE(W54:W58)</f>
        <v>0.71286399999999994</v>
      </c>
    </row>
    <row r="55" spans="1:29" x14ac:dyDescent="0.25">
      <c r="A55">
        <v>1</v>
      </c>
      <c r="B55" t="s">
        <v>8</v>
      </c>
      <c r="C55">
        <v>9728</v>
      </c>
      <c r="D55">
        <v>128</v>
      </c>
      <c r="E55">
        <v>1</v>
      </c>
      <c r="F55">
        <v>2</v>
      </c>
      <c r="G55" s="2">
        <v>970.43</v>
      </c>
      <c r="H55" s="58">
        <v>0.63258000000000003</v>
      </c>
      <c r="I55" s="31">
        <v>45474</v>
      </c>
      <c r="J55" s="38">
        <v>0.23884259259259261</v>
      </c>
      <c r="K55" s="41">
        <v>0</v>
      </c>
      <c r="L55" s="41">
        <v>0</v>
      </c>
      <c r="M55" s="41">
        <v>0</v>
      </c>
      <c r="N55" s="82"/>
      <c r="P55">
        <v>1</v>
      </c>
      <c r="Q55" t="s">
        <v>8</v>
      </c>
      <c r="R55">
        <v>9728</v>
      </c>
      <c r="S55">
        <v>128</v>
      </c>
      <c r="T55">
        <v>1</v>
      </c>
      <c r="U55">
        <v>2</v>
      </c>
      <c r="V55">
        <v>869.31</v>
      </c>
      <c r="W55" s="58">
        <v>0.70616999999999996</v>
      </c>
      <c r="X55" s="57">
        <v>45474</v>
      </c>
      <c r="Y55" s="30">
        <v>0.27143518518518517</v>
      </c>
      <c r="Z55">
        <v>0</v>
      </c>
      <c r="AA55">
        <v>0</v>
      </c>
      <c r="AB55">
        <v>0</v>
      </c>
      <c r="AC55" s="83"/>
    </row>
    <row r="56" spans="1:29" x14ac:dyDescent="0.25">
      <c r="A56">
        <v>2</v>
      </c>
      <c r="B56" s="31" t="s">
        <v>8</v>
      </c>
      <c r="C56" s="30">
        <v>9728</v>
      </c>
      <c r="D56">
        <v>128</v>
      </c>
      <c r="E56">
        <v>1</v>
      </c>
      <c r="F56">
        <v>2</v>
      </c>
      <c r="G56" s="2">
        <v>969.07</v>
      </c>
      <c r="H56" s="58">
        <v>0.63346999999999998</v>
      </c>
      <c r="I56" s="31">
        <v>45474</v>
      </c>
      <c r="J56" s="38">
        <v>0.51652777777777781</v>
      </c>
      <c r="K56" s="41">
        <v>0</v>
      </c>
      <c r="L56" s="41">
        <v>0</v>
      </c>
      <c r="M56" s="41">
        <v>0</v>
      </c>
      <c r="N56" s="82"/>
      <c r="P56">
        <v>2</v>
      </c>
      <c r="Q56" t="s">
        <v>8</v>
      </c>
      <c r="R56">
        <v>9728</v>
      </c>
      <c r="S56">
        <v>128</v>
      </c>
      <c r="T56">
        <v>1</v>
      </c>
      <c r="U56">
        <v>2</v>
      </c>
      <c r="V56">
        <v>858.15</v>
      </c>
      <c r="W56" s="58">
        <v>0.71535000000000004</v>
      </c>
      <c r="X56" s="31">
        <v>45474</v>
      </c>
      <c r="Y56" s="30">
        <v>0.5717592592592593</v>
      </c>
      <c r="Z56">
        <v>0</v>
      </c>
      <c r="AA56">
        <v>0</v>
      </c>
      <c r="AB56">
        <v>0</v>
      </c>
      <c r="AC56" s="83"/>
    </row>
    <row r="57" spans="1:29" x14ac:dyDescent="0.25">
      <c r="A57">
        <v>3</v>
      </c>
      <c r="B57" t="s">
        <v>8</v>
      </c>
      <c r="C57">
        <v>9728</v>
      </c>
      <c r="D57">
        <v>128</v>
      </c>
      <c r="E57">
        <v>1</v>
      </c>
      <c r="F57">
        <v>2</v>
      </c>
      <c r="G57" s="2">
        <v>969.67</v>
      </c>
      <c r="H57" s="58">
        <v>0.63307999999999998</v>
      </c>
      <c r="I57" s="31">
        <v>45474</v>
      </c>
      <c r="J57" s="38">
        <v>0.79495370370370366</v>
      </c>
      <c r="K57" s="41">
        <v>0</v>
      </c>
      <c r="L57" s="41">
        <v>0</v>
      </c>
      <c r="M57" s="41">
        <v>0</v>
      </c>
      <c r="N57" s="82"/>
      <c r="P57">
        <v>3</v>
      </c>
      <c r="Q57" t="s">
        <v>8</v>
      </c>
      <c r="R57">
        <v>9728</v>
      </c>
      <c r="S57">
        <v>128</v>
      </c>
      <c r="T57">
        <v>1</v>
      </c>
      <c r="U57">
        <v>2</v>
      </c>
      <c r="V57">
        <v>858.17</v>
      </c>
      <c r="W57" s="58">
        <v>0.71533000000000002</v>
      </c>
      <c r="X57" s="57">
        <v>45474</v>
      </c>
      <c r="Y57" s="30">
        <v>0.87181712962962965</v>
      </c>
      <c r="Z57">
        <v>0</v>
      </c>
      <c r="AA57">
        <v>0</v>
      </c>
      <c r="AB57">
        <v>0</v>
      </c>
      <c r="AC57" s="83"/>
    </row>
    <row r="58" spans="1:29" x14ac:dyDescent="0.25">
      <c r="A58">
        <v>4</v>
      </c>
      <c r="B58" t="s">
        <v>8</v>
      </c>
      <c r="C58">
        <v>9728</v>
      </c>
      <c r="D58">
        <v>128</v>
      </c>
      <c r="E58">
        <v>1</v>
      </c>
      <c r="F58">
        <v>2</v>
      </c>
      <c r="G58" s="2">
        <v>964.02</v>
      </c>
      <c r="H58" s="58">
        <v>0.63678999999999997</v>
      </c>
      <c r="I58" s="31">
        <v>45475</v>
      </c>
      <c r="J58" s="38">
        <v>7.3159722222222223E-2</v>
      </c>
      <c r="K58" s="41">
        <v>0</v>
      </c>
      <c r="L58" s="41">
        <v>0</v>
      </c>
      <c r="M58" s="41">
        <v>0</v>
      </c>
      <c r="N58" s="82"/>
      <c r="P58">
        <v>4</v>
      </c>
      <c r="Q58" t="s">
        <v>8</v>
      </c>
      <c r="R58">
        <v>9728</v>
      </c>
      <c r="S58">
        <v>128</v>
      </c>
      <c r="T58">
        <v>1</v>
      </c>
      <c r="U58">
        <v>2</v>
      </c>
      <c r="V58">
        <v>859.26</v>
      </c>
      <c r="W58" s="58">
        <v>0.71442000000000005</v>
      </c>
      <c r="X58" s="57">
        <v>45475</v>
      </c>
      <c r="Y58" s="30">
        <v>0.17249999999999999</v>
      </c>
      <c r="Z58">
        <v>0</v>
      </c>
      <c r="AA58">
        <v>0</v>
      </c>
      <c r="AB58">
        <v>0</v>
      </c>
      <c r="AC58" s="83"/>
    </row>
    <row r="59" spans="1:29" x14ac:dyDescent="0.25">
      <c r="A59">
        <v>0</v>
      </c>
      <c r="B59" t="s">
        <v>8</v>
      </c>
      <c r="C59">
        <v>10240</v>
      </c>
      <c r="D59">
        <v>128</v>
      </c>
      <c r="E59">
        <v>1</v>
      </c>
      <c r="F59">
        <v>2</v>
      </c>
      <c r="G59" s="2">
        <v>1139.8</v>
      </c>
      <c r="H59" s="58">
        <v>0.62817000000000001</v>
      </c>
      <c r="I59" s="31">
        <v>45474</v>
      </c>
      <c r="J59" s="38">
        <v>5.9722222222222225E-2</v>
      </c>
      <c r="K59" s="41">
        <v>0</v>
      </c>
      <c r="L59" s="41">
        <v>0</v>
      </c>
      <c r="M59" s="41">
        <v>0</v>
      </c>
      <c r="N59" s="82">
        <f>AVERAGE(H59:H63)</f>
        <v>0.63469799999999998</v>
      </c>
      <c r="P59">
        <v>0</v>
      </c>
      <c r="Q59" t="s">
        <v>8</v>
      </c>
      <c r="R59">
        <v>10240</v>
      </c>
      <c r="S59">
        <v>128</v>
      </c>
      <c r="T59">
        <v>1</v>
      </c>
      <c r="U59">
        <v>2</v>
      </c>
      <c r="V59">
        <v>1008.53</v>
      </c>
      <c r="W59" s="58">
        <v>0.70992999999999995</v>
      </c>
      <c r="X59" s="31">
        <v>45474</v>
      </c>
      <c r="Y59" s="30">
        <v>7.8032407407407411E-2</v>
      </c>
      <c r="Z59">
        <v>0</v>
      </c>
      <c r="AA59">
        <v>0</v>
      </c>
      <c r="AB59">
        <v>0</v>
      </c>
      <c r="AC59" s="83">
        <f t="shared" ref="AC59" si="10">AVERAGE(W59:W63)</f>
        <v>0.71455999999999997</v>
      </c>
    </row>
    <row r="60" spans="1:29" x14ac:dyDescent="0.25">
      <c r="A60">
        <v>1</v>
      </c>
      <c r="B60" t="s">
        <v>8</v>
      </c>
      <c r="C60">
        <v>10240</v>
      </c>
      <c r="D60">
        <v>128</v>
      </c>
      <c r="E60">
        <v>1</v>
      </c>
      <c r="F60">
        <v>2</v>
      </c>
      <c r="G60" s="2">
        <v>1120.6400000000001</v>
      </c>
      <c r="H60" s="58">
        <v>0.63890999999999998</v>
      </c>
      <c r="I60" s="31">
        <v>45474</v>
      </c>
      <c r="J60" s="38">
        <v>0.33788194444444447</v>
      </c>
      <c r="K60" s="41">
        <v>0</v>
      </c>
      <c r="L60" s="41">
        <v>0</v>
      </c>
      <c r="M60" s="41">
        <v>0</v>
      </c>
      <c r="N60" s="82"/>
      <c r="P60">
        <v>1</v>
      </c>
      <c r="Q60" t="s">
        <v>8</v>
      </c>
      <c r="R60">
        <v>10240</v>
      </c>
      <c r="S60">
        <v>128</v>
      </c>
      <c r="T60">
        <v>1</v>
      </c>
      <c r="U60">
        <v>2</v>
      </c>
      <c r="V60">
        <v>1013.28</v>
      </c>
      <c r="W60" s="58">
        <v>0.70660000000000001</v>
      </c>
      <c r="X60" s="31">
        <v>45474</v>
      </c>
      <c r="Y60" s="30">
        <v>0.37846064814814817</v>
      </c>
      <c r="Z60">
        <v>0</v>
      </c>
      <c r="AA60">
        <v>0</v>
      </c>
      <c r="AB60">
        <v>0</v>
      </c>
      <c r="AC60" s="83"/>
    </row>
    <row r="61" spans="1:29" x14ac:dyDescent="0.25">
      <c r="A61">
        <v>2</v>
      </c>
      <c r="B61" t="s">
        <v>8</v>
      </c>
      <c r="C61">
        <v>10240</v>
      </c>
      <c r="D61">
        <v>128</v>
      </c>
      <c r="E61">
        <v>1</v>
      </c>
      <c r="F61">
        <v>2</v>
      </c>
      <c r="G61" s="2">
        <v>1137.48</v>
      </c>
      <c r="H61" s="58">
        <v>0.62944999999999995</v>
      </c>
      <c r="I61" s="31">
        <v>45474</v>
      </c>
      <c r="J61" s="38">
        <v>0.61578703703703708</v>
      </c>
      <c r="K61" s="41">
        <v>0</v>
      </c>
      <c r="L61" s="41">
        <v>0</v>
      </c>
      <c r="M61" s="41">
        <v>0</v>
      </c>
      <c r="N61" s="82"/>
      <c r="P61">
        <v>2</v>
      </c>
      <c r="Q61" t="s">
        <v>8</v>
      </c>
      <c r="R61">
        <v>10240</v>
      </c>
      <c r="S61">
        <v>128</v>
      </c>
      <c r="T61">
        <v>1</v>
      </c>
      <c r="U61">
        <v>2</v>
      </c>
      <c r="V61">
        <v>992.02</v>
      </c>
      <c r="W61" s="58">
        <v>0.72175</v>
      </c>
      <c r="X61" s="57">
        <v>45474</v>
      </c>
      <c r="Y61" s="30">
        <v>0.67820601851851847</v>
      </c>
      <c r="Z61">
        <v>0</v>
      </c>
      <c r="AA61">
        <v>0</v>
      </c>
      <c r="AB61">
        <v>0</v>
      </c>
      <c r="AC61" s="83"/>
    </row>
    <row r="62" spans="1:29" x14ac:dyDescent="0.25">
      <c r="A62">
        <v>3</v>
      </c>
      <c r="B62" t="s">
        <v>8</v>
      </c>
      <c r="C62">
        <v>10240</v>
      </c>
      <c r="D62">
        <v>128</v>
      </c>
      <c r="E62">
        <v>1</v>
      </c>
      <c r="F62">
        <v>2</v>
      </c>
      <c r="G62" s="2">
        <v>1120.52</v>
      </c>
      <c r="H62" s="58">
        <v>0.63897000000000004</v>
      </c>
      <c r="I62" s="31">
        <v>45474</v>
      </c>
      <c r="J62" s="38">
        <v>0.8939583333333333</v>
      </c>
      <c r="K62" s="41">
        <v>0</v>
      </c>
      <c r="L62" s="41">
        <v>0</v>
      </c>
      <c r="M62" s="41">
        <v>0</v>
      </c>
      <c r="N62" s="82"/>
      <c r="P62">
        <v>3</v>
      </c>
      <c r="Q62" t="s">
        <v>8</v>
      </c>
      <c r="R62">
        <v>10240</v>
      </c>
      <c r="S62">
        <v>128</v>
      </c>
      <c r="T62">
        <v>1</v>
      </c>
      <c r="U62">
        <v>2</v>
      </c>
      <c r="V62">
        <v>999.92</v>
      </c>
      <c r="W62" s="58">
        <v>0.71604999999999996</v>
      </c>
      <c r="X62" s="57">
        <v>45474</v>
      </c>
      <c r="Y62" s="30">
        <v>0.97870370370370374</v>
      </c>
      <c r="Z62">
        <v>0</v>
      </c>
      <c r="AA62">
        <v>0</v>
      </c>
      <c r="AB62">
        <v>0</v>
      </c>
      <c r="AC62" s="83"/>
    </row>
    <row r="63" spans="1:29" x14ac:dyDescent="0.25">
      <c r="A63">
        <v>4</v>
      </c>
      <c r="B63" t="s">
        <v>8</v>
      </c>
      <c r="C63">
        <v>10240</v>
      </c>
      <c r="D63">
        <v>128</v>
      </c>
      <c r="E63">
        <v>1</v>
      </c>
      <c r="F63">
        <v>2</v>
      </c>
      <c r="G63" s="2">
        <v>1122.25</v>
      </c>
      <c r="H63" s="58">
        <v>0.63798999999999995</v>
      </c>
      <c r="I63" s="31">
        <v>45475</v>
      </c>
      <c r="J63" s="38">
        <v>0.1723726851851852</v>
      </c>
      <c r="K63" s="41">
        <v>0</v>
      </c>
      <c r="L63" s="41">
        <v>0</v>
      </c>
      <c r="M63" s="41">
        <v>0</v>
      </c>
      <c r="N63" s="82"/>
      <c r="P63">
        <v>4</v>
      </c>
      <c r="Q63" t="s">
        <v>8</v>
      </c>
      <c r="R63">
        <v>10240</v>
      </c>
      <c r="S63">
        <v>128</v>
      </c>
      <c r="T63">
        <v>1</v>
      </c>
      <c r="U63">
        <v>2</v>
      </c>
      <c r="V63">
        <v>996.53</v>
      </c>
      <c r="W63" s="58">
        <v>0.71847000000000005</v>
      </c>
      <c r="X63" s="31">
        <v>45475</v>
      </c>
      <c r="Y63" s="30">
        <v>0.85581018518518515</v>
      </c>
      <c r="Z63">
        <v>0</v>
      </c>
      <c r="AA63">
        <v>0</v>
      </c>
      <c r="AB63">
        <v>0</v>
      </c>
      <c r="AC63" s="83"/>
    </row>
    <row r="64" spans="1:29" x14ac:dyDescent="0.25">
      <c r="A64">
        <v>0</v>
      </c>
      <c r="B64" t="s">
        <v>8</v>
      </c>
      <c r="C64">
        <v>9120</v>
      </c>
      <c r="D64">
        <v>160</v>
      </c>
      <c r="E64">
        <v>1</v>
      </c>
      <c r="F64">
        <v>2</v>
      </c>
      <c r="G64" s="2">
        <v>774.46</v>
      </c>
      <c r="H64" s="58">
        <v>0.65312999999999999</v>
      </c>
      <c r="I64" s="31">
        <v>45473</v>
      </c>
      <c r="J64" s="38">
        <v>0.88361111111111112</v>
      </c>
      <c r="K64" s="41">
        <v>0</v>
      </c>
      <c r="L64" s="41">
        <v>0</v>
      </c>
      <c r="M64" s="41">
        <v>0</v>
      </c>
      <c r="N64" s="82">
        <f>AVERAGE(H64:H68)</f>
        <v>0.653084</v>
      </c>
      <c r="P64">
        <v>0</v>
      </c>
      <c r="Q64" t="s">
        <v>8</v>
      </c>
      <c r="R64">
        <v>9120</v>
      </c>
      <c r="S64">
        <v>160</v>
      </c>
      <c r="T64">
        <v>1</v>
      </c>
      <c r="U64">
        <v>2</v>
      </c>
      <c r="V64">
        <v>713.68</v>
      </c>
      <c r="W64" s="58">
        <v>0.70875999999999995</v>
      </c>
      <c r="X64" s="31">
        <v>45473</v>
      </c>
      <c r="Y64" s="30">
        <v>0.88854166666666667</v>
      </c>
      <c r="Z64">
        <v>0</v>
      </c>
      <c r="AA64">
        <v>0</v>
      </c>
      <c r="AB64">
        <v>0</v>
      </c>
      <c r="AC64" s="83">
        <f t="shared" ref="AC64" si="11">AVERAGE(W64:W68)</f>
        <v>0.715194</v>
      </c>
    </row>
    <row r="65" spans="1:29" x14ac:dyDescent="0.25">
      <c r="A65">
        <v>1</v>
      </c>
      <c r="B65" t="s">
        <v>8</v>
      </c>
      <c r="C65">
        <v>9120</v>
      </c>
      <c r="D65">
        <v>160</v>
      </c>
      <c r="E65">
        <v>1</v>
      </c>
      <c r="F65">
        <v>2</v>
      </c>
      <c r="G65" s="2">
        <v>774.33</v>
      </c>
      <c r="H65" s="58">
        <v>0.65324000000000004</v>
      </c>
      <c r="I65" s="31">
        <v>45474</v>
      </c>
      <c r="J65" s="38">
        <v>0.16225694444444444</v>
      </c>
      <c r="K65" s="41">
        <v>0</v>
      </c>
      <c r="L65" s="41">
        <v>0</v>
      </c>
      <c r="M65" s="41">
        <v>0</v>
      </c>
      <c r="N65" s="82"/>
      <c r="P65">
        <v>1</v>
      </c>
      <c r="Q65" t="s">
        <v>8</v>
      </c>
      <c r="R65">
        <v>9120</v>
      </c>
      <c r="S65">
        <v>160</v>
      </c>
      <c r="T65">
        <v>1</v>
      </c>
      <c r="U65">
        <v>2</v>
      </c>
      <c r="V65">
        <v>716.54</v>
      </c>
      <c r="W65" s="58">
        <v>0.70592999999999995</v>
      </c>
      <c r="X65" s="31">
        <v>45474</v>
      </c>
      <c r="Y65" s="30">
        <v>0.18866898148148148</v>
      </c>
      <c r="Z65">
        <v>0</v>
      </c>
      <c r="AA65">
        <v>0</v>
      </c>
      <c r="AB65">
        <v>0</v>
      </c>
      <c r="AC65" s="83"/>
    </row>
    <row r="66" spans="1:29" x14ac:dyDescent="0.25">
      <c r="A66">
        <v>2</v>
      </c>
      <c r="B66" t="s">
        <v>8</v>
      </c>
      <c r="C66">
        <v>9120</v>
      </c>
      <c r="D66">
        <v>160</v>
      </c>
      <c r="E66">
        <v>1</v>
      </c>
      <c r="F66">
        <v>2</v>
      </c>
      <c r="G66" s="2">
        <v>774.18</v>
      </c>
      <c r="H66" s="58">
        <v>0.65337000000000001</v>
      </c>
      <c r="I66" s="31">
        <v>45474</v>
      </c>
      <c r="J66" s="38">
        <v>0.44021990740740741</v>
      </c>
      <c r="K66" s="41">
        <v>0</v>
      </c>
      <c r="L66" s="41">
        <v>0</v>
      </c>
      <c r="M66" s="41">
        <v>0</v>
      </c>
      <c r="N66" s="82"/>
      <c r="P66">
        <v>2</v>
      </c>
      <c r="Q66" t="s">
        <v>8</v>
      </c>
      <c r="R66">
        <v>9120</v>
      </c>
      <c r="S66">
        <v>160</v>
      </c>
      <c r="T66">
        <v>1</v>
      </c>
      <c r="U66">
        <v>2</v>
      </c>
      <c r="V66">
        <v>697.96</v>
      </c>
      <c r="W66" s="58">
        <v>0.72472000000000003</v>
      </c>
      <c r="X66" s="57">
        <v>45474</v>
      </c>
      <c r="Y66" s="30">
        <v>0.48913194444444447</v>
      </c>
      <c r="Z66">
        <v>0</v>
      </c>
      <c r="AA66">
        <v>0</v>
      </c>
      <c r="AB66">
        <v>0</v>
      </c>
      <c r="AC66" s="83"/>
    </row>
    <row r="67" spans="1:29" x14ac:dyDescent="0.25">
      <c r="A67">
        <v>3</v>
      </c>
      <c r="B67" t="s">
        <v>8</v>
      </c>
      <c r="C67">
        <v>9120</v>
      </c>
      <c r="D67">
        <v>160</v>
      </c>
      <c r="E67">
        <v>1</v>
      </c>
      <c r="F67">
        <v>2</v>
      </c>
      <c r="G67" s="2">
        <v>774.12</v>
      </c>
      <c r="H67" s="58">
        <v>0.65342</v>
      </c>
      <c r="I67" s="31">
        <v>45474</v>
      </c>
      <c r="J67" s="38">
        <v>0.71857638888888886</v>
      </c>
      <c r="K67" s="41">
        <v>0</v>
      </c>
      <c r="L67" s="41">
        <v>0</v>
      </c>
      <c r="M67" s="41">
        <v>0</v>
      </c>
      <c r="N67" s="82"/>
      <c r="P67">
        <v>3</v>
      </c>
      <c r="Q67" t="s">
        <v>8</v>
      </c>
      <c r="R67">
        <v>9120</v>
      </c>
      <c r="S67">
        <v>160</v>
      </c>
      <c r="T67">
        <v>1</v>
      </c>
      <c r="U67">
        <v>2</v>
      </c>
      <c r="V67">
        <v>712.62</v>
      </c>
      <c r="W67" s="58">
        <v>0.70981000000000005</v>
      </c>
      <c r="X67" s="57">
        <v>45474</v>
      </c>
      <c r="Y67" s="30">
        <v>0.78910879629629627</v>
      </c>
      <c r="Z67">
        <v>0</v>
      </c>
      <c r="AA67">
        <v>0</v>
      </c>
      <c r="AB67">
        <v>0</v>
      </c>
      <c r="AC67" s="83"/>
    </row>
    <row r="68" spans="1:29" x14ac:dyDescent="0.25">
      <c r="A68">
        <v>4</v>
      </c>
      <c r="B68" t="s">
        <v>8</v>
      </c>
      <c r="C68">
        <v>9120</v>
      </c>
      <c r="D68">
        <v>160</v>
      </c>
      <c r="E68">
        <v>1</v>
      </c>
      <c r="F68">
        <v>2</v>
      </c>
      <c r="G68" s="2">
        <v>775.49</v>
      </c>
      <c r="H68" s="58">
        <v>0.65225999999999995</v>
      </c>
      <c r="I68" s="31">
        <v>45474</v>
      </c>
      <c r="J68" s="38">
        <v>0.99643518518518515</v>
      </c>
      <c r="K68" s="41">
        <v>0</v>
      </c>
      <c r="L68" s="41">
        <v>0</v>
      </c>
      <c r="M68" s="41">
        <v>0</v>
      </c>
      <c r="N68" s="82"/>
      <c r="P68">
        <v>4</v>
      </c>
      <c r="Q68" t="s">
        <v>8</v>
      </c>
      <c r="R68">
        <v>9120</v>
      </c>
      <c r="S68">
        <v>160</v>
      </c>
      <c r="T68">
        <v>1</v>
      </c>
      <c r="U68">
        <v>2</v>
      </c>
      <c r="V68">
        <v>696.01</v>
      </c>
      <c r="W68" s="58">
        <v>0.72675000000000001</v>
      </c>
      <c r="X68" s="57">
        <v>45475</v>
      </c>
      <c r="Y68" s="30">
        <v>8.9895833333333328E-2</v>
      </c>
      <c r="Z68">
        <v>0</v>
      </c>
      <c r="AA68">
        <v>0</v>
      </c>
      <c r="AB68">
        <v>0</v>
      </c>
      <c r="AC68" s="83"/>
    </row>
    <row r="69" spans="1:29" x14ac:dyDescent="0.25">
      <c r="A69">
        <v>0</v>
      </c>
      <c r="B69" t="s">
        <v>8</v>
      </c>
      <c r="C69">
        <v>9600</v>
      </c>
      <c r="D69">
        <v>160</v>
      </c>
      <c r="E69">
        <v>1</v>
      </c>
      <c r="F69">
        <v>2</v>
      </c>
      <c r="G69" s="2">
        <v>900</v>
      </c>
      <c r="H69" s="58">
        <v>0.65551000000000004</v>
      </c>
      <c r="I69" s="31">
        <v>45473</v>
      </c>
      <c r="J69" s="38">
        <v>0.97108796296296296</v>
      </c>
      <c r="K69" s="41">
        <v>0</v>
      </c>
      <c r="L69" s="41">
        <v>0</v>
      </c>
      <c r="M69" s="41">
        <v>0</v>
      </c>
      <c r="N69" s="82">
        <f>AVERAGE(H69:H73)</f>
        <v>0.64873800000000004</v>
      </c>
      <c r="P69">
        <v>0</v>
      </c>
      <c r="Q69" t="s">
        <v>8</v>
      </c>
      <c r="R69">
        <v>9600</v>
      </c>
      <c r="S69">
        <v>160</v>
      </c>
      <c r="T69">
        <v>1</v>
      </c>
      <c r="U69">
        <v>2</v>
      </c>
      <c r="V69">
        <v>819.96</v>
      </c>
      <c r="W69" s="58">
        <v>0.71950000000000003</v>
      </c>
      <c r="X69" s="57">
        <v>45473</v>
      </c>
      <c r="Y69" s="30">
        <v>0.98343749999999996</v>
      </c>
      <c r="Z69">
        <v>0</v>
      </c>
      <c r="AA69">
        <v>0</v>
      </c>
      <c r="AB69">
        <v>0</v>
      </c>
      <c r="AC69" s="83">
        <f t="shared" ref="AC69" si="12">AVERAGE(W69:W73)</f>
        <v>0.71828599999999998</v>
      </c>
    </row>
    <row r="70" spans="1:29" x14ac:dyDescent="0.25">
      <c r="A70">
        <v>1</v>
      </c>
      <c r="B70" t="s">
        <v>8</v>
      </c>
      <c r="C70">
        <v>9600</v>
      </c>
      <c r="D70">
        <v>160</v>
      </c>
      <c r="E70">
        <v>1</v>
      </c>
      <c r="F70">
        <v>2</v>
      </c>
      <c r="G70" s="2">
        <v>895.74</v>
      </c>
      <c r="H70" s="58">
        <v>0.65863000000000005</v>
      </c>
      <c r="I70" s="31">
        <v>45474</v>
      </c>
      <c r="J70" s="38">
        <v>0.24981481481481482</v>
      </c>
      <c r="K70" s="41">
        <v>0</v>
      </c>
      <c r="L70" s="41">
        <v>0</v>
      </c>
      <c r="M70" s="41">
        <v>0</v>
      </c>
      <c r="N70" s="82"/>
      <c r="P70">
        <v>1</v>
      </c>
      <c r="Q70" t="s">
        <v>8</v>
      </c>
      <c r="R70">
        <v>9600</v>
      </c>
      <c r="S70">
        <v>160</v>
      </c>
      <c r="T70">
        <v>1</v>
      </c>
      <c r="U70">
        <v>2</v>
      </c>
      <c r="V70">
        <v>821.03</v>
      </c>
      <c r="W70" s="58">
        <v>0.71857000000000004</v>
      </c>
      <c r="X70" s="57">
        <v>45474</v>
      </c>
      <c r="Y70" s="30">
        <v>0.28344907407407405</v>
      </c>
      <c r="Z70">
        <v>0</v>
      </c>
      <c r="AA70">
        <v>0</v>
      </c>
      <c r="AB70">
        <v>0</v>
      </c>
      <c r="AC70" s="83"/>
    </row>
    <row r="71" spans="1:29" x14ac:dyDescent="0.25">
      <c r="A71">
        <v>2</v>
      </c>
      <c r="B71" t="s">
        <v>8</v>
      </c>
      <c r="C71">
        <v>9600</v>
      </c>
      <c r="D71">
        <v>160</v>
      </c>
      <c r="E71">
        <v>1</v>
      </c>
      <c r="F71">
        <v>2</v>
      </c>
      <c r="G71" s="2">
        <v>917.6</v>
      </c>
      <c r="H71" s="58">
        <v>0.64293999999999996</v>
      </c>
      <c r="I71" s="31">
        <v>45474</v>
      </c>
      <c r="J71" s="38">
        <v>0.52761574074074069</v>
      </c>
      <c r="K71" s="41">
        <v>0</v>
      </c>
      <c r="L71" s="41">
        <v>0</v>
      </c>
      <c r="M71" s="41">
        <v>0</v>
      </c>
      <c r="N71" s="82"/>
      <c r="P71">
        <v>2</v>
      </c>
      <c r="Q71" t="s">
        <v>8</v>
      </c>
      <c r="R71">
        <v>9600</v>
      </c>
      <c r="S71">
        <v>160</v>
      </c>
      <c r="T71">
        <v>1</v>
      </c>
      <c r="U71">
        <v>2</v>
      </c>
      <c r="V71">
        <v>820.91</v>
      </c>
      <c r="W71" s="58">
        <v>0.71867000000000003</v>
      </c>
      <c r="X71" s="57">
        <v>45474</v>
      </c>
      <c r="Y71" s="30">
        <v>0.58356481481481481</v>
      </c>
      <c r="Z71">
        <v>0</v>
      </c>
      <c r="AA71">
        <v>0</v>
      </c>
      <c r="AB71">
        <v>0</v>
      </c>
      <c r="AC71" s="83"/>
    </row>
    <row r="72" spans="1:29" x14ac:dyDescent="0.25">
      <c r="A72">
        <v>3</v>
      </c>
      <c r="B72" t="s">
        <v>8</v>
      </c>
      <c r="C72">
        <v>9600</v>
      </c>
      <c r="D72">
        <v>160</v>
      </c>
      <c r="E72">
        <v>1</v>
      </c>
      <c r="F72">
        <v>2</v>
      </c>
      <c r="G72" s="2">
        <v>916.29</v>
      </c>
      <c r="H72" s="58">
        <v>0.64385999999999999</v>
      </c>
      <c r="I72" s="31">
        <v>45474</v>
      </c>
      <c r="J72" s="38">
        <v>0.80603009259259262</v>
      </c>
      <c r="K72" s="41">
        <v>0</v>
      </c>
      <c r="L72" s="41">
        <v>0</v>
      </c>
      <c r="M72" s="41">
        <v>0</v>
      </c>
      <c r="N72" s="82"/>
      <c r="P72">
        <v>3</v>
      </c>
      <c r="Q72" t="s">
        <v>8</v>
      </c>
      <c r="R72">
        <v>9600</v>
      </c>
      <c r="S72">
        <v>160</v>
      </c>
      <c r="T72">
        <v>1</v>
      </c>
      <c r="U72">
        <v>2</v>
      </c>
      <c r="V72">
        <v>823.26</v>
      </c>
      <c r="W72" s="58">
        <v>0.71662000000000003</v>
      </c>
      <c r="X72" s="31">
        <v>45474</v>
      </c>
      <c r="Y72" s="30">
        <v>0.88383101851851853</v>
      </c>
      <c r="Z72">
        <v>0</v>
      </c>
      <c r="AA72">
        <v>0</v>
      </c>
      <c r="AB72">
        <v>0</v>
      </c>
      <c r="AC72" s="83"/>
    </row>
    <row r="73" spans="1:29" x14ac:dyDescent="0.25">
      <c r="A73">
        <v>4</v>
      </c>
      <c r="B73" t="s">
        <v>8</v>
      </c>
      <c r="C73">
        <v>9600</v>
      </c>
      <c r="D73">
        <v>160</v>
      </c>
      <c r="E73">
        <v>1</v>
      </c>
      <c r="F73">
        <v>2</v>
      </c>
      <c r="G73" s="2">
        <v>917.87</v>
      </c>
      <c r="H73" s="58">
        <v>0.64275000000000004</v>
      </c>
      <c r="I73" s="31">
        <v>45475</v>
      </c>
      <c r="J73" s="38">
        <v>8.4247685185185189E-2</v>
      </c>
      <c r="K73" s="41">
        <v>0</v>
      </c>
      <c r="L73" s="41">
        <v>0</v>
      </c>
      <c r="M73" s="41">
        <v>0</v>
      </c>
      <c r="N73" s="82"/>
      <c r="P73">
        <v>4</v>
      </c>
      <c r="Q73" t="s">
        <v>8</v>
      </c>
      <c r="R73">
        <v>9600</v>
      </c>
      <c r="S73">
        <v>160</v>
      </c>
      <c r="T73">
        <v>1</v>
      </c>
      <c r="U73">
        <v>2</v>
      </c>
      <c r="V73">
        <v>821.6</v>
      </c>
      <c r="W73" s="58">
        <v>0.71806999999999999</v>
      </c>
      <c r="X73" s="57">
        <v>45475</v>
      </c>
      <c r="Y73" s="30">
        <v>0.18438657407407408</v>
      </c>
      <c r="Z73">
        <v>0</v>
      </c>
      <c r="AA73">
        <v>0</v>
      </c>
      <c r="AB73">
        <v>0</v>
      </c>
      <c r="AC73" s="83"/>
    </row>
    <row r="74" spans="1:29" x14ac:dyDescent="0.25">
      <c r="A74">
        <v>0</v>
      </c>
      <c r="B74" t="s">
        <v>8</v>
      </c>
      <c r="C74">
        <v>10240</v>
      </c>
      <c r="D74">
        <v>160</v>
      </c>
      <c r="E74">
        <v>1</v>
      </c>
      <c r="F74">
        <v>2</v>
      </c>
      <c r="G74" s="2">
        <v>1133.6500000000001</v>
      </c>
      <c r="H74" s="58">
        <v>0.63156999999999996</v>
      </c>
      <c r="I74" s="31">
        <v>45474</v>
      </c>
      <c r="J74" s="38">
        <v>7.3379629629629628E-2</v>
      </c>
      <c r="K74" s="41">
        <v>0</v>
      </c>
      <c r="L74" s="41">
        <v>0</v>
      </c>
      <c r="M74" s="41">
        <v>0</v>
      </c>
      <c r="N74" s="82">
        <f>AVERAGE(H74:H78)</f>
        <v>0.639598</v>
      </c>
      <c r="P74">
        <v>0</v>
      </c>
      <c r="Q74" t="s">
        <v>8</v>
      </c>
      <c r="R74">
        <v>10240</v>
      </c>
      <c r="S74">
        <v>160</v>
      </c>
      <c r="T74">
        <v>1</v>
      </c>
      <c r="U74">
        <v>2</v>
      </c>
      <c r="V74">
        <v>980.71</v>
      </c>
      <c r="W74" s="58">
        <v>0.73006000000000004</v>
      </c>
      <c r="X74" s="57">
        <v>45474</v>
      </c>
      <c r="Y74" s="30">
        <v>9.2384259259259263E-2</v>
      </c>
      <c r="Z74">
        <v>0</v>
      </c>
      <c r="AA74">
        <v>0</v>
      </c>
      <c r="AB74">
        <v>0</v>
      </c>
      <c r="AC74" s="83">
        <f t="shared" ref="AC74" si="13">AVERAGE(W74:W78)</f>
        <v>0.71787000000000012</v>
      </c>
    </row>
    <row r="75" spans="1:29" x14ac:dyDescent="0.25">
      <c r="A75">
        <v>1</v>
      </c>
      <c r="B75" t="s">
        <v>8</v>
      </c>
      <c r="C75">
        <v>10240</v>
      </c>
      <c r="D75">
        <v>160</v>
      </c>
      <c r="E75">
        <v>1</v>
      </c>
      <c r="F75">
        <v>2</v>
      </c>
      <c r="G75" s="2">
        <v>1114.71</v>
      </c>
      <c r="H75" s="58">
        <v>0.64231000000000005</v>
      </c>
      <c r="I75" s="31">
        <v>45474</v>
      </c>
      <c r="J75" s="38">
        <v>0.35131944444444446</v>
      </c>
      <c r="K75" s="41">
        <v>0</v>
      </c>
      <c r="L75" s="41">
        <v>0</v>
      </c>
      <c r="M75" s="41">
        <v>0</v>
      </c>
      <c r="N75" s="82"/>
      <c r="P75">
        <v>1</v>
      </c>
      <c r="Q75" t="s">
        <v>8</v>
      </c>
      <c r="R75">
        <v>10240</v>
      </c>
      <c r="S75">
        <v>160</v>
      </c>
      <c r="T75">
        <v>1</v>
      </c>
      <c r="U75">
        <v>2</v>
      </c>
      <c r="V75">
        <v>1001.79</v>
      </c>
      <c r="W75" s="58">
        <v>0.71470999999999996</v>
      </c>
      <c r="X75" s="31">
        <v>45474</v>
      </c>
      <c r="Y75" s="30">
        <v>0.3928935185185185</v>
      </c>
      <c r="Z75">
        <v>0</v>
      </c>
      <c r="AA75">
        <v>0</v>
      </c>
      <c r="AB75">
        <v>0</v>
      </c>
      <c r="AC75" s="83"/>
    </row>
    <row r="76" spans="1:29" x14ac:dyDescent="0.25">
      <c r="A76">
        <v>2</v>
      </c>
      <c r="B76" t="s">
        <v>8</v>
      </c>
      <c r="C76">
        <v>10240</v>
      </c>
      <c r="D76">
        <v>160</v>
      </c>
      <c r="E76">
        <v>1</v>
      </c>
      <c r="F76">
        <v>2</v>
      </c>
      <c r="G76" s="2">
        <v>1116.27</v>
      </c>
      <c r="H76" s="58">
        <v>0.64141000000000004</v>
      </c>
      <c r="I76" s="31">
        <v>45474</v>
      </c>
      <c r="J76" s="38">
        <v>0.62923611111111111</v>
      </c>
      <c r="K76" s="41">
        <v>0</v>
      </c>
      <c r="L76" s="41">
        <v>0</v>
      </c>
      <c r="M76" s="41">
        <v>0</v>
      </c>
      <c r="N76" s="82"/>
      <c r="P76">
        <v>2</v>
      </c>
      <c r="Q76" t="s">
        <v>8</v>
      </c>
      <c r="R76">
        <v>10240</v>
      </c>
      <c r="S76">
        <v>160</v>
      </c>
      <c r="T76">
        <v>1</v>
      </c>
      <c r="U76">
        <v>2</v>
      </c>
      <c r="V76">
        <v>1002.94</v>
      </c>
      <c r="W76" s="58">
        <v>0.71387999999999996</v>
      </c>
      <c r="X76" s="57">
        <v>45474</v>
      </c>
      <c r="Y76" s="30">
        <v>0.69262731481481477</v>
      </c>
      <c r="Z76">
        <v>0</v>
      </c>
      <c r="AA76">
        <v>0</v>
      </c>
      <c r="AB76">
        <v>0</v>
      </c>
      <c r="AC76" s="83"/>
    </row>
    <row r="77" spans="1:29" x14ac:dyDescent="0.25">
      <c r="A77">
        <v>3</v>
      </c>
      <c r="B77" t="s">
        <v>8</v>
      </c>
      <c r="C77">
        <v>10240</v>
      </c>
      <c r="D77">
        <v>160</v>
      </c>
      <c r="E77">
        <v>1</v>
      </c>
      <c r="F77">
        <v>2</v>
      </c>
      <c r="G77" s="2">
        <v>1115.51</v>
      </c>
      <c r="H77" s="58">
        <v>0.64183999999999997</v>
      </c>
      <c r="I77" s="31">
        <v>45474</v>
      </c>
      <c r="J77" s="38">
        <v>0.90749999999999997</v>
      </c>
      <c r="K77" s="41">
        <v>0</v>
      </c>
      <c r="L77" s="41">
        <v>0</v>
      </c>
      <c r="M77" s="41">
        <v>0</v>
      </c>
      <c r="N77" s="82"/>
      <c r="P77">
        <v>3</v>
      </c>
      <c r="Q77" t="s">
        <v>8</v>
      </c>
      <c r="R77">
        <v>10240</v>
      </c>
      <c r="S77">
        <v>160</v>
      </c>
      <c r="T77">
        <v>1</v>
      </c>
      <c r="U77">
        <v>2</v>
      </c>
      <c r="V77">
        <v>998.4</v>
      </c>
      <c r="W77" s="58">
        <v>0.71713000000000005</v>
      </c>
      <c r="X77" s="57">
        <v>45474</v>
      </c>
      <c r="Y77" s="30">
        <v>0.99305555555555558</v>
      </c>
      <c r="Z77">
        <v>0</v>
      </c>
      <c r="AA77">
        <v>0</v>
      </c>
      <c r="AB77">
        <v>0</v>
      </c>
      <c r="AC77" s="83"/>
    </row>
    <row r="78" spans="1:29" x14ac:dyDescent="0.25">
      <c r="A78">
        <v>4</v>
      </c>
      <c r="B78" t="s">
        <v>8</v>
      </c>
      <c r="C78">
        <v>10240</v>
      </c>
      <c r="D78">
        <v>160</v>
      </c>
      <c r="E78">
        <v>1</v>
      </c>
      <c r="F78">
        <v>2</v>
      </c>
      <c r="G78" s="2">
        <v>1117.23</v>
      </c>
      <c r="H78" s="58">
        <v>0.64085999999999999</v>
      </c>
      <c r="I78" s="31">
        <v>45475</v>
      </c>
      <c r="J78" s="38">
        <v>0.1859837962962963</v>
      </c>
      <c r="K78" s="41">
        <v>0</v>
      </c>
      <c r="L78" s="41">
        <v>0</v>
      </c>
      <c r="M78" s="41">
        <v>0</v>
      </c>
      <c r="N78" s="82"/>
      <c r="P78">
        <v>4</v>
      </c>
      <c r="Q78" t="s">
        <v>8</v>
      </c>
      <c r="R78">
        <v>10240</v>
      </c>
      <c r="S78">
        <v>160</v>
      </c>
      <c r="T78">
        <v>1</v>
      </c>
      <c r="U78">
        <v>2</v>
      </c>
      <c r="V78">
        <v>1003.39</v>
      </c>
      <c r="W78" s="58">
        <v>0.71357000000000004</v>
      </c>
      <c r="X78" s="57">
        <v>45475</v>
      </c>
      <c r="Y78" s="30">
        <v>0.28193287037037035</v>
      </c>
      <c r="Z78">
        <v>0</v>
      </c>
      <c r="AA78">
        <v>0</v>
      </c>
      <c r="AB78">
        <v>0</v>
      </c>
      <c r="AC78" s="83"/>
    </row>
    <row r="79" spans="1:29" x14ac:dyDescent="0.25">
      <c r="A79">
        <v>0</v>
      </c>
      <c r="B79" t="s">
        <v>8</v>
      </c>
      <c r="C79">
        <v>9216</v>
      </c>
      <c r="D79">
        <v>192</v>
      </c>
      <c r="E79">
        <v>1</v>
      </c>
      <c r="F79">
        <v>2</v>
      </c>
      <c r="G79" s="2">
        <v>814.52</v>
      </c>
      <c r="H79" s="58">
        <v>0.64083000000000001</v>
      </c>
      <c r="I79" s="31">
        <v>45473</v>
      </c>
      <c r="J79" s="38">
        <v>0.89359953703703698</v>
      </c>
      <c r="K79" s="41">
        <v>0</v>
      </c>
      <c r="L79" s="41">
        <v>0</v>
      </c>
      <c r="M79" s="41">
        <v>0</v>
      </c>
      <c r="N79" s="82">
        <f>AVERAGE(H79:H83)</f>
        <v>0.63951599999999997</v>
      </c>
      <c r="P79">
        <v>0</v>
      </c>
      <c r="Q79" t="s">
        <v>8</v>
      </c>
      <c r="R79">
        <v>9216</v>
      </c>
      <c r="S79">
        <v>192</v>
      </c>
      <c r="T79">
        <v>1</v>
      </c>
      <c r="U79">
        <v>2</v>
      </c>
      <c r="V79">
        <v>717.76</v>
      </c>
      <c r="W79" s="58">
        <v>0.72721999999999998</v>
      </c>
      <c r="X79" s="57">
        <v>45473</v>
      </c>
      <c r="Y79" s="30">
        <v>0.89936342592592589</v>
      </c>
      <c r="Z79">
        <v>0</v>
      </c>
      <c r="AA79">
        <v>0</v>
      </c>
      <c r="AB79">
        <v>0</v>
      </c>
      <c r="AC79" s="83">
        <f t="shared" ref="AC79" si="14">AVERAGE(W79:W83)</f>
        <v>0.71471200000000001</v>
      </c>
    </row>
    <row r="80" spans="1:29" x14ac:dyDescent="0.25">
      <c r="A80">
        <v>1</v>
      </c>
      <c r="B80" t="s">
        <v>8</v>
      </c>
      <c r="C80">
        <v>9216</v>
      </c>
      <c r="D80">
        <v>192</v>
      </c>
      <c r="E80">
        <v>1</v>
      </c>
      <c r="F80">
        <v>2</v>
      </c>
      <c r="G80" s="2">
        <v>816.6</v>
      </c>
      <c r="H80" s="58">
        <v>0.63919000000000004</v>
      </c>
      <c r="I80" s="31">
        <v>45474</v>
      </c>
      <c r="J80" s="38">
        <v>0.17226851851851852</v>
      </c>
      <c r="K80" s="41">
        <v>0</v>
      </c>
      <c r="L80" s="41">
        <v>0</v>
      </c>
      <c r="M80" s="41">
        <v>0</v>
      </c>
      <c r="N80" s="82"/>
      <c r="P80">
        <v>1</v>
      </c>
      <c r="Q80" t="s">
        <v>8</v>
      </c>
      <c r="R80">
        <v>9216</v>
      </c>
      <c r="S80">
        <v>192</v>
      </c>
      <c r="T80">
        <v>1</v>
      </c>
      <c r="U80">
        <v>2</v>
      </c>
      <c r="V80">
        <v>726.82</v>
      </c>
      <c r="W80" s="58">
        <v>0.71814999999999996</v>
      </c>
      <c r="X80" s="31">
        <v>45474</v>
      </c>
      <c r="Y80" s="30">
        <v>0.19931712962962964</v>
      </c>
      <c r="Z80">
        <v>0</v>
      </c>
      <c r="AA80">
        <v>0</v>
      </c>
      <c r="AB80">
        <v>0</v>
      </c>
      <c r="AC80" s="83"/>
    </row>
    <row r="81" spans="1:29" x14ac:dyDescent="0.25">
      <c r="A81">
        <v>2</v>
      </c>
      <c r="B81" t="s">
        <v>8</v>
      </c>
      <c r="C81">
        <v>9216</v>
      </c>
      <c r="D81">
        <v>192</v>
      </c>
      <c r="E81">
        <v>1</v>
      </c>
      <c r="F81">
        <v>2</v>
      </c>
      <c r="G81" s="2">
        <v>810.27</v>
      </c>
      <c r="H81" s="58">
        <v>0.64419000000000004</v>
      </c>
      <c r="I81" s="31">
        <v>45474</v>
      </c>
      <c r="J81" s="38">
        <v>0.45002314814814814</v>
      </c>
      <c r="K81" s="41">
        <v>0</v>
      </c>
      <c r="L81" s="41">
        <v>0</v>
      </c>
      <c r="M81" s="41">
        <v>0</v>
      </c>
      <c r="N81" s="82"/>
      <c r="P81">
        <v>2</v>
      </c>
      <c r="Q81" t="s">
        <v>8</v>
      </c>
      <c r="R81">
        <v>9216</v>
      </c>
      <c r="S81">
        <v>192</v>
      </c>
      <c r="T81">
        <v>1</v>
      </c>
      <c r="U81">
        <v>2</v>
      </c>
      <c r="V81">
        <v>736.1</v>
      </c>
      <c r="W81" s="58">
        <v>0.70909999999999995</v>
      </c>
      <c r="X81" s="57">
        <v>45474</v>
      </c>
      <c r="Y81" s="30">
        <v>0.49979166666666669</v>
      </c>
      <c r="Z81">
        <v>0</v>
      </c>
      <c r="AA81">
        <v>0</v>
      </c>
      <c r="AB81">
        <v>0</v>
      </c>
      <c r="AC81" s="83"/>
    </row>
    <row r="82" spans="1:29" x14ac:dyDescent="0.25">
      <c r="A82">
        <v>3</v>
      </c>
      <c r="B82" t="s">
        <v>8</v>
      </c>
      <c r="C82">
        <v>9216</v>
      </c>
      <c r="D82">
        <v>192</v>
      </c>
      <c r="E82">
        <v>1</v>
      </c>
      <c r="F82">
        <v>2</v>
      </c>
      <c r="G82" s="2">
        <v>811.38</v>
      </c>
      <c r="H82" s="58">
        <v>0.64331000000000005</v>
      </c>
      <c r="I82" s="31">
        <v>45474</v>
      </c>
      <c r="J82" s="38">
        <v>0.72840277777777773</v>
      </c>
      <c r="K82" s="41">
        <v>0</v>
      </c>
      <c r="L82" s="41">
        <v>0</v>
      </c>
      <c r="M82" s="41">
        <v>0</v>
      </c>
      <c r="N82" s="82"/>
      <c r="P82">
        <v>3</v>
      </c>
      <c r="Q82" t="s">
        <v>8</v>
      </c>
      <c r="R82">
        <v>9216</v>
      </c>
      <c r="S82">
        <v>192</v>
      </c>
      <c r="T82">
        <v>1</v>
      </c>
      <c r="U82">
        <v>2</v>
      </c>
      <c r="V82">
        <v>734.27</v>
      </c>
      <c r="W82" s="58">
        <v>0.71086000000000005</v>
      </c>
      <c r="X82" s="57">
        <v>45474</v>
      </c>
      <c r="Y82" s="30">
        <v>0.79973379629629626</v>
      </c>
      <c r="Z82">
        <v>0</v>
      </c>
      <c r="AA82">
        <v>0</v>
      </c>
      <c r="AB82">
        <v>0</v>
      </c>
      <c r="AC82" s="83"/>
    </row>
    <row r="83" spans="1:29" x14ac:dyDescent="0.25">
      <c r="A83">
        <v>4</v>
      </c>
      <c r="B83" t="s">
        <v>8</v>
      </c>
      <c r="C83">
        <v>9216</v>
      </c>
      <c r="D83">
        <v>192</v>
      </c>
      <c r="E83">
        <v>1</v>
      </c>
      <c r="F83">
        <v>2</v>
      </c>
      <c r="G83" s="2">
        <v>828.43</v>
      </c>
      <c r="H83" s="58">
        <v>0.63005999999999995</v>
      </c>
      <c r="I83" s="31">
        <v>45475</v>
      </c>
      <c r="J83" s="38">
        <v>6.4583333333333333E-3</v>
      </c>
      <c r="K83" s="41">
        <v>0</v>
      </c>
      <c r="L83" s="41">
        <v>0</v>
      </c>
      <c r="M83" s="41">
        <v>0</v>
      </c>
      <c r="N83" s="82"/>
      <c r="P83">
        <v>4</v>
      </c>
      <c r="Q83" t="s">
        <v>8</v>
      </c>
      <c r="R83">
        <v>9216</v>
      </c>
      <c r="S83">
        <v>192</v>
      </c>
      <c r="T83">
        <v>1</v>
      </c>
      <c r="U83">
        <v>2</v>
      </c>
      <c r="V83">
        <v>737</v>
      </c>
      <c r="W83" s="58">
        <v>0.70823000000000003</v>
      </c>
      <c r="X83" s="57">
        <v>45475</v>
      </c>
      <c r="Y83" s="30">
        <v>0.10055555555555555</v>
      </c>
      <c r="Z83">
        <v>0</v>
      </c>
      <c r="AA83">
        <v>0</v>
      </c>
      <c r="AB83">
        <v>0</v>
      </c>
      <c r="AC83" s="83"/>
    </row>
    <row r="84" spans="1:29" x14ac:dyDescent="0.25">
      <c r="A84">
        <v>0</v>
      </c>
      <c r="B84" t="s">
        <v>8</v>
      </c>
      <c r="C84">
        <v>9600</v>
      </c>
      <c r="D84">
        <v>192</v>
      </c>
      <c r="E84">
        <v>1</v>
      </c>
      <c r="F84">
        <v>2</v>
      </c>
      <c r="G84" s="2">
        <v>892.99</v>
      </c>
      <c r="H84" s="58">
        <v>0.66066000000000003</v>
      </c>
      <c r="I84" s="31">
        <v>45473</v>
      </c>
      <c r="J84" s="38">
        <v>0.98203703703703704</v>
      </c>
      <c r="K84" s="41">
        <v>0</v>
      </c>
      <c r="L84" s="41">
        <v>0</v>
      </c>
      <c r="M84" s="41">
        <v>0</v>
      </c>
      <c r="N84" s="82">
        <f>AVERAGE(H84:H88)</f>
        <v>0.65904000000000007</v>
      </c>
      <c r="P84">
        <v>0</v>
      </c>
      <c r="Q84" t="s">
        <v>8</v>
      </c>
      <c r="R84">
        <v>9600</v>
      </c>
      <c r="S84">
        <v>192</v>
      </c>
      <c r="T84">
        <v>1</v>
      </c>
      <c r="U84">
        <v>2</v>
      </c>
      <c r="V84">
        <v>818.13</v>
      </c>
      <c r="W84" s="58">
        <v>0.72111000000000003</v>
      </c>
      <c r="X84" s="31">
        <v>45473</v>
      </c>
      <c r="Y84" s="30">
        <v>0.9952199074074074</v>
      </c>
      <c r="Z84">
        <v>0</v>
      </c>
      <c r="AA84">
        <v>0</v>
      </c>
      <c r="AB84">
        <v>0</v>
      </c>
      <c r="AC84" s="83">
        <f t="shared" ref="AC84" si="15">AVERAGE(W84:W88)</f>
        <v>0.71927200000000002</v>
      </c>
    </row>
    <row r="85" spans="1:29" x14ac:dyDescent="0.25">
      <c r="A85">
        <v>1</v>
      </c>
      <c r="B85" t="s">
        <v>8</v>
      </c>
      <c r="C85">
        <v>9600</v>
      </c>
      <c r="D85">
        <v>192</v>
      </c>
      <c r="E85">
        <v>1</v>
      </c>
      <c r="F85">
        <v>2</v>
      </c>
      <c r="G85" s="2">
        <v>890.98</v>
      </c>
      <c r="H85" s="58">
        <v>0.66215000000000002</v>
      </c>
      <c r="I85" s="31">
        <v>45474</v>
      </c>
      <c r="J85" s="38">
        <v>0.26064814814814813</v>
      </c>
      <c r="K85" s="41">
        <v>0</v>
      </c>
      <c r="L85" s="41">
        <v>0</v>
      </c>
      <c r="M85" s="41">
        <v>0</v>
      </c>
      <c r="N85" s="82"/>
      <c r="P85">
        <v>1</v>
      </c>
      <c r="Q85" t="s">
        <v>8</v>
      </c>
      <c r="R85">
        <v>9600</v>
      </c>
      <c r="S85">
        <v>192</v>
      </c>
      <c r="T85">
        <v>1</v>
      </c>
      <c r="U85">
        <v>2</v>
      </c>
      <c r="V85">
        <v>820.93</v>
      </c>
      <c r="W85" s="58">
        <v>0.71865000000000001</v>
      </c>
      <c r="X85" s="57">
        <v>45474</v>
      </c>
      <c r="Y85" s="30">
        <v>0.29546296296296298</v>
      </c>
      <c r="Z85">
        <v>0</v>
      </c>
      <c r="AA85">
        <v>0</v>
      </c>
      <c r="AB85">
        <v>0</v>
      </c>
      <c r="AC85" s="83"/>
    </row>
    <row r="86" spans="1:29" x14ac:dyDescent="0.25">
      <c r="A86">
        <v>2</v>
      </c>
      <c r="B86" t="s">
        <v>8</v>
      </c>
      <c r="C86">
        <v>9600</v>
      </c>
      <c r="D86">
        <v>192</v>
      </c>
      <c r="E86">
        <v>1</v>
      </c>
      <c r="F86">
        <v>2</v>
      </c>
      <c r="G86" s="2">
        <v>903.1</v>
      </c>
      <c r="H86" s="58">
        <v>0.65327000000000002</v>
      </c>
      <c r="I86" s="31">
        <v>45474</v>
      </c>
      <c r="J86" s="38">
        <v>0.53863425925925923</v>
      </c>
      <c r="K86" s="41">
        <v>0</v>
      </c>
      <c r="L86" s="41">
        <v>0</v>
      </c>
      <c r="M86" s="41">
        <v>0</v>
      </c>
      <c r="N86" s="82"/>
      <c r="P86">
        <v>2</v>
      </c>
      <c r="Q86" t="s">
        <v>8</v>
      </c>
      <c r="R86">
        <v>9600</v>
      </c>
      <c r="S86">
        <v>192</v>
      </c>
      <c r="T86">
        <v>1</v>
      </c>
      <c r="U86">
        <v>2</v>
      </c>
      <c r="V86">
        <v>819.65</v>
      </c>
      <c r="W86" s="58">
        <v>0.71977999999999998</v>
      </c>
      <c r="X86" s="57">
        <v>45474</v>
      </c>
      <c r="Y86" s="30">
        <v>0.5955555555555555</v>
      </c>
      <c r="Z86">
        <v>0</v>
      </c>
      <c r="AA86">
        <v>0</v>
      </c>
      <c r="AB86">
        <v>0</v>
      </c>
      <c r="AC86" s="83"/>
    </row>
    <row r="87" spans="1:29" x14ac:dyDescent="0.25">
      <c r="A87">
        <v>3</v>
      </c>
      <c r="B87" t="s">
        <v>8</v>
      </c>
      <c r="C87">
        <v>9600</v>
      </c>
      <c r="D87">
        <v>192</v>
      </c>
      <c r="E87">
        <v>1</v>
      </c>
      <c r="F87">
        <v>2</v>
      </c>
      <c r="G87" s="2">
        <v>893.26</v>
      </c>
      <c r="H87" s="58">
        <v>0.66046000000000005</v>
      </c>
      <c r="I87" s="31">
        <v>45474</v>
      </c>
      <c r="J87" s="38">
        <v>0.81682870370370375</v>
      </c>
      <c r="K87" s="41">
        <v>0</v>
      </c>
      <c r="L87" s="41">
        <v>0</v>
      </c>
      <c r="M87" s="41">
        <v>0</v>
      </c>
      <c r="N87" s="82"/>
      <c r="P87">
        <v>3</v>
      </c>
      <c r="Q87" t="s">
        <v>8</v>
      </c>
      <c r="R87">
        <v>9600</v>
      </c>
      <c r="S87">
        <v>192</v>
      </c>
      <c r="T87">
        <v>1</v>
      </c>
      <c r="U87">
        <v>2</v>
      </c>
      <c r="V87">
        <v>821.27</v>
      </c>
      <c r="W87" s="58">
        <v>0.71835000000000004</v>
      </c>
      <c r="X87" s="57">
        <v>45474</v>
      </c>
      <c r="Y87" s="30">
        <v>0.89582175925925922</v>
      </c>
      <c r="Z87">
        <v>0</v>
      </c>
      <c r="AA87">
        <v>0</v>
      </c>
      <c r="AB87">
        <v>0</v>
      </c>
      <c r="AC87" s="83"/>
    </row>
    <row r="88" spans="1:29" x14ac:dyDescent="0.25">
      <c r="A88">
        <v>4</v>
      </c>
      <c r="B88" t="s">
        <v>8</v>
      </c>
      <c r="C88">
        <v>9600</v>
      </c>
      <c r="D88">
        <v>192</v>
      </c>
      <c r="E88">
        <v>1</v>
      </c>
      <c r="F88">
        <v>2</v>
      </c>
      <c r="G88" s="2">
        <v>895.7</v>
      </c>
      <c r="H88" s="58">
        <v>0.65866000000000002</v>
      </c>
      <c r="I88" s="31">
        <v>45475</v>
      </c>
      <c r="J88" s="38">
        <v>9.5081018518518523E-2</v>
      </c>
      <c r="K88" s="41">
        <v>0</v>
      </c>
      <c r="L88" s="41">
        <v>0</v>
      </c>
      <c r="M88" s="41">
        <v>0</v>
      </c>
      <c r="N88" s="82"/>
      <c r="P88">
        <v>4</v>
      </c>
      <c r="Q88" t="s">
        <v>8</v>
      </c>
      <c r="R88">
        <v>9600</v>
      </c>
      <c r="S88">
        <v>192</v>
      </c>
      <c r="T88">
        <v>1</v>
      </c>
      <c r="U88">
        <v>2</v>
      </c>
      <c r="V88">
        <v>821.14</v>
      </c>
      <c r="W88" s="58">
        <v>0.71847000000000005</v>
      </c>
      <c r="X88" s="31">
        <v>45475</v>
      </c>
      <c r="Y88" s="30">
        <v>0.1962962962962963</v>
      </c>
      <c r="Z88">
        <v>0</v>
      </c>
      <c r="AA88">
        <v>0</v>
      </c>
      <c r="AB88">
        <v>0</v>
      </c>
      <c r="AC88" s="83"/>
    </row>
    <row r="89" spans="1:29" x14ac:dyDescent="0.25">
      <c r="A89">
        <v>0</v>
      </c>
      <c r="B89" t="s">
        <v>8</v>
      </c>
      <c r="C89">
        <v>10176</v>
      </c>
      <c r="D89">
        <v>192</v>
      </c>
      <c r="E89">
        <v>1</v>
      </c>
      <c r="F89">
        <v>2</v>
      </c>
      <c r="G89" s="2">
        <v>1063.19</v>
      </c>
      <c r="H89" s="58">
        <v>0.66088000000000002</v>
      </c>
      <c r="I89" s="31">
        <v>45474</v>
      </c>
      <c r="J89" s="38">
        <v>8.6203703703703699E-2</v>
      </c>
      <c r="K89" s="41">
        <v>0</v>
      </c>
      <c r="L89" s="41">
        <v>0</v>
      </c>
      <c r="M89" s="41">
        <v>0</v>
      </c>
      <c r="N89" s="82">
        <f>AVERAGE(H89:H93)</f>
        <v>0.65877200000000002</v>
      </c>
      <c r="P89">
        <v>0</v>
      </c>
      <c r="Q89" t="s">
        <v>8</v>
      </c>
      <c r="R89">
        <v>10176</v>
      </c>
      <c r="S89">
        <v>192</v>
      </c>
      <c r="T89">
        <v>1</v>
      </c>
      <c r="U89">
        <v>2</v>
      </c>
      <c r="V89">
        <v>978.59</v>
      </c>
      <c r="W89" s="58">
        <v>0.71801999999999999</v>
      </c>
      <c r="X89" s="57">
        <v>45474</v>
      </c>
      <c r="Y89" s="30">
        <v>0.10633101851851852</v>
      </c>
      <c r="Z89">
        <v>0</v>
      </c>
      <c r="AA89">
        <v>0</v>
      </c>
      <c r="AB89">
        <v>0</v>
      </c>
      <c r="AC89" s="83">
        <f t="shared" ref="AC89" si="16">AVERAGE(W89:W93)</f>
        <v>0.71656799999999998</v>
      </c>
    </row>
    <row r="90" spans="1:29" x14ac:dyDescent="0.25">
      <c r="A90">
        <v>1</v>
      </c>
      <c r="B90" t="s">
        <v>8</v>
      </c>
      <c r="C90">
        <v>10176</v>
      </c>
      <c r="D90">
        <v>192</v>
      </c>
      <c r="E90">
        <v>1</v>
      </c>
      <c r="F90">
        <v>2</v>
      </c>
      <c r="G90" s="2">
        <v>1061.17</v>
      </c>
      <c r="H90" s="58">
        <v>0.66213999999999995</v>
      </c>
      <c r="I90" s="31">
        <v>45474</v>
      </c>
      <c r="J90" s="38">
        <v>0.3641550925925926</v>
      </c>
      <c r="K90" s="41">
        <v>0</v>
      </c>
      <c r="L90" s="41">
        <v>0</v>
      </c>
      <c r="M90" s="41">
        <v>0</v>
      </c>
      <c r="N90" s="82"/>
      <c r="P90">
        <v>1</v>
      </c>
      <c r="Q90" t="s">
        <v>8</v>
      </c>
      <c r="R90">
        <v>10176</v>
      </c>
      <c r="S90">
        <v>192</v>
      </c>
      <c r="T90">
        <v>1</v>
      </c>
      <c r="U90">
        <v>2</v>
      </c>
      <c r="V90">
        <v>979.13</v>
      </c>
      <c r="W90" s="58">
        <v>0.71762000000000004</v>
      </c>
      <c r="X90" s="57">
        <v>45474</v>
      </c>
      <c r="Y90" s="30">
        <v>0.40684027777777776</v>
      </c>
      <c r="Z90">
        <v>0</v>
      </c>
      <c r="AA90">
        <v>0</v>
      </c>
      <c r="AB90">
        <v>0</v>
      </c>
      <c r="AC90" s="83"/>
    </row>
    <row r="91" spans="1:29" x14ac:dyDescent="0.25">
      <c r="A91">
        <v>2</v>
      </c>
      <c r="B91" t="s">
        <v>8</v>
      </c>
      <c r="C91">
        <v>10176</v>
      </c>
      <c r="D91">
        <v>192</v>
      </c>
      <c r="E91">
        <v>1</v>
      </c>
      <c r="F91">
        <v>2</v>
      </c>
      <c r="G91" s="2">
        <v>1081.42</v>
      </c>
      <c r="H91" s="58">
        <v>0.64973999999999998</v>
      </c>
      <c r="I91" s="31">
        <v>45474</v>
      </c>
      <c r="J91" s="38">
        <v>0.64228009259259256</v>
      </c>
      <c r="K91" s="41">
        <v>0</v>
      </c>
      <c r="L91" s="41">
        <v>0</v>
      </c>
      <c r="M91" s="41">
        <v>0</v>
      </c>
      <c r="N91" s="82"/>
      <c r="P91">
        <v>2</v>
      </c>
      <c r="Q91" t="s">
        <v>8</v>
      </c>
      <c r="R91">
        <v>10176</v>
      </c>
      <c r="S91">
        <v>192</v>
      </c>
      <c r="T91">
        <v>1</v>
      </c>
      <c r="U91">
        <v>2</v>
      </c>
      <c r="V91">
        <v>979</v>
      </c>
      <c r="W91" s="58">
        <v>0.71770999999999996</v>
      </c>
      <c r="X91" s="31">
        <v>45474</v>
      </c>
      <c r="Y91" s="30">
        <v>0.70656249999999998</v>
      </c>
      <c r="Z91">
        <v>0</v>
      </c>
      <c r="AA91">
        <v>0</v>
      </c>
      <c r="AB91">
        <v>0</v>
      </c>
      <c r="AC91" s="83"/>
    </row>
    <row r="92" spans="1:29" x14ac:dyDescent="0.25">
      <c r="A92">
        <v>3</v>
      </c>
      <c r="B92" t="s">
        <v>8</v>
      </c>
      <c r="C92">
        <v>10176</v>
      </c>
      <c r="D92">
        <v>192</v>
      </c>
      <c r="E92">
        <v>1</v>
      </c>
      <c r="F92">
        <v>2</v>
      </c>
      <c r="G92" s="2">
        <v>1062.6099999999999</v>
      </c>
      <c r="H92" s="58">
        <v>0.66125</v>
      </c>
      <c r="I92" s="31">
        <v>45474</v>
      </c>
      <c r="J92" s="38">
        <v>0.92040509259259262</v>
      </c>
      <c r="K92" s="41">
        <v>0</v>
      </c>
      <c r="L92" s="41">
        <v>0</v>
      </c>
      <c r="M92" s="41">
        <v>0</v>
      </c>
      <c r="N92" s="82"/>
      <c r="P92">
        <v>3</v>
      </c>
      <c r="Q92" t="s">
        <v>8</v>
      </c>
      <c r="R92">
        <v>10176</v>
      </c>
      <c r="S92">
        <v>192</v>
      </c>
      <c r="T92">
        <v>1</v>
      </c>
      <c r="U92">
        <v>2</v>
      </c>
      <c r="V92">
        <v>1008.86</v>
      </c>
      <c r="W92" s="58">
        <v>0.69647000000000003</v>
      </c>
      <c r="X92" s="57">
        <v>45475</v>
      </c>
      <c r="Y92" s="30">
        <v>7.4999999999999997E-3</v>
      </c>
      <c r="Z92">
        <v>0</v>
      </c>
      <c r="AA92">
        <v>0</v>
      </c>
      <c r="AB92">
        <v>0</v>
      </c>
      <c r="AC92" s="83"/>
    </row>
    <row r="93" spans="1:29" x14ac:dyDescent="0.25">
      <c r="A93">
        <v>4</v>
      </c>
      <c r="B93" t="s">
        <v>8</v>
      </c>
      <c r="C93">
        <v>10176</v>
      </c>
      <c r="D93">
        <v>192</v>
      </c>
      <c r="E93">
        <v>1</v>
      </c>
      <c r="F93">
        <v>2</v>
      </c>
      <c r="G93" s="2">
        <v>1064.8599999999999</v>
      </c>
      <c r="H93" s="58">
        <v>0.65985000000000005</v>
      </c>
      <c r="I93" s="31">
        <v>45475</v>
      </c>
      <c r="J93" s="38">
        <v>0.1988425925925926</v>
      </c>
      <c r="K93" s="41">
        <v>0</v>
      </c>
      <c r="L93" s="41">
        <v>0</v>
      </c>
      <c r="M93" s="41">
        <v>0</v>
      </c>
      <c r="N93" s="82"/>
      <c r="P93">
        <v>4</v>
      </c>
      <c r="Q93" t="s">
        <v>8</v>
      </c>
      <c r="R93">
        <v>10176</v>
      </c>
      <c r="S93">
        <v>192</v>
      </c>
      <c r="T93">
        <v>1</v>
      </c>
      <c r="U93">
        <v>2</v>
      </c>
      <c r="V93">
        <v>958.56</v>
      </c>
      <c r="W93" s="58">
        <v>0.73302</v>
      </c>
      <c r="X93" s="57">
        <v>45475</v>
      </c>
      <c r="Y93" s="30">
        <v>0.29600694444444442</v>
      </c>
      <c r="Z93">
        <v>0</v>
      </c>
      <c r="AA93">
        <v>0</v>
      </c>
      <c r="AB93">
        <v>0</v>
      </c>
      <c r="AC93" s="83"/>
    </row>
    <row r="94" spans="1:29" x14ac:dyDescent="0.25">
      <c r="A94">
        <v>0</v>
      </c>
      <c r="B94" t="s">
        <v>8</v>
      </c>
      <c r="C94">
        <v>9184</v>
      </c>
      <c r="D94">
        <v>224</v>
      </c>
      <c r="E94">
        <v>1</v>
      </c>
      <c r="F94">
        <v>2</v>
      </c>
      <c r="G94" s="2">
        <v>784.35</v>
      </c>
      <c r="H94" s="58">
        <v>0.65856999999999999</v>
      </c>
      <c r="I94" s="31">
        <v>45473</v>
      </c>
      <c r="J94" s="38">
        <v>0.90324074074074079</v>
      </c>
      <c r="K94" s="41">
        <v>0</v>
      </c>
      <c r="L94" s="41">
        <v>0</v>
      </c>
      <c r="M94" s="41">
        <v>0</v>
      </c>
      <c r="N94" s="82">
        <f>AVERAGE(H94:H98)</f>
        <v>0.64905799999999991</v>
      </c>
      <c r="P94">
        <v>0</v>
      </c>
      <c r="Q94" t="s">
        <v>8</v>
      </c>
      <c r="R94">
        <v>9184</v>
      </c>
      <c r="S94">
        <v>224</v>
      </c>
      <c r="T94">
        <v>1</v>
      </c>
      <c r="U94">
        <v>2</v>
      </c>
      <c r="V94">
        <v>727.67</v>
      </c>
      <c r="W94" s="58">
        <v>0.70987</v>
      </c>
      <c r="X94" s="57">
        <v>45473</v>
      </c>
      <c r="Y94" s="30">
        <v>0.90995370370370365</v>
      </c>
      <c r="Z94">
        <v>0</v>
      </c>
      <c r="AA94">
        <v>0</v>
      </c>
      <c r="AB94">
        <v>0</v>
      </c>
      <c r="AC94" s="83">
        <f t="shared" ref="AC94" si="17">AVERAGE(W94:W98)</f>
        <v>0.72235000000000005</v>
      </c>
    </row>
    <row r="95" spans="1:29" x14ac:dyDescent="0.25">
      <c r="A95">
        <v>1</v>
      </c>
      <c r="B95" t="s">
        <v>8</v>
      </c>
      <c r="C95">
        <v>9184</v>
      </c>
      <c r="D95">
        <v>224</v>
      </c>
      <c r="E95">
        <v>1</v>
      </c>
      <c r="F95">
        <v>2</v>
      </c>
      <c r="G95" s="2">
        <v>794.81</v>
      </c>
      <c r="H95" s="58">
        <v>0.64990000000000003</v>
      </c>
      <c r="I95" s="31">
        <v>45474</v>
      </c>
      <c r="J95" s="38">
        <v>0.18189814814814814</v>
      </c>
      <c r="K95" s="41">
        <v>0</v>
      </c>
      <c r="L95" s="41">
        <v>0</v>
      </c>
      <c r="M95" s="41">
        <v>0</v>
      </c>
      <c r="N95" s="82"/>
      <c r="P95">
        <v>1</v>
      </c>
      <c r="Q95" t="s">
        <v>8</v>
      </c>
      <c r="R95">
        <v>9184</v>
      </c>
      <c r="S95">
        <v>224</v>
      </c>
      <c r="T95">
        <v>1</v>
      </c>
      <c r="U95">
        <v>2</v>
      </c>
      <c r="V95">
        <v>705.12</v>
      </c>
      <c r="W95" s="58">
        <v>0.73257000000000005</v>
      </c>
      <c r="X95" s="57">
        <v>45474</v>
      </c>
      <c r="Y95" s="30">
        <v>0.21002314814814815</v>
      </c>
      <c r="Z95">
        <v>0</v>
      </c>
      <c r="AA95">
        <v>0</v>
      </c>
      <c r="AB95">
        <v>0</v>
      </c>
      <c r="AC95" s="83"/>
    </row>
    <row r="96" spans="1:29" x14ac:dyDescent="0.25">
      <c r="A96">
        <v>2</v>
      </c>
      <c r="B96" t="s">
        <v>8</v>
      </c>
      <c r="C96">
        <v>9184</v>
      </c>
      <c r="D96">
        <v>224</v>
      </c>
      <c r="E96">
        <v>1</v>
      </c>
      <c r="F96">
        <v>2</v>
      </c>
      <c r="G96" s="2">
        <v>809.59</v>
      </c>
      <c r="H96" s="58">
        <v>0.63804000000000005</v>
      </c>
      <c r="I96" s="31">
        <v>45474</v>
      </c>
      <c r="J96" s="38">
        <v>0.4598726851851852</v>
      </c>
      <c r="K96" s="41">
        <v>0</v>
      </c>
      <c r="L96" s="41">
        <v>0</v>
      </c>
      <c r="M96" s="41">
        <v>0</v>
      </c>
      <c r="N96" s="82"/>
      <c r="P96">
        <v>2</v>
      </c>
      <c r="Q96" t="s">
        <v>8</v>
      </c>
      <c r="R96">
        <v>9184</v>
      </c>
      <c r="S96">
        <v>224</v>
      </c>
      <c r="T96">
        <v>1</v>
      </c>
      <c r="U96">
        <v>2</v>
      </c>
      <c r="V96">
        <v>721.45</v>
      </c>
      <c r="W96" s="58">
        <v>0.71599000000000002</v>
      </c>
      <c r="X96" s="31">
        <v>45474</v>
      </c>
      <c r="Y96" s="30">
        <v>0.51052083333333331</v>
      </c>
      <c r="Z96">
        <v>0</v>
      </c>
      <c r="AA96">
        <v>0</v>
      </c>
      <c r="AB96">
        <v>0</v>
      </c>
      <c r="AC96" s="83"/>
    </row>
    <row r="97" spans="1:29" x14ac:dyDescent="0.25">
      <c r="A97">
        <v>3</v>
      </c>
      <c r="B97" t="s">
        <v>8</v>
      </c>
      <c r="C97">
        <v>9184</v>
      </c>
      <c r="D97">
        <v>224</v>
      </c>
      <c r="E97">
        <v>1</v>
      </c>
      <c r="F97">
        <v>2</v>
      </c>
      <c r="G97" s="2">
        <v>795.5</v>
      </c>
      <c r="H97" s="58">
        <v>0.64934000000000003</v>
      </c>
      <c r="I97" s="31">
        <v>45474</v>
      </c>
      <c r="J97" s="38">
        <v>0.73804398148148154</v>
      </c>
      <c r="K97" s="41">
        <v>0</v>
      </c>
      <c r="L97" s="41">
        <v>0</v>
      </c>
      <c r="M97" s="41">
        <v>0</v>
      </c>
      <c r="N97" s="82"/>
      <c r="P97">
        <v>3</v>
      </c>
      <c r="Q97" t="s">
        <v>8</v>
      </c>
      <c r="R97">
        <v>9184</v>
      </c>
      <c r="S97">
        <v>224</v>
      </c>
      <c r="T97">
        <v>1</v>
      </c>
      <c r="U97">
        <v>2</v>
      </c>
      <c r="V97">
        <v>707.14</v>
      </c>
      <c r="W97" s="58">
        <v>0.73048000000000002</v>
      </c>
      <c r="X97" s="57">
        <v>45474</v>
      </c>
      <c r="Y97" s="30">
        <v>0.81041666666666667</v>
      </c>
      <c r="Z97">
        <v>0</v>
      </c>
      <c r="AA97">
        <v>0</v>
      </c>
      <c r="AB97">
        <v>0</v>
      </c>
      <c r="AC97" s="83"/>
    </row>
    <row r="98" spans="1:29" x14ac:dyDescent="0.25">
      <c r="A98">
        <v>4</v>
      </c>
      <c r="B98" t="s">
        <v>8</v>
      </c>
      <c r="C98">
        <v>9184</v>
      </c>
      <c r="D98">
        <v>224</v>
      </c>
      <c r="E98">
        <v>1</v>
      </c>
      <c r="F98">
        <v>2</v>
      </c>
      <c r="G98" s="2">
        <v>795.38</v>
      </c>
      <c r="H98" s="58">
        <v>0.64944000000000002</v>
      </c>
      <c r="I98" s="31">
        <v>45475</v>
      </c>
      <c r="J98" s="38">
        <v>1.6099537037037037E-2</v>
      </c>
      <c r="K98" s="41">
        <v>0</v>
      </c>
      <c r="L98" s="41">
        <v>0</v>
      </c>
      <c r="M98" s="41">
        <v>0</v>
      </c>
      <c r="N98" s="82"/>
      <c r="P98">
        <v>4</v>
      </c>
      <c r="Q98" t="s">
        <v>8</v>
      </c>
      <c r="R98">
        <v>9184</v>
      </c>
      <c r="S98">
        <v>224</v>
      </c>
      <c r="T98">
        <v>1</v>
      </c>
      <c r="U98">
        <v>2</v>
      </c>
      <c r="V98">
        <v>714.61</v>
      </c>
      <c r="W98" s="58">
        <v>0.72284000000000004</v>
      </c>
      <c r="X98" s="57">
        <v>45475</v>
      </c>
      <c r="Y98" s="30">
        <v>0.11113425925925927</v>
      </c>
      <c r="Z98">
        <v>0</v>
      </c>
      <c r="AA98">
        <v>0</v>
      </c>
      <c r="AB98">
        <v>0</v>
      </c>
      <c r="AC98" s="83"/>
    </row>
    <row r="99" spans="1:29" x14ac:dyDescent="0.25">
      <c r="A99">
        <v>0</v>
      </c>
      <c r="B99" t="s">
        <v>8</v>
      </c>
      <c r="C99">
        <v>9632</v>
      </c>
      <c r="D99">
        <v>224</v>
      </c>
      <c r="E99">
        <v>1</v>
      </c>
      <c r="F99">
        <v>2</v>
      </c>
      <c r="G99" s="2">
        <v>907.92</v>
      </c>
      <c r="H99" s="58">
        <v>0.65630999999999995</v>
      </c>
      <c r="I99" s="31">
        <v>45473</v>
      </c>
      <c r="J99" s="38">
        <v>0.99307870370370366</v>
      </c>
      <c r="K99" s="41">
        <v>0</v>
      </c>
      <c r="L99" s="41">
        <v>0</v>
      </c>
      <c r="M99" s="41">
        <v>0</v>
      </c>
      <c r="N99" s="82">
        <f>AVERAGE(H99:H103)</f>
        <v>0.65214399999999995</v>
      </c>
      <c r="P99">
        <v>0</v>
      </c>
      <c r="Q99" t="s">
        <v>8</v>
      </c>
      <c r="R99">
        <v>9632</v>
      </c>
      <c r="S99">
        <v>224</v>
      </c>
      <c r="T99">
        <v>1</v>
      </c>
      <c r="U99">
        <v>2</v>
      </c>
      <c r="V99">
        <v>848.9</v>
      </c>
      <c r="W99" s="58">
        <v>0.70194999999999996</v>
      </c>
      <c r="X99" s="31">
        <v>45474</v>
      </c>
      <c r="Y99" s="30">
        <v>7.6157407407407406E-3</v>
      </c>
      <c r="Z99">
        <v>0</v>
      </c>
      <c r="AA99">
        <v>0</v>
      </c>
      <c r="AB99">
        <v>0</v>
      </c>
      <c r="AC99" s="83">
        <f t="shared" ref="AC99" si="18">AVERAGE(W99:W103)</f>
        <v>0.71823199999999998</v>
      </c>
    </row>
    <row r="100" spans="1:29" x14ac:dyDescent="0.25">
      <c r="A100">
        <v>1</v>
      </c>
      <c r="B100" t="s">
        <v>8</v>
      </c>
      <c r="C100">
        <v>9632</v>
      </c>
      <c r="D100">
        <v>224</v>
      </c>
      <c r="E100">
        <v>1</v>
      </c>
      <c r="F100">
        <v>2</v>
      </c>
      <c r="G100" s="2">
        <v>912.58</v>
      </c>
      <c r="H100" s="58">
        <v>0.65295999999999998</v>
      </c>
      <c r="I100" s="31">
        <v>45474</v>
      </c>
      <c r="J100" s="38">
        <v>0.27184027777777775</v>
      </c>
      <c r="K100" s="41">
        <v>0</v>
      </c>
      <c r="L100" s="41">
        <v>0</v>
      </c>
      <c r="M100" s="41">
        <v>0</v>
      </c>
      <c r="N100" s="82"/>
      <c r="P100">
        <v>1</v>
      </c>
      <c r="Q100" t="s">
        <v>8</v>
      </c>
      <c r="R100">
        <v>9632</v>
      </c>
      <c r="S100">
        <v>224</v>
      </c>
      <c r="T100">
        <v>1</v>
      </c>
      <c r="U100">
        <v>2</v>
      </c>
      <c r="V100">
        <v>824.21</v>
      </c>
      <c r="W100" s="58">
        <v>0.72297999999999996</v>
      </c>
      <c r="X100" s="57">
        <v>45474</v>
      </c>
      <c r="Y100" s="30">
        <v>0.30756944444444445</v>
      </c>
      <c r="Z100">
        <v>0</v>
      </c>
      <c r="AA100">
        <v>0</v>
      </c>
      <c r="AB100">
        <v>0</v>
      </c>
      <c r="AC100" s="83"/>
    </row>
    <row r="101" spans="1:29" x14ac:dyDescent="0.25">
      <c r="A101">
        <v>2</v>
      </c>
      <c r="B101" t="s">
        <v>8</v>
      </c>
      <c r="C101">
        <v>9632</v>
      </c>
      <c r="D101">
        <v>224</v>
      </c>
      <c r="E101">
        <v>1</v>
      </c>
      <c r="F101">
        <v>2</v>
      </c>
      <c r="G101" s="2">
        <v>906.61</v>
      </c>
      <c r="H101" s="58">
        <v>0.65725999999999996</v>
      </c>
      <c r="I101" s="31">
        <v>45474</v>
      </c>
      <c r="J101" s="38">
        <v>0.5496064814814815</v>
      </c>
      <c r="K101" s="41">
        <v>0</v>
      </c>
      <c r="L101" s="41">
        <v>0</v>
      </c>
      <c r="M101" s="41">
        <v>0</v>
      </c>
      <c r="N101" s="82"/>
      <c r="P101">
        <v>2</v>
      </c>
      <c r="Q101" t="s">
        <v>8</v>
      </c>
      <c r="R101">
        <v>9632</v>
      </c>
      <c r="S101">
        <v>224</v>
      </c>
      <c r="T101">
        <v>1</v>
      </c>
      <c r="U101">
        <v>2</v>
      </c>
      <c r="V101">
        <v>824.56</v>
      </c>
      <c r="W101" s="58">
        <v>0.72265999999999997</v>
      </c>
      <c r="X101" s="57">
        <v>45474</v>
      </c>
      <c r="Y101" s="30">
        <v>0.60765046296296299</v>
      </c>
      <c r="Z101">
        <v>0</v>
      </c>
      <c r="AA101">
        <v>0</v>
      </c>
      <c r="AB101">
        <v>0</v>
      </c>
      <c r="AC101" s="83"/>
    </row>
    <row r="102" spans="1:29" x14ac:dyDescent="0.25">
      <c r="A102">
        <v>3</v>
      </c>
      <c r="B102" t="s">
        <v>8</v>
      </c>
      <c r="C102">
        <v>9632</v>
      </c>
      <c r="D102">
        <v>224</v>
      </c>
      <c r="E102">
        <v>1</v>
      </c>
      <c r="F102">
        <v>2</v>
      </c>
      <c r="G102" s="2">
        <v>916.73</v>
      </c>
      <c r="H102" s="58">
        <v>0.65000999999999998</v>
      </c>
      <c r="I102" s="31">
        <v>45474</v>
      </c>
      <c r="J102" s="38">
        <v>0.82799768518518524</v>
      </c>
      <c r="K102" s="41">
        <v>0</v>
      </c>
      <c r="L102" s="41">
        <v>0</v>
      </c>
      <c r="M102" s="41">
        <v>0</v>
      </c>
      <c r="N102" s="82"/>
      <c r="P102">
        <v>3</v>
      </c>
      <c r="Q102" t="s">
        <v>8</v>
      </c>
      <c r="R102">
        <v>9632</v>
      </c>
      <c r="S102">
        <v>224</v>
      </c>
      <c r="T102">
        <v>1</v>
      </c>
      <c r="U102">
        <v>2</v>
      </c>
      <c r="V102">
        <v>825.22</v>
      </c>
      <c r="W102" s="58">
        <v>0.72209000000000001</v>
      </c>
      <c r="X102" s="57">
        <v>45474</v>
      </c>
      <c r="Y102" s="30">
        <v>0.90792824074074074</v>
      </c>
      <c r="Z102">
        <v>0</v>
      </c>
      <c r="AA102">
        <v>0</v>
      </c>
      <c r="AB102">
        <v>0</v>
      </c>
      <c r="AC102" s="83"/>
    </row>
    <row r="103" spans="1:29" x14ac:dyDescent="0.25">
      <c r="A103">
        <v>4</v>
      </c>
      <c r="B103" t="s">
        <v>8</v>
      </c>
      <c r="C103">
        <v>9632</v>
      </c>
      <c r="D103">
        <v>224</v>
      </c>
      <c r="E103">
        <v>1</v>
      </c>
      <c r="F103">
        <v>2</v>
      </c>
      <c r="G103" s="2">
        <v>925.02</v>
      </c>
      <c r="H103" s="58">
        <v>0.64417999999999997</v>
      </c>
      <c r="I103" s="31">
        <v>45475</v>
      </c>
      <c r="J103" s="38">
        <v>0.10626157407407408</v>
      </c>
      <c r="K103" s="41">
        <v>0</v>
      </c>
      <c r="L103" s="41">
        <v>0</v>
      </c>
      <c r="M103" s="41">
        <v>0</v>
      </c>
      <c r="N103" s="82"/>
      <c r="P103">
        <v>4</v>
      </c>
      <c r="Q103" t="s">
        <v>8</v>
      </c>
      <c r="R103">
        <v>9632</v>
      </c>
      <c r="S103">
        <v>224</v>
      </c>
      <c r="T103">
        <v>1</v>
      </c>
      <c r="U103">
        <v>2</v>
      </c>
      <c r="V103">
        <v>825.91</v>
      </c>
      <c r="W103" s="58">
        <v>0.72148000000000001</v>
      </c>
      <c r="X103" s="57">
        <v>45475</v>
      </c>
      <c r="Y103" s="30">
        <v>0.20840277777777777</v>
      </c>
      <c r="Z103">
        <v>0</v>
      </c>
      <c r="AA103">
        <v>0</v>
      </c>
      <c r="AB103">
        <v>0</v>
      </c>
      <c r="AC103" s="83"/>
    </row>
    <row r="104" spans="1:29" x14ac:dyDescent="0.25">
      <c r="A104">
        <v>0</v>
      </c>
      <c r="B104" t="s">
        <v>8</v>
      </c>
      <c r="C104">
        <v>10080</v>
      </c>
      <c r="D104">
        <v>224</v>
      </c>
      <c r="E104">
        <v>1</v>
      </c>
      <c r="F104">
        <v>2</v>
      </c>
      <c r="G104" s="2">
        <v>1047.6400000000001</v>
      </c>
      <c r="H104" s="58">
        <v>0.65188999999999997</v>
      </c>
      <c r="I104" s="31">
        <v>45474</v>
      </c>
      <c r="J104" s="38">
        <v>9.8854166666666674E-2</v>
      </c>
      <c r="K104" s="41">
        <v>0</v>
      </c>
      <c r="L104" s="41">
        <v>0</v>
      </c>
      <c r="M104" s="41">
        <v>0</v>
      </c>
      <c r="N104" s="82">
        <f>AVERAGE(H104:H108)</f>
        <v>0.65258000000000005</v>
      </c>
      <c r="P104">
        <v>0</v>
      </c>
      <c r="Q104" t="s">
        <v>8</v>
      </c>
      <c r="R104">
        <v>10080</v>
      </c>
      <c r="S104">
        <v>224</v>
      </c>
      <c r="T104">
        <v>1</v>
      </c>
      <c r="U104">
        <v>2</v>
      </c>
      <c r="V104">
        <v>955.24</v>
      </c>
      <c r="W104" s="58">
        <v>0.71494999999999997</v>
      </c>
      <c r="X104" s="57">
        <v>45474</v>
      </c>
      <c r="Y104" s="30">
        <v>0.12017361111111111</v>
      </c>
      <c r="Z104">
        <v>0</v>
      </c>
      <c r="AA104">
        <v>0</v>
      </c>
      <c r="AB104">
        <v>0</v>
      </c>
      <c r="AC104" s="83">
        <f t="shared" ref="AC104" si="19">AVERAGE(W104:W108)</f>
        <v>0.72249799999999997</v>
      </c>
    </row>
    <row r="105" spans="1:29" x14ac:dyDescent="0.25">
      <c r="A105">
        <v>1</v>
      </c>
      <c r="B105" t="s">
        <v>8</v>
      </c>
      <c r="C105">
        <v>10080</v>
      </c>
      <c r="D105">
        <v>224</v>
      </c>
      <c r="E105">
        <v>1</v>
      </c>
      <c r="F105">
        <v>2</v>
      </c>
      <c r="G105" s="2">
        <v>1044.82</v>
      </c>
      <c r="H105" s="58">
        <v>0.65364999999999995</v>
      </c>
      <c r="I105" s="31">
        <v>45474</v>
      </c>
      <c r="J105" s="38">
        <v>0.37677083333333333</v>
      </c>
      <c r="K105" s="41">
        <v>0</v>
      </c>
      <c r="L105" s="41">
        <v>0</v>
      </c>
      <c r="M105" s="41">
        <v>0</v>
      </c>
      <c r="N105" s="82"/>
      <c r="P105">
        <v>1</v>
      </c>
      <c r="Q105" t="s">
        <v>8</v>
      </c>
      <c r="R105">
        <v>10080</v>
      </c>
      <c r="S105">
        <v>224</v>
      </c>
      <c r="T105">
        <v>1</v>
      </c>
      <c r="U105">
        <v>2</v>
      </c>
      <c r="V105">
        <v>930.15</v>
      </c>
      <c r="W105" s="58">
        <v>0.73424</v>
      </c>
      <c r="X105" s="57">
        <v>45474</v>
      </c>
      <c r="Y105" s="30">
        <v>0.42056712962962961</v>
      </c>
      <c r="Z105">
        <v>0</v>
      </c>
      <c r="AA105">
        <v>0</v>
      </c>
      <c r="AB105">
        <v>0</v>
      </c>
      <c r="AC105" s="83"/>
    </row>
    <row r="106" spans="1:29" x14ac:dyDescent="0.25">
      <c r="A106">
        <v>2</v>
      </c>
      <c r="B106" t="s">
        <v>8</v>
      </c>
      <c r="C106">
        <v>10080</v>
      </c>
      <c r="D106">
        <v>224</v>
      </c>
      <c r="E106">
        <v>1</v>
      </c>
      <c r="F106">
        <v>2</v>
      </c>
      <c r="G106" s="2">
        <v>1047.98</v>
      </c>
      <c r="H106" s="58">
        <v>0.65168000000000004</v>
      </c>
      <c r="I106" s="31">
        <v>45474</v>
      </c>
      <c r="J106" s="38">
        <v>0.65493055555555557</v>
      </c>
      <c r="K106" s="41">
        <v>0</v>
      </c>
      <c r="L106" s="41">
        <v>0</v>
      </c>
      <c r="M106" s="41">
        <v>0</v>
      </c>
      <c r="N106" s="82"/>
      <c r="P106">
        <v>2</v>
      </c>
      <c r="Q106" t="s">
        <v>8</v>
      </c>
      <c r="R106">
        <v>10080</v>
      </c>
      <c r="S106">
        <v>224</v>
      </c>
      <c r="T106">
        <v>1</v>
      </c>
      <c r="U106">
        <v>2</v>
      </c>
      <c r="V106">
        <v>934.03</v>
      </c>
      <c r="W106" s="58">
        <v>0.73118000000000005</v>
      </c>
      <c r="X106" s="57">
        <v>45474</v>
      </c>
      <c r="Y106" s="30">
        <v>0.72032407407407406</v>
      </c>
      <c r="Z106">
        <v>0</v>
      </c>
      <c r="AA106">
        <v>0</v>
      </c>
      <c r="AB106">
        <v>0</v>
      </c>
      <c r="AC106" s="83"/>
    </row>
    <row r="107" spans="1:29" x14ac:dyDescent="0.25">
      <c r="A107">
        <v>3</v>
      </c>
      <c r="B107" t="s">
        <v>8</v>
      </c>
      <c r="C107">
        <v>10080</v>
      </c>
      <c r="D107">
        <v>224</v>
      </c>
      <c r="E107">
        <v>1</v>
      </c>
      <c r="F107">
        <v>2</v>
      </c>
      <c r="G107" s="2">
        <v>1045.3499999999999</v>
      </c>
      <c r="H107" s="58">
        <v>0.65332000000000001</v>
      </c>
      <c r="I107" s="31">
        <v>45474</v>
      </c>
      <c r="J107" s="38">
        <v>0.93303240740740745</v>
      </c>
      <c r="K107" s="41">
        <v>0</v>
      </c>
      <c r="L107" s="41">
        <v>0</v>
      </c>
      <c r="M107" s="41">
        <v>0</v>
      </c>
      <c r="N107" s="82"/>
      <c r="P107">
        <v>3</v>
      </c>
      <c r="Q107" t="s">
        <v>8</v>
      </c>
      <c r="R107">
        <v>10080</v>
      </c>
      <c r="S107">
        <v>224</v>
      </c>
      <c r="T107">
        <v>1</v>
      </c>
      <c r="U107">
        <v>2</v>
      </c>
      <c r="V107">
        <v>956.06</v>
      </c>
      <c r="W107" s="58">
        <v>0.71433999999999997</v>
      </c>
      <c r="X107" s="31">
        <v>45475</v>
      </c>
      <c r="Y107" s="30">
        <v>2.1157407407407406E-2</v>
      </c>
      <c r="Z107">
        <v>0</v>
      </c>
      <c r="AA107">
        <v>0</v>
      </c>
      <c r="AB107">
        <v>0</v>
      </c>
      <c r="AC107" s="83"/>
    </row>
    <row r="108" spans="1:29" x14ac:dyDescent="0.25">
      <c r="A108">
        <v>4</v>
      </c>
      <c r="B108" t="s">
        <v>8</v>
      </c>
      <c r="C108">
        <v>10080</v>
      </c>
      <c r="D108">
        <v>224</v>
      </c>
      <c r="E108">
        <v>1</v>
      </c>
      <c r="F108">
        <v>2</v>
      </c>
      <c r="G108" s="2">
        <v>1046.8800000000001</v>
      </c>
      <c r="H108" s="58">
        <v>0.65236000000000005</v>
      </c>
      <c r="I108" s="31">
        <v>45475</v>
      </c>
      <c r="J108" s="38">
        <v>0.21148148148148149</v>
      </c>
      <c r="K108" s="41">
        <v>0</v>
      </c>
      <c r="L108" s="41">
        <v>0</v>
      </c>
      <c r="M108" s="41">
        <v>0</v>
      </c>
      <c r="N108" s="82"/>
      <c r="P108">
        <v>4</v>
      </c>
      <c r="Q108" t="s">
        <v>8</v>
      </c>
      <c r="R108">
        <v>10080</v>
      </c>
      <c r="S108">
        <v>224</v>
      </c>
      <c r="T108">
        <v>1</v>
      </c>
      <c r="U108">
        <v>2</v>
      </c>
      <c r="V108">
        <v>951.47</v>
      </c>
      <c r="W108" s="58">
        <v>0.71777999999999997</v>
      </c>
      <c r="X108" s="57">
        <v>45475</v>
      </c>
      <c r="Y108" s="30">
        <v>0.30958333333333332</v>
      </c>
      <c r="Z108">
        <v>0</v>
      </c>
      <c r="AA108">
        <v>0</v>
      </c>
      <c r="AB108">
        <v>0</v>
      </c>
      <c r="AC108" s="83"/>
    </row>
    <row r="109" spans="1:29" x14ac:dyDescent="0.25">
      <c r="A109">
        <v>0</v>
      </c>
      <c r="B109" t="s">
        <v>8</v>
      </c>
      <c r="C109">
        <v>9216</v>
      </c>
      <c r="D109">
        <v>256</v>
      </c>
      <c r="E109">
        <v>1</v>
      </c>
      <c r="F109">
        <v>2</v>
      </c>
      <c r="G109" s="2">
        <v>826.89</v>
      </c>
      <c r="H109" s="58">
        <v>0.63124000000000002</v>
      </c>
      <c r="I109" s="31">
        <v>45473</v>
      </c>
      <c r="J109" s="38">
        <v>0.91325231481481484</v>
      </c>
      <c r="K109" s="41">
        <v>0</v>
      </c>
      <c r="L109" s="41">
        <v>0</v>
      </c>
      <c r="M109" s="41">
        <v>0</v>
      </c>
      <c r="N109" s="82">
        <f>AVERAGE(H109:H113)</f>
        <v>0.62730999999999992</v>
      </c>
      <c r="P109">
        <v>0</v>
      </c>
      <c r="Q109" t="s">
        <v>8</v>
      </c>
      <c r="R109">
        <v>9216</v>
      </c>
      <c r="S109">
        <v>256</v>
      </c>
      <c r="T109">
        <v>1</v>
      </c>
      <c r="U109">
        <v>2</v>
      </c>
      <c r="V109">
        <v>745.24</v>
      </c>
      <c r="W109" s="58">
        <v>0.70040000000000002</v>
      </c>
      <c r="X109" s="57">
        <v>45473</v>
      </c>
      <c r="Y109" s="30">
        <v>0.92091435185185189</v>
      </c>
      <c r="Z109">
        <v>0</v>
      </c>
      <c r="AA109">
        <v>0</v>
      </c>
      <c r="AB109">
        <v>0</v>
      </c>
      <c r="AC109" s="83">
        <f t="shared" ref="AC109" si="20">AVERAGE(W109:W113)</f>
        <v>0.70035599999999998</v>
      </c>
    </row>
    <row r="110" spans="1:29" x14ac:dyDescent="0.25">
      <c r="A110">
        <v>1</v>
      </c>
      <c r="B110" t="s">
        <v>8</v>
      </c>
      <c r="C110">
        <v>9216</v>
      </c>
      <c r="D110">
        <v>256</v>
      </c>
      <c r="E110">
        <v>1</v>
      </c>
      <c r="F110">
        <v>2</v>
      </c>
      <c r="G110" s="2">
        <v>827.09</v>
      </c>
      <c r="H110" s="58">
        <v>0.63109000000000004</v>
      </c>
      <c r="I110" s="31">
        <v>45474</v>
      </c>
      <c r="J110" s="38">
        <v>0.19190972222222222</v>
      </c>
      <c r="K110" s="41">
        <v>0</v>
      </c>
      <c r="L110" s="41">
        <v>0</v>
      </c>
      <c r="M110" s="41">
        <v>0</v>
      </c>
      <c r="N110" s="82"/>
      <c r="P110">
        <v>1</v>
      </c>
      <c r="Q110" t="s">
        <v>8</v>
      </c>
      <c r="R110">
        <v>9216</v>
      </c>
      <c r="S110">
        <v>256</v>
      </c>
      <c r="T110">
        <v>1</v>
      </c>
      <c r="U110">
        <v>2</v>
      </c>
      <c r="V110">
        <v>744.85</v>
      </c>
      <c r="W110" s="58">
        <v>0.70077</v>
      </c>
      <c r="X110" s="57">
        <v>45474</v>
      </c>
      <c r="Y110" s="30">
        <v>0.2207638888888889</v>
      </c>
      <c r="Z110">
        <v>0</v>
      </c>
      <c r="AA110">
        <v>0</v>
      </c>
      <c r="AB110">
        <v>0</v>
      </c>
      <c r="AC110" s="83"/>
    </row>
    <row r="111" spans="1:29" x14ac:dyDescent="0.25">
      <c r="A111">
        <v>2</v>
      </c>
      <c r="B111" t="s">
        <v>8</v>
      </c>
      <c r="C111">
        <v>9216</v>
      </c>
      <c r="D111">
        <v>256</v>
      </c>
      <c r="E111">
        <v>1</v>
      </c>
      <c r="F111">
        <v>2</v>
      </c>
      <c r="G111" s="2">
        <v>824.79</v>
      </c>
      <c r="H111" s="58">
        <v>0.63285000000000002</v>
      </c>
      <c r="I111" s="31">
        <v>45474</v>
      </c>
      <c r="J111" s="38">
        <v>0.46984953703703702</v>
      </c>
      <c r="K111" s="41">
        <v>0</v>
      </c>
      <c r="L111" s="41">
        <v>0</v>
      </c>
      <c r="M111" s="41">
        <v>0</v>
      </c>
      <c r="N111" s="82"/>
      <c r="P111">
        <v>2</v>
      </c>
      <c r="Q111" t="s">
        <v>8</v>
      </c>
      <c r="R111">
        <v>9216</v>
      </c>
      <c r="S111">
        <v>256</v>
      </c>
      <c r="T111">
        <v>1</v>
      </c>
      <c r="U111">
        <v>2</v>
      </c>
      <c r="V111">
        <v>745.78</v>
      </c>
      <c r="W111" s="58">
        <v>0.69989000000000001</v>
      </c>
      <c r="X111" s="57">
        <v>45474</v>
      </c>
      <c r="Y111" s="30">
        <v>0.52127314814814818</v>
      </c>
      <c r="Z111">
        <v>0</v>
      </c>
      <c r="AA111">
        <v>0</v>
      </c>
      <c r="AB111">
        <v>0</v>
      </c>
      <c r="AC111" s="83"/>
    </row>
    <row r="112" spans="1:29" x14ac:dyDescent="0.25">
      <c r="A112">
        <v>3</v>
      </c>
      <c r="B112" t="s">
        <v>8</v>
      </c>
      <c r="C112">
        <v>9216</v>
      </c>
      <c r="D112">
        <v>256</v>
      </c>
      <c r="E112">
        <v>1</v>
      </c>
      <c r="F112">
        <v>2</v>
      </c>
      <c r="G112" s="2">
        <v>836.5</v>
      </c>
      <c r="H112" s="58">
        <v>0.62399000000000004</v>
      </c>
      <c r="I112" s="31">
        <v>45474</v>
      </c>
      <c r="J112" s="38">
        <v>0.7482523148148148</v>
      </c>
      <c r="K112" s="41">
        <v>0</v>
      </c>
      <c r="L112" s="41">
        <v>0</v>
      </c>
      <c r="M112" s="41">
        <v>0</v>
      </c>
      <c r="N112" s="82"/>
      <c r="P112">
        <v>3</v>
      </c>
      <c r="Q112" t="s">
        <v>8</v>
      </c>
      <c r="R112">
        <v>9216</v>
      </c>
      <c r="S112">
        <v>256</v>
      </c>
      <c r="T112">
        <v>1</v>
      </c>
      <c r="U112">
        <v>2</v>
      </c>
      <c r="V112">
        <v>745.49</v>
      </c>
      <c r="W112" s="58">
        <v>0.70016</v>
      </c>
      <c r="X112" s="31">
        <v>45474</v>
      </c>
      <c r="Y112" s="30">
        <v>0.82118055555555558</v>
      </c>
      <c r="Z112">
        <v>0</v>
      </c>
      <c r="AA112">
        <v>0</v>
      </c>
      <c r="AB112">
        <v>0</v>
      </c>
      <c r="AC112" s="83"/>
    </row>
    <row r="113" spans="1:29" x14ac:dyDescent="0.25">
      <c r="A113">
        <v>4</v>
      </c>
      <c r="B113" t="s">
        <v>8</v>
      </c>
      <c r="C113">
        <v>9216</v>
      </c>
      <c r="D113">
        <v>256</v>
      </c>
      <c r="E113">
        <v>1</v>
      </c>
      <c r="F113">
        <v>2</v>
      </c>
      <c r="G113" s="2">
        <v>845.45</v>
      </c>
      <c r="H113" s="58">
        <v>0.61738000000000004</v>
      </c>
      <c r="I113" s="31">
        <v>45475</v>
      </c>
      <c r="J113" s="38">
        <v>2.6319444444444444E-2</v>
      </c>
      <c r="K113" s="41">
        <v>0</v>
      </c>
      <c r="L113" s="41">
        <v>0</v>
      </c>
      <c r="M113" s="41">
        <v>0</v>
      </c>
      <c r="N113" s="82"/>
      <c r="P113">
        <v>4</v>
      </c>
      <c r="Q113" t="s">
        <v>8</v>
      </c>
      <c r="R113">
        <v>9216</v>
      </c>
      <c r="S113">
        <v>256</v>
      </c>
      <c r="T113">
        <v>1</v>
      </c>
      <c r="U113">
        <v>2</v>
      </c>
      <c r="V113">
        <v>745.07</v>
      </c>
      <c r="W113" s="58">
        <v>0.70055999999999996</v>
      </c>
      <c r="X113" s="31">
        <v>45475</v>
      </c>
      <c r="Y113" s="30">
        <v>0.12199074074074075</v>
      </c>
      <c r="Z113">
        <v>0</v>
      </c>
      <c r="AA113">
        <v>0</v>
      </c>
      <c r="AB113">
        <v>0</v>
      </c>
      <c r="AC113" s="83"/>
    </row>
    <row r="114" spans="1:29" x14ac:dyDescent="0.25">
      <c r="A114">
        <v>0</v>
      </c>
      <c r="B114" t="s">
        <v>8</v>
      </c>
      <c r="C114">
        <v>9728</v>
      </c>
      <c r="D114">
        <v>256</v>
      </c>
      <c r="E114">
        <v>1</v>
      </c>
      <c r="F114">
        <v>2</v>
      </c>
      <c r="G114" s="2">
        <v>999.56</v>
      </c>
      <c r="H114" s="58">
        <v>0.61414000000000002</v>
      </c>
      <c r="I114" s="31">
        <v>45474</v>
      </c>
      <c r="J114" s="38">
        <v>5.1273148148148146E-3</v>
      </c>
      <c r="K114" s="41">
        <v>0</v>
      </c>
      <c r="L114" s="41">
        <v>0</v>
      </c>
      <c r="M114" s="41">
        <v>0</v>
      </c>
      <c r="N114" s="82">
        <f>AVERAGE(H114:H118)</f>
        <v>0.62989399999999995</v>
      </c>
      <c r="P114">
        <v>0</v>
      </c>
      <c r="Q114" t="s">
        <v>8</v>
      </c>
      <c r="R114">
        <v>9728</v>
      </c>
      <c r="S114">
        <v>256</v>
      </c>
      <c r="T114">
        <v>1</v>
      </c>
      <c r="U114">
        <v>2</v>
      </c>
      <c r="V114">
        <v>861.73</v>
      </c>
      <c r="W114" s="58">
        <v>0.71236999999999995</v>
      </c>
      <c r="X114" s="57">
        <v>45474</v>
      </c>
      <c r="Y114" s="30">
        <v>2.013888888888889E-2</v>
      </c>
      <c r="Z114">
        <v>0</v>
      </c>
      <c r="AA114">
        <v>0</v>
      </c>
      <c r="AB114">
        <v>0</v>
      </c>
      <c r="AC114" s="83">
        <f t="shared" ref="AC114" si="21">AVERAGE(W114:W118)</f>
        <v>0.70344999999999991</v>
      </c>
    </row>
    <row r="115" spans="1:29" x14ac:dyDescent="0.25">
      <c r="A115">
        <v>1</v>
      </c>
      <c r="B115" t="s">
        <v>8</v>
      </c>
      <c r="C115">
        <v>9728</v>
      </c>
      <c r="D115">
        <v>256</v>
      </c>
      <c r="E115">
        <v>1</v>
      </c>
      <c r="F115">
        <v>2</v>
      </c>
      <c r="G115" s="2">
        <v>964.46</v>
      </c>
      <c r="H115" s="58">
        <v>0.63649999999999995</v>
      </c>
      <c r="I115" s="31">
        <v>45474</v>
      </c>
      <c r="J115" s="38">
        <v>0.28369212962962964</v>
      </c>
      <c r="K115" s="41">
        <v>0</v>
      </c>
      <c r="L115" s="41">
        <v>0</v>
      </c>
      <c r="M115" s="41">
        <v>0</v>
      </c>
      <c r="N115" s="82"/>
      <c r="P115">
        <v>1</v>
      </c>
      <c r="Q115" t="s">
        <v>8</v>
      </c>
      <c r="R115">
        <v>9728</v>
      </c>
      <c r="S115">
        <v>256</v>
      </c>
      <c r="T115">
        <v>1</v>
      </c>
      <c r="U115">
        <v>2</v>
      </c>
      <c r="V115">
        <v>882.42</v>
      </c>
      <c r="W115" s="58">
        <v>0.69567000000000001</v>
      </c>
      <c r="X115" s="31">
        <v>45474</v>
      </c>
      <c r="Y115" s="30">
        <v>0.32015046296296296</v>
      </c>
      <c r="Z115">
        <v>0</v>
      </c>
      <c r="AA115">
        <v>0</v>
      </c>
      <c r="AB115">
        <v>0</v>
      </c>
      <c r="AC115" s="83"/>
    </row>
    <row r="116" spans="1:29" x14ac:dyDescent="0.25">
      <c r="A116">
        <v>2</v>
      </c>
      <c r="B116" t="s">
        <v>8</v>
      </c>
      <c r="C116">
        <v>9728</v>
      </c>
      <c r="D116">
        <v>256</v>
      </c>
      <c r="E116">
        <v>1</v>
      </c>
      <c r="F116">
        <v>2</v>
      </c>
      <c r="G116" s="2">
        <v>975.8</v>
      </c>
      <c r="H116" s="58">
        <v>0.62909999999999999</v>
      </c>
      <c r="I116" s="31">
        <v>45474</v>
      </c>
      <c r="J116" s="38">
        <v>0.56137731481481479</v>
      </c>
      <c r="K116" s="41">
        <v>0</v>
      </c>
      <c r="L116" s="41">
        <v>0</v>
      </c>
      <c r="M116" s="41">
        <v>0</v>
      </c>
      <c r="N116" s="82"/>
      <c r="P116">
        <v>2</v>
      </c>
      <c r="Q116" t="s">
        <v>8</v>
      </c>
      <c r="R116">
        <v>9728</v>
      </c>
      <c r="S116">
        <v>256</v>
      </c>
      <c r="T116">
        <v>1</v>
      </c>
      <c r="U116">
        <v>2</v>
      </c>
      <c r="V116">
        <v>874.04</v>
      </c>
      <c r="W116" s="58">
        <v>0.70233999999999996</v>
      </c>
      <c r="X116" s="57">
        <v>45474</v>
      </c>
      <c r="Y116" s="30">
        <v>0.6202199074074074</v>
      </c>
      <c r="Z116">
        <v>0</v>
      </c>
      <c r="AA116">
        <v>0</v>
      </c>
      <c r="AB116">
        <v>0</v>
      </c>
      <c r="AC116" s="83"/>
    </row>
    <row r="117" spans="1:29" x14ac:dyDescent="0.25">
      <c r="A117">
        <v>3</v>
      </c>
      <c r="B117" t="s">
        <v>8</v>
      </c>
      <c r="C117">
        <v>9728</v>
      </c>
      <c r="D117">
        <v>256</v>
      </c>
      <c r="E117">
        <v>1</v>
      </c>
      <c r="F117">
        <v>2</v>
      </c>
      <c r="G117" s="2">
        <v>957.33</v>
      </c>
      <c r="H117" s="58">
        <v>0.64124000000000003</v>
      </c>
      <c r="I117" s="31">
        <v>45474</v>
      </c>
      <c r="J117" s="38">
        <v>0.83958333333333335</v>
      </c>
      <c r="K117" s="41">
        <v>0</v>
      </c>
      <c r="L117" s="41">
        <v>0</v>
      </c>
      <c r="M117" s="41">
        <v>0</v>
      </c>
      <c r="N117" s="82"/>
      <c r="P117">
        <v>3</v>
      </c>
      <c r="Q117" t="s">
        <v>8</v>
      </c>
      <c r="R117">
        <v>9728</v>
      </c>
      <c r="S117">
        <v>256</v>
      </c>
      <c r="T117">
        <v>1</v>
      </c>
      <c r="U117">
        <v>2</v>
      </c>
      <c r="V117">
        <v>863.15</v>
      </c>
      <c r="W117" s="58">
        <v>0.71120000000000005</v>
      </c>
      <c r="X117" s="57">
        <v>45474</v>
      </c>
      <c r="Y117" s="30">
        <v>0.92067129629629629</v>
      </c>
      <c r="Z117">
        <v>0</v>
      </c>
      <c r="AA117">
        <v>0</v>
      </c>
      <c r="AB117">
        <v>0</v>
      </c>
      <c r="AC117" s="83"/>
    </row>
    <row r="118" spans="1:29" x14ac:dyDescent="0.25">
      <c r="A118">
        <v>4</v>
      </c>
      <c r="B118" t="s">
        <v>8</v>
      </c>
      <c r="C118">
        <v>9728</v>
      </c>
      <c r="D118">
        <v>256</v>
      </c>
      <c r="E118">
        <v>1</v>
      </c>
      <c r="F118">
        <v>2</v>
      </c>
      <c r="G118" s="2">
        <v>976.75</v>
      </c>
      <c r="H118" s="58">
        <v>0.62848999999999999</v>
      </c>
      <c r="I118" s="31">
        <v>45475</v>
      </c>
      <c r="J118" s="38">
        <v>0.11805555555555555</v>
      </c>
      <c r="K118" s="41">
        <v>0</v>
      </c>
      <c r="L118" s="41">
        <v>0</v>
      </c>
      <c r="M118" s="41">
        <v>0</v>
      </c>
      <c r="N118" s="82"/>
      <c r="P118">
        <v>4</v>
      </c>
      <c r="Q118" t="s">
        <v>8</v>
      </c>
      <c r="R118">
        <v>9728</v>
      </c>
      <c r="S118">
        <v>256</v>
      </c>
      <c r="T118">
        <v>1</v>
      </c>
      <c r="U118">
        <v>2</v>
      </c>
      <c r="V118">
        <v>882.42</v>
      </c>
      <c r="W118" s="58">
        <v>0.69567000000000001</v>
      </c>
      <c r="X118" s="57">
        <v>45475</v>
      </c>
      <c r="Y118" s="30">
        <v>0.2209837962962963</v>
      </c>
      <c r="Z118">
        <v>0</v>
      </c>
      <c r="AA118">
        <v>0</v>
      </c>
      <c r="AB118">
        <v>0</v>
      </c>
      <c r="AC118" s="83"/>
    </row>
    <row r="119" spans="1:29" x14ac:dyDescent="0.25">
      <c r="A119">
        <v>0</v>
      </c>
      <c r="B119" t="s">
        <v>8</v>
      </c>
      <c r="C119">
        <v>10240</v>
      </c>
      <c r="D119">
        <v>256</v>
      </c>
      <c r="E119">
        <v>1</v>
      </c>
      <c r="F119">
        <v>2</v>
      </c>
      <c r="G119" s="2">
        <v>1142.8900000000001</v>
      </c>
      <c r="H119" s="58">
        <v>0.62646999999999997</v>
      </c>
      <c r="I119" s="31">
        <v>45474</v>
      </c>
      <c r="J119" s="38">
        <v>0.11261574074074074</v>
      </c>
      <c r="K119" s="41">
        <v>0</v>
      </c>
      <c r="L119" s="41">
        <v>0</v>
      </c>
      <c r="M119" s="41">
        <v>0</v>
      </c>
      <c r="N119" s="82">
        <f>AVERAGE(H119:H123)</f>
        <v>0.62835599999999991</v>
      </c>
      <c r="P119">
        <v>0</v>
      </c>
      <c r="Q119" t="s">
        <v>8</v>
      </c>
      <c r="R119">
        <v>10240</v>
      </c>
      <c r="S119">
        <v>256</v>
      </c>
      <c r="T119">
        <v>1</v>
      </c>
      <c r="U119">
        <v>2</v>
      </c>
      <c r="V119">
        <v>990.83</v>
      </c>
      <c r="W119" s="58">
        <v>0.72260999999999997</v>
      </c>
      <c r="X119" s="57">
        <v>45474</v>
      </c>
      <c r="Y119" s="30">
        <v>0.13465277777777779</v>
      </c>
      <c r="Z119">
        <v>0</v>
      </c>
      <c r="AA119">
        <v>0</v>
      </c>
      <c r="AB119">
        <v>0</v>
      </c>
      <c r="AC119" s="83">
        <f t="shared" ref="AC119" si="22">AVERAGE(W119:W123)</f>
        <v>0.71308800000000006</v>
      </c>
    </row>
    <row r="120" spans="1:29" x14ac:dyDescent="0.25">
      <c r="A120">
        <v>1</v>
      </c>
      <c r="B120" t="s">
        <v>8</v>
      </c>
      <c r="C120">
        <v>10240</v>
      </c>
      <c r="D120">
        <v>256</v>
      </c>
      <c r="E120">
        <v>1</v>
      </c>
      <c r="F120">
        <v>2</v>
      </c>
      <c r="G120" s="2">
        <v>1138.06</v>
      </c>
      <c r="H120" s="58">
        <v>0.62912999999999997</v>
      </c>
      <c r="I120" s="31">
        <v>45474</v>
      </c>
      <c r="J120" s="38">
        <v>0.39057870370370368</v>
      </c>
      <c r="K120" s="41">
        <v>0</v>
      </c>
      <c r="L120" s="41">
        <v>0</v>
      </c>
      <c r="M120" s="41">
        <v>0</v>
      </c>
      <c r="N120" s="82"/>
      <c r="P120">
        <v>1</v>
      </c>
      <c r="Q120" t="s">
        <v>8</v>
      </c>
      <c r="R120">
        <v>10240</v>
      </c>
      <c r="S120">
        <v>256</v>
      </c>
      <c r="T120">
        <v>1</v>
      </c>
      <c r="U120">
        <v>2</v>
      </c>
      <c r="V120">
        <v>1011.97</v>
      </c>
      <c r="W120" s="58">
        <v>0.70752000000000004</v>
      </c>
      <c r="X120" s="57">
        <v>45474</v>
      </c>
      <c r="Y120" s="30">
        <v>0.43489583333333331</v>
      </c>
      <c r="Z120">
        <v>0</v>
      </c>
      <c r="AA120">
        <v>0</v>
      </c>
      <c r="AB120">
        <v>0</v>
      </c>
      <c r="AC120" s="83"/>
    </row>
    <row r="121" spans="1:29" x14ac:dyDescent="0.25">
      <c r="A121">
        <v>2</v>
      </c>
      <c r="B121" t="s">
        <v>8</v>
      </c>
      <c r="C121">
        <v>10240</v>
      </c>
      <c r="D121">
        <v>256</v>
      </c>
      <c r="E121">
        <v>1</v>
      </c>
      <c r="F121">
        <v>2</v>
      </c>
      <c r="G121" s="2">
        <v>1138.24</v>
      </c>
      <c r="H121" s="58">
        <v>0.62902999999999998</v>
      </c>
      <c r="I121" s="31">
        <v>45474</v>
      </c>
      <c r="J121" s="38">
        <v>0.66871527777777773</v>
      </c>
      <c r="K121" s="41">
        <v>0</v>
      </c>
      <c r="L121" s="41">
        <v>0</v>
      </c>
      <c r="M121" s="41">
        <v>0</v>
      </c>
      <c r="N121" s="82"/>
      <c r="P121">
        <v>2</v>
      </c>
      <c r="Q121" t="s">
        <v>8</v>
      </c>
      <c r="R121">
        <v>10240</v>
      </c>
      <c r="S121">
        <v>256</v>
      </c>
      <c r="T121">
        <v>1</v>
      </c>
      <c r="U121">
        <v>2</v>
      </c>
      <c r="V121">
        <v>1010.65</v>
      </c>
      <c r="W121" s="58">
        <v>0.70843999999999996</v>
      </c>
      <c r="X121" s="57">
        <v>45474</v>
      </c>
      <c r="Y121" s="30">
        <v>0.73482638888888885</v>
      </c>
      <c r="Z121">
        <v>0</v>
      </c>
      <c r="AA121">
        <v>0</v>
      </c>
      <c r="AB121">
        <v>0</v>
      </c>
      <c r="AC121" s="83"/>
    </row>
    <row r="122" spans="1:29" x14ac:dyDescent="0.25">
      <c r="A122">
        <v>3</v>
      </c>
      <c r="B122" t="s">
        <v>8</v>
      </c>
      <c r="C122">
        <v>10240</v>
      </c>
      <c r="D122">
        <v>256</v>
      </c>
      <c r="E122">
        <v>1</v>
      </c>
      <c r="F122">
        <v>2</v>
      </c>
      <c r="G122" s="2">
        <v>1132.7</v>
      </c>
      <c r="H122" s="58">
        <v>0.6321</v>
      </c>
      <c r="I122" s="31">
        <v>45474</v>
      </c>
      <c r="J122" s="38">
        <v>0.94681712962962961</v>
      </c>
      <c r="K122" s="41">
        <v>0</v>
      </c>
      <c r="L122" s="41">
        <v>0</v>
      </c>
      <c r="M122" s="41">
        <v>0</v>
      </c>
      <c r="N122" s="82"/>
      <c r="P122">
        <v>3</v>
      </c>
      <c r="Q122" t="s">
        <v>8</v>
      </c>
      <c r="R122">
        <v>10240</v>
      </c>
      <c r="S122">
        <v>256</v>
      </c>
      <c r="T122">
        <v>1</v>
      </c>
      <c r="U122">
        <v>2</v>
      </c>
      <c r="V122">
        <v>995.77</v>
      </c>
      <c r="W122" s="58">
        <v>0.71902999999999995</v>
      </c>
      <c r="X122" s="57">
        <v>45475</v>
      </c>
      <c r="Y122" s="30">
        <v>3.5648148148148151E-2</v>
      </c>
      <c r="Z122">
        <v>0</v>
      </c>
      <c r="AA122">
        <v>0</v>
      </c>
      <c r="AB122">
        <v>0</v>
      </c>
      <c r="AC122" s="83"/>
    </row>
    <row r="123" spans="1:29" x14ac:dyDescent="0.25">
      <c r="A123">
        <v>4</v>
      </c>
      <c r="B123" t="s">
        <v>8</v>
      </c>
      <c r="C123">
        <v>10240</v>
      </c>
      <c r="D123">
        <v>256</v>
      </c>
      <c r="E123">
        <v>1</v>
      </c>
      <c r="F123">
        <v>2</v>
      </c>
      <c r="G123" s="2">
        <v>1145.48</v>
      </c>
      <c r="H123" s="58">
        <v>0.62504999999999999</v>
      </c>
      <c r="I123" s="31">
        <v>45475</v>
      </c>
      <c r="J123" s="38">
        <v>0.22525462962962964</v>
      </c>
      <c r="K123" s="41">
        <v>0</v>
      </c>
      <c r="L123" s="41">
        <v>0</v>
      </c>
      <c r="M123" s="41">
        <v>0</v>
      </c>
      <c r="N123" s="82"/>
      <c r="P123">
        <v>4</v>
      </c>
      <c r="Q123" t="s">
        <v>8</v>
      </c>
      <c r="R123">
        <v>10240</v>
      </c>
      <c r="S123">
        <v>256</v>
      </c>
      <c r="T123">
        <v>1</v>
      </c>
      <c r="U123">
        <v>2</v>
      </c>
      <c r="V123">
        <v>1011.5</v>
      </c>
      <c r="W123" s="58">
        <v>0.70784000000000002</v>
      </c>
      <c r="X123" s="31">
        <v>45475</v>
      </c>
      <c r="Y123" s="30">
        <v>0.32407407407407407</v>
      </c>
      <c r="Z123">
        <v>0</v>
      </c>
      <c r="AA123">
        <v>0</v>
      </c>
      <c r="AB123">
        <v>0</v>
      </c>
      <c r="AC123" s="83"/>
    </row>
    <row r="124" spans="1:29" x14ac:dyDescent="0.25">
      <c r="I124" s="31"/>
      <c r="N124" s="62"/>
      <c r="W124" s="58"/>
      <c r="X124" s="57"/>
      <c r="Y124" s="30"/>
      <c r="AC124" s="63"/>
    </row>
    <row r="125" spans="1:29" x14ac:dyDescent="0.25">
      <c r="I125" s="31"/>
      <c r="N125" s="62"/>
      <c r="W125" s="58"/>
      <c r="X125" s="57"/>
      <c r="Y125" s="30"/>
      <c r="AC125" s="63"/>
    </row>
    <row r="126" spans="1:29" x14ac:dyDescent="0.25">
      <c r="I126" s="31"/>
      <c r="N126" s="62"/>
      <c r="W126" s="58"/>
      <c r="X126" s="57"/>
      <c r="Y126" s="30"/>
      <c r="AC126" s="63"/>
    </row>
    <row r="127" spans="1:29" x14ac:dyDescent="0.25">
      <c r="I127" s="31"/>
      <c r="N127" s="62"/>
      <c r="W127" s="58"/>
      <c r="X127" s="57"/>
      <c r="Y127" s="30"/>
      <c r="AC127" s="63"/>
    </row>
    <row r="128" spans="1:29" x14ac:dyDescent="0.25">
      <c r="I128" s="31"/>
      <c r="N128" s="62"/>
      <c r="W128" s="58"/>
      <c r="X128" s="31"/>
      <c r="Y128" s="30"/>
      <c r="AC128" s="63"/>
    </row>
    <row r="129" spans="2:29" x14ac:dyDescent="0.25">
      <c r="I129" s="31"/>
      <c r="N129" s="62"/>
      <c r="W129" s="58"/>
      <c r="X129" s="57"/>
      <c r="Y129" s="30"/>
      <c r="AC129" s="63"/>
    </row>
    <row r="130" spans="2:29" x14ac:dyDescent="0.25">
      <c r="I130" s="31"/>
      <c r="N130" s="62"/>
      <c r="W130" s="58"/>
      <c r="X130" s="57"/>
      <c r="Y130" s="30"/>
      <c r="AC130" s="63"/>
    </row>
    <row r="131" spans="2:29" x14ac:dyDescent="0.25">
      <c r="I131" s="31"/>
      <c r="N131" s="62"/>
      <c r="W131" s="58"/>
      <c r="X131" s="57"/>
      <c r="Y131" s="30"/>
      <c r="AC131" s="63"/>
    </row>
    <row r="132" spans="2:29" x14ac:dyDescent="0.25">
      <c r="I132" s="31"/>
      <c r="N132" s="62"/>
      <c r="W132" s="58"/>
      <c r="X132" s="57"/>
      <c r="Y132" s="30"/>
      <c r="AC132" s="63"/>
    </row>
    <row r="133" spans="2:29" x14ac:dyDescent="0.25">
      <c r="I133" s="31"/>
      <c r="N133" s="62"/>
      <c r="W133" s="58"/>
      <c r="X133" s="31"/>
      <c r="Y133" s="30"/>
      <c r="AC133" s="63"/>
    </row>
    <row r="134" spans="2:29" x14ac:dyDescent="0.25">
      <c r="I134" s="31"/>
      <c r="N134" s="62"/>
      <c r="W134" s="58"/>
      <c r="X134" s="57"/>
      <c r="Y134" s="30"/>
      <c r="AC134" s="63"/>
    </row>
    <row r="135" spans="2:29" x14ac:dyDescent="0.25">
      <c r="B135" s="31"/>
      <c r="C135" s="30"/>
      <c r="I135" s="31"/>
      <c r="K135"/>
      <c r="N135" s="62"/>
      <c r="W135" s="58"/>
      <c r="X135" s="57"/>
      <c r="Y135" s="30"/>
      <c r="AC135" s="63"/>
    </row>
    <row r="136" spans="2:29" x14ac:dyDescent="0.25">
      <c r="I136" s="31"/>
      <c r="N136" s="62"/>
      <c r="W136" s="58"/>
      <c r="X136" s="57"/>
      <c r="Y136" s="30"/>
      <c r="AC136" s="63"/>
    </row>
    <row r="137" spans="2:29" x14ac:dyDescent="0.25">
      <c r="I137" s="31"/>
      <c r="N137" s="62"/>
      <c r="W137" s="58"/>
      <c r="X137" s="31"/>
      <c r="Y137" s="30"/>
      <c r="AC137" s="63"/>
    </row>
    <row r="138" spans="2:29" x14ac:dyDescent="0.25">
      <c r="I138" s="31"/>
      <c r="N138" s="62"/>
      <c r="W138" s="58"/>
      <c r="X138" s="31"/>
      <c r="Y138" s="30"/>
      <c r="AC138" s="63"/>
    </row>
    <row r="139" spans="2:29" x14ac:dyDescent="0.25">
      <c r="I139" s="31"/>
      <c r="N139" s="62"/>
      <c r="W139" s="58"/>
      <c r="X139" s="57"/>
      <c r="Y139" s="30"/>
      <c r="AC139" s="63"/>
    </row>
    <row r="140" spans="2:29" x14ac:dyDescent="0.25">
      <c r="I140" s="31"/>
      <c r="N140" s="62"/>
      <c r="W140" s="58"/>
      <c r="X140" s="57"/>
      <c r="Y140" s="30"/>
      <c r="AC140" s="63"/>
    </row>
    <row r="141" spans="2:29" x14ac:dyDescent="0.25">
      <c r="I141" s="31"/>
      <c r="N141" s="62"/>
      <c r="W141" s="58"/>
      <c r="X141" s="57"/>
      <c r="Y141" s="30"/>
      <c r="AC141" s="63"/>
    </row>
    <row r="142" spans="2:29" x14ac:dyDescent="0.25">
      <c r="I142" s="31"/>
      <c r="N142" s="62"/>
      <c r="W142" s="58"/>
      <c r="X142" s="57"/>
      <c r="Y142" s="30"/>
      <c r="AC142" s="63"/>
    </row>
    <row r="143" spans="2:29" x14ac:dyDescent="0.25">
      <c r="I143" s="31"/>
      <c r="N143" s="62"/>
      <c r="W143" s="58"/>
      <c r="X143" s="31"/>
      <c r="Y143" s="30"/>
      <c r="AC143" s="63"/>
    </row>
    <row r="144" spans="2:29" x14ac:dyDescent="0.25">
      <c r="I144" s="31"/>
      <c r="N144" s="62"/>
      <c r="W144" s="58"/>
      <c r="X144" s="57"/>
      <c r="Y144" s="30"/>
      <c r="AC144" s="63"/>
    </row>
    <row r="145" spans="9:29" x14ac:dyDescent="0.25">
      <c r="I145" s="31"/>
      <c r="N145" s="62"/>
      <c r="W145" s="58"/>
      <c r="X145" s="57"/>
      <c r="Y145" s="30"/>
      <c r="AC145" s="63"/>
    </row>
    <row r="146" spans="9:29" x14ac:dyDescent="0.25">
      <c r="I146" s="31"/>
      <c r="N146" s="62"/>
      <c r="W146" s="58"/>
      <c r="X146" s="57"/>
      <c r="Y146" s="30"/>
      <c r="AC146" s="63"/>
    </row>
    <row r="147" spans="9:29" x14ac:dyDescent="0.25">
      <c r="I147" s="31"/>
      <c r="N147" s="62"/>
      <c r="W147" s="58"/>
      <c r="X147" s="57"/>
      <c r="Y147" s="30"/>
      <c r="AC147" s="63"/>
    </row>
    <row r="148" spans="9:29" x14ac:dyDescent="0.25">
      <c r="I148" s="31"/>
      <c r="N148" s="62"/>
      <c r="W148" s="58"/>
      <c r="X148" s="31"/>
      <c r="Y148" s="30"/>
      <c r="AC148" s="63"/>
    </row>
    <row r="149" spans="9:29" x14ac:dyDescent="0.25">
      <c r="I149" s="31"/>
      <c r="N149" s="62"/>
      <c r="W149" s="58"/>
      <c r="X149" s="57"/>
      <c r="Y149" s="30"/>
      <c r="AC149" s="63"/>
    </row>
    <row r="150" spans="9:29" x14ac:dyDescent="0.25">
      <c r="I150" s="31"/>
      <c r="N150" s="62"/>
      <c r="W150" s="58"/>
      <c r="X150" s="57"/>
      <c r="Y150" s="30"/>
      <c r="AC150" s="63"/>
    </row>
    <row r="151" spans="9:29" x14ac:dyDescent="0.25">
      <c r="I151" s="31"/>
      <c r="N151" s="62"/>
      <c r="W151" s="58"/>
      <c r="X151" s="57"/>
      <c r="Y151" s="30"/>
      <c r="AC151" s="63"/>
    </row>
    <row r="152" spans="9:29" x14ac:dyDescent="0.25">
      <c r="I152" s="31"/>
      <c r="N152" s="62"/>
      <c r="W152" s="58"/>
      <c r="X152" s="31"/>
      <c r="Y152" s="30"/>
      <c r="AC152" s="63"/>
    </row>
    <row r="153" spans="9:29" x14ac:dyDescent="0.25">
      <c r="I153" s="31"/>
      <c r="N153" s="62"/>
      <c r="W153" s="58"/>
      <c r="X153" s="31"/>
      <c r="Y153" s="30"/>
      <c r="AC153" s="63"/>
    </row>
    <row r="154" spans="9:29" x14ac:dyDescent="0.25">
      <c r="I154" s="31"/>
      <c r="N154" s="62"/>
      <c r="W154" s="58"/>
      <c r="X154" s="57"/>
      <c r="Y154" s="30"/>
      <c r="AC154" s="63"/>
    </row>
    <row r="155" spans="9:29" x14ac:dyDescent="0.25">
      <c r="I155" s="31"/>
      <c r="N155" s="62"/>
      <c r="W155" s="58"/>
      <c r="X155" s="57"/>
      <c r="Y155" s="30"/>
      <c r="AC155" s="63"/>
    </row>
    <row r="156" spans="9:29" x14ac:dyDescent="0.25">
      <c r="I156" s="31"/>
      <c r="N156" s="62"/>
      <c r="W156" s="58"/>
      <c r="X156" s="57"/>
      <c r="Y156" s="30"/>
      <c r="AC156" s="63"/>
    </row>
    <row r="157" spans="9:29" x14ac:dyDescent="0.25">
      <c r="I157" s="31"/>
      <c r="N157" s="62"/>
      <c r="W157" s="58"/>
      <c r="X157" s="57"/>
      <c r="Y157" s="30"/>
      <c r="AC157" s="63"/>
    </row>
    <row r="158" spans="9:29" x14ac:dyDescent="0.25">
      <c r="I158" s="31"/>
      <c r="N158" s="62"/>
      <c r="W158" s="58"/>
      <c r="X158" s="31"/>
      <c r="Y158" s="30"/>
      <c r="AC158" s="63"/>
    </row>
    <row r="159" spans="9:29" x14ac:dyDescent="0.25">
      <c r="I159" s="31"/>
      <c r="N159" s="62"/>
      <c r="W159" s="58"/>
      <c r="X159" s="57"/>
      <c r="Y159" s="30"/>
      <c r="AC159" s="63"/>
    </row>
    <row r="160" spans="9:29" x14ac:dyDescent="0.25">
      <c r="I160" s="31"/>
      <c r="N160" s="62"/>
      <c r="W160" s="58"/>
      <c r="X160" s="57"/>
      <c r="Y160" s="30"/>
      <c r="AC160" s="63"/>
    </row>
    <row r="161" spans="2:29" x14ac:dyDescent="0.25">
      <c r="I161" s="31"/>
      <c r="N161" s="62"/>
      <c r="W161" s="58"/>
      <c r="X161" s="57"/>
      <c r="Y161" s="30"/>
      <c r="AC161" s="63"/>
    </row>
    <row r="162" spans="2:29" x14ac:dyDescent="0.25">
      <c r="I162" s="31"/>
      <c r="N162" s="62"/>
      <c r="W162" s="58"/>
      <c r="X162" s="57"/>
      <c r="Y162" s="30"/>
      <c r="AC162" s="63"/>
    </row>
    <row r="163" spans="2:29" x14ac:dyDescent="0.25">
      <c r="I163" s="31"/>
      <c r="N163" s="62"/>
      <c r="W163" s="58"/>
      <c r="X163" s="31"/>
      <c r="Y163" s="30"/>
      <c r="AC163" s="63"/>
    </row>
    <row r="164" spans="2:29" x14ac:dyDescent="0.25">
      <c r="B164" s="31"/>
      <c r="C164" s="30"/>
      <c r="I164" s="31"/>
      <c r="K164"/>
      <c r="N164" s="62"/>
      <c r="X164" s="31"/>
      <c r="Y164" s="30"/>
      <c r="AC164" s="63"/>
    </row>
    <row r="165" spans="2:29" x14ac:dyDescent="0.25">
      <c r="B165" s="31"/>
      <c r="C165" s="30"/>
      <c r="I165" s="31"/>
      <c r="K165"/>
      <c r="N165" s="62"/>
      <c r="X165" s="31"/>
      <c r="Y165" s="30"/>
      <c r="AC165" s="63"/>
    </row>
    <row r="166" spans="2:29" x14ac:dyDescent="0.25">
      <c r="B166" s="31"/>
      <c r="C166" s="30"/>
      <c r="I166" s="31"/>
      <c r="N166" s="62"/>
      <c r="X166" s="31"/>
      <c r="Y166" s="30"/>
      <c r="AC166" s="63"/>
    </row>
    <row r="167" spans="2:29" x14ac:dyDescent="0.25">
      <c r="B167" s="31"/>
      <c r="C167" s="30"/>
      <c r="I167" s="31"/>
      <c r="N167" s="62"/>
      <c r="X167" s="31"/>
      <c r="Y167" s="30"/>
      <c r="AC167" s="63"/>
    </row>
    <row r="168" spans="2:29" x14ac:dyDescent="0.25">
      <c r="B168" s="31"/>
      <c r="C168" s="30"/>
      <c r="I168" s="31"/>
      <c r="N168" s="62"/>
      <c r="X168" s="31"/>
      <c r="Y168" s="30"/>
      <c r="AC168" s="63"/>
    </row>
    <row r="169" spans="2:29" x14ac:dyDescent="0.25">
      <c r="I169" s="31"/>
      <c r="N169" s="62"/>
      <c r="W169" s="58"/>
      <c r="X169" s="57"/>
      <c r="Y169" s="30"/>
      <c r="AC169" s="63"/>
    </row>
    <row r="170" spans="2:29" x14ac:dyDescent="0.25">
      <c r="I170" s="31"/>
      <c r="N170" s="62"/>
      <c r="W170" s="58"/>
      <c r="X170" s="57"/>
      <c r="Y170" s="30"/>
      <c r="AC170" s="63"/>
    </row>
    <row r="171" spans="2:29" x14ac:dyDescent="0.25">
      <c r="I171" s="31"/>
      <c r="N171" s="62"/>
      <c r="W171" s="58"/>
      <c r="X171" s="57"/>
      <c r="Y171" s="30"/>
      <c r="AC171" s="63"/>
    </row>
    <row r="172" spans="2:29" x14ac:dyDescent="0.25">
      <c r="I172" s="31"/>
      <c r="N172" s="62"/>
      <c r="W172" s="58"/>
      <c r="X172" s="57"/>
      <c r="Y172" s="30"/>
      <c r="AC172" s="63"/>
    </row>
    <row r="173" spans="2:29" x14ac:dyDescent="0.25">
      <c r="I173" s="31"/>
      <c r="N173" s="62"/>
      <c r="W173" s="58"/>
      <c r="X173" s="31"/>
      <c r="Y173" s="30"/>
      <c r="AC173" s="63"/>
    </row>
    <row r="174" spans="2:29" x14ac:dyDescent="0.25">
      <c r="I174" s="31"/>
      <c r="N174" s="62"/>
      <c r="W174" s="58"/>
      <c r="X174" s="57"/>
      <c r="Y174" s="30"/>
      <c r="AC174" s="63"/>
    </row>
    <row r="175" spans="2:29" x14ac:dyDescent="0.25">
      <c r="I175" s="31"/>
      <c r="N175" s="62"/>
      <c r="W175" s="58"/>
      <c r="X175" s="57"/>
      <c r="Y175" s="30"/>
      <c r="AC175" s="63"/>
    </row>
    <row r="176" spans="2:29" x14ac:dyDescent="0.25">
      <c r="I176" s="31"/>
      <c r="N176" s="62"/>
      <c r="W176" s="58"/>
      <c r="X176" s="57"/>
      <c r="Y176" s="30"/>
      <c r="AC176" s="63"/>
    </row>
    <row r="177" spans="9:29" x14ac:dyDescent="0.25">
      <c r="I177" s="31"/>
      <c r="N177" s="62"/>
      <c r="W177" s="58"/>
      <c r="X177" s="57"/>
      <c r="Y177" s="30"/>
      <c r="AC177" s="63"/>
    </row>
    <row r="178" spans="9:29" x14ac:dyDescent="0.25">
      <c r="I178" s="31"/>
      <c r="N178" s="62"/>
      <c r="W178" s="58"/>
      <c r="X178" s="31"/>
      <c r="Y178" s="30"/>
      <c r="AC178" s="63"/>
    </row>
    <row r="179" spans="9:29" x14ac:dyDescent="0.25">
      <c r="I179" s="31"/>
      <c r="N179" s="62"/>
      <c r="W179" s="58"/>
      <c r="X179" s="57"/>
      <c r="Y179" s="30"/>
      <c r="AC179" s="63"/>
    </row>
    <row r="180" spans="9:29" x14ac:dyDescent="0.25">
      <c r="I180" s="31"/>
      <c r="N180" s="62"/>
      <c r="W180" s="58"/>
      <c r="X180" s="57"/>
      <c r="Y180" s="30"/>
      <c r="AC180" s="63"/>
    </row>
    <row r="181" spans="9:29" x14ac:dyDescent="0.25">
      <c r="I181" s="31"/>
      <c r="N181" s="62"/>
      <c r="W181" s="58"/>
      <c r="X181" s="57"/>
      <c r="Y181" s="30"/>
      <c r="AC181" s="63"/>
    </row>
    <row r="182" spans="9:29" x14ac:dyDescent="0.25">
      <c r="I182" s="31"/>
      <c r="N182" s="62"/>
      <c r="W182" s="58"/>
      <c r="X182" s="31"/>
      <c r="Y182" s="30"/>
      <c r="AC182" s="63"/>
    </row>
    <row r="183" spans="9:29" x14ac:dyDescent="0.25">
      <c r="I183" s="31"/>
      <c r="N183" s="62"/>
      <c r="W183"/>
      <c r="X183" s="31"/>
      <c r="Y183" s="30"/>
      <c r="AC183" s="63"/>
    </row>
    <row r="184" spans="9:29" x14ac:dyDescent="0.25">
      <c r="I184" s="31"/>
      <c r="N184" s="62"/>
      <c r="W184" s="58"/>
      <c r="X184" s="57"/>
      <c r="Y184" s="30"/>
      <c r="AC184" s="63"/>
    </row>
    <row r="185" spans="9:29" x14ac:dyDescent="0.25">
      <c r="I185" s="31"/>
      <c r="N185" s="62"/>
      <c r="W185" s="58"/>
      <c r="X185" s="57"/>
      <c r="Y185" s="30"/>
      <c r="AC185" s="63"/>
    </row>
    <row r="186" spans="9:29" x14ac:dyDescent="0.25">
      <c r="I186" s="31"/>
      <c r="N186" s="62"/>
      <c r="W186" s="58"/>
      <c r="X186" s="57"/>
      <c r="Y186" s="30"/>
      <c r="AC186" s="63"/>
    </row>
    <row r="187" spans="9:29" x14ac:dyDescent="0.25">
      <c r="I187" s="31"/>
      <c r="N187" s="62"/>
      <c r="W187" s="58"/>
      <c r="X187" s="57"/>
      <c r="Y187" s="30"/>
      <c r="AC187" s="63"/>
    </row>
    <row r="188" spans="9:29" x14ac:dyDescent="0.25">
      <c r="I188" s="31"/>
      <c r="N188" s="62"/>
      <c r="W188" s="58"/>
      <c r="X188" s="31"/>
      <c r="Y188" s="30"/>
      <c r="AC188" s="63"/>
    </row>
    <row r="189" spans="9:29" x14ac:dyDescent="0.25">
      <c r="I189" s="31"/>
      <c r="N189" s="62"/>
      <c r="W189" s="58"/>
      <c r="X189" s="57"/>
      <c r="Y189" s="30"/>
      <c r="AC189" s="63"/>
    </row>
    <row r="190" spans="9:29" x14ac:dyDescent="0.25">
      <c r="I190" s="31"/>
      <c r="N190" s="62"/>
      <c r="W190" s="58"/>
      <c r="X190" s="57"/>
      <c r="Y190" s="30"/>
      <c r="AC190" s="63"/>
    </row>
    <row r="191" spans="9:29" x14ac:dyDescent="0.25">
      <c r="I191" s="31"/>
      <c r="N191" s="62"/>
      <c r="W191" s="58"/>
      <c r="X191" s="57"/>
      <c r="Y191" s="30"/>
      <c r="AC191" s="63"/>
    </row>
    <row r="192" spans="9:29" x14ac:dyDescent="0.25">
      <c r="I192" s="31"/>
      <c r="N192" s="62"/>
      <c r="W192" s="58"/>
      <c r="X192" s="57"/>
      <c r="Y192" s="30"/>
      <c r="AC192" s="63"/>
    </row>
    <row r="193" spans="2:29" x14ac:dyDescent="0.25">
      <c r="I193" s="31"/>
      <c r="N193" s="62"/>
      <c r="W193" s="58"/>
      <c r="X193" s="31"/>
      <c r="Y193" s="30"/>
      <c r="AC193" s="63"/>
    </row>
    <row r="194" spans="2:29" x14ac:dyDescent="0.25">
      <c r="B194" s="31"/>
      <c r="C194" s="30"/>
      <c r="I194" s="31"/>
      <c r="K194"/>
      <c r="N194" s="62"/>
      <c r="X194" s="31"/>
      <c r="Y194" s="30"/>
      <c r="AC194" s="63"/>
    </row>
    <row r="195" spans="2:29" x14ac:dyDescent="0.25">
      <c r="B195" s="31"/>
      <c r="C195" s="30"/>
      <c r="I195" s="31"/>
      <c r="K195"/>
      <c r="N195" s="62"/>
      <c r="X195" s="31"/>
      <c r="Y195" s="30"/>
      <c r="AC195" s="63"/>
    </row>
    <row r="196" spans="2:29" x14ac:dyDescent="0.25">
      <c r="B196" s="31"/>
      <c r="C196" s="30"/>
      <c r="I196" s="31"/>
      <c r="N196" s="62"/>
      <c r="X196" s="31"/>
      <c r="Y196" s="30"/>
      <c r="AC196" s="63"/>
    </row>
    <row r="197" spans="2:29" x14ac:dyDescent="0.25">
      <c r="B197" s="31"/>
      <c r="C197" s="30"/>
      <c r="I197" s="31"/>
      <c r="N197" s="62"/>
      <c r="X197" s="31"/>
      <c r="Y197" s="30"/>
      <c r="AC197" s="63"/>
    </row>
    <row r="198" spans="2:29" x14ac:dyDescent="0.25">
      <c r="B198" s="31"/>
      <c r="C198" s="30"/>
      <c r="I198" s="31"/>
      <c r="N198" s="62"/>
      <c r="X198" s="31"/>
      <c r="Y198" s="30"/>
      <c r="AC198" s="63"/>
    </row>
    <row r="199" spans="2:29" x14ac:dyDescent="0.25">
      <c r="I199" s="31"/>
      <c r="N199" s="62"/>
      <c r="W199" s="58"/>
      <c r="X199" s="57"/>
      <c r="Y199" s="30"/>
      <c r="AC199" s="63"/>
    </row>
    <row r="200" spans="2:29" x14ac:dyDescent="0.25">
      <c r="I200" s="31"/>
      <c r="N200" s="62"/>
      <c r="W200" s="58"/>
      <c r="X200" s="57"/>
      <c r="Y200" s="30"/>
      <c r="AC200" s="63"/>
    </row>
    <row r="201" spans="2:29" x14ac:dyDescent="0.25">
      <c r="I201" s="31"/>
      <c r="N201" s="62"/>
      <c r="W201" s="58"/>
      <c r="X201" s="57"/>
      <c r="Y201" s="30"/>
      <c r="AC201" s="63"/>
    </row>
    <row r="202" spans="2:29" x14ac:dyDescent="0.25">
      <c r="I202" s="31"/>
      <c r="N202" s="62"/>
      <c r="W202" s="58"/>
      <c r="X202" s="57"/>
      <c r="Y202" s="30"/>
      <c r="AC202" s="63"/>
    </row>
    <row r="203" spans="2:29" x14ac:dyDescent="0.25">
      <c r="I203" s="31"/>
      <c r="N203" s="62"/>
      <c r="W203" s="58"/>
      <c r="X203" s="31"/>
      <c r="Y203" s="30"/>
      <c r="AC203" s="63"/>
    </row>
    <row r="204" spans="2:29" x14ac:dyDescent="0.25">
      <c r="I204" s="31"/>
      <c r="N204" s="62"/>
      <c r="W204" s="58"/>
      <c r="X204" s="57"/>
      <c r="Y204" s="30"/>
      <c r="AC204" s="63"/>
    </row>
    <row r="205" spans="2:29" x14ac:dyDescent="0.25">
      <c r="I205" s="31"/>
      <c r="N205" s="62"/>
      <c r="W205" s="58"/>
      <c r="X205" s="57"/>
      <c r="Y205" s="30"/>
      <c r="AC205" s="63"/>
    </row>
    <row r="206" spans="2:29" x14ac:dyDescent="0.25">
      <c r="I206" s="31"/>
      <c r="N206" s="62"/>
      <c r="W206" s="58"/>
      <c r="X206" s="57"/>
      <c r="Y206" s="30"/>
      <c r="AC206" s="63"/>
    </row>
    <row r="207" spans="2:29" x14ac:dyDescent="0.25">
      <c r="I207" s="31"/>
      <c r="N207" s="62"/>
      <c r="W207" s="58"/>
      <c r="X207" s="57"/>
      <c r="Y207" s="30"/>
      <c r="AC207" s="63"/>
    </row>
    <row r="208" spans="2:29" x14ac:dyDescent="0.25">
      <c r="I208" s="31"/>
      <c r="N208" s="62"/>
      <c r="W208" s="58"/>
      <c r="X208" s="31"/>
      <c r="Y208" s="30"/>
      <c r="AC208" s="63"/>
    </row>
    <row r="209" spans="2:29" x14ac:dyDescent="0.25">
      <c r="I209" s="31"/>
      <c r="N209" s="62"/>
      <c r="W209" s="58"/>
      <c r="X209" s="57"/>
      <c r="Y209" s="30"/>
      <c r="AC209" s="63"/>
    </row>
    <row r="210" spans="2:29" x14ac:dyDescent="0.25">
      <c r="I210" s="31"/>
      <c r="N210" s="62"/>
      <c r="W210" s="58"/>
      <c r="X210" s="57"/>
      <c r="Y210" s="30"/>
      <c r="AC210" s="63"/>
    </row>
    <row r="211" spans="2:29" x14ac:dyDescent="0.25">
      <c r="I211" s="31"/>
      <c r="N211" s="62"/>
      <c r="W211" s="58"/>
      <c r="X211" s="57"/>
      <c r="Y211" s="30"/>
      <c r="AC211" s="63"/>
    </row>
    <row r="212" spans="2:29" x14ac:dyDescent="0.25">
      <c r="B212" s="31"/>
      <c r="C212" s="30"/>
      <c r="I212" s="31"/>
      <c r="N212" s="62"/>
      <c r="W212" s="58"/>
      <c r="X212" s="31"/>
      <c r="Y212" s="30"/>
      <c r="AC212" s="63"/>
    </row>
    <row r="213" spans="2:29" x14ac:dyDescent="0.25">
      <c r="I213" s="31"/>
      <c r="N213" s="62"/>
      <c r="W213" s="58"/>
      <c r="X213" s="31"/>
      <c r="Y213" s="30"/>
      <c r="AC213" s="63"/>
    </row>
    <row r="214" spans="2:29" x14ac:dyDescent="0.25">
      <c r="I214" s="31"/>
      <c r="N214" s="62"/>
      <c r="W214" s="58"/>
      <c r="X214" s="57"/>
      <c r="Y214" s="30"/>
      <c r="AC214" s="63"/>
    </row>
    <row r="215" spans="2:29" x14ac:dyDescent="0.25">
      <c r="I215" s="31"/>
      <c r="N215" s="62"/>
      <c r="W215" s="58"/>
      <c r="X215" s="57"/>
      <c r="Y215" s="30"/>
      <c r="AC215" s="63"/>
    </row>
    <row r="216" spans="2:29" x14ac:dyDescent="0.25">
      <c r="I216" s="31"/>
      <c r="N216" s="62"/>
      <c r="W216" s="58"/>
      <c r="X216" s="57"/>
      <c r="Y216" s="30"/>
      <c r="AC216" s="63"/>
    </row>
    <row r="217" spans="2:29" x14ac:dyDescent="0.25">
      <c r="I217" s="31"/>
      <c r="N217" s="62"/>
      <c r="W217" s="58"/>
      <c r="X217" s="57"/>
      <c r="Y217" s="30"/>
      <c r="AC217" s="63"/>
    </row>
    <row r="218" spans="2:29" x14ac:dyDescent="0.25">
      <c r="I218" s="31"/>
      <c r="N218" s="62"/>
      <c r="W218" s="58"/>
      <c r="X218" s="31"/>
      <c r="Y218" s="30"/>
      <c r="AC218" s="63"/>
    </row>
    <row r="219" spans="2:29" x14ac:dyDescent="0.25">
      <c r="I219" s="31"/>
      <c r="N219" s="62"/>
      <c r="W219" s="58"/>
      <c r="X219" s="57"/>
      <c r="Y219" s="30"/>
      <c r="AC219" s="63"/>
    </row>
    <row r="220" spans="2:29" x14ac:dyDescent="0.25">
      <c r="I220" s="31"/>
      <c r="N220" s="62"/>
      <c r="W220" s="58"/>
      <c r="X220" s="57"/>
      <c r="Y220" s="30"/>
      <c r="AC220" s="63"/>
    </row>
    <row r="221" spans="2:29" x14ac:dyDescent="0.25">
      <c r="I221" s="31"/>
      <c r="N221" s="62"/>
      <c r="W221" s="58"/>
      <c r="X221" s="57"/>
      <c r="Y221" s="30"/>
      <c r="AC221" s="63"/>
    </row>
    <row r="222" spans="2:29" x14ac:dyDescent="0.25">
      <c r="I222" s="31"/>
      <c r="N222" s="62"/>
      <c r="W222" s="58"/>
      <c r="X222" s="57"/>
      <c r="Y222" s="30"/>
      <c r="AC222" s="63"/>
    </row>
    <row r="223" spans="2:29" x14ac:dyDescent="0.25">
      <c r="I223" s="31"/>
      <c r="N223" s="62"/>
      <c r="W223" s="58"/>
      <c r="X223" s="31"/>
      <c r="Y223" s="30"/>
      <c r="AC223" s="63"/>
    </row>
    <row r="224" spans="2:29" x14ac:dyDescent="0.25">
      <c r="B224" s="31"/>
      <c r="C224" s="30"/>
      <c r="I224" s="31"/>
      <c r="K224"/>
      <c r="N224" s="62"/>
      <c r="X224" s="31"/>
      <c r="Y224" s="30"/>
      <c r="AC224" s="63"/>
    </row>
    <row r="225" spans="2:29" x14ac:dyDescent="0.25">
      <c r="B225" s="31"/>
      <c r="C225" s="30"/>
      <c r="I225" s="31"/>
      <c r="N225" s="62"/>
      <c r="X225" s="31"/>
      <c r="Y225" s="30"/>
      <c r="AC225" s="63"/>
    </row>
    <row r="226" spans="2:29" x14ac:dyDescent="0.25">
      <c r="B226" s="31"/>
      <c r="C226" s="30"/>
      <c r="I226" s="31"/>
      <c r="N226" s="62"/>
      <c r="X226" s="31"/>
      <c r="Y226" s="30"/>
      <c r="AC226" s="63"/>
    </row>
    <row r="227" spans="2:29" x14ac:dyDescent="0.25">
      <c r="B227" s="31"/>
      <c r="C227" s="30"/>
      <c r="I227" s="31"/>
      <c r="N227" s="62"/>
      <c r="X227" s="31"/>
      <c r="Y227" s="30"/>
      <c r="AC227" s="63"/>
    </row>
    <row r="228" spans="2:29" x14ac:dyDescent="0.25">
      <c r="B228" s="31"/>
      <c r="C228" s="30"/>
      <c r="I228" s="31"/>
      <c r="N228" s="62"/>
      <c r="X228" s="31"/>
      <c r="Y228" s="30"/>
      <c r="AC228" s="63"/>
    </row>
    <row r="229" spans="2:29" x14ac:dyDescent="0.25">
      <c r="I229" s="31"/>
      <c r="N229" s="62"/>
      <c r="W229" s="58"/>
      <c r="X229" s="57"/>
      <c r="Y229" s="30"/>
      <c r="AC229" s="63"/>
    </row>
    <row r="230" spans="2:29" x14ac:dyDescent="0.25">
      <c r="I230" s="31"/>
      <c r="N230" s="62"/>
      <c r="W230" s="58"/>
      <c r="X230" s="57"/>
      <c r="Y230" s="30"/>
      <c r="AC230" s="63"/>
    </row>
    <row r="231" spans="2:29" x14ac:dyDescent="0.25">
      <c r="I231" s="31"/>
      <c r="N231" s="62"/>
      <c r="W231" s="58"/>
      <c r="X231" s="57"/>
      <c r="Y231" s="30"/>
      <c r="AC231" s="63"/>
    </row>
    <row r="232" spans="2:29" x14ac:dyDescent="0.25">
      <c r="I232" s="31"/>
      <c r="N232" s="62"/>
      <c r="W232" s="58"/>
      <c r="X232" s="57"/>
      <c r="Y232" s="30"/>
      <c r="AC232" s="63"/>
    </row>
    <row r="233" spans="2:29" x14ac:dyDescent="0.25">
      <c r="I233" s="31"/>
      <c r="N233" s="62"/>
      <c r="W233" s="58"/>
      <c r="X233" s="31"/>
      <c r="Y233" s="30"/>
      <c r="AC233" s="63"/>
    </row>
    <row r="234" spans="2:29" x14ac:dyDescent="0.25">
      <c r="I234" s="31"/>
      <c r="N234" s="62"/>
      <c r="W234" s="58"/>
      <c r="X234" s="57"/>
      <c r="Y234" s="30"/>
      <c r="AC234" s="63"/>
    </row>
    <row r="235" spans="2:29" x14ac:dyDescent="0.25">
      <c r="I235" s="31"/>
      <c r="N235" s="62"/>
      <c r="W235" s="58"/>
      <c r="X235" s="57"/>
      <c r="Y235" s="30"/>
      <c r="AC235" s="63"/>
    </row>
    <row r="236" spans="2:29" x14ac:dyDescent="0.25">
      <c r="I236" s="31"/>
      <c r="N236" s="62"/>
      <c r="W236" s="58"/>
      <c r="X236" s="57"/>
      <c r="Y236" s="30"/>
      <c r="AC236" s="63"/>
    </row>
    <row r="237" spans="2:29" x14ac:dyDescent="0.25">
      <c r="I237" s="31"/>
      <c r="N237" s="62"/>
      <c r="W237" s="58"/>
      <c r="X237" s="31"/>
      <c r="Y237" s="30"/>
      <c r="AC237" s="63"/>
    </row>
    <row r="238" spans="2:29" x14ac:dyDescent="0.25">
      <c r="I238" s="31"/>
      <c r="N238" s="62"/>
      <c r="W238" s="58"/>
      <c r="X238" s="31"/>
      <c r="Y238" s="30"/>
      <c r="AC238" s="63"/>
    </row>
    <row r="239" spans="2:29" x14ac:dyDescent="0.25">
      <c r="I239" s="31"/>
      <c r="N239" s="62"/>
      <c r="W239" s="58"/>
      <c r="X239" s="57"/>
      <c r="Y239" s="30"/>
      <c r="AC239" s="63"/>
    </row>
    <row r="240" spans="2:29" x14ac:dyDescent="0.25">
      <c r="I240" s="31"/>
      <c r="N240" s="62"/>
      <c r="W240" s="58"/>
      <c r="X240" s="57"/>
      <c r="Y240" s="30"/>
      <c r="AC240" s="63"/>
    </row>
    <row r="241" spans="9:29" x14ac:dyDescent="0.25">
      <c r="I241" s="31"/>
      <c r="N241" s="62"/>
      <c r="W241" s="58"/>
      <c r="X241" s="57"/>
      <c r="Y241" s="30"/>
      <c r="AC241" s="63"/>
    </row>
    <row r="242" spans="9:29" x14ac:dyDescent="0.25">
      <c r="I242" s="31"/>
      <c r="N242" s="62"/>
      <c r="W242" s="58"/>
      <c r="X242" s="31"/>
      <c r="Y242" s="30"/>
      <c r="AC242" s="63"/>
    </row>
    <row r="243" spans="9:29" x14ac:dyDescent="0.25">
      <c r="I243" s="31"/>
      <c r="N243" s="62"/>
      <c r="W243" s="58"/>
      <c r="X243" s="31"/>
      <c r="Y243" s="30"/>
      <c r="AC243" s="63"/>
    </row>
  </sheetData>
  <sortState xmlns:xlrd2="http://schemas.microsoft.com/office/spreadsheetml/2017/richdata2" ref="P4:AB123">
    <sortCondition ref="S4:S123"/>
    <sortCondition ref="T4:T123"/>
    <sortCondition ref="R4:R123"/>
    <sortCondition ref="P4:P123"/>
  </sortState>
  <mergeCells count="58">
    <mergeCell ref="N114:N118"/>
    <mergeCell ref="AC114:AC118"/>
    <mergeCell ref="N119:N123"/>
    <mergeCell ref="AC119:AC123"/>
    <mergeCell ref="N99:N103"/>
    <mergeCell ref="AC99:AC103"/>
    <mergeCell ref="N104:N108"/>
    <mergeCell ref="AC104:AC108"/>
    <mergeCell ref="N109:N113"/>
    <mergeCell ref="AC109:AC113"/>
    <mergeCell ref="N84:N88"/>
    <mergeCell ref="AC84:AC88"/>
    <mergeCell ref="N89:N93"/>
    <mergeCell ref="AC89:AC93"/>
    <mergeCell ref="N94:N98"/>
    <mergeCell ref="AC94:AC98"/>
    <mergeCell ref="N69:N73"/>
    <mergeCell ref="AC69:AC73"/>
    <mergeCell ref="N74:N78"/>
    <mergeCell ref="AC74:AC78"/>
    <mergeCell ref="N79:N83"/>
    <mergeCell ref="AC79:AC83"/>
    <mergeCell ref="N54:N58"/>
    <mergeCell ref="AC54:AC58"/>
    <mergeCell ref="N59:N63"/>
    <mergeCell ref="AC59:AC63"/>
    <mergeCell ref="N64:N68"/>
    <mergeCell ref="AC64:AC68"/>
    <mergeCell ref="N39:N43"/>
    <mergeCell ref="AC39:AC43"/>
    <mergeCell ref="N44:N48"/>
    <mergeCell ref="AC44:AC48"/>
    <mergeCell ref="N49:N53"/>
    <mergeCell ref="AC49:AC53"/>
    <mergeCell ref="N24:N28"/>
    <mergeCell ref="AC24:AC28"/>
    <mergeCell ref="N29:N33"/>
    <mergeCell ref="AC29:AC33"/>
    <mergeCell ref="N34:N38"/>
    <mergeCell ref="AC34:AC38"/>
    <mergeCell ref="N9:N13"/>
    <mergeCell ref="AC9:AC13"/>
    <mergeCell ref="N14:N18"/>
    <mergeCell ref="AC14:AC18"/>
    <mergeCell ref="N19:N23"/>
    <mergeCell ref="AC19:AC23"/>
    <mergeCell ref="Z2:AB2"/>
    <mergeCell ref="N4:N8"/>
    <mergeCell ref="AC4:AC8"/>
    <mergeCell ref="A1:D1"/>
    <mergeCell ref="K1:M1"/>
    <mergeCell ref="P1:S1"/>
    <mergeCell ref="Z1:AB1"/>
    <mergeCell ref="A2:B2"/>
    <mergeCell ref="K2:M2"/>
    <mergeCell ref="P2:Q2"/>
    <mergeCell ref="N1:N3"/>
    <mergeCell ref="AC1:AC3"/>
  </mergeCells>
  <conditionalFormatting sqref="N4:N2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2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82D1-CA0D-4F95-ACEC-D21D0BD11906}">
  <dimension ref="A1:AU243"/>
  <sheetViews>
    <sheetView topLeftCell="A109" zoomScale="70" zoomScaleNormal="70" workbookViewId="0">
      <selection activeCell="AC19" sqref="AC19"/>
    </sheetView>
  </sheetViews>
  <sheetFormatPr defaultRowHeight="15" x14ac:dyDescent="0.25"/>
  <cols>
    <col min="7" max="7" width="9.140625" style="2"/>
    <col min="8" max="8" width="9.140625" style="40"/>
    <col min="10" max="10" width="9.140625" style="38"/>
    <col min="11" max="22" width="9.140625" style="41"/>
    <col min="23" max="23" width="9.140625" style="40"/>
    <col min="24" max="24" width="9.140625" style="2"/>
    <col min="32" max="32" width="9.140625" style="40"/>
    <col min="39" max="39" width="9.140625" style="41"/>
  </cols>
  <sheetData>
    <row r="1" spans="1:47" s="6" customFormat="1" x14ac:dyDescent="0.25">
      <c r="A1" s="84" t="s">
        <v>179</v>
      </c>
      <c r="B1" s="84"/>
      <c r="C1" s="84"/>
      <c r="D1" s="84"/>
      <c r="E1" s="44">
        <f>MAX(W:W)</f>
        <v>2.1006999999999998</v>
      </c>
      <c r="F1" s="60">
        <f>INDEX(C:C,MATCH(MAX($W:$W),$W:$W,0))</f>
        <v>19392</v>
      </c>
      <c r="G1" s="60">
        <f>INDEX(D:D,MATCH(MAX($W:$W),$W:$W,0))</f>
        <v>192</v>
      </c>
      <c r="H1" s="60">
        <f>INDEX(E:E,MATCH(MAX($W:$W),$W:$W,0))</f>
        <v>2</v>
      </c>
      <c r="I1" s="60">
        <f>INDEX(F:F,MATCH(MAX($W:$W),$W:$W,0))</f>
        <v>4</v>
      </c>
      <c r="J1" s="52"/>
      <c r="K1" s="73" t="s">
        <v>188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85" t="s">
        <v>175</v>
      </c>
      <c r="X1" s="34"/>
      <c r="Y1" s="84" t="s">
        <v>179</v>
      </c>
      <c r="Z1" s="84"/>
      <c r="AA1" s="84"/>
      <c r="AB1" s="84"/>
      <c r="AC1" s="44">
        <f>MAX(AU:AU)</f>
        <v>2.3454000000000002</v>
      </c>
      <c r="AD1" s="60">
        <f>INDEX(AA:AA,MATCH(MAX($AU:$AU),$AU:$AU,0))</f>
        <v>19264</v>
      </c>
      <c r="AE1" s="60">
        <f>INDEX(AB:AB,MATCH(MAX($AU:$AU),$AU:$AU,0))</f>
        <v>224</v>
      </c>
      <c r="AF1" s="60">
        <f>INDEX(AC:AC,MATCH(MAX($AU:$AU),$AU:$AU,0))</f>
        <v>1</v>
      </c>
      <c r="AG1" s="60">
        <f>INDEX(AD:AD,MATCH(MAX($AU:$AU),$AU:$AU,0))</f>
        <v>8</v>
      </c>
      <c r="AH1" s="52"/>
      <c r="AI1" s="73" t="s">
        <v>176</v>
      </c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85" t="s">
        <v>175</v>
      </c>
    </row>
    <row r="2" spans="1:47" s="14" customFormat="1" x14ac:dyDescent="0.25">
      <c r="A2" s="76" t="s">
        <v>180</v>
      </c>
      <c r="B2" s="76"/>
      <c r="C2" s="46">
        <f>MAX(H4:H841)</f>
        <v>2.2090000000000001</v>
      </c>
      <c r="D2" s="45"/>
      <c r="E2" s="45"/>
      <c r="F2" s="45"/>
      <c r="G2" s="55"/>
      <c r="H2" s="47"/>
      <c r="I2" s="45"/>
      <c r="J2" s="52"/>
      <c r="K2" s="77" t="s">
        <v>181</v>
      </c>
      <c r="L2" s="77"/>
      <c r="M2" s="77"/>
      <c r="N2" s="77" t="s">
        <v>185</v>
      </c>
      <c r="O2" s="77"/>
      <c r="P2" s="77"/>
      <c r="Q2" s="77" t="s">
        <v>186</v>
      </c>
      <c r="R2" s="77"/>
      <c r="S2" s="77"/>
      <c r="T2" s="77" t="s">
        <v>187</v>
      </c>
      <c r="U2" s="77"/>
      <c r="V2" s="78"/>
      <c r="W2" s="85"/>
      <c r="X2" s="35"/>
      <c r="Y2" s="76" t="s">
        <v>180</v>
      </c>
      <c r="Z2" s="76"/>
      <c r="AA2" s="46">
        <f>MAX(AF4:AF841)</f>
        <v>2.3921000000000001</v>
      </c>
      <c r="AB2" s="45"/>
      <c r="AC2" s="45"/>
      <c r="AD2" s="45"/>
      <c r="AE2" s="55"/>
      <c r="AF2" s="47"/>
      <c r="AG2" s="45"/>
      <c r="AH2" s="52"/>
      <c r="AI2" s="77" t="s">
        <v>181</v>
      </c>
      <c r="AJ2" s="77"/>
      <c r="AK2" s="77"/>
      <c r="AL2" s="77" t="s">
        <v>185</v>
      </c>
      <c r="AM2" s="77"/>
      <c r="AN2" s="77"/>
      <c r="AO2" s="77" t="s">
        <v>186</v>
      </c>
      <c r="AP2" s="77"/>
      <c r="AQ2" s="77"/>
      <c r="AR2" s="77" t="s">
        <v>187</v>
      </c>
      <c r="AS2" s="77"/>
      <c r="AT2" s="78"/>
      <c r="AU2" s="85"/>
    </row>
    <row r="3" spans="1:47" s="32" customFormat="1" x14ac:dyDescent="0.25">
      <c r="A3" s="49" t="s">
        <v>177</v>
      </c>
      <c r="B3" s="49"/>
      <c r="C3" s="49" t="s">
        <v>2</v>
      </c>
      <c r="D3" s="49" t="s">
        <v>3</v>
      </c>
      <c r="E3" s="49" t="s">
        <v>4</v>
      </c>
      <c r="F3" s="49" t="s">
        <v>5</v>
      </c>
      <c r="G3" s="56" t="s">
        <v>6</v>
      </c>
      <c r="H3" s="50" t="s">
        <v>7</v>
      </c>
      <c r="I3" s="50" t="s">
        <v>174</v>
      </c>
      <c r="J3" s="53" t="s">
        <v>6</v>
      </c>
      <c r="K3" s="48" t="s">
        <v>184</v>
      </c>
      <c r="L3" s="54" t="s">
        <v>183</v>
      </c>
      <c r="M3" s="48" t="s">
        <v>182</v>
      </c>
      <c r="N3" s="48" t="s">
        <v>184</v>
      </c>
      <c r="O3" s="48" t="s">
        <v>183</v>
      </c>
      <c r="P3" s="48" t="s">
        <v>182</v>
      </c>
      <c r="Q3" s="48" t="s">
        <v>184</v>
      </c>
      <c r="R3" s="48" t="s">
        <v>183</v>
      </c>
      <c r="S3" s="48" t="s">
        <v>182</v>
      </c>
      <c r="T3" s="48" t="s">
        <v>184</v>
      </c>
      <c r="U3" s="48" t="s">
        <v>183</v>
      </c>
      <c r="V3" s="64" t="s">
        <v>182</v>
      </c>
      <c r="W3" s="85"/>
      <c r="X3" s="36"/>
      <c r="Y3" s="49" t="s">
        <v>177</v>
      </c>
      <c r="Z3" s="49"/>
      <c r="AA3" s="49" t="s">
        <v>2</v>
      </c>
      <c r="AB3" s="49" t="s">
        <v>3</v>
      </c>
      <c r="AC3" s="49" t="s">
        <v>4</v>
      </c>
      <c r="AD3" s="49" t="s">
        <v>5</v>
      </c>
      <c r="AE3" s="56" t="s">
        <v>6</v>
      </c>
      <c r="AF3" s="50" t="s">
        <v>7</v>
      </c>
      <c r="AG3" s="50" t="s">
        <v>174</v>
      </c>
      <c r="AH3" s="53" t="s">
        <v>6</v>
      </c>
      <c r="AI3" s="48" t="s">
        <v>184</v>
      </c>
      <c r="AJ3" s="54" t="s">
        <v>183</v>
      </c>
      <c r="AK3" s="48" t="s">
        <v>182</v>
      </c>
      <c r="AL3" s="48" t="s">
        <v>184</v>
      </c>
      <c r="AM3" s="54" t="s">
        <v>183</v>
      </c>
      <c r="AN3" s="48" t="s">
        <v>182</v>
      </c>
      <c r="AO3" s="48" t="s">
        <v>184</v>
      </c>
      <c r="AP3" s="48" t="s">
        <v>183</v>
      </c>
      <c r="AQ3" s="48" t="s">
        <v>182</v>
      </c>
      <c r="AR3" s="48" t="s">
        <v>184</v>
      </c>
      <c r="AS3" s="48" t="s">
        <v>183</v>
      </c>
      <c r="AT3" s="64" t="s">
        <v>182</v>
      </c>
      <c r="AU3" s="85"/>
    </row>
    <row r="4" spans="1:47" x14ac:dyDescent="0.25">
      <c r="A4" s="32">
        <v>0</v>
      </c>
      <c r="B4" s="32" t="s">
        <v>8</v>
      </c>
      <c r="C4" s="32">
        <v>18368</v>
      </c>
      <c r="D4" s="32">
        <v>32</v>
      </c>
      <c r="E4" s="32">
        <v>1</v>
      </c>
      <c r="F4" s="32">
        <v>8</v>
      </c>
      <c r="G4" s="36">
        <v>2173.15</v>
      </c>
      <c r="H4" s="39">
        <v>1.9013</v>
      </c>
      <c r="I4" s="33">
        <v>45458</v>
      </c>
      <c r="J4" s="37">
        <v>0.84365740740740736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82">
        <f>AVERAGE(H4:H8)</f>
        <v>1.9202600000000001</v>
      </c>
      <c r="Y4">
        <v>0</v>
      </c>
      <c r="Z4" t="s">
        <v>8</v>
      </c>
      <c r="AA4">
        <v>18368</v>
      </c>
      <c r="AB4">
        <v>32</v>
      </c>
      <c r="AC4">
        <v>1</v>
      </c>
      <c r="AD4">
        <v>8</v>
      </c>
      <c r="AE4">
        <v>2052.06</v>
      </c>
      <c r="AF4" s="58">
        <v>2.0135000000000001</v>
      </c>
      <c r="AG4" s="57">
        <v>45465</v>
      </c>
      <c r="AH4" s="30">
        <v>0.87331018518518522</v>
      </c>
      <c r="AI4">
        <v>0</v>
      </c>
      <c r="AJ4">
        <v>0</v>
      </c>
      <c r="AK4">
        <v>0</v>
      </c>
      <c r="AL4">
        <v>0</v>
      </c>
      <c r="AM4" s="41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s="83">
        <f>AVERAGE(AF4:AF8)</f>
        <v>2.069</v>
      </c>
    </row>
    <row r="5" spans="1:47" x14ac:dyDescent="0.25">
      <c r="A5">
        <v>1</v>
      </c>
      <c r="B5" t="s">
        <v>8</v>
      </c>
      <c r="C5">
        <v>18368</v>
      </c>
      <c r="D5">
        <v>32</v>
      </c>
      <c r="E5">
        <v>1</v>
      </c>
      <c r="F5">
        <v>8</v>
      </c>
      <c r="G5" s="2">
        <v>2209.33</v>
      </c>
      <c r="H5" s="40">
        <v>1.8702000000000001</v>
      </c>
      <c r="I5" s="31">
        <v>45460</v>
      </c>
      <c r="J5" s="38">
        <v>0.13945601851851852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82"/>
      <c r="Y5">
        <v>1</v>
      </c>
      <c r="Z5" t="s">
        <v>8</v>
      </c>
      <c r="AA5">
        <v>18368</v>
      </c>
      <c r="AB5">
        <v>32</v>
      </c>
      <c r="AC5">
        <v>1</v>
      </c>
      <c r="AD5">
        <v>8</v>
      </c>
      <c r="AE5">
        <v>2033.12</v>
      </c>
      <c r="AF5" s="58">
        <v>2.0323000000000002</v>
      </c>
      <c r="AG5" s="57">
        <v>45468</v>
      </c>
      <c r="AH5" s="30">
        <v>0.734837962962963</v>
      </c>
      <c r="AI5">
        <v>0</v>
      </c>
      <c r="AJ5">
        <v>0</v>
      </c>
      <c r="AK5">
        <v>0</v>
      </c>
      <c r="AL5">
        <v>0</v>
      </c>
      <c r="AM5" s="41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s="83"/>
    </row>
    <row r="6" spans="1:47" x14ac:dyDescent="0.25">
      <c r="A6">
        <v>2</v>
      </c>
      <c r="B6" t="s">
        <v>8</v>
      </c>
      <c r="C6">
        <v>18368</v>
      </c>
      <c r="D6">
        <v>32</v>
      </c>
      <c r="E6">
        <v>1</v>
      </c>
      <c r="F6">
        <v>8</v>
      </c>
      <c r="G6" s="2">
        <v>2230.14</v>
      </c>
      <c r="H6" s="40">
        <v>1.8527</v>
      </c>
      <c r="I6" s="31">
        <v>45461</v>
      </c>
      <c r="J6" s="38">
        <v>0.74884259259259256</v>
      </c>
      <c r="K6" s="41">
        <v>0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82"/>
      <c r="Y6">
        <v>2</v>
      </c>
      <c r="Z6" t="s">
        <v>8</v>
      </c>
      <c r="AA6">
        <v>18368</v>
      </c>
      <c r="AB6">
        <v>32</v>
      </c>
      <c r="AC6">
        <v>1</v>
      </c>
      <c r="AD6">
        <v>8</v>
      </c>
      <c r="AE6">
        <v>1875.5</v>
      </c>
      <c r="AF6" s="58">
        <v>2.2031000000000001</v>
      </c>
      <c r="AG6" s="57">
        <v>45469</v>
      </c>
      <c r="AH6" s="30">
        <v>0.99608796296296298</v>
      </c>
      <c r="AI6">
        <v>0</v>
      </c>
      <c r="AJ6">
        <v>0</v>
      </c>
      <c r="AK6">
        <v>0</v>
      </c>
      <c r="AL6">
        <v>0</v>
      </c>
      <c r="AM6" s="41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83"/>
    </row>
    <row r="7" spans="1:47" x14ac:dyDescent="0.25">
      <c r="A7">
        <v>3</v>
      </c>
      <c r="B7" t="s">
        <v>8</v>
      </c>
      <c r="C7">
        <v>18368</v>
      </c>
      <c r="D7">
        <v>32</v>
      </c>
      <c r="E7">
        <v>1</v>
      </c>
      <c r="F7">
        <v>8</v>
      </c>
      <c r="G7" s="2">
        <v>2088.59</v>
      </c>
      <c r="H7" s="40">
        <v>1.9782999999999999</v>
      </c>
      <c r="I7" s="31">
        <v>45463</v>
      </c>
      <c r="J7" s="38">
        <v>4.8402777777777781E-2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82"/>
      <c r="Y7">
        <v>3</v>
      </c>
      <c r="Z7" t="s">
        <v>8</v>
      </c>
      <c r="AA7">
        <v>18368</v>
      </c>
      <c r="AB7">
        <v>32</v>
      </c>
      <c r="AC7">
        <v>1</v>
      </c>
      <c r="AD7">
        <v>8</v>
      </c>
      <c r="AE7">
        <v>2114.33</v>
      </c>
      <c r="AF7" s="58">
        <v>1.9541999999999999</v>
      </c>
      <c r="AG7" s="57">
        <v>45471</v>
      </c>
      <c r="AH7" s="30">
        <v>0.26579861111111114</v>
      </c>
      <c r="AI7">
        <v>0</v>
      </c>
      <c r="AJ7">
        <v>0</v>
      </c>
      <c r="AK7">
        <v>0</v>
      </c>
      <c r="AL7">
        <v>0</v>
      </c>
      <c r="AM7" s="41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83"/>
    </row>
    <row r="8" spans="1:47" x14ac:dyDescent="0.25">
      <c r="A8">
        <v>4</v>
      </c>
      <c r="B8" t="s">
        <v>8</v>
      </c>
      <c r="C8">
        <v>18368</v>
      </c>
      <c r="D8">
        <v>32</v>
      </c>
      <c r="E8">
        <v>1</v>
      </c>
      <c r="F8">
        <v>8</v>
      </c>
      <c r="G8" s="2">
        <v>2067.2199999999998</v>
      </c>
      <c r="H8" s="40">
        <v>1.9987999999999999</v>
      </c>
      <c r="I8" s="31">
        <v>45464</v>
      </c>
      <c r="J8" s="38">
        <v>0.32649305555555558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82"/>
      <c r="Y8">
        <v>4</v>
      </c>
      <c r="Z8" t="s">
        <v>8</v>
      </c>
      <c r="AA8">
        <v>18368</v>
      </c>
      <c r="AB8">
        <v>32</v>
      </c>
      <c r="AC8">
        <v>1</v>
      </c>
      <c r="AD8">
        <v>8</v>
      </c>
      <c r="AE8">
        <v>1929.08</v>
      </c>
      <c r="AF8" s="58">
        <v>2.1419000000000001</v>
      </c>
      <c r="AG8" s="31">
        <v>45472</v>
      </c>
      <c r="AH8" s="30">
        <v>0.53038194444444442</v>
      </c>
      <c r="AI8">
        <v>0</v>
      </c>
      <c r="AJ8">
        <v>0</v>
      </c>
      <c r="AK8">
        <v>0</v>
      </c>
      <c r="AL8">
        <v>0</v>
      </c>
      <c r="AM8" s="41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83"/>
    </row>
    <row r="9" spans="1:47" x14ac:dyDescent="0.25">
      <c r="A9">
        <v>0</v>
      </c>
      <c r="B9" t="s">
        <v>8</v>
      </c>
      <c r="C9">
        <v>19456</v>
      </c>
      <c r="D9">
        <v>32</v>
      </c>
      <c r="E9">
        <v>1</v>
      </c>
      <c r="F9">
        <v>8</v>
      </c>
      <c r="G9" s="2">
        <v>2633.52</v>
      </c>
      <c r="H9" s="40">
        <v>1.8646</v>
      </c>
      <c r="I9" s="31">
        <v>45459</v>
      </c>
      <c r="J9" s="38">
        <v>0.2371875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82">
        <f t="shared" ref="W9" si="0">AVERAGE(H9:H13)</f>
        <v>1.87564</v>
      </c>
      <c r="Y9">
        <v>0</v>
      </c>
      <c r="Z9" t="s">
        <v>8</v>
      </c>
      <c r="AA9">
        <v>19456</v>
      </c>
      <c r="AB9">
        <v>32</v>
      </c>
      <c r="AC9">
        <v>1</v>
      </c>
      <c r="AD9">
        <v>8</v>
      </c>
      <c r="AE9">
        <v>2220.9499999999998</v>
      </c>
      <c r="AF9" s="58">
        <v>2.2109999999999999</v>
      </c>
      <c r="AG9" s="57">
        <v>45466</v>
      </c>
      <c r="AH9" s="30">
        <v>0.26012731481481483</v>
      </c>
      <c r="AI9">
        <v>0</v>
      </c>
      <c r="AJ9">
        <v>0</v>
      </c>
      <c r="AK9">
        <v>0</v>
      </c>
      <c r="AL9">
        <v>0</v>
      </c>
      <c r="AM9" s="41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83">
        <f t="shared" ref="AU9" si="1">AVERAGE(AF9:AF13)</f>
        <v>2.0891000000000002</v>
      </c>
    </row>
    <row r="10" spans="1:47" x14ac:dyDescent="0.25">
      <c r="A10">
        <v>1</v>
      </c>
      <c r="B10" t="s">
        <v>8</v>
      </c>
      <c r="C10">
        <v>19456</v>
      </c>
      <c r="D10">
        <v>32</v>
      </c>
      <c r="E10">
        <v>1</v>
      </c>
      <c r="F10">
        <v>8</v>
      </c>
      <c r="G10" s="2">
        <v>2649.02</v>
      </c>
      <c r="H10" s="40">
        <v>1.8536999999999999</v>
      </c>
      <c r="I10" s="31">
        <v>45460</v>
      </c>
      <c r="J10" s="38">
        <v>0.53678240740740746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82"/>
      <c r="Y10">
        <v>1</v>
      </c>
      <c r="Z10" t="s">
        <v>8</v>
      </c>
      <c r="AA10">
        <v>19456</v>
      </c>
      <c r="AB10">
        <v>32</v>
      </c>
      <c r="AC10">
        <v>1</v>
      </c>
      <c r="AD10">
        <v>8</v>
      </c>
      <c r="AE10">
        <v>2397.63</v>
      </c>
      <c r="AF10" s="58">
        <v>2.048</v>
      </c>
      <c r="AG10" s="57">
        <v>45469</v>
      </c>
      <c r="AH10" s="30">
        <v>0.11774305555555556</v>
      </c>
      <c r="AI10">
        <v>0</v>
      </c>
      <c r="AJ10">
        <v>0</v>
      </c>
      <c r="AK10">
        <v>0</v>
      </c>
      <c r="AL10">
        <v>0</v>
      </c>
      <c r="AM10" s="41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83"/>
    </row>
    <row r="11" spans="1:47" x14ac:dyDescent="0.25">
      <c r="A11">
        <v>2</v>
      </c>
      <c r="B11" t="s">
        <v>8</v>
      </c>
      <c r="C11">
        <v>19456</v>
      </c>
      <c r="D11">
        <v>32</v>
      </c>
      <c r="E11">
        <v>1</v>
      </c>
      <c r="F11">
        <v>8</v>
      </c>
      <c r="G11" s="2">
        <v>2643.58</v>
      </c>
      <c r="H11" s="40">
        <v>1.8574999999999999</v>
      </c>
      <c r="I11" s="31">
        <v>45462</v>
      </c>
      <c r="J11" s="38">
        <v>0.14311342592592594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82"/>
      <c r="Y11">
        <v>2</v>
      </c>
      <c r="Z11" t="s">
        <v>8</v>
      </c>
      <c r="AA11">
        <v>19456</v>
      </c>
      <c r="AB11">
        <v>32</v>
      </c>
      <c r="AC11">
        <v>1</v>
      </c>
      <c r="AD11">
        <v>8</v>
      </c>
      <c r="AE11">
        <v>2340.06</v>
      </c>
      <c r="AF11" s="58">
        <v>2.0983999999999998</v>
      </c>
      <c r="AG11" s="57">
        <v>45470</v>
      </c>
      <c r="AH11" s="30">
        <v>0.38740740740740742</v>
      </c>
      <c r="AI11">
        <v>0</v>
      </c>
      <c r="AJ11">
        <v>0</v>
      </c>
      <c r="AK11">
        <v>0</v>
      </c>
      <c r="AL11">
        <v>0</v>
      </c>
      <c r="AM11" s="4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83"/>
    </row>
    <row r="12" spans="1:47" x14ac:dyDescent="0.25">
      <c r="A12">
        <v>3</v>
      </c>
      <c r="B12" t="s">
        <v>8</v>
      </c>
      <c r="C12">
        <v>19456</v>
      </c>
      <c r="D12">
        <v>32</v>
      </c>
      <c r="E12">
        <v>1</v>
      </c>
      <c r="F12">
        <v>8</v>
      </c>
      <c r="G12" s="2">
        <v>2573.3000000000002</v>
      </c>
      <c r="H12" s="40">
        <v>1.9081999999999999</v>
      </c>
      <c r="I12" s="31">
        <v>45463</v>
      </c>
      <c r="J12" s="38">
        <v>0.43929398148148147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82"/>
      <c r="Y12">
        <v>3</v>
      </c>
      <c r="Z12" t="s">
        <v>8</v>
      </c>
      <c r="AA12">
        <v>19456</v>
      </c>
      <c r="AB12">
        <v>32</v>
      </c>
      <c r="AC12">
        <v>1</v>
      </c>
      <c r="AD12">
        <v>8</v>
      </c>
      <c r="AE12">
        <v>2424.0300000000002</v>
      </c>
      <c r="AF12" s="58">
        <v>2.0257000000000001</v>
      </c>
      <c r="AG12" s="57">
        <v>45471</v>
      </c>
      <c r="AH12" s="30">
        <v>0.65341435185185182</v>
      </c>
      <c r="AI12">
        <v>0</v>
      </c>
      <c r="AJ12">
        <v>0</v>
      </c>
      <c r="AK12">
        <v>0</v>
      </c>
      <c r="AL12">
        <v>0</v>
      </c>
      <c r="AM12" s="41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83"/>
    </row>
    <row r="13" spans="1:47" x14ac:dyDescent="0.25">
      <c r="A13">
        <v>4</v>
      </c>
      <c r="B13" t="s">
        <v>8</v>
      </c>
      <c r="C13">
        <v>19456</v>
      </c>
      <c r="D13">
        <v>32</v>
      </c>
      <c r="E13">
        <v>1</v>
      </c>
      <c r="F13">
        <v>8</v>
      </c>
      <c r="G13" s="2">
        <v>2592.3000000000002</v>
      </c>
      <c r="H13" s="40">
        <v>1.8942000000000001</v>
      </c>
      <c r="I13" s="31">
        <v>45464</v>
      </c>
      <c r="J13" s="38">
        <v>0.71937499999999999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82"/>
      <c r="Y13">
        <v>4</v>
      </c>
      <c r="Z13" t="s">
        <v>8</v>
      </c>
      <c r="AA13">
        <v>19456</v>
      </c>
      <c r="AB13">
        <v>32</v>
      </c>
      <c r="AC13">
        <v>1</v>
      </c>
      <c r="AD13">
        <v>8</v>
      </c>
      <c r="AE13">
        <v>2380.9</v>
      </c>
      <c r="AF13" s="58">
        <v>2.0623999999999998</v>
      </c>
      <c r="AG13" s="31">
        <v>45472</v>
      </c>
      <c r="AH13" s="30">
        <v>0.91557870370370376</v>
      </c>
      <c r="AI13">
        <v>0</v>
      </c>
      <c r="AJ13">
        <v>0</v>
      </c>
      <c r="AK13">
        <v>0</v>
      </c>
      <c r="AL13">
        <v>0</v>
      </c>
      <c r="AM13" s="41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83"/>
    </row>
    <row r="14" spans="1:47" x14ac:dyDescent="0.25">
      <c r="A14">
        <v>0</v>
      </c>
      <c r="B14" t="s">
        <v>8</v>
      </c>
      <c r="C14">
        <v>20544</v>
      </c>
      <c r="D14">
        <v>32</v>
      </c>
      <c r="E14">
        <v>1</v>
      </c>
      <c r="F14">
        <v>8</v>
      </c>
      <c r="G14" s="2">
        <v>2930.42</v>
      </c>
      <c r="H14" s="40">
        <v>1.9728000000000001</v>
      </c>
      <c r="I14" s="31">
        <v>45459</v>
      </c>
      <c r="J14" s="38">
        <v>0.69859953703703703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82">
        <f t="shared" ref="W14" si="2">AVERAGE(H14:H18)</f>
        <v>1.9690199999999998</v>
      </c>
      <c r="Y14">
        <v>0</v>
      </c>
      <c r="Z14" t="s">
        <v>8</v>
      </c>
      <c r="AA14">
        <v>20544</v>
      </c>
      <c r="AB14">
        <v>32</v>
      </c>
      <c r="AC14">
        <v>1</v>
      </c>
      <c r="AD14">
        <v>8</v>
      </c>
      <c r="AE14">
        <v>2777.38</v>
      </c>
      <c r="AF14" s="58">
        <v>2.0815000000000001</v>
      </c>
      <c r="AG14" s="57">
        <v>45466</v>
      </c>
      <c r="AH14" s="30">
        <v>0.71125000000000005</v>
      </c>
      <c r="AI14">
        <v>0</v>
      </c>
      <c r="AJ14">
        <v>0</v>
      </c>
      <c r="AK14">
        <v>0</v>
      </c>
      <c r="AL14">
        <v>0</v>
      </c>
      <c r="AM14" s="41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83">
        <f t="shared" ref="AU14" si="3">AVERAGE(AF14:AF18)</f>
        <v>2.12486</v>
      </c>
    </row>
    <row r="15" spans="1:47" x14ac:dyDescent="0.25">
      <c r="A15">
        <v>1</v>
      </c>
      <c r="B15" t="s">
        <v>8</v>
      </c>
      <c r="C15">
        <v>20544</v>
      </c>
      <c r="D15">
        <v>32</v>
      </c>
      <c r="E15">
        <v>1</v>
      </c>
      <c r="F15">
        <v>8</v>
      </c>
      <c r="G15" s="2">
        <v>3069.11</v>
      </c>
      <c r="H15" s="40">
        <v>1.8835999999999999</v>
      </c>
      <c r="I15" s="31">
        <v>45461</v>
      </c>
      <c r="J15" s="38">
        <v>1.7013888888888888E-3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82"/>
      <c r="Y15">
        <v>1</v>
      </c>
      <c r="Z15" t="s">
        <v>8</v>
      </c>
      <c r="AA15">
        <v>20544</v>
      </c>
      <c r="AB15">
        <v>32</v>
      </c>
      <c r="AC15">
        <v>1</v>
      </c>
      <c r="AD15">
        <v>8</v>
      </c>
      <c r="AE15">
        <v>2751.49</v>
      </c>
      <c r="AF15" s="58">
        <v>2.1011000000000002</v>
      </c>
      <c r="AG15" s="57">
        <v>45469</v>
      </c>
      <c r="AH15" s="30">
        <v>0.5687268518518519</v>
      </c>
      <c r="AI15">
        <v>0</v>
      </c>
      <c r="AJ15">
        <v>0</v>
      </c>
      <c r="AK15">
        <v>0</v>
      </c>
      <c r="AL15">
        <v>0</v>
      </c>
      <c r="AM15" s="41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83"/>
    </row>
    <row r="16" spans="1:47" x14ac:dyDescent="0.25">
      <c r="A16">
        <v>2</v>
      </c>
      <c r="B16" t="s">
        <v>8</v>
      </c>
      <c r="C16">
        <v>20544</v>
      </c>
      <c r="D16">
        <v>32</v>
      </c>
      <c r="E16">
        <v>1</v>
      </c>
      <c r="F16">
        <v>8</v>
      </c>
      <c r="G16" s="2">
        <v>2870.37</v>
      </c>
      <c r="H16" s="40">
        <v>2.0141</v>
      </c>
      <c r="I16" s="31">
        <v>45462</v>
      </c>
      <c r="J16" s="38">
        <v>0.60650462962962959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82"/>
      <c r="Y16">
        <v>2</v>
      </c>
      <c r="Z16" t="s">
        <v>8</v>
      </c>
      <c r="AA16">
        <v>20544</v>
      </c>
      <c r="AB16">
        <v>32</v>
      </c>
      <c r="AC16">
        <v>1</v>
      </c>
      <c r="AD16">
        <v>8</v>
      </c>
      <c r="AE16">
        <v>2610.62</v>
      </c>
      <c r="AF16" s="58">
        <v>2.2145000000000001</v>
      </c>
      <c r="AG16" s="57">
        <v>45470</v>
      </c>
      <c r="AH16" s="30">
        <v>0.83747685185185183</v>
      </c>
      <c r="AI16">
        <v>0</v>
      </c>
      <c r="AJ16">
        <v>0</v>
      </c>
      <c r="AK16">
        <v>0</v>
      </c>
      <c r="AL16">
        <v>0</v>
      </c>
      <c r="AM16" s="41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83"/>
    </row>
    <row r="17" spans="1:47" x14ac:dyDescent="0.25">
      <c r="A17">
        <v>3</v>
      </c>
      <c r="B17" t="s">
        <v>8</v>
      </c>
      <c r="C17">
        <v>20544</v>
      </c>
      <c r="D17">
        <v>32</v>
      </c>
      <c r="E17">
        <v>1</v>
      </c>
      <c r="F17">
        <v>8</v>
      </c>
      <c r="G17" s="2">
        <v>2997.22</v>
      </c>
      <c r="H17" s="40">
        <v>1.9288000000000001</v>
      </c>
      <c r="I17" s="31">
        <v>45463</v>
      </c>
      <c r="J17" s="38">
        <v>0.90179398148148149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82"/>
      <c r="Y17">
        <v>3</v>
      </c>
      <c r="Z17" t="s">
        <v>8</v>
      </c>
      <c r="AA17">
        <v>20544</v>
      </c>
      <c r="AB17">
        <v>32</v>
      </c>
      <c r="AC17">
        <v>1</v>
      </c>
      <c r="AD17">
        <v>8</v>
      </c>
      <c r="AE17">
        <v>2695.51</v>
      </c>
      <c r="AF17" s="58">
        <v>2.1446999999999998</v>
      </c>
      <c r="AG17" s="31">
        <v>45472</v>
      </c>
      <c r="AH17" s="30">
        <v>0.10237268518518519</v>
      </c>
      <c r="AI17">
        <v>0</v>
      </c>
      <c r="AJ17">
        <v>0</v>
      </c>
      <c r="AK17">
        <v>0</v>
      </c>
      <c r="AL17">
        <v>0</v>
      </c>
      <c r="AM17" s="41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83"/>
    </row>
    <row r="18" spans="1:47" x14ac:dyDescent="0.25">
      <c r="A18">
        <v>4</v>
      </c>
      <c r="B18" t="s">
        <v>8</v>
      </c>
      <c r="C18">
        <v>20544</v>
      </c>
      <c r="D18">
        <v>32</v>
      </c>
      <c r="E18">
        <v>1</v>
      </c>
      <c r="F18">
        <v>8</v>
      </c>
      <c r="G18" s="2">
        <v>2825.81</v>
      </c>
      <c r="H18" s="40">
        <v>2.0457999999999998</v>
      </c>
      <c r="I18" s="31">
        <v>45465</v>
      </c>
      <c r="J18" s="38">
        <v>0.17564814814814814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82"/>
      <c r="Y18">
        <v>4</v>
      </c>
      <c r="Z18" t="s">
        <v>8</v>
      </c>
      <c r="AA18">
        <v>20544</v>
      </c>
      <c r="AB18">
        <v>32</v>
      </c>
      <c r="AC18">
        <v>1</v>
      </c>
      <c r="AD18">
        <v>8</v>
      </c>
      <c r="AE18">
        <v>2776.07</v>
      </c>
      <c r="AF18" s="58">
        <v>2.0825</v>
      </c>
      <c r="AG18" s="31">
        <v>45473</v>
      </c>
      <c r="AH18" s="30">
        <v>0.37005787037037036</v>
      </c>
      <c r="AI18">
        <v>0</v>
      </c>
      <c r="AJ18">
        <v>0</v>
      </c>
      <c r="AK18">
        <v>0</v>
      </c>
      <c r="AL18">
        <v>0</v>
      </c>
      <c r="AM18" s="41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s="83"/>
    </row>
    <row r="19" spans="1:47" x14ac:dyDescent="0.25">
      <c r="A19">
        <v>0</v>
      </c>
      <c r="B19" t="s">
        <v>8</v>
      </c>
      <c r="C19">
        <v>18368</v>
      </c>
      <c r="D19">
        <v>32</v>
      </c>
      <c r="E19">
        <v>2</v>
      </c>
      <c r="F19">
        <v>4</v>
      </c>
      <c r="G19" s="2">
        <v>2163.4499999999998</v>
      </c>
      <c r="H19" s="40">
        <v>1.9098999999999999</v>
      </c>
      <c r="I19" s="31">
        <v>45458</v>
      </c>
      <c r="J19" s="38">
        <v>0.86940972222222224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82">
        <f t="shared" ref="W19" si="4">AVERAGE(H19:H23)</f>
        <v>1.97662</v>
      </c>
      <c r="Y19">
        <v>0</v>
      </c>
      <c r="Z19" t="s">
        <v>8</v>
      </c>
      <c r="AA19">
        <v>18368</v>
      </c>
      <c r="AB19">
        <v>32</v>
      </c>
      <c r="AC19">
        <v>2</v>
      </c>
      <c r="AD19">
        <v>4</v>
      </c>
      <c r="AE19">
        <v>2043.38</v>
      </c>
      <c r="AF19" s="58">
        <v>2.0221</v>
      </c>
      <c r="AG19" s="57">
        <v>45465</v>
      </c>
      <c r="AH19" s="30">
        <v>0.89940972222222226</v>
      </c>
      <c r="AI19">
        <v>0</v>
      </c>
      <c r="AJ19">
        <v>0</v>
      </c>
      <c r="AK19">
        <v>0</v>
      </c>
      <c r="AL19">
        <v>0</v>
      </c>
      <c r="AM19" s="41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83">
        <f t="shared" ref="AU19" si="5">AVERAGE(AF19:AF23)</f>
        <v>2.0491199999999998</v>
      </c>
    </row>
    <row r="20" spans="1:47" x14ac:dyDescent="0.25">
      <c r="A20">
        <v>1</v>
      </c>
      <c r="B20" t="s">
        <v>8</v>
      </c>
      <c r="C20">
        <v>18368</v>
      </c>
      <c r="D20">
        <v>32</v>
      </c>
      <c r="E20">
        <v>2</v>
      </c>
      <c r="F20">
        <v>4</v>
      </c>
      <c r="G20" s="2">
        <v>2076.12</v>
      </c>
      <c r="H20" s="40">
        <v>1.9902</v>
      </c>
      <c r="I20" s="31">
        <v>45460</v>
      </c>
      <c r="J20" s="38">
        <v>0.16418981481481482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82"/>
      <c r="Y20">
        <v>1</v>
      </c>
      <c r="Z20" t="s">
        <v>8</v>
      </c>
      <c r="AA20">
        <v>18368</v>
      </c>
      <c r="AB20">
        <v>32</v>
      </c>
      <c r="AC20">
        <v>2</v>
      </c>
      <c r="AD20">
        <v>4</v>
      </c>
      <c r="AE20">
        <v>2014.83</v>
      </c>
      <c r="AF20" s="58">
        <v>2.0507</v>
      </c>
      <c r="AG20" s="57">
        <v>45468</v>
      </c>
      <c r="AH20" s="30">
        <v>0.76061342592592596</v>
      </c>
      <c r="AI20">
        <v>0</v>
      </c>
      <c r="AJ20">
        <v>0</v>
      </c>
      <c r="AK20">
        <v>0</v>
      </c>
      <c r="AL20">
        <v>0</v>
      </c>
      <c r="AM20" s="41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83"/>
    </row>
    <row r="21" spans="1:47" x14ac:dyDescent="0.25">
      <c r="A21">
        <v>2</v>
      </c>
      <c r="B21" t="s">
        <v>8</v>
      </c>
      <c r="C21">
        <v>18368</v>
      </c>
      <c r="D21">
        <v>32</v>
      </c>
      <c r="E21">
        <v>2</v>
      </c>
      <c r="F21">
        <v>4</v>
      </c>
      <c r="G21" s="2">
        <v>2131.33</v>
      </c>
      <c r="H21" s="40">
        <v>1.9386000000000001</v>
      </c>
      <c r="I21" s="31">
        <v>45461</v>
      </c>
      <c r="J21" s="38">
        <v>0.77415509259259263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82"/>
      <c r="Y21">
        <v>2</v>
      </c>
      <c r="Z21" t="s">
        <v>8</v>
      </c>
      <c r="AA21">
        <v>18368</v>
      </c>
      <c r="AB21">
        <v>32</v>
      </c>
      <c r="AC21">
        <v>2</v>
      </c>
      <c r="AD21">
        <v>4</v>
      </c>
      <c r="AE21">
        <v>1965.66</v>
      </c>
      <c r="AF21" s="58">
        <v>2.1019999999999999</v>
      </c>
      <c r="AG21" s="57">
        <v>45470</v>
      </c>
      <c r="AH21" s="30">
        <v>2.1458333333333333E-2</v>
      </c>
      <c r="AI21">
        <v>0</v>
      </c>
      <c r="AJ21">
        <v>0</v>
      </c>
      <c r="AK21">
        <v>0</v>
      </c>
      <c r="AL21">
        <v>0</v>
      </c>
      <c r="AM21" s="4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83"/>
    </row>
    <row r="22" spans="1:47" x14ac:dyDescent="0.25">
      <c r="A22">
        <v>3</v>
      </c>
      <c r="B22" t="s">
        <v>8</v>
      </c>
      <c r="C22">
        <v>18368</v>
      </c>
      <c r="D22">
        <v>32</v>
      </c>
      <c r="E22">
        <v>2</v>
      </c>
      <c r="F22">
        <v>4</v>
      </c>
      <c r="G22" s="2">
        <v>2050.77</v>
      </c>
      <c r="H22" s="40">
        <v>2.0148000000000001</v>
      </c>
      <c r="I22" s="31">
        <v>45463</v>
      </c>
      <c r="J22" s="38">
        <v>7.2847222222222216E-2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82"/>
      <c r="Y22">
        <v>3</v>
      </c>
      <c r="Z22" t="s">
        <v>8</v>
      </c>
      <c r="AA22">
        <v>18368</v>
      </c>
      <c r="AB22">
        <v>32</v>
      </c>
      <c r="AC22">
        <v>2</v>
      </c>
      <c r="AD22">
        <v>4</v>
      </c>
      <c r="AE22">
        <v>2038.54</v>
      </c>
      <c r="AF22" s="58">
        <v>2.0268999999999999</v>
      </c>
      <c r="AG22" s="57">
        <v>45471</v>
      </c>
      <c r="AH22" s="30">
        <v>0.29185185185185186</v>
      </c>
      <c r="AI22">
        <v>0</v>
      </c>
      <c r="AJ22">
        <v>0</v>
      </c>
      <c r="AK22">
        <v>0</v>
      </c>
      <c r="AL22">
        <v>0</v>
      </c>
      <c r="AM22" s="41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s="83"/>
    </row>
    <row r="23" spans="1:47" x14ac:dyDescent="0.25">
      <c r="A23">
        <v>4</v>
      </c>
      <c r="B23" t="s">
        <v>8</v>
      </c>
      <c r="C23">
        <v>18368</v>
      </c>
      <c r="D23">
        <v>32</v>
      </c>
      <c r="E23">
        <v>2</v>
      </c>
      <c r="F23">
        <v>4</v>
      </c>
      <c r="G23" s="2">
        <v>2035.84</v>
      </c>
      <c r="H23" s="40">
        <v>2.0295999999999998</v>
      </c>
      <c r="I23" s="31">
        <v>45464</v>
      </c>
      <c r="J23" s="38">
        <v>0.35075231481481484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82"/>
      <c r="Y23">
        <v>4</v>
      </c>
      <c r="Z23" t="s">
        <v>8</v>
      </c>
      <c r="AA23">
        <v>18368</v>
      </c>
      <c r="AB23">
        <v>32</v>
      </c>
      <c r="AC23">
        <v>2</v>
      </c>
      <c r="AD23">
        <v>4</v>
      </c>
      <c r="AE23">
        <v>2021.53</v>
      </c>
      <c r="AF23" s="58">
        <v>2.0438999999999998</v>
      </c>
      <c r="AG23" s="31">
        <v>45472</v>
      </c>
      <c r="AH23" s="30">
        <v>0.55616898148148153</v>
      </c>
      <c r="AI23">
        <v>0</v>
      </c>
      <c r="AJ23">
        <v>0</v>
      </c>
      <c r="AK23">
        <v>0</v>
      </c>
      <c r="AL23">
        <v>0</v>
      </c>
      <c r="AM23" s="41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83"/>
    </row>
    <row r="24" spans="1:47" x14ac:dyDescent="0.25">
      <c r="A24">
        <v>0</v>
      </c>
      <c r="B24" t="s">
        <v>8</v>
      </c>
      <c r="C24">
        <v>19456</v>
      </c>
      <c r="D24">
        <v>32</v>
      </c>
      <c r="E24">
        <v>2</v>
      </c>
      <c r="F24">
        <v>4</v>
      </c>
      <c r="G24" s="2">
        <v>2530.92</v>
      </c>
      <c r="H24" s="40">
        <v>1.9401999999999999</v>
      </c>
      <c r="I24" s="31">
        <v>45459</v>
      </c>
      <c r="J24" s="38">
        <v>0.26725694444444442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82">
        <f t="shared" ref="W24" si="6">AVERAGE(H24:H28)</f>
        <v>1.96984</v>
      </c>
      <c r="Y24">
        <v>0</v>
      </c>
      <c r="Z24" t="s">
        <v>8</v>
      </c>
      <c r="AA24">
        <v>19456</v>
      </c>
      <c r="AB24">
        <v>32</v>
      </c>
      <c r="AC24">
        <v>2</v>
      </c>
      <c r="AD24">
        <v>4</v>
      </c>
      <c r="AE24">
        <v>2407.29</v>
      </c>
      <c r="AF24" s="58">
        <v>2.0398000000000001</v>
      </c>
      <c r="AG24" s="57">
        <v>45466</v>
      </c>
      <c r="AH24" s="30">
        <v>0.29091435185185183</v>
      </c>
      <c r="AI24">
        <v>0</v>
      </c>
      <c r="AJ24">
        <v>0</v>
      </c>
      <c r="AK24">
        <v>0</v>
      </c>
      <c r="AL24">
        <v>0</v>
      </c>
      <c r="AM24" s="41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s="83">
        <f t="shared" ref="AU24" si="7">AVERAGE(AF24:AF28)</f>
        <v>2.07586</v>
      </c>
    </row>
    <row r="25" spans="1:47" x14ac:dyDescent="0.25">
      <c r="A25">
        <v>1</v>
      </c>
      <c r="B25" t="s">
        <v>8</v>
      </c>
      <c r="C25">
        <v>19456</v>
      </c>
      <c r="D25">
        <v>32</v>
      </c>
      <c r="E25">
        <v>2</v>
      </c>
      <c r="F25">
        <v>4</v>
      </c>
      <c r="G25" s="2">
        <v>2429.96</v>
      </c>
      <c r="H25" s="40">
        <v>2.0207999999999999</v>
      </c>
      <c r="I25" s="31">
        <v>45460</v>
      </c>
      <c r="J25" s="38">
        <v>0.56556712962962963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82"/>
      <c r="Y25">
        <v>1</v>
      </c>
      <c r="Z25" t="s">
        <v>8</v>
      </c>
      <c r="AA25">
        <v>19456</v>
      </c>
      <c r="AB25">
        <v>32</v>
      </c>
      <c r="AC25">
        <v>2</v>
      </c>
      <c r="AD25">
        <v>4</v>
      </c>
      <c r="AE25">
        <v>2262.64</v>
      </c>
      <c r="AF25" s="58">
        <v>2.1701999999999999</v>
      </c>
      <c r="AG25" s="57">
        <v>45469</v>
      </c>
      <c r="AH25" s="30">
        <v>0.14660879629629631</v>
      </c>
      <c r="AI25">
        <v>0</v>
      </c>
      <c r="AJ25">
        <v>0</v>
      </c>
      <c r="AK25">
        <v>0</v>
      </c>
      <c r="AL25">
        <v>0</v>
      </c>
      <c r="AM25" s="41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83"/>
    </row>
    <row r="26" spans="1:47" x14ac:dyDescent="0.25">
      <c r="A26">
        <v>2</v>
      </c>
      <c r="B26" t="s">
        <v>8</v>
      </c>
      <c r="C26">
        <v>19456</v>
      </c>
      <c r="D26">
        <v>32</v>
      </c>
      <c r="E26">
        <v>2</v>
      </c>
      <c r="F26">
        <v>4</v>
      </c>
      <c r="G26" s="2">
        <v>2670.12</v>
      </c>
      <c r="H26" s="40">
        <v>1.839</v>
      </c>
      <c r="I26" s="31">
        <v>45462</v>
      </c>
      <c r="J26" s="38">
        <v>0.1746412037037037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82"/>
      <c r="Y26">
        <v>2</v>
      </c>
      <c r="Z26" t="s">
        <v>8</v>
      </c>
      <c r="AA26">
        <v>19456</v>
      </c>
      <c r="AB26">
        <v>32</v>
      </c>
      <c r="AC26">
        <v>2</v>
      </c>
      <c r="AD26">
        <v>4</v>
      </c>
      <c r="AE26">
        <v>2456</v>
      </c>
      <c r="AF26" s="58">
        <v>1.9994000000000001</v>
      </c>
      <c r="AG26" s="57">
        <v>45470</v>
      </c>
      <c r="AH26" s="30">
        <v>0.41856481481481483</v>
      </c>
      <c r="AI26">
        <v>0</v>
      </c>
      <c r="AJ26">
        <v>0</v>
      </c>
      <c r="AK26">
        <v>0</v>
      </c>
      <c r="AL26">
        <v>0</v>
      </c>
      <c r="AM26" s="41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83"/>
    </row>
    <row r="27" spans="1:47" x14ac:dyDescent="0.25">
      <c r="A27">
        <v>3</v>
      </c>
      <c r="B27" t="s">
        <v>8</v>
      </c>
      <c r="C27">
        <v>19456</v>
      </c>
      <c r="D27">
        <v>32</v>
      </c>
      <c r="E27">
        <v>2</v>
      </c>
      <c r="F27">
        <v>4</v>
      </c>
      <c r="G27" s="2">
        <v>2436.6</v>
      </c>
      <c r="H27" s="40">
        <v>2.0152999999999999</v>
      </c>
      <c r="I27" s="31">
        <v>45463</v>
      </c>
      <c r="J27" s="38">
        <v>0.46817129629629628</v>
      </c>
      <c r="K27" s="41">
        <v>0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82"/>
      <c r="Y27">
        <v>3</v>
      </c>
      <c r="Z27" t="s">
        <v>8</v>
      </c>
      <c r="AA27">
        <v>19456</v>
      </c>
      <c r="AB27">
        <v>32</v>
      </c>
      <c r="AC27">
        <v>2</v>
      </c>
      <c r="AD27">
        <v>4</v>
      </c>
      <c r="AE27">
        <v>2350.77</v>
      </c>
      <c r="AF27" s="58">
        <v>2.0889000000000002</v>
      </c>
      <c r="AG27" s="57">
        <v>45471</v>
      </c>
      <c r="AH27" s="30">
        <v>0.68333333333333335</v>
      </c>
      <c r="AI27">
        <v>0</v>
      </c>
      <c r="AJ27">
        <v>0</v>
      </c>
      <c r="AK27">
        <v>0</v>
      </c>
      <c r="AL27">
        <v>0</v>
      </c>
      <c r="AM27" s="41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83"/>
    </row>
    <row r="28" spans="1:47" x14ac:dyDescent="0.25">
      <c r="A28">
        <v>4</v>
      </c>
      <c r="B28" t="s">
        <v>8</v>
      </c>
      <c r="C28">
        <v>19456</v>
      </c>
      <c r="D28">
        <v>32</v>
      </c>
      <c r="E28">
        <v>2</v>
      </c>
      <c r="F28">
        <v>4</v>
      </c>
      <c r="G28" s="2">
        <v>2414.34</v>
      </c>
      <c r="H28" s="40">
        <v>2.0339</v>
      </c>
      <c r="I28" s="31">
        <v>45464</v>
      </c>
      <c r="J28" s="38">
        <v>0.74793981481481486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82"/>
      <c r="Y28">
        <v>4</v>
      </c>
      <c r="Z28" t="s">
        <v>8</v>
      </c>
      <c r="AA28">
        <v>19456</v>
      </c>
      <c r="AB28">
        <v>32</v>
      </c>
      <c r="AC28">
        <v>2</v>
      </c>
      <c r="AD28">
        <v>4</v>
      </c>
      <c r="AE28">
        <v>2359.63</v>
      </c>
      <c r="AF28" s="58">
        <v>2.081</v>
      </c>
      <c r="AG28" s="31">
        <v>45472</v>
      </c>
      <c r="AH28" s="30">
        <v>0.94562500000000005</v>
      </c>
      <c r="AI28">
        <v>0</v>
      </c>
      <c r="AJ28">
        <v>0</v>
      </c>
      <c r="AK28">
        <v>0</v>
      </c>
      <c r="AL28">
        <v>0</v>
      </c>
      <c r="AM28" s="41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s="83"/>
    </row>
    <row r="29" spans="1:47" x14ac:dyDescent="0.25">
      <c r="A29">
        <v>0</v>
      </c>
      <c r="B29" t="s">
        <v>8</v>
      </c>
      <c r="C29">
        <v>20544</v>
      </c>
      <c r="D29">
        <v>32</v>
      </c>
      <c r="E29">
        <v>2</v>
      </c>
      <c r="F29">
        <v>4</v>
      </c>
      <c r="G29" s="2">
        <v>2863.14</v>
      </c>
      <c r="H29" s="40">
        <v>2.0192000000000001</v>
      </c>
      <c r="I29" s="31">
        <v>45459</v>
      </c>
      <c r="J29" s="38">
        <v>0.73243055555555558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82">
        <f t="shared" ref="W29" si="8">AVERAGE(H29:H33)</f>
        <v>1.9772400000000001</v>
      </c>
      <c r="Y29">
        <v>0</v>
      </c>
      <c r="Z29" t="s">
        <v>8</v>
      </c>
      <c r="AA29">
        <v>20544</v>
      </c>
      <c r="AB29">
        <v>32</v>
      </c>
      <c r="AC29">
        <v>2</v>
      </c>
      <c r="AD29">
        <v>4</v>
      </c>
      <c r="AE29">
        <v>2698.39</v>
      </c>
      <c r="AF29" s="58">
        <v>2.1423999999999999</v>
      </c>
      <c r="AG29" s="57">
        <v>45466</v>
      </c>
      <c r="AH29" s="30">
        <v>0.74555555555555553</v>
      </c>
      <c r="AI29">
        <v>0</v>
      </c>
      <c r="AJ29">
        <v>0</v>
      </c>
      <c r="AK29">
        <v>0</v>
      </c>
      <c r="AL29">
        <v>0</v>
      </c>
      <c r="AM29" s="41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s="83">
        <f t="shared" ref="AU29" si="9">AVERAGE(AF29:AF33)</f>
        <v>2.1103200000000002</v>
      </c>
    </row>
    <row r="30" spans="1:47" x14ac:dyDescent="0.25">
      <c r="A30">
        <v>1</v>
      </c>
      <c r="B30" t="s">
        <v>8</v>
      </c>
      <c r="C30">
        <v>20544</v>
      </c>
      <c r="D30">
        <v>32</v>
      </c>
      <c r="E30">
        <v>2</v>
      </c>
      <c r="F30">
        <v>4</v>
      </c>
      <c r="G30" s="2">
        <v>2990.67</v>
      </c>
      <c r="H30" s="40">
        <v>1.9330000000000001</v>
      </c>
      <c r="I30" s="31">
        <v>45461</v>
      </c>
      <c r="J30" s="38">
        <v>3.7152777777777778E-2</v>
      </c>
      <c r="K30" s="41">
        <v>0</v>
      </c>
      <c r="L30" s="41">
        <v>0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82"/>
      <c r="Y30">
        <v>1</v>
      </c>
      <c r="Z30" t="s">
        <v>8</v>
      </c>
      <c r="AA30">
        <v>20544</v>
      </c>
      <c r="AB30">
        <v>32</v>
      </c>
      <c r="AC30">
        <v>2</v>
      </c>
      <c r="AD30">
        <v>4</v>
      </c>
      <c r="AE30">
        <v>2799.84</v>
      </c>
      <c r="AF30" s="58">
        <v>2.0648</v>
      </c>
      <c r="AG30" s="57">
        <v>45469</v>
      </c>
      <c r="AH30" s="30">
        <v>0.60414351851851855</v>
      </c>
      <c r="AI30">
        <v>0</v>
      </c>
      <c r="AJ30">
        <v>0</v>
      </c>
      <c r="AK30">
        <v>0</v>
      </c>
      <c r="AL30">
        <v>0</v>
      </c>
      <c r="AM30" s="41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s="83"/>
    </row>
    <row r="31" spans="1:47" x14ac:dyDescent="0.25">
      <c r="A31">
        <v>2</v>
      </c>
      <c r="B31" t="s">
        <v>8</v>
      </c>
      <c r="C31">
        <v>20544</v>
      </c>
      <c r="D31">
        <v>32</v>
      </c>
      <c r="E31">
        <v>2</v>
      </c>
      <c r="F31">
        <v>4</v>
      </c>
      <c r="G31" s="2">
        <v>3018.33</v>
      </c>
      <c r="H31" s="40">
        <v>1.9153</v>
      </c>
      <c r="I31" s="31">
        <v>45462</v>
      </c>
      <c r="J31" s="38">
        <v>0.64236111111111116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82"/>
      <c r="Y31">
        <v>2</v>
      </c>
      <c r="Z31" t="s">
        <v>8</v>
      </c>
      <c r="AA31">
        <v>20544</v>
      </c>
      <c r="AB31">
        <v>32</v>
      </c>
      <c r="AC31">
        <v>2</v>
      </c>
      <c r="AD31">
        <v>4</v>
      </c>
      <c r="AE31">
        <v>2641.11</v>
      </c>
      <c r="AF31" s="58">
        <v>2.1888999999999998</v>
      </c>
      <c r="AG31" s="57">
        <v>45470</v>
      </c>
      <c r="AH31" s="30">
        <v>0.87116898148148147</v>
      </c>
      <c r="AI31">
        <v>0</v>
      </c>
      <c r="AJ31">
        <v>0</v>
      </c>
      <c r="AK31">
        <v>0</v>
      </c>
      <c r="AL31">
        <v>0</v>
      </c>
      <c r="AM31" s="4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s="83"/>
    </row>
    <row r="32" spans="1:47" x14ac:dyDescent="0.25">
      <c r="A32">
        <v>3</v>
      </c>
      <c r="B32" t="s">
        <v>8</v>
      </c>
      <c r="C32">
        <v>20544</v>
      </c>
      <c r="D32">
        <v>32</v>
      </c>
      <c r="E32">
        <v>2</v>
      </c>
      <c r="F32">
        <v>4</v>
      </c>
      <c r="G32" s="2">
        <v>2885.2</v>
      </c>
      <c r="H32" s="40">
        <v>2.0036999999999998</v>
      </c>
      <c r="I32" s="31">
        <v>45463</v>
      </c>
      <c r="J32" s="38">
        <v>0.93594907407407413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82"/>
      <c r="Y32">
        <v>3</v>
      </c>
      <c r="Z32" t="s">
        <v>8</v>
      </c>
      <c r="AA32">
        <v>20544</v>
      </c>
      <c r="AB32">
        <v>32</v>
      </c>
      <c r="AC32">
        <v>2</v>
      </c>
      <c r="AD32">
        <v>4</v>
      </c>
      <c r="AE32">
        <v>2781.36</v>
      </c>
      <c r="AF32" s="58">
        <v>2.0785</v>
      </c>
      <c r="AG32" s="31">
        <v>45472</v>
      </c>
      <c r="AH32" s="30">
        <v>0.13760416666666667</v>
      </c>
      <c r="AI32">
        <v>0</v>
      </c>
      <c r="AJ32">
        <v>0</v>
      </c>
      <c r="AK32">
        <v>0</v>
      </c>
      <c r="AL32">
        <v>0</v>
      </c>
      <c r="AM32" s="41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s="83"/>
    </row>
    <row r="33" spans="1:47" x14ac:dyDescent="0.25">
      <c r="A33">
        <v>4</v>
      </c>
      <c r="B33" t="s">
        <v>8</v>
      </c>
      <c r="C33">
        <v>20544</v>
      </c>
      <c r="D33">
        <v>32</v>
      </c>
      <c r="E33">
        <v>2</v>
      </c>
      <c r="F33">
        <v>4</v>
      </c>
      <c r="G33" s="2">
        <v>2869.03</v>
      </c>
      <c r="H33" s="40">
        <v>2.0150000000000001</v>
      </c>
      <c r="I33" s="31">
        <v>45465</v>
      </c>
      <c r="J33" s="38">
        <v>0.20956018518518518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82"/>
      <c r="Y33">
        <v>4</v>
      </c>
      <c r="Z33" t="s">
        <v>8</v>
      </c>
      <c r="AA33">
        <v>20544</v>
      </c>
      <c r="AB33">
        <v>32</v>
      </c>
      <c r="AC33">
        <v>2</v>
      </c>
      <c r="AD33">
        <v>4</v>
      </c>
      <c r="AE33">
        <v>2783.33</v>
      </c>
      <c r="AF33" s="58">
        <v>2.077</v>
      </c>
      <c r="AG33" s="31">
        <v>45473</v>
      </c>
      <c r="AH33" s="30">
        <v>0.40538194444444442</v>
      </c>
      <c r="AI33">
        <v>0</v>
      </c>
      <c r="AJ33">
        <v>0</v>
      </c>
      <c r="AK33">
        <v>0</v>
      </c>
      <c r="AL33">
        <v>0</v>
      </c>
      <c r="AM33" s="41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s="83"/>
    </row>
    <row r="34" spans="1:47" x14ac:dyDescent="0.25">
      <c r="A34">
        <v>0</v>
      </c>
      <c r="B34" t="s">
        <v>8</v>
      </c>
      <c r="C34">
        <v>18368</v>
      </c>
      <c r="D34">
        <v>64</v>
      </c>
      <c r="E34">
        <v>1</v>
      </c>
      <c r="F34">
        <v>8</v>
      </c>
      <c r="G34" s="2">
        <v>2103.9499999999998</v>
      </c>
      <c r="H34" s="40">
        <v>1.9639</v>
      </c>
      <c r="I34" s="31">
        <v>45458</v>
      </c>
      <c r="J34" s="38">
        <v>0.89447916666666671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82">
        <f t="shared" ref="W34" si="10">AVERAGE(H34:H38)</f>
        <v>1.9486599999999998</v>
      </c>
      <c r="Y34">
        <v>0</v>
      </c>
      <c r="Z34" t="s">
        <v>8</v>
      </c>
      <c r="AA34">
        <v>18368</v>
      </c>
      <c r="AB34">
        <v>64</v>
      </c>
      <c r="AC34">
        <v>1</v>
      </c>
      <c r="AD34">
        <v>8</v>
      </c>
      <c r="AE34">
        <v>1904.58</v>
      </c>
      <c r="AF34" s="58">
        <v>2.1694</v>
      </c>
      <c r="AG34" s="57">
        <v>45465</v>
      </c>
      <c r="AH34" s="30">
        <v>0.92407407407407405</v>
      </c>
      <c r="AI34">
        <v>0</v>
      </c>
      <c r="AJ34">
        <v>0</v>
      </c>
      <c r="AK34">
        <v>0</v>
      </c>
      <c r="AL34">
        <v>0</v>
      </c>
      <c r="AM34" s="41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83">
        <f t="shared" ref="AU34" si="11">AVERAGE(AF34:AF38)</f>
        <v>2.2087600000000003</v>
      </c>
    </row>
    <row r="35" spans="1:47" x14ac:dyDescent="0.25">
      <c r="A35">
        <v>1</v>
      </c>
      <c r="B35" t="s">
        <v>8</v>
      </c>
      <c r="C35">
        <v>18368</v>
      </c>
      <c r="D35">
        <v>64</v>
      </c>
      <c r="E35">
        <v>1</v>
      </c>
      <c r="F35">
        <v>8</v>
      </c>
      <c r="G35" s="2">
        <v>2131.3200000000002</v>
      </c>
      <c r="H35" s="40">
        <v>1.9386000000000001</v>
      </c>
      <c r="I35" s="31">
        <v>45460</v>
      </c>
      <c r="J35" s="38">
        <v>0.18972222222222221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82"/>
      <c r="Y35">
        <v>1</v>
      </c>
      <c r="Z35" t="s">
        <v>8</v>
      </c>
      <c r="AA35">
        <v>18368</v>
      </c>
      <c r="AB35">
        <v>64</v>
      </c>
      <c r="AC35">
        <v>1</v>
      </c>
      <c r="AD35">
        <v>8</v>
      </c>
      <c r="AE35">
        <v>1784.13</v>
      </c>
      <c r="AF35" s="58">
        <v>2.3159000000000001</v>
      </c>
      <c r="AG35" s="57">
        <v>45468</v>
      </c>
      <c r="AH35" s="30">
        <v>0.78371527777777783</v>
      </c>
      <c r="AI35">
        <v>0</v>
      </c>
      <c r="AJ35">
        <v>0</v>
      </c>
      <c r="AK35">
        <v>0</v>
      </c>
      <c r="AL35">
        <v>0</v>
      </c>
      <c r="AM35" s="41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s="83"/>
    </row>
    <row r="36" spans="1:47" x14ac:dyDescent="0.25">
      <c r="A36">
        <v>2</v>
      </c>
      <c r="B36" t="s">
        <v>8</v>
      </c>
      <c r="C36">
        <v>18368</v>
      </c>
      <c r="D36">
        <v>64</v>
      </c>
      <c r="E36">
        <v>1</v>
      </c>
      <c r="F36">
        <v>8</v>
      </c>
      <c r="G36" s="2">
        <v>2160.86</v>
      </c>
      <c r="H36" s="40">
        <v>1.9120999999999999</v>
      </c>
      <c r="I36" s="31">
        <v>45461</v>
      </c>
      <c r="J36" s="38">
        <v>0.79974537037037041</v>
      </c>
      <c r="K36" s="41">
        <v>0</v>
      </c>
      <c r="L36" s="41"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82"/>
      <c r="Y36">
        <v>2</v>
      </c>
      <c r="Z36" t="s">
        <v>8</v>
      </c>
      <c r="AA36">
        <v>18368</v>
      </c>
      <c r="AB36">
        <v>64</v>
      </c>
      <c r="AC36">
        <v>1</v>
      </c>
      <c r="AD36">
        <v>8</v>
      </c>
      <c r="AE36">
        <v>1942</v>
      </c>
      <c r="AF36" s="58">
        <v>2.1276000000000002</v>
      </c>
      <c r="AG36" s="57">
        <v>45470</v>
      </c>
      <c r="AH36" s="30">
        <v>4.6400462962962963E-2</v>
      </c>
      <c r="AI36">
        <v>0</v>
      </c>
      <c r="AJ36">
        <v>0</v>
      </c>
      <c r="AK36">
        <v>0</v>
      </c>
      <c r="AL36">
        <v>0</v>
      </c>
      <c r="AM36" s="41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s="83"/>
    </row>
    <row r="37" spans="1:47" x14ac:dyDescent="0.25">
      <c r="A37">
        <v>3</v>
      </c>
      <c r="B37" t="s">
        <v>8</v>
      </c>
      <c r="C37">
        <v>18368</v>
      </c>
      <c r="D37">
        <v>64</v>
      </c>
      <c r="E37">
        <v>1</v>
      </c>
      <c r="F37">
        <v>8</v>
      </c>
      <c r="G37" s="2">
        <v>2090.27</v>
      </c>
      <c r="H37" s="40">
        <v>1.9766999999999999</v>
      </c>
      <c r="I37" s="31">
        <v>45463</v>
      </c>
      <c r="J37" s="38">
        <v>9.762731481481482E-2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82"/>
      <c r="Y37">
        <v>3</v>
      </c>
      <c r="Z37" t="s">
        <v>8</v>
      </c>
      <c r="AA37">
        <v>18368</v>
      </c>
      <c r="AB37">
        <v>64</v>
      </c>
      <c r="AC37">
        <v>1</v>
      </c>
      <c r="AD37">
        <v>8</v>
      </c>
      <c r="AE37">
        <v>1861.05</v>
      </c>
      <c r="AF37" s="58">
        <v>2.2202000000000002</v>
      </c>
      <c r="AG37" s="57">
        <v>45471</v>
      </c>
      <c r="AH37" s="30">
        <v>0.31564814814814812</v>
      </c>
      <c r="AI37">
        <v>0</v>
      </c>
      <c r="AJ37">
        <v>0</v>
      </c>
      <c r="AK37">
        <v>0</v>
      </c>
      <c r="AL37">
        <v>0</v>
      </c>
      <c r="AM37" s="41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s="83"/>
    </row>
    <row r="38" spans="1:47" x14ac:dyDescent="0.25">
      <c r="A38">
        <v>4</v>
      </c>
      <c r="B38" t="s">
        <v>8</v>
      </c>
      <c r="C38">
        <v>18368</v>
      </c>
      <c r="D38">
        <v>64</v>
      </c>
      <c r="E38">
        <v>1</v>
      </c>
      <c r="F38">
        <v>8</v>
      </c>
      <c r="G38" s="2">
        <v>2116.7600000000002</v>
      </c>
      <c r="H38" s="40">
        <v>1.952</v>
      </c>
      <c r="I38" s="31">
        <v>45464</v>
      </c>
      <c r="J38" s="38">
        <v>0.37583333333333335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82"/>
      <c r="Y38">
        <v>4</v>
      </c>
      <c r="Z38" t="s">
        <v>8</v>
      </c>
      <c r="AA38">
        <v>18368</v>
      </c>
      <c r="AB38">
        <v>64</v>
      </c>
      <c r="AC38">
        <v>1</v>
      </c>
      <c r="AD38">
        <v>8</v>
      </c>
      <c r="AE38">
        <v>1869</v>
      </c>
      <c r="AF38" s="58">
        <v>2.2107000000000001</v>
      </c>
      <c r="AG38" s="31">
        <v>45472</v>
      </c>
      <c r="AH38" s="30">
        <v>0.58028935185185182</v>
      </c>
      <c r="AI38">
        <v>0</v>
      </c>
      <c r="AJ38">
        <v>0</v>
      </c>
      <c r="AK38">
        <v>0</v>
      </c>
      <c r="AL38">
        <v>0</v>
      </c>
      <c r="AM38" s="41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83"/>
    </row>
    <row r="39" spans="1:47" x14ac:dyDescent="0.25">
      <c r="A39">
        <v>0</v>
      </c>
      <c r="B39" t="s">
        <v>8</v>
      </c>
      <c r="C39">
        <v>19456</v>
      </c>
      <c r="D39">
        <v>64</v>
      </c>
      <c r="E39">
        <v>1</v>
      </c>
      <c r="F39">
        <v>8</v>
      </c>
      <c r="G39" s="2">
        <v>2538.73</v>
      </c>
      <c r="H39" s="40">
        <v>1.9341999999999999</v>
      </c>
      <c r="I39" s="31">
        <v>45459</v>
      </c>
      <c r="J39" s="38">
        <v>0.29731481481481481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82">
        <f t="shared" ref="W39" si="12">AVERAGE(H39:H43)</f>
        <v>1.9695799999999999</v>
      </c>
      <c r="Y39">
        <v>0</v>
      </c>
      <c r="Z39" t="s">
        <v>8</v>
      </c>
      <c r="AA39">
        <v>19456</v>
      </c>
      <c r="AB39">
        <v>64</v>
      </c>
      <c r="AC39">
        <v>1</v>
      </c>
      <c r="AD39">
        <v>8</v>
      </c>
      <c r="AE39">
        <v>2146.92</v>
      </c>
      <c r="AF39" s="58">
        <v>2.2871999999999999</v>
      </c>
      <c r="AG39" s="57">
        <v>45466</v>
      </c>
      <c r="AH39" s="30">
        <v>0.31848379629629631</v>
      </c>
      <c r="AI39">
        <v>0</v>
      </c>
      <c r="AJ39">
        <v>0</v>
      </c>
      <c r="AK39">
        <v>0</v>
      </c>
      <c r="AL39">
        <v>0</v>
      </c>
      <c r="AM39" s="41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83">
        <f t="shared" ref="AU39" si="13">AVERAGE(AF39:AF43)</f>
        <v>2.25814</v>
      </c>
    </row>
    <row r="40" spans="1:47" x14ac:dyDescent="0.25">
      <c r="A40">
        <v>1</v>
      </c>
      <c r="B40" t="s">
        <v>8</v>
      </c>
      <c r="C40">
        <v>19456</v>
      </c>
      <c r="D40">
        <v>64</v>
      </c>
      <c r="E40">
        <v>1</v>
      </c>
      <c r="F40">
        <v>8</v>
      </c>
      <c r="G40" s="2">
        <v>2490.83</v>
      </c>
      <c r="H40" s="40">
        <v>1.9714</v>
      </c>
      <c r="I40" s="31">
        <v>45460</v>
      </c>
      <c r="J40" s="38">
        <v>0.59508101851851847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1">
        <v>0</v>
      </c>
      <c r="W40" s="82"/>
      <c r="Y40">
        <v>1</v>
      </c>
      <c r="Z40" t="s">
        <v>8</v>
      </c>
      <c r="AA40">
        <v>19456</v>
      </c>
      <c r="AB40">
        <v>64</v>
      </c>
      <c r="AC40">
        <v>1</v>
      </c>
      <c r="AD40">
        <v>8</v>
      </c>
      <c r="AE40">
        <v>2237.4899999999998</v>
      </c>
      <c r="AF40" s="58">
        <v>2.1945999999999999</v>
      </c>
      <c r="AG40" s="57">
        <v>45469</v>
      </c>
      <c r="AH40" s="30">
        <v>0.17547453703703703</v>
      </c>
      <c r="AI40">
        <v>0</v>
      </c>
      <c r="AJ40">
        <v>0</v>
      </c>
      <c r="AK40">
        <v>0</v>
      </c>
      <c r="AL40">
        <v>0</v>
      </c>
      <c r="AM40" s="41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s="83"/>
    </row>
    <row r="41" spans="1:47" x14ac:dyDescent="0.25">
      <c r="A41">
        <v>2</v>
      </c>
      <c r="B41" t="s">
        <v>8</v>
      </c>
      <c r="C41">
        <v>19456</v>
      </c>
      <c r="D41">
        <v>64</v>
      </c>
      <c r="E41">
        <v>1</v>
      </c>
      <c r="F41">
        <v>8</v>
      </c>
      <c r="G41" s="2">
        <v>2537.4</v>
      </c>
      <c r="H41" s="40">
        <v>1.9352</v>
      </c>
      <c r="I41" s="31">
        <v>45462</v>
      </c>
      <c r="J41" s="38">
        <v>0.20479166666666668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0</v>
      </c>
      <c r="W41" s="82"/>
      <c r="Y41">
        <v>2</v>
      </c>
      <c r="Z41" t="s">
        <v>8</v>
      </c>
      <c r="AA41">
        <v>19456</v>
      </c>
      <c r="AB41">
        <v>64</v>
      </c>
      <c r="AC41">
        <v>1</v>
      </c>
      <c r="AD41">
        <v>8</v>
      </c>
      <c r="AE41">
        <v>2106.4299999999998</v>
      </c>
      <c r="AF41" s="58">
        <v>2.3311999999999999</v>
      </c>
      <c r="AG41" s="57">
        <v>45470</v>
      </c>
      <c r="AH41" s="30">
        <v>0.4458449074074074</v>
      </c>
      <c r="AI41">
        <v>0</v>
      </c>
      <c r="AJ41">
        <v>0</v>
      </c>
      <c r="AK41">
        <v>0</v>
      </c>
      <c r="AL41">
        <v>0</v>
      </c>
      <c r="AM41" s="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s="83"/>
    </row>
    <row r="42" spans="1:47" x14ac:dyDescent="0.25">
      <c r="A42">
        <v>3</v>
      </c>
      <c r="B42" t="s">
        <v>8</v>
      </c>
      <c r="C42">
        <v>19456</v>
      </c>
      <c r="D42">
        <v>64</v>
      </c>
      <c r="E42">
        <v>1</v>
      </c>
      <c r="F42">
        <v>8</v>
      </c>
      <c r="G42" s="2">
        <v>2491.37</v>
      </c>
      <c r="H42" s="40">
        <v>1.9710000000000001</v>
      </c>
      <c r="I42" s="31">
        <v>45463</v>
      </c>
      <c r="J42" s="38">
        <v>0.49769675925925927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82"/>
      <c r="Y42">
        <v>3</v>
      </c>
      <c r="Z42" t="s">
        <v>8</v>
      </c>
      <c r="AA42">
        <v>19456</v>
      </c>
      <c r="AB42">
        <v>64</v>
      </c>
      <c r="AC42">
        <v>1</v>
      </c>
      <c r="AD42">
        <v>8</v>
      </c>
      <c r="AE42">
        <v>2124.1799999999998</v>
      </c>
      <c r="AF42" s="58">
        <v>2.3117000000000001</v>
      </c>
      <c r="AG42" s="57">
        <v>45471</v>
      </c>
      <c r="AH42" s="30">
        <v>0.71075231481481482</v>
      </c>
      <c r="AI42">
        <v>0</v>
      </c>
      <c r="AJ42">
        <v>0</v>
      </c>
      <c r="AK42">
        <v>0</v>
      </c>
      <c r="AL42">
        <v>0</v>
      </c>
      <c r="AM42" s="41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83"/>
    </row>
    <row r="43" spans="1:47" x14ac:dyDescent="0.25">
      <c r="A43">
        <v>4</v>
      </c>
      <c r="B43" t="s">
        <v>8</v>
      </c>
      <c r="C43">
        <v>19456</v>
      </c>
      <c r="D43">
        <v>64</v>
      </c>
      <c r="E43">
        <v>1</v>
      </c>
      <c r="F43">
        <v>8</v>
      </c>
      <c r="G43" s="2">
        <v>2411.6799999999998</v>
      </c>
      <c r="H43" s="40">
        <v>2.0360999999999998</v>
      </c>
      <c r="I43" s="31">
        <v>45464</v>
      </c>
      <c r="J43" s="38">
        <v>0.77665509259259258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82"/>
      <c r="Y43">
        <v>4</v>
      </c>
      <c r="Z43" t="s">
        <v>8</v>
      </c>
      <c r="AA43">
        <v>19456</v>
      </c>
      <c r="AB43">
        <v>64</v>
      </c>
      <c r="AC43">
        <v>1</v>
      </c>
      <c r="AD43">
        <v>8</v>
      </c>
      <c r="AE43">
        <v>2267.08</v>
      </c>
      <c r="AF43" s="58">
        <v>2.1659999999999999</v>
      </c>
      <c r="AG43" s="31">
        <v>45472</v>
      </c>
      <c r="AH43" s="30">
        <v>0.97447916666666667</v>
      </c>
      <c r="AI43">
        <v>0</v>
      </c>
      <c r="AJ43">
        <v>0</v>
      </c>
      <c r="AK43">
        <v>0</v>
      </c>
      <c r="AL43">
        <v>0</v>
      </c>
      <c r="AM43" s="41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s="83"/>
    </row>
    <row r="44" spans="1:47" x14ac:dyDescent="0.25">
      <c r="A44">
        <v>0</v>
      </c>
      <c r="B44" t="s">
        <v>8</v>
      </c>
      <c r="C44">
        <v>20544</v>
      </c>
      <c r="D44">
        <v>64</v>
      </c>
      <c r="E44">
        <v>1</v>
      </c>
      <c r="F44">
        <v>8</v>
      </c>
      <c r="G44" s="2">
        <v>2924.72</v>
      </c>
      <c r="H44" s="40">
        <v>1.9765999999999999</v>
      </c>
      <c r="I44" s="31">
        <v>45459</v>
      </c>
      <c r="J44" s="38">
        <v>0.76711805555555557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82">
        <f t="shared" ref="W44" si="14">AVERAGE(H44:H48)</f>
        <v>1.98838</v>
      </c>
      <c r="Y44">
        <v>0</v>
      </c>
      <c r="Z44" t="s">
        <v>8</v>
      </c>
      <c r="AA44">
        <v>20544</v>
      </c>
      <c r="AB44">
        <v>64</v>
      </c>
      <c r="AC44">
        <v>1</v>
      </c>
      <c r="AD44">
        <v>8</v>
      </c>
      <c r="AE44">
        <v>2567.56</v>
      </c>
      <c r="AF44" s="58">
        <v>2.2515999999999998</v>
      </c>
      <c r="AG44" s="57">
        <v>45466</v>
      </c>
      <c r="AH44" s="30">
        <v>0.77831018518518513</v>
      </c>
      <c r="AI44">
        <v>0</v>
      </c>
      <c r="AJ44">
        <v>0</v>
      </c>
      <c r="AK44">
        <v>0</v>
      </c>
      <c r="AL44">
        <v>0</v>
      </c>
      <c r="AM44" s="41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83">
        <f t="shared" ref="AU44" si="15">AVERAGE(AF44:AF48)</f>
        <v>2.2742799999999996</v>
      </c>
    </row>
    <row r="45" spans="1:47" x14ac:dyDescent="0.25">
      <c r="A45">
        <v>1</v>
      </c>
      <c r="B45" t="s">
        <v>8</v>
      </c>
      <c r="C45">
        <v>20544</v>
      </c>
      <c r="D45">
        <v>64</v>
      </c>
      <c r="E45">
        <v>1</v>
      </c>
      <c r="F45">
        <v>8</v>
      </c>
      <c r="G45" s="2">
        <v>2909.3</v>
      </c>
      <c r="H45" s="40">
        <v>1.9871000000000001</v>
      </c>
      <c r="I45" s="31">
        <v>45461</v>
      </c>
      <c r="J45" s="38">
        <v>7.1701388888888884E-2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82"/>
      <c r="Y45">
        <v>1</v>
      </c>
      <c r="Z45" t="s">
        <v>8</v>
      </c>
      <c r="AA45">
        <v>20544</v>
      </c>
      <c r="AB45">
        <v>64</v>
      </c>
      <c r="AC45">
        <v>1</v>
      </c>
      <c r="AD45">
        <v>8</v>
      </c>
      <c r="AE45">
        <v>2586.7399999999998</v>
      </c>
      <c r="AF45" s="58">
        <v>2.2349000000000001</v>
      </c>
      <c r="AG45" s="57">
        <v>45469</v>
      </c>
      <c r="AH45" s="30">
        <v>0.63725694444444447</v>
      </c>
      <c r="AI45">
        <v>0</v>
      </c>
      <c r="AJ45">
        <v>0</v>
      </c>
      <c r="AK45">
        <v>0</v>
      </c>
      <c r="AL45">
        <v>0</v>
      </c>
      <c r="AM45" s="41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s="83"/>
    </row>
    <row r="46" spans="1:47" x14ac:dyDescent="0.25">
      <c r="A46">
        <v>2</v>
      </c>
      <c r="B46" t="s">
        <v>8</v>
      </c>
      <c r="C46">
        <v>20544</v>
      </c>
      <c r="D46">
        <v>64</v>
      </c>
      <c r="E46">
        <v>1</v>
      </c>
      <c r="F46">
        <v>8</v>
      </c>
      <c r="G46" s="2">
        <v>2911.82</v>
      </c>
      <c r="H46" s="40">
        <v>1.9854000000000001</v>
      </c>
      <c r="I46" s="31">
        <v>45462</v>
      </c>
      <c r="J46" s="38">
        <v>0.67686342592592597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1">
        <v>0</v>
      </c>
      <c r="W46" s="82"/>
      <c r="Y46">
        <v>2</v>
      </c>
      <c r="Z46" t="s">
        <v>8</v>
      </c>
      <c r="AA46">
        <v>20544</v>
      </c>
      <c r="AB46">
        <v>64</v>
      </c>
      <c r="AC46">
        <v>1</v>
      </c>
      <c r="AD46">
        <v>8</v>
      </c>
      <c r="AE46">
        <v>2528.16</v>
      </c>
      <c r="AF46" s="58">
        <v>2.2867000000000002</v>
      </c>
      <c r="AG46" s="57">
        <v>45470</v>
      </c>
      <c r="AH46" s="30">
        <v>0.90364583333333337</v>
      </c>
      <c r="AI46">
        <v>0</v>
      </c>
      <c r="AJ46">
        <v>0</v>
      </c>
      <c r="AK46">
        <v>0</v>
      </c>
      <c r="AL46">
        <v>0</v>
      </c>
      <c r="AM46" s="41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s="83"/>
    </row>
    <row r="47" spans="1:47" x14ac:dyDescent="0.25">
      <c r="A47">
        <v>3</v>
      </c>
      <c r="B47" t="s">
        <v>8</v>
      </c>
      <c r="C47">
        <v>20544</v>
      </c>
      <c r="D47">
        <v>64</v>
      </c>
      <c r="E47">
        <v>1</v>
      </c>
      <c r="F47">
        <v>8</v>
      </c>
      <c r="G47" s="2">
        <v>2886.31</v>
      </c>
      <c r="H47" s="40">
        <v>2.0028999999999999</v>
      </c>
      <c r="I47" s="31">
        <v>45463</v>
      </c>
      <c r="J47" s="38">
        <v>0.97005787037037039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82"/>
      <c r="Y47">
        <v>3</v>
      </c>
      <c r="Z47" t="s">
        <v>8</v>
      </c>
      <c r="AA47">
        <v>20544</v>
      </c>
      <c r="AB47">
        <v>64</v>
      </c>
      <c r="AC47">
        <v>1</v>
      </c>
      <c r="AD47">
        <v>8</v>
      </c>
      <c r="AE47">
        <v>2549.9299999999998</v>
      </c>
      <c r="AF47" s="58">
        <v>2.2671999999999999</v>
      </c>
      <c r="AG47" s="31">
        <v>45472</v>
      </c>
      <c r="AH47" s="30">
        <v>0.17031250000000001</v>
      </c>
      <c r="AI47">
        <v>0</v>
      </c>
      <c r="AJ47">
        <v>0</v>
      </c>
      <c r="AK47">
        <v>0</v>
      </c>
      <c r="AL47">
        <v>0</v>
      </c>
      <c r="AM47" s="41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83"/>
    </row>
    <row r="48" spans="1:47" x14ac:dyDescent="0.25">
      <c r="A48">
        <v>4</v>
      </c>
      <c r="B48" t="s">
        <v>8</v>
      </c>
      <c r="C48">
        <v>20544</v>
      </c>
      <c r="D48">
        <v>64</v>
      </c>
      <c r="E48">
        <v>1</v>
      </c>
      <c r="F48">
        <v>8</v>
      </c>
      <c r="G48" s="2">
        <v>2905.19</v>
      </c>
      <c r="H48" s="40">
        <v>1.9899</v>
      </c>
      <c r="I48" s="31">
        <v>45465</v>
      </c>
      <c r="J48" s="38">
        <v>0.24388888888888888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82"/>
      <c r="Y48">
        <v>4</v>
      </c>
      <c r="Z48" t="s">
        <v>8</v>
      </c>
      <c r="AA48">
        <v>20544</v>
      </c>
      <c r="AB48">
        <v>64</v>
      </c>
      <c r="AC48">
        <v>1</v>
      </c>
      <c r="AD48">
        <v>8</v>
      </c>
      <c r="AE48">
        <v>2480.13</v>
      </c>
      <c r="AF48" s="58">
        <v>2.331</v>
      </c>
      <c r="AG48" s="31">
        <v>45473</v>
      </c>
      <c r="AH48" s="30">
        <v>0.43717592592592591</v>
      </c>
      <c r="AI48">
        <v>0</v>
      </c>
      <c r="AJ48">
        <v>0</v>
      </c>
      <c r="AK48">
        <v>0</v>
      </c>
      <c r="AL48">
        <v>0</v>
      </c>
      <c r="AM48" s="41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s="83"/>
    </row>
    <row r="49" spans="1:47" x14ac:dyDescent="0.25">
      <c r="A49">
        <v>0</v>
      </c>
      <c r="B49" t="s">
        <v>8</v>
      </c>
      <c r="C49">
        <v>18368</v>
      </c>
      <c r="D49">
        <v>64</v>
      </c>
      <c r="E49">
        <v>2</v>
      </c>
      <c r="F49">
        <v>4</v>
      </c>
      <c r="G49" s="2">
        <v>2075.19</v>
      </c>
      <c r="H49" s="40">
        <v>1.9911000000000001</v>
      </c>
      <c r="I49" s="31">
        <v>45458</v>
      </c>
      <c r="J49" s="38">
        <v>0.91922453703703699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82">
        <f t="shared" ref="W49" si="16">AVERAGE(H49:H53)</f>
        <v>2.00482</v>
      </c>
      <c r="Y49">
        <v>0</v>
      </c>
      <c r="Z49" t="s">
        <v>8</v>
      </c>
      <c r="AA49">
        <v>18368</v>
      </c>
      <c r="AB49">
        <v>64</v>
      </c>
      <c r="AC49">
        <v>2</v>
      </c>
      <c r="AD49">
        <v>4</v>
      </c>
      <c r="AE49">
        <v>1957.04</v>
      </c>
      <c r="AF49" s="58">
        <v>2.1113</v>
      </c>
      <c r="AG49" s="57">
        <v>45465</v>
      </c>
      <c r="AH49" s="30">
        <v>0.94923611111111106</v>
      </c>
      <c r="AI49">
        <v>0</v>
      </c>
      <c r="AJ49">
        <v>0</v>
      </c>
      <c r="AK49">
        <v>0</v>
      </c>
      <c r="AL49">
        <v>0</v>
      </c>
      <c r="AM49" s="41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83">
        <f t="shared" ref="AU49" si="17">AVERAGE(AF49:AF53)</f>
        <v>2.1818400000000002</v>
      </c>
    </row>
    <row r="50" spans="1:47" x14ac:dyDescent="0.25">
      <c r="A50">
        <v>1</v>
      </c>
      <c r="B50" t="s">
        <v>8</v>
      </c>
      <c r="C50">
        <v>18368</v>
      </c>
      <c r="D50">
        <v>64</v>
      </c>
      <c r="E50">
        <v>2</v>
      </c>
      <c r="F50">
        <v>4</v>
      </c>
      <c r="G50" s="2">
        <v>2043.12</v>
      </c>
      <c r="H50" s="40">
        <v>2.0223</v>
      </c>
      <c r="I50" s="31">
        <v>45460</v>
      </c>
      <c r="J50" s="38">
        <v>0.21407407407407408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82"/>
      <c r="Y50">
        <v>1</v>
      </c>
      <c r="Z50" t="s">
        <v>8</v>
      </c>
      <c r="AA50">
        <v>18368</v>
      </c>
      <c r="AB50">
        <v>64</v>
      </c>
      <c r="AC50">
        <v>2</v>
      </c>
      <c r="AD50">
        <v>4</v>
      </c>
      <c r="AE50">
        <v>1771.31</v>
      </c>
      <c r="AF50" s="58">
        <v>2.3327</v>
      </c>
      <c r="AG50" s="57">
        <v>45468</v>
      </c>
      <c r="AH50" s="30">
        <v>0.80678240740740736</v>
      </c>
      <c r="AI50">
        <v>0</v>
      </c>
      <c r="AJ50">
        <v>0</v>
      </c>
      <c r="AK50">
        <v>0</v>
      </c>
      <c r="AL50">
        <v>0</v>
      </c>
      <c r="AM50" s="41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s="83"/>
    </row>
    <row r="51" spans="1:47" x14ac:dyDescent="0.25">
      <c r="A51">
        <v>2</v>
      </c>
      <c r="B51" t="s">
        <v>8</v>
      </c>
      <c r="C51">
        <v>18368</v>
      </c>
      <c r="D51">
        <v>64</v>
      </c>
      <c r="E51">
        <v>2</v>
      </c>
      <c r="F51">
        <v>4</v>
      </c>
      <c r="G51" s="2">
        <v>2082.77</v>
      </c>
      <c r="H51" s="40">
        <v>1.9838</v>
      </c>
      <c r="I51" s="31">
        <v>45461</v>
      </c>
      <c r="J51" s="38">
        <v>0.82444444444444442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82"/>
      <c r="Y51">
        <v>2</v>
      </c>
      <c r="Z51" t="s">
        <v>8</v>
      </c>
      <c r="AA51">
        <v>18368</v>
      </c>
      <c r="AB51">
        <v>64</v>
      </c>
      <c r="AC51">
        <v>2</v>
      </c>
      <c r="AD51">
        <v>4</v>
      </c>
      <c r="AE51">
        <v>1985.3</v>
      </c>
      <c r="AF51" s="58">
        <v>2.0811999999999999</v>
      </c>
      <c r="AG51" s="57">
        <v>45470</v>
      </c>
      <c r="AH51" s="30">
        <v>7.1874999999999994E-2</v>
      </c>
      <c r="AI51">
        <v>0</v>
      </c>
      <c r="AJ51">
        <v>0</v>
      </c>
      <c r="AK51">
        <v>0</v>
      </c>
      <c r="AL51">
        <v>0</v>
      </c>
      <c r="AM51" s="4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s="83"/>
    </row>
    <row r="52" spans="1:47" x14ac:dyDescent="0.25">
      <c r="A52">
        <v>3</v>
      </c>
      <c r="B52" t="s">
        <v>8</v>
      </c>
      <c r="C52">
        <v>18368</v>
      </c>
      <c r="D52">
        <v>64</v>
      </c>
      <c r="E52">
        <v>2</v>
      </c>
      <c r="F52">
        <v>4</v>
      </c>
      <c r="G52" s="2">
        <v>2002.15</v>
      </c>
      <c r="H52" s="40">
        <v>2.0636999999999999</v>
      </c>
      <c r="I52" s="31">
        <v>45463</v>
      </c>
      <c r="J52" s="38">
        <v>0.12141203703703704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82"/>
      <c r="Y52">
        <v>3</v>
      </c>
      <c r="Z52" t="s">
        <v>8</v>
      </c>
      <c r="AA52">
        <v>18368</v>
      </c>
      <c r="AB52">
        <v>64</v>
      </c>
      <c r="AC52">
        <v>2</v>
      </c>
      <c r="AD52">
        <v>4</v>
      </c>
      <c r="AE52">
        <v>1892.82</v>
      </c>
      <c r="AF52" s="58">
        <v>2.1829000000000001</v>
      </c>
      <c r="AG52" s="57">
        <v>45471</v>
      </c>
      <c r="AH52" s="30">
        <v>0.33989583333333334</v>
      </c>
      <c r="AI52">
        <v>0</v>
      </c>
      <c r="AJ52">
        <v>0</v>
      </c>
      <c r="AK52">
        <v>0</v>
      </c>
      <c r="AL52">
        <v>0</v>
      </c>
      <c r="AM52" s="41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s="83"/>
    </row>
    <row r="53" spans="1:47" x14ac:dyDescent="0.25">
      <c r="A53">
        <v>4</v>
      </c>
      <c r="B53" t="s">
        <v>8</v>
      </c>
      <c r="C53">
        <v>18368</v>
      </c>
      <c r="D53">
        <v>64</v>
      </c>
      <c r="E53">
        <v>2</v>
      </c>
      <c r="F53">
        <v>4</v>
      </c>
      <c r="G53" s="2">
        <v>2104.62</v>
      </c>
      <c r="H53" s="40">
        <v>1.9632000000000001</v>
      </c>
      <c r="I53" s="31">
        <v>45464</v>
      </c>
      <c r="J53" s="38">
        <v>0.40090277777777777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82"/>
      <c r="Y53">
        <v>4</v>
      </c>
      <c r="Z53" t="s">
        <v>8</v>
      </c>
      <c r="AA53">
        <v>18368</v>
      </c>
      <c r="AB53">
        <v>64</v>
      </c>
      <c r="AC53">
        <v>2</v>
      </c>
      <c r="AD53">
        <v>4</v>
      </c>
      <c r="AE53">
        <v>1877.22</v>
      </c>
      <c r="AF53" s="58">
        <v>2.2010999999999998</v>
      </c>
      <c r="AG53" s="31">
        <v>45472</v>
      </c>
      <c r="AH53" s="30">
        <v>0.60464120370370367</v>
      </c>
      <c r="AI53">
        <v>0</v>
      </c>
      <c r="AJ53">
        <v>0</v>
      </c>
      <c r="AK53">
        <v>0</v>
      </c>
      <c r="AL53">
        <v>0</v>
      </c>
      <c r="AM53" s="41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83"/>
    </row>
    <row r="54" spans="1:47" x14ac:dyDescent="0.25">
      <c r="A54">
        <v>0</v>
      </c>
      <c r="B54" t="s">
        <v>8</v>
      </c>
      <c r="C54">
        <v>19456</v>
      </c>
      <c r="D54">
        <v>64</v>
      </c>
      <c r="E54">
        <v>2</v>
      </c>
      <c r="F54">
        <v>4</v>
      </c>
      <c r="G54" s="2">
        <v>2607.7199999999998</v>
      </c>
      <c r="H54" s="40">
        <v>1.883</v>
      </c>
      <c r="I54" s="31">
        <v>45459</v>
      </c>
      <c r="J54" s="38">
        <v>0.32828703703703704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1">
        <v>0</v>
      </c>
      <c r="W54" s="82">
        <f t="shared" ref="W54" si="18">AVERAGE(H54:H58)</f>
        <v>1.9548400000000001</v>
      </c>
      <c r="Y54">
        <v>0</v>
      </c>
      <c r="Z54" t="s">
        <v>8</v>
      </c>
      <c r="AA54">
        <v>19456</v>
      </c>
      <c r="AB54">
        <v>64</v>
      </c>
      <c r="AC54">
        <v>2</v>
      </c>
      <c r="AD54">
        <v>4</v>
      </c>
      <c r="AE54">
        <v>2176.41</v>
      </c>
      <c r="AF54" s="58">
        <v>2.2562000000000002</v>
      </c>
      <c r="AG54" s="57">
        <v>45466</v>
      </c>
      <c r="AH54" s="30">
        <v>0.34658564814814813</v>
      </c>
      <c r="AI54">
        <v>0</v>
      </c>
      <c r="AJ54">
        <v>0</v>
      </c>
      <c r="AK54">
        <v>0</v>
      </c>
      <c r="AL54">
        <v>0</v>
      </c>
      <c r="AM54" s="41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s="83">
        <f t="shared" ref="AU54" si="19">AVERAGE(AF54:AF58)</f>
        <v>2.2509199999999998</v>
      </c>
    </row>
    <row r="55" spans="1:47" x14ac:dyDescent="0.25">
      <c r="A55">
        <v>1</v>
      </c>
      <c r="B55" t="s">
        <v>8</v>
      </c>
      <c r="C55">
        <v>19456</v>
      </c>
      <c r="D55">
        <v>64</v>
      </c>
      <c r="E55">
        <v>2</v>
      </c>
      <c r="F55">
        <v>4</v>
      </c>
      <c r="G55" s="2">
        <v>2456.19</v>
      </c>
      <c r="H55" s="40">
        <v>1.9992000000000001</v>
      </c>
      <c r="I55" s="31">
        <v>45460</v>
      </c>
      <c r="J55" s="38">
        <v>0.62422453703703706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82"/>
      <c r="Y55">
        <v>1</v>
      </c>
      <c r="Z55" t="s">
        <v>8</v>
      </c>
      <c r="AA55">
        <v>19456</v>
      </c>
      <c r="AB55">
        <v>64</v>
      </c>
      <c r="AC55">
        <v>2</v>
      </c>
      <c r="AD55">
        <v>4</v>
      </c>
      <c r="AE55">
        <v>2243.41</v>
      </c>
      <c r="AF55" s="58">
        <v>2.1888000000000001</v>
      </c>
      <c r="AG55" s="57">
        <v>45469</v>
      </c>
      <c r="AH55" s="30">
        <v>0.2041550925925926</v>
      </c>
      <c r="AI55">
        <v>0</v>
      </c>
      <c r="AJ55">
        <v>0</v>
      </c>
      <c r="AK55">
        <v>0</v>
      </c>
      <c r="AL55">
        <v>0</v>
      </c>
      <c r="AM55" s="41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s="83"/>
    </row>
    <row r="56" spans="1:47" x14ac:dyDescent="0.25">
      <c r="A56">
        <v>2</v>
      </c>
      <c r="B56" t="s">
        <v>8</v>
      </c>
      <c r="C56">
        <v>19456</v>
      </c>
      <c r="D56">
        <v>64</v>
      </c>
      <c r="E56">
        <v>2</v>
      </c>
      <c r="F56">
        <v>4</v>
      </c>
      <c r="G56" s="2">
        <v>2477.66</v>
      </c>
      <c r="H56" s="40">
        <v>1.9819</v>
      </c>
      <c r="I56" s="31">
        <v>45462</v>
      </c>
      <c r="J56" s="38">
        <v>0.23430555555555554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82"/>
      <c r="Y56">
        <v>2</v>
      </c>
      <c r="Z56" t="s">
        <v>8</v>
      </c>
      <c r="AA56">
        <v>19456</v>
      </c>
      <c r="AB56">
        <v>64</v>
      </c>
      <c r="AC56">
        <v>2</v>
      </c>
      <c r="AD56">
        <v>4</v>
      </c>
      <c r="AE56">
        <v>2148.11</v>
      </c>
      <c r="AF56" s="58">
        <v>2.2858999999999998</v>
      </c>
      <c r="AG56" s="57">
        <v>45470</v>
      </c>
      <c r="AH56" s="30">
        <v>0.47355324074074073</v>
      </c>
      <c r="AI56">
        <v>0</v>
      </c>
      <c r="AJ56">
        <v>0</v>
      </c>
      <c r="AK56">
        <v>0</v>
      </c>
      <c r="AL56">
        <v>0</v>
      </c>
      <c r="AM56" s="41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83"/>
    </row>
    <row r="57" spans="1:47" x14ac:dyDescent="0.25">
      <c r="A57">
        <v>3</v>
      </c>
      <c r="B57" t="s">
        <v>8</v>
      </c>
      <c r="C57">
        <v>19456</v>
      </c>
      <c r="D57">
        <v>64</v>
      </c>
      <c r="E57">
        <v>2</v>
      </c>
      <c r="F57">
        <v>4</v>
      </c>
      <c r="G57" s="2">
        <v>2562.37</v>
      </c>
      <c r="H57" s="40">
        <v>1.9164000000000001</v>
      </c>
      <c r="I57" s="31">
        <v>45463</v>
      </c>
      <c r="J57" s="38">
        <v>0.52827546296296302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82"/>
      <c r="Y57">
        <v>3</v>
      </c>
      <c r="Z57" t="s">
        <v>8</v>
      </c>
      <c r="AA57">
        <v>19456</v>
      </c>
      <c r="AB57">
        <v>64</v>
      </c>
      <c r="AC57">
        <v>2</v>
      </c>
      <c r="AD57">
        <v>4</v>
      </c>
      <c r="AE57">
        <v>2165.46</v>
      </c>
      <c r="AF57" s="58">
        <v>2.2675999999999998</v>
      </c>
      <c r="AG57" s="57">
        <v>45471</v>
      </c>
      <c r="AH57" s="30">
        <v>0.73868055555555556</v>
      </c>
      <c r="AI57">
        <v>0</v>
      </c>
      <c r="AJ57">
        <v>0</v>
      </c>
      <c r="AK57">
        <v>0</v>
      </c>
      <c r="AL57">
        <v>0</v>
      </c>
      <c r="AM57" s="41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83"/>
    </row>
    <row r="58" spans="1:47" x14ac:dyDescent="0.25">
      <c r="A58">
        <v>4</v>
      </c>
      <c r="B58" t="s">
        <v>8</v>
      </c>
      <c r="C58">
        <v>19456</v>
      </c>
      <c r="D58">
        <v>64</v>
      </c>
      <c r="E58">
        <v>2</v>
      </c>
      <c r="F58">
        <v>4</v>
      </c>
      <c r="G58" s="2">
        <v>2463.02</v>
      </c>
      <c r="H58" s="40">
        <v>1.9937</v>
      </c>
      <c r="I58" s="31">
        <v>45464</v>
      </c>
      <c r="J58" s="38">
        <v>0.80587962962962967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82"/>
      <c r="Y58">
        <v>4</v>
      </c>
      <c r="Z58" t="s">
        <v>8</v>
      </c>
      <c r="AA58">
        <v>19456</v>
      </c>
      <c r="AB58">
        <v>64</v>
      </c>
      <c r="AC58">
        <v>2</v>
      </c>
      <c r="AD58">
        <v>4</v>
      </c>
      <c r="AE58">
        <v>2176.5300000000002</v>
      </c>
      <c r="AF58" s="58">
        <v>2.2561</v>
      </c>
      <c r="AG58" s="31">
        <v>45473</v>
      </c>
      <c r="AH58" s="30">
        <v>2.488425925925926E-3</v>
      </c>
      <c r="AI58">
        <v>0</v>
      </c>
      <c r="AJ58">
        <v>0</v>
      </c>
      <c r="AK58">
        <v>0</v>
      </c>
      <c r="AL58">
        <v>0</v>
      </c>
      <c r="AM58" s="41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s="83"/>
    </row>
    <row r="59" spans="1:47" x14ac:dyDescent="0.25">
      <c r="A59">
        <v>0</v>
      </c>
      <c r="B59" t="s">
        <v>8</v>
      </c>
      <c r="C59">
        <v>20544</v>
      </c>
      <c r="D59">
        <v>64</v>
      </c>
      <c r="E59">
        <v>2</v>
      </c>
      <c r="F59">
        <v>4</v>
      </c>
      <c r="G59" s="2">
        <v>2878.71</v>
      </c>
      <c r="H59" s="40">
        <v>2.0082</v>
      </c>
      <c r="I59" s="31">
        <v>45459</v>
      </c>
      <c r="J59" s="38">
        <v>0.80112268518518515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82">
        <f t="shared" ref="W59" si="20">AVERAGE(H59:H63)</f>
        <v>1.5726600000000002</v>
      </c>
      <c r="Y59">
        <v>0</v>
      </c>
      <c r="Z59" t="s">
        <v>8</v>
      </c>
      <c r="AA59">
        <v>20544</v>
      </c>
      <c r="AB59">
        <v>64</v>
      </c>
      <c r="AC59">
        <v>2</v>
      </c>
      <c r="AD59">
        <v>4</v>
      </c>
      <c r="AE59">
        <v>2659.13</v>
      </c>
      <c r="AF59" s="58">
        <v>2.1741000000000001</v>
      </c>
      <c r="AG59" s="57">
        <v>45466</v>
      </c>
      <c r="AH59" s="30">
        <v>0.81190972222222224</v>
      </c>
      <c r="AI59">
        <v>0</v>
      </c>
      <c r="AJ59">
        <v>0</v>
      </c>
      <c r="AK59">
        <v>0</v>
      </c>
      <c r="AL59">
        <v>0</v>
      </c>
      <c r="AM59" s="41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s="83">
        <f t="shared" ref="AU59" si="21">AVERAGE(AF59:AF63)</f>
        <v>2.23576</v>
      </c>
    </row>
    <row r="60" spans="1:47" x14ac:dyDescent="0.25">
      <c r="A60">
        <v>1</v>
      </c>
      <c r="B60" t="s">
        <v>8</v>
      </c>
      <c r="C60">
        <v>20544</v>
      </c>
      <c r="D60">
        <v>64</v>
      </c>
      <c r="E60">
        <v>2</v>
      </c>
      <c r="F60">
        <v>4</v>
      </c>
      <c r="G60" s="2">
        <v>2974.84</v>
      </c>
      <c r="H60" s="40">
        <v>1.9433</v>
      </c>
      <c r="I60" s="31">
        <v>45461</v>
      </c>
      <c r="J60" s="38">
        <v>0.10692129629629629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1">
        <v>0</v>
      </c>
      <c r="W60" s="82"/>
      <c r="Y60">
        <v>1</v>
      </c>
      <c r="Z60" t="s">
        <v>8</v>
      </c>
      <c r="AA60">
        <v>20544</v>
      </c>
      <c r="AB60">
        <v>64</v>
      </c>
      <c r="AC60">
        <v>2</v>
      </c>
      <c r="AD60">
        <v>4</v>
      </c>
      <c r="AE60">
        <v>2510.17</v>
      </c>
      <c r="AF60" s="58">
        <v>2.3031000000000001</v>
      </c>
      <c r="AG60" s="57">
        <v>45469</v>
      </c>
      <c r="AH60" s="30">
        <v>0.66947916666666663</v>
      </c>
      <c r="AI60">
        <v>0</v>
      </c>
      <c r="AJ60">
        <v>0</v>
      </c>
      <c r="AK60">
        <v>0</v>
      </c>
      <c r="AL60">
        <v>0</v>
      </c>
      <c r="AM60" s="41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83"/>
    </row>
    <row r="61" spans="1:47" x14ac:dyDescent="0.25">
      <c r="A61">
        <v>2</v>
      </c>
      <c r="B61" t="s">
        <v>8</v>
      </c>
      <c r="C61">
        <v>20544</v>
      </c>
      <c r="D61">
        <v>64</v>
      </c>
      <c r="E61">
        <v>2</v>
      </c>
      <c r="F61">
        <v>4</v>
      </c>
      <c r="G61" s="2">
        <v>2968.66</v>
      </c>
      <c r="H61" s="40">
        <v>1.9474</v>
      </c>
      <c r="I61" s="31">
        <v>45462</v>
      </c>
      <c r="J61" s="38">
        <v>0.71190972222222226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82"/>
      <c r="Y61">
        <v>2</v>
      </c>
      <c r="Z61" t="s">
        <v>8</v>
      </c>
      <c r="AA61">
        <v>20544</v>
      </c>
      <c r="AB61">
        <v>64</v>
      </c>
      <c r="AC61">
        <v>2</v>
      </c>
      <c r="AD61">
        <v>4</v>
      </c>
      <c r="AE61">
        <v>2627.09</v>
      </c>
      <c r="AF61" s="58">
        <v>2.2006000000000001</v>
      </c>
      <c r="AG61" s="57">
        <v>45470</v>
      </c>
      <c r="AH61" s="30">
        <v>0.93711805555555561</v>
      </c>
      <c r="AI61">
        <v>0</v>
      </c>
      <c r="AJ61">
        <v>0</v>
      </c>
      <c r="AK61">
        <v>0</v>
      </c>
      <c r="AL61">
        <v>0</v>
      </c>
      <c r="AM61" s="4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83"/>
    </row>
    <row r="62" spans="1:47" x14ac:dyDescent="0.25">
      <c r="A62">
        <v>3</v>
      </c>
      <c r="B62" t="s">
        <v>8</v>
      </c>
      <c r="C62">
        <v>20544</v>
      </c>
      <c r="D62">
        <v>64</v>
      </c>
      <c r="E62">
        <v>2</v>
      </c>
      <c r="F62">
        <v>4</v>
      </c>
      <c r="G62" s="2">
        <v>2942.94</v>
      </c>
      <c r="H62" s="40">
        <v>1.9643999999999999</v>
      </c>
      <c r="I62" s="31">
        <v>45464</v>
      </c>
      <c r="J62" s="38">
        <v>4.8263888888888887E-3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82"/>
      <c r="Y62">
        <v>3</v>
      </c>
      <c r="Z62" t="s">
        <v>8</v>
      </c>
      <c r="AA62">
        <v>20544</v>
      </c>
      <c r="AB62">
        <v>64</v>
      </c>
      <c r="AC62">
        <v>2</v>
      </c>
      <c r="AD62">
        <v>4</v>
      </c>
      <c r="AE62">
        <v>2479.71</v>
      </c>
      <c r="AF62" s="58">
        <v>2.3313999999999999</v>
      </c>
      <c r="AG62" s="31">
        <v>45472</v>
      </c>
      <c r="AH62" s="30">
        <v>0.20200231481481482</v>
      </c>
      <c r="AI62">
        <v>0</v>
      </c>
      <c r="AJ62">
        <v>0</v>
      </c>
      <c r="AK62">
        <v>0</v>
      </c>
      <c r="AL62">
        <v>0</v>
      </c>
      <c r="AM62" s="41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83"/>
    </row>
    <row r="63" spans="1:47" x14ac:dyDescent="0.25">
      <c r="A63">
        <v>4</v>
      </c>
      <c r="B63" s="31" t="s">
        <v>8</v>
      </c>
      <c r="C63" s="30">
        <v>20544</v>
      </c>
      <c r="D63">
        <v>64</v>
      </c>
      <c r="E63">
        <v>2</v>
      </c>
      <c r="F63">
        <v>4</v>
      </c>
      <c r="G63" s="2">
        <v>0</v>
      </c>
      <c r="H63" s="40">
        <v>0</v>
      </c>
      <c r="I63" s="31">
        <v>45465</v>
      </c>
      <c r="J63" s="38">
        <v>0.26762731481481483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82"/>
      <c r="Y63">
        <v>4</v>
      </c>
      <c r="Z63" t="s">
        <v>8</v>
      </c>
      <c r="AA63">
        <v>20544</v>
      </c>
      <c r="AB63">
        <v>64</v>
      </c>
      <c r="AC63">
        <v>2</v>
      </c>
      <c r="AD63">
        <v>4</v>
      </c>
      <c r="AE63">
        <v>2664.59</v>
      </c>
      <c r="AF63" s="58">
        <v>2.1696</v>
      </c>
      <c r="AG63" s="31">
        <v>45473</v>
      </c>
      <c r="AH63" s="30">
        <v>0.47125</v>
      </c>
      <c r="AI63">
        <v>0</v>
      </c>
      <c r="AJ63">
        <v>0</v>
      </c>
      <c r="AK63">
        <v>0</v>
      </c>
      <c r="AL63">
        <v>0</v>
      </c>
      <c r="AM63" s="41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83"/>
    </row>
    <row r="64" spans="1:47" x14ac:dyDescent="0.25">
      <c r="A64">
        <v>0</v>
      </c>
      <c r="B64" t="s">
        <v>8</v>
      </c>
      <c r="C64">
        <v>18336</v>
      </c>
      <c r="D64">
        <v>96</v>
      </c>
      <c r="E64">
        <v>1</v>
      </c>
      <c r="F64">
        <v>8</v>
      </c>
      <c r="G64" s="2">
        <v>1981.47</v>
      </c>
      <c r="H64" s="40">
        <v>2.0743999999999998</v>
      </c>
      <c r="I64" s="31">
        <v>45458</v>
      </c>
      <c r="J64" s="38">
        <v>0.94276620370370368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82">
        <f t="shared" ref="W64" si="22">AVERAGE(H64:H68)</f>
        <v>2.0628000000000002</v>
      </c>
      <c r="Y64">
        <v>0</v>
      </c>
      <c r="Z64" t="s">
        <v>8</v>
      </c>
      <c r="AA64">
        <v>18336</v>
      </c>
      <c r="AB64">
        <v>96</v>
      </c>
      <c r="AC64">
        <v>1</v>
      </c>
      <c r="AD64">
        <v>8</v>
      </c>
      <c r="AE64">
        <v>1807.68</v>
      </c>
      <c r="AF64" s="58">
        <v>2.2738</v>
      </c>
      <c r="AG64" s="57">
        <v>45465</v>
      </c>
      <c r="AH64" s="30">
        <v>0.97265046296296298</v>
      </c>
      <c r="AI64">
        <v>0</v>
      </c>
      <c r="AJ64">
        <v>0</v>
      </c>
      <c r="AK64">
        <v>0</v>
      </c>
      <c r="AL64">
        <v>0</v>
      </c>
      <c r="AM64" s="41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s="83">
        <f t="shared" ref="AU64" si="23">AVERAGE(AF64:AF68)</f>
        <v>2.2627600000000001</v>
      </c>
    </row>
    <row r="65" spans="1:47" x14ac:dyDescent="0.25">
      <c r="A65">
        <v>1</v>
      </c>
      <c r="B65" t="s">
        <v>8</v>
      </c>
      <c r="C65">
        <v>18336</v>
      </c>
      <c r="D65">
        <v>96</v>
      </c>
      <c r="E65">
        <v>1</v>
      </c>
      <c r="F65">
        <v>8</v>
      </c>
      <c r="G65" s="2">
        <v>1966.01</v>
      </c>
      <c r="H65" s="40">
        <v>2.0907</v>
      </c>
      <c r="I65" s="31">
        <v>45460</v>
      </c>
      <c r="J65" s="38">
        <v>0.2374074074074074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82"/>
      <c r="Y65">
        <v>1</v>
      </c>
      <c r="Z65" t="s">
        <v>8</v>
      </c>
      <c r="AA65">
        <v>18336</v>
      </c>
      <c r="AB65">
        <v>96</v>
      </c>
      <c r="AC65">
        <v>1</v>
      </c>
      <c r="AD65">
        <v>8</v>
      </c>
      <c r="AE65">
        <v>1859.46</v>
      </c>
      <c r="AF65" s="58">
        <v>2.2105000000000001</v>
      </c>
      <c r="AG65" s="57">
        <v>45468</v>
      </c>
      <c r="AH65" s="30">
        <v>0.83076388888888886</v>
      </c>
      <c r="AI65">
        <v>0</v>
      </c>
      <c r="AJ65">
        <v>0</v>
      </c>
      <c r="AK65">
        <v>0</v>
      </c>
      <c r="AL65">
        <v>0</v>
      </c>
      <c r="AM65" s="41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83"/>
    </row>
    <row r="66" spans="1:47" x14ac:dyDescent="0.25">
      <c r="A66">
        <v>2</v>
      </c>
      <c r="B66" t="s">
        <v>8</v>
      </c>
      <c r="C66">
        <v>18336</v>
      </c>
      <c r="D66">
        <v>96</v>
      </c>
      <c r="E66">
        <v>1</v>
      </c>
      <c r="F66">
        <v>8</v>
      </c>
      <c r="G66" s="2">
        <v>1958.1</v>
      </c>
      <c r="H66" s="40">
        <v>2.0991</v>
      </c>
      <c r="I66" s="31">
        <v>45461</v>
      </c>
      <c r="J66" s="38">
        <v>0.84782407407407412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82"/>
      <c r="Y66">
        <v>2</v>
      </c>
      <c r="Z66" t="s">
        <v>8</v>
      </c>
      <c r="AA66">
        <v>18336</v>
      </c>
      <c r="AB66">
        <v>96</v>
      </c>
      <c r="AC66">
        <v>1</v>
      </c>
      <c r="AD66">
        <v>8</v>
      </c>
      <c r="AE66">
        <v>1841.22</v>
      </c>
      <c r="AF66" s="58">
        <v>2.2324000000000002</v>
      </c>
      <c r="AG66" s="57">
        <v>45470</v>
      </c>
      <c r="AH66" s="30">
        <v>9.5694444444444443E-2</v>
      </c>
      <c r="AI66">
        <v>0</v>
      </c>
      <c r="AJ66">
        <v>0</v>
      </c>
      <c r="AK66">
        <v>0</v>
      </c>
      <c r="AL66">
        <v>0</v>
      </c>
      <c r="AM66" s="41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s="83"/>
    </row>
    <row r="67" spans="1:47" x14ac:dyDescent="0.25">
      <c r="A67">
        <v>3</v>
      </c>
      <c r="B67" t="s">
        <v>8</v>
      </c>
      <c r="C67">
        <v>18336</v>
      </c>
      <c r="D67">
        <v>96</v>
      </c>
      <c r="E67">
        <v>1</v>
      </c>
      <c r="F67">
        <v>8</v>
      </c>
      <c r="G67" s="2">
        <v>2018.85</v>
      </c>
      <c r="H67" s="40">
        <v>2.036</v>
      </c>
      <c r="I67" s="31">
        <v>45463</v>
      </c>
      <c r="J67" s="38">
        <v>0.14535879629629631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82"/>
      <c r="Y67">
        <v>3</v>
      </c>
      <c r="Z67" t="s">
        <v>8</v>
      </c>
      <c r="AA67">
        <v>18336</v>
      </c>
      <c r="AB67">
        <v>96</v>
      </c>
      <c r="AC67">
        <v>1</v>
      </c>
      <c r="AD67">
        <v>8</v>
      </c>
      <c r="AE67">
        <v>1757.95</v>
      </c>
      <c r="AF67" s="58">
        <v>2.3380999999999998</v>
      </c>
      <c r="AG67" s="57">
        <v>45471</v>
      </c>
      <c r="AH67" s="30">
        <v>0.36287037037037034</v>
      </c>
      <c r="AI67">
        <v>0</v>
      </c>
      <c r="AJ67">
        <v>0</v>
      </c>
      <c r="AK67">
        <v>0</v>
      </c>
      <c r="AL67">
        <v>0</v>
      </c>
      <c r="AM67" s="41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s="83"/>
    </row>
    <row r="68" spans="1:47" x14ac:dyDescent="0.25">
      <c r="A68">
        <v>4</v>
      </c>
      <c r="B68" t="s">
        <v>8</v>
      </c>
      <c r="C68">
        <v>18336</v>
      </c>
      <c r="D68">
        <v>96</v>
      </c>
      <c r="E68">
        <v>1</v>
      </c>
      <c r="F68">
        <v>8</v>
      </c>
      <c r="G68" s="2">
        <v>2041.08</v>
      </c>
      <c r="H68" s="40">
        <v>2.0137999999999998</v>
      </c>
      <c r="I68" s="31">
        <v>45464</v>
      </c>
      <c r="J68" s="38">
        <v>0.42526620370370372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82"/>
      <c r="Y68">
        <v>4</v>
      </c>
      <c r="Z68" t="s">
        <v>8</v>
      </c>
      <c r="AA68">
        <v>18336</v>
      </c>
      <c r="AB68">
        <v>96</v>
      </c>
      <c r="AC68">
        <v>1</v>
      </c>
      <c r="AD68">
        <v>8</v>
      </c>
      <c r="AE68">
        <v>1819.52</v>
      </c>
      <c r="AF68" s="58">
        <v>2.2589999999999999</v>
      </c>
      <c r="AG68" s="31">
        <v>45472</v>
      </c>
      <c r="AH68" s="30">
        <v>0.62824074074074077</v>
      </c>
      <c r="AI68">
        <v>0</v>
      </c>
      <c r="AJ68">
        <v>0</v>
      </c>
      <c r="AK68">
        <v>0</v>
      </c>
      <c r="AL68">
        <v>0</v>
      </c>
      <c r="AM68" s="41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s="83"/>
    </row>
    <row r="69" spans="1:47" x14ac:dyDescent="0.25">
      <c r="A69">
        <v>0</v>
      </c>
      <c r="B69" t="s">
        <v>8</v>
      </c>
      <c r="C69">
        <v>19392</v>
      </c>
      <c r="D69">
        <v>96</v>
      </c>
      <c r="E69">
        <v>1</v>
      </c>
      <c r="F69">
        <v>8</v>
      </c>
      <c r="G69" s="2">
        <v>2301.71</v>
      </c>
      <c r="H69" s="40">
        <v>2.1124000000000001</v>
      </c>
      <c r="I69" s="31">
        <v>45459</v>
      </c>
      <c r="J69" s="38">
        <v>0.35556712962962961</v>
      </c>
      <c r="K69" s="41">
        <v>0</v>
      </c>
      <c r="L69" s="41">
        <v>0</v>
      </c>
      <c r="M69" s="41">
        <v>0</v>
      </c>
      <c r="N69" s="41">
        <v>0</v>
      </c>
      <c r="O69" s="41">
        <v>0</v>
      </c>
      <c r="P69" s="41">
        <v>0</v>
      </c>
      <c r="Q69" s="41">
        <v>0</v>
      </c>
      <c r="R69" s="41">
        <v>0</v>
      </c>
      <c r="S69" s="41">
        <v>0</v>
      </c>
      <c r="T69" s="41">
        <v>0</v>
      </c>
      <c r="U69" s="41">
        <v>0</v>
      </c>
      <c r="V69" s="41">
        <v>0</v>
      </c>
      <c r="W69" s="82">
        <f t="shared" ref="W69" si="24">AVERAGE(H69:H73)</f>
        <v>2.0867000000000004</v>
      </c>
      <c r="Y69">
        <v>0</v>
      </c>
      <c r="Z69" t="s">
        <v>8</v>
      </c>
      <c r="AA69">
        <v>19392</v>
      </c>
      <c r="AB69">
        <v>96</v>
      </c>
      <c r="AC69">
        <v>1</v>
      </c>
      <c r="AD69">
        <v>8</v>
      </c>
      <c r="AE69">
        <v>2125.0700000000002</v>
      </c>
      <c r="AF69" s="58">
        <v>2.2879999999999998</v>
      </c>
      <c r="AG69" s="57">
        <v>45466</v>
      </c>
      <c r="AH69" s="30">
        <v>0.3739351851851852</v>
      </c>
      <c r="AI69">
        <v>0</v>
      </c>
      <c r="AJ69">
        <v>0</v>
      </c>
      <c r="AK69">
        <v>0</v>
      </c>
      <c r="AL69">
        <v>0</v>
      </c>
      <c r="AM69" s="41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s="83">
        <f t="shared" ref="AU69" si="25">AVERAGE(AF69:AF73)</f>
        <v>2.2834599999999998</v>
      </c>
    </row>
    <row r="70" spans="1:47" x14ac:dyDescent="0.25">
      <c r="A70">
        <v>1</v>
      </c>
      <c r="B70" t="s">
        <v>8</v>
      </c>
      <c r="C70">
        <v>19392</v>
      </c>
      <c r="D70">
        <v>96</v>
      </c>
      <c r="E70">
        <v>1</v>
      </c>
      <c r="F70">
        <v>8</v>
      </c>
      <c r="G70" s="2">
        <v>2361.89</v>
      </c>
      <c r="H70" s="40">
        <v>2.0586000000000002</v>
      </c>
      <c r="I70" s="31">
        <v>45460</v>
      </c>
      <c r="J70" s="38">
        <v>0.65239583333333329</v>
      </c>
      <c r="K70" s="41">
        <v>0</v>
      </c>
      <c r="L70" s="41">
        <v>0</v>
      </c>
      <c r="M70" s="41">
        <v>0</v>
      </c>
      <c r="N70" s="41">
        <v>0</v>
      </c>
      <c r="O70" s="41">
        <v>0</v>
      </c>
      <c r="P70" s="41">
        <v>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82"/>
      <c r="Y70">
        <v>1</v>
      </c>
      <c r="Z70" t="s">
        <v>8</v>
      </c>
      <c r="AA70">
        <v>19392</v>
      </c>
      <c r="AB70">
        <v>96</v>
      </c>
      <c r="AC70">
        <v>1</v>
      </c>
      <c r="AD70">
        <v>8</v>
      </c>
      <c r="AE70">
        <v>2145.34</v>
      </c>
      <c r="AF70" s="58">
        <v>2.2664</v>
      </c>
      <c r="AG70" s="57">
        <v>45469</v>
      </c>
      <c r="AH70" s="30">
        <v>0.23192129629629629</v>
      </c>
      <c r="AI70">
        <v>0</v>
      </c>
      <c r="AJ70">
        <v>0</v>
      </c>
      <c r="AK70">
        <v>0</v>
      </c>
      <c r="AL70">
        <v>0</v>
      </c>
      <c r="AM70" s="41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s="83"/>
    </row>
    <row r="71" spans="1:47" x14ac:dyDescent="0.25">
      <c r="A71">
        <v>2</v>
      </c>
      <c r="B71" t="s">
        <v>8</v>
      </c>
      <c r="C71">
        <v>19392</v>
      </c>
      <c r="D71">
        <v>96</v>
      </c>
      <c r="E71">
        <v>1</v>
      </c>
      <c r="F71">
        <v>8</v>
      </c>
      <c r="G71" s="2">
        <v>2300.25</v>
      </c>
      <c r="H71" s="40">
        <v>2.1137000000000001</v>
      </c>
      <c r="I71" s="31">
        <v>45462</v>
      </c>
      <c r="J71" s="38">
        <v>0.26174768518518521</v>
      </c>
      <c r="K71" s="41">
        <v>0</v>
      </c>
      <c r="L71" s="41">
        <v>0</v>
      </c>
      <c r="M71" s="41">
        <v>0</v>
      </c>
      <c r="N71" s="41">
        <v>0</v>
      </c>
      <c r="O71" s="41">
        <v>0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82"/>
      <c r="Y71">
        <v>2</v>
      </c>
      <c r="Z71" t="s">
        <v>8</v>
      </c>
      <c r="AA71">
        <v>19392</v>
      </c>
      <c r="AB71">
        <v>96</v>
      </c>
      <c r="AC71">
        <v>1</v>
      </c>
      <c r="AD71">
        <v>8</v>
      </c>
      <c r="AE71">
        <v>2083.3200000000002</v>
      </c>
      <c r="AF71" s="58">
        <v>2.3338000000000001</v>
      </c>
      <c r="AG71" s="57">
        <v>45470</v>
      </c>
      <c r="AH71" s="30">
        <v>0.50064814814814818</v>
      </c>
      <c r="AI71">
        <v>0</v>
      </c>
      <c r="AJ71">
        <v>0</v>
      </c>
      <c r="AK71">
        <v>0</v>
      </c>
      <c r="AL71">
        <v>0</v>
      </c>
      <c r="AM71" s="4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s="83"/>
    </row>
    <row r="72" spans="1:47" x14ac:dyDescent="0.25">
      <c r="A72">
        <v>3</v>
      </c>
      <c r="B72" t="s">
        <v>8</v>
      </c>
      <c r="C72">
        <v>19392</v>
      </c>
      <c r="D72">
        <v>96</v>
      </c>
      <c r="E72">
        <v>1</v>
      </c>
      <c r="F72">
        <v>8</v>
      </c>
      <c r="G72" s="2">
        <v>2309.9</v>
      </c>
      <c r="H72" s="40">
        <v>2.1049000000000002</v>
      </c>
      <c r="I72" s="31">
        <v>45463</v>
      </c>
      <c r="J72" s="38">
        <v>0.55564814814814811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82"/>
      <c r="Y72">
        <v>3</v>
      </c>
      <c r="Z72" t="s">
        <v>8</v>
      </c>
      <c r="AA72">
        <v>19392</v>
      </c>
      <c r="AB72">
        <v>96</v>
      </c>
      <c r="AC72">
        <v>1</v>
      </c>
      <c r="AD72">
        <v>8</v>
      </c>
      <c r="AE72">
        <v>2141.08</v>
      </c>
      <c r="AF72" s="58">
        <v>2.2709000000000001</v>
      </c>
      <c r="AG72" s="57">
        <v>45471</v>
      </c>
      <c r="AH72" s="30">
        <v>0.76636574074074071</v>
      </c>
      <c r="AI72">
        <v>0</v>
      </c>
      <c r="AJ72">
        <v>0</v>
      </c>
      <c r="AK72">
        <v>0</v>
      </c>
      <c r="AL72">
        <v>0</v>
      </c>
      <c r="AM72" s="41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s="83"/>
    </row>
    <row r="73" spans="1:47" x14ac:dyDescent="0.25">
      <c r="A73">
        <v>4</v>
      </c>
      <c r="B73" t="s">
        <v>8</v>
      </c>
      <c r="C73">
        <v>19392</v>
      </c>
      <c r="D73">
        <v>96</v>
      </c>
      <c r="E73">
        <v>1</v>
      </c>
      <c r="F73">
        <v>8</v>
      </c>
      <c r="G73" s="2">
        <v>2378.81</v>
      </c>
      <c r="H73" s="40">
        <v>2.0438999999999998</v>
      </c>
      <c r="I73" s="31">
        <v>45464</v>
      </c>
      <c r="J73" s="38">
        <v>0.83414351851851853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82"/>
      <c r="Y73">
        <v>4</v>
      </c>
      <c r="Z73" t="s">
        <v>8</v>
      </c>
      <c r="AA73">
        <v>19392</v>
      </c>
      <c r="AB73">
        <v>96</v>
      </c>
      <c r="AC73">
        <v>1</v>
      </c>
      <c r="AD73">
        <v>8</v>
      </c>
      <c r="AE73">
        <v>2153.12</v>
      </c>
      <c r="AF73" s="58">
        <v>2.2582</v>
      </c>
      <c r="AG73" s="31">
        <v>45473</v>
      </c>
      <c r="AH73" s="30">
        <v>3.0381944444444444E-2</v>
      </c>
      <c r="AI73">
        <v>0</v>
      </c>
      <c r="AJ73">
        <v>0</v>
      </c>
      <c r="AK73">
        <v>0</v>
      </c>
      <c r="AL73">
        <v>0</v>
      </c>
      <c r="AM73" s="41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s="83"/>
    </row>
    <row r="74" spans="1:47" x14ac:dyDescent="0.25">
      <c r="A74">
        <v>0</v>
      </c>
      <c r="B74" t="s">
        <v>8</v>
      </c>
      <c r="C74">
        <v>20544</v>
      </c>
      <c r="D74">
        <v>96</v>
      </c>
      <c r="E74">
        <v>1</v>
      </c>
      <c r="F74">
        <v>8</v>
      </c>
      <c r="G74" s="2">
        <v>2736.94</v>
      </c>
      <c r="H74" s="40">
        <v>2.1122999999999998</v>
      </c>
      <c r="I74" s="31">
        <v>45459</v>
      </c>
      <c r="J74" s="38">
        <v>0.8335069444444444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82">
        <f t="shared" ref="W74" si="26">AVERAGE(H74:H78)</f>
        <v>2.0710000000000002</v>
      </c>
      <c r="Y74">
        <v>0</v>
      </c>
      <c r="Z74" t="s">
        <v>8</v>
      </c>
      <c r="AA74">
        <v>20544</v>
      </c>
      <c r="AB74">
        <v>96</v>
      </c>
      <c r="AC74">
        <v>1</v>
      </c>
      <c r="AD74">
        <v>8</v>
      </c>
      <c r="AE74">
        <v>2473.1</v>
      </c>
      <c r="AF74" s="58">
        <v>2.3376000000000001</v>
      </c>
      <c r="AG74" s="57">
        <v>45466</v>
      </c>
      <c r="AH74" s="30">
        <v>0.84375</v>
      </c>
      <c r="AI74">
        <v>0</v>
      </c>
      <c r="AJ74">
        <v>0</v>
      </c>
      <c r="AK74">
        <v>0</v>
      </c>
      <c r="AL74">
        <v>0</v>
      </c>
      <c r="AM74" s="41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s="83">
        <f t="shared" ref="AU74" si="27">AVERAGE(AF74:AF78)</f>
        <v>2.30742</v>
      </c>
    </row>
    <row r="75" spans="1:47" x14ac:dyDescent="0.25">
      <c r="A75">
        <v>1</v>
      </c>
      <c r="B75" t="s">
        <v>8</v>
      </c>
      <c r="C75">
        <v>20544</v>
      </c>
      <c r="D75">
        <v>96</v>
      </c>
      <c r="E75">
        <v>1</v>
      </c>
      <c r="F75">
        <v>8</v>
      </c>
      <c r="G75" s="2">
        <v>2730.18</v>
      </c>
      <c r="H75" s="40">
        <v>2.1175000000000002</v>
      </c>
      <c r="I75" s="31">
        <v>45461</v>
      </c>
      <c r="J75" s="38">
        <v>0.1393287037037037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82"/>
      <c r="Y75">
        <v>1</v>
      </c>
      <c r="Z75" t="s">
        <v>8</v>
      </c>
      <c r="AA75">
        <v>20544</v>
      </c>
      <c r="AB75">
        <v>96</v>
      </c>
      <c r="AC75">
        <v>1</v>
      </c>
      <c r="AD75">
        <v>8</v>
      </c>
      <c r="AE75">
        <v>2429.4899999999998</v>
      </c>
      <c r="AF75" s="58">
        <v>2.3795999999999999</v>
      </c>
      <c r="AG75" s="57">
        <v>45469</v>
      </c>
      <c r="AH75" s="30">
        <v>0.70056712962962964</v>
      </c>
      <c r="AI75">
        <v>0</v>
      </c>
      <c r="AJ75">
        <v>0</v>
      </c>
      <c r="AK75">
        <v>0</v>
      </c>
      <c r="AL75">
        <v>0</v>
      </c>
      <c r="AM75" s="41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s="83"/>
    </row>
    <row r="76" spans="1:47" x14ac:dyDescent="0.25">
      <c r="A76">
        <v>2</v>
      </c>
      <c r="B76" t="s">
        <v>8</v>
      </c>
      <c r="C76">
        <v>20544</v>
      </c>
      <c r="D76">
        <v>96</v>
      </c>
      <c r="E76">
        <v>1</v>
      </c>
      <c r="F76">
        <v>8</v>
      </c>
      <c r="G76" s="2">
        <v>2858.37</v>
      </c>
      <c r="H76" s="40">
        <v>2.0225</v>
      </c>
      <c r="I76" s="31">
        <v>45462</v>
      </c>
      <c r="J76" s="38">
        <v>0.74570601851851848</v>
      </c>
      <c r="K76" s="41">
        <v>0</v>
      </c>
      <c r="L76" s="41">
        <v>0</v>
      </c>
      <c r="M76" s="41">
        <v>0</v>
      </c>
      <c r="N76" s="41">
        <v>0</v>
      </c>
      <c r="O76" s="41">
        <v>0</v>
      </c>
      <c r="P76" s="41">
        <v>0</v>
      </c>
      <c r="Q76" s="41">
        <v>0</v>
      </c>
      <c r="R76" s="41">
        <v>0</v>
      </c>
      <c r="S76" s="41">
        <v>0</v>
      </c>
      <c r="T76" s="41">
        <v>0</v>
      </c>
      <c r="U76" s="41">
        <v>0</v>
      </c>
      <c r="V76" s="41">
        <v>0</v>
      </c>
      <c r="W76" s="82"/>
      <c r="Y76">
        <v>2</v>
      </c>
      <c r="Z76" t="s">
        <v>8</v>
      </c>
      <c r="AA76">
        <v>20544</v>
      </c>
      <c r="AB76">
        <v>96</v>
      </c>
      <c r="AC76">
        <v>1</v>
      </c>
      <c r="AD76">
        <v>8</v>
      </c>
      <c r="AE76">
        <v>2566.62</v>
      </c>
      <c r="AF76" s="58">
        <v>2.2524000000000002</v>
      </c>
      <c r="AG76" s="57">
        <v>45470</v>
      </c>
      <c r="AH76" s="30">
        <v>0.96995370370370371</v>
      </c>
      <c r="AI76">
        <v>0</v>
      </c>
      <c r="AJ76">
        <v>0</v>
      </c>
      <c r="AK76">
        <v>0</v>
      </c>
      <c r="AL76">
        <v>0</v>
      </c>
      <c r="AM76" s="41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s="83"/>
    </row>
    <row r="77" spans="1:47" x14ac:dyDescent="0.25">
      <c r="A77">
        <v>3</v>
      </c>
      <c r="B77" t="s">
        <v>8</v>
      </c>
      <c r="C77">
        <v>20544</v>
      </c>
      <c r="D77">
        <v>96</v>
      </c>
      <c r="E77">
        <v>1</v>
      </c>
      <c r="F77">
        <v>8</v>
      </c>
      <c r="G77" s="2">
        <v>2811.28</v>
      </c>
      <c r="H77" s="40">
        <v>2.0564</v>
      </c>
      <c r="I77" s="31">
        <v>45464</v>
      </c>
      <c r="J77" s="38">
        <v>3.8090277777777778E-2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41">
        <v>0</v>
      </c>
      <c r="T77" s="41">
        <v>0</v>
      </c>
      <c r="U77" s="41">
        <v>0</v>
      </c>
      <c r="V77" s="41">
        <v>0</v>
      </c>
      <c r="W77" s="82"/>
      <c r="Y77">
        <v>3</v>
      </c>
      <c r="Z77" t="s">
        <v>8</v>
      </c>
      <c r="AA77">
        <v>20544</v>
      </c>
      <c r="AB77">
        <v>96</v>
      </c>
      <c r="AC77">
        <v>1</v>
      </c>
      <c r="AD77">
        <v>8</v>
      </c>
      <c r="AE77">
        <v>2479.04</v>
      </c>
      <c r="AF77" s="58">
        <v>2.3319999999999999</v>
      </c>
      <c r="AG77" s="31">
        <v>45472</v>
      </c>
      <c r="AH77" s="30">
        <v>0.2338888888888889</v>
      </c>
      <c r="AI77">
        <v>0</v>
      </c>
      <c r="AJ77">
        <v>0</v>
      </c>
      <c r="AK77">
        <v>0</v>
      </c>
      <c r="AL77">
        <v>0</v>
      </c>
      <c r="AM77" s="41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s="83"/>
    </row>
    <row r="78" spans="1:47" x14ac:dyDescent="0.25">
      <c r="A78">
        <v>4</v>
      </c>
      <c r="B78" t="s">
        <v>8</v>
      </c>
      <c r="C78">
        <v>20544</v>
      </c>
      <c r="D78">
        <v>96</v>
      </c>
      <c r="E78">
        <v>1</v>
      </c>
      <c r="F78">
        <v>8</v>
      </c>
      <c r="G78" s="2">
        <v>2825.12</v>
      </c>
      <c r="H78" s="40">
        <v>2.0463</v>
      </c>
      <c r="I78" s="31">
        <v>45465</v>
      </c>
      <c r="J78" s="38">
        <v>0.30118055555555556</v>
      </c>
      <c r="K78" s="41">
        <v>0</v>
      </c>
      <c r="L78" s="41">
        <v>0</v>
      </c>
      <c r="M78" s="41">
        <v>0</v>
      </c>
      <c r="N78" s="41">
        <v>0</v>
      </c>
      <c r="O78" s="41">
        <v>0</v>
      </c>
      <c r="P78" s="41">
        <v>0</v>
      </c>
      <c r="Q78" s="41">
        <v>0</v>
      </c>
      <c r="R78" s="41">
        <v>0</v>
      </c>
      <c r="S78" s="41">
        <v>0</v>
      </c>
      <c r="T78" s="41">
        <v>0</v>
      </c>
      <c r="U78" s="41">
        <v>0</v>
      </c>
      <c r="V78" s="41">
        <v>0</v>
      </c>
      <c r="W78" s="82"/>
      <c r="Y78">
        <v>4</v>
      </c>
      <c r="Z78" t="s">
        <v>8</v>
      </c>
      <c r="AA78">
        <v>20544</v>
      </c>
      <c r="AB78">
        <v>96</v>
      </c>
      <c r="AC78">
        <v>1</v>
      </c>
      <c r="AD78">
        <v>8</v>
      </c>
      <c r="AE78">
        <v>2586.09</v>
      </c>
      <c r="AF78" s="58">
        <v>2.2355</v>
      </c>
      <c r="AG78" s="31">
        <v>45473</v>
      </c>
      <c r="AH78" s="30">
        <v>0.50421296296296292</v>
      </c>
      <c r="AI78">
        <v>0</v>
      </c>
      <c r="AJ78">
        <v>0</v>
      </c>
      <c r="AK78">
        <v>0</v>
      </c>
      <c r="AL78">
        <v>0</v>
      </c>
      <c r="AM78" s="41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s="83"/>
    </row>
    <row r="79" spans="1:47" x14ac:dyDescent="0.25">
      <c r="A79">
        <v>0</v>
      </c>
      <c r="B79" t="s">
        <v>8</v>
      </c>
      <c r="C79">
        <v>18336</v>
      </c>
      <c r="D79">
        <v>96</v>
      </c>
      <c r="E79">
        <v>2</v>
      </c>
      <c r="F79">
        <v>4</v>
      </c>
      <c r="G79" s="2">
        <v>2027.5</v>
      </c>
      <c r="H79" s="40">
        <v>2.0272999999999999</v>
      </c>
      <c r="I79" s="31">
        <v>45458</v>
      </c>
      <c r="J79" s="38">
        <v>0.96703703703703703</v>
      </c>
      <c r="K79" s="41">
        <v>0</v>
      </c>
      <c r="L79" s="41">
        <v>0</v>
      </c>
      <c r="M79" s="41">
        <v>0</v>
      </c>
      <c r="N79" s="41">
        <v>0</v>
      </c>
      <c r="O79" s="41">
        <v>0</v>
      </c>
      <c r="P79" s="41">
        <v>0</v>
      </c>
      <c r="Q79" s="41">
        <v>0</v>
      </c>
      <c r="R79" s="41">
        <v>0</v>
      </c>
      <c r="S79" s="41">
        <v>0</v>
      </c>
      <c r="T79" s="41">
        <v>0</v>
      </c>
      <c r="U79" s="41">
        <v>0</v>
      </c>
      <c r="V79" s="41">
        <v>0</v>
      </c>
      <c r="W79" s="82">
        <f t="shared" ref="W79" si="28">AVERAGE(H79:H83)</f>
        <v>2.0272600000000001</v>
      </c>
      <c r="Y79">
        <v>0</v>
      </c>
      <c r="Z79" t="s">
        <v>8</v>
      </c>
      <c r="AA79">
        <v>18336</v>
      </c>
      <c r="AB79">
        <v>96</v>
      </c>
      <c r="AC79">
        <v>2</v>
      </c>
      <c r="AD79">
        <v>4</v>
      </c>
      <c r="AE79">
        <v>1873.19</v>
      </c>
      <c r="AF79" s="58">
        <v>2.1943000000000001</v>
      </c>
      <c r="AG79" s="57">
        <v>45465</v>
      </c>
      <c r="AH79" s="30">
        <v>0.99677083333333338</v>
      </c>
      <c r="AI79">
        <v>0</v>
      </c>
      <c r="AJ79">
        <v>0</v>
      </c>
      <c r="AK79">
        <v>0</v>
      </c>
      <c r="AL79">
        <v>0</v>
      </c>
      <c r="AM79" s="41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s="83">
        <f t="shared" ref="AU79" si="29">AVERAGE(AF79:AF83)</f>
        <v>2.19706</v>
      </c>
    </row>
    <row r="80" spans="1:47" x14ac:dyDescent="0.25">
      <c r="A80">
        <v>1</v>
      </c>
      <c r="B80" t="s">
        <v>8</v>
      </c>
      <c r="C80">
        <v>18336</v>
      </c>
      <c r="D80">
        <v>96</v>
      </c>
      <c r="E80">
        <v>2</v>
      </c>
      <c r="F80">
        <v>4</v>
      </c>
      <c r="G80" s="2">
        <v>2080.62</v>
      </c>
      <c r="H80" s="40">
        <v>1.9755</v>
      </c>
      <c r="I80" s="31">
        <v>45460</v>
      </c>
      <c r="J80" s="38">
        <v>0.26207175925925924</v>
      </c>
      <c r="K80" s="41">
        <v>0</v>
      </c>
      <c r="L80" s="41">
        <v>0</v>
      </c>
      <c r="M80" s="41">
        <v>0</v>
      </c>
      <c r="N80" s="41">
        <v>0</v>
      </c>
      <c r="O80" s="41">
        <v>0</v>
      </c>
      <c r="P80" s="41">
        <v>0</v>
      </c>
      <c r="Q80" s="41">
        <v>0</v>
      </c>
      <c r="R80" s="41">
        <v>0</v>
      </c>
      <c r="S80" s="41">
        <v>0</v>
      </c>
      <c r="T80" s="41">
        <v>0</v>
      </c>
      <c r="U80" s="41">
        <v>0</v>
      </c>
      <c r="V80" s="41">
        <v>0</v>
      </c>
      <c r="W80" s="82"/>
      <c r="Y80">
        <v>1</v>
      </c>
      <c r="Z80" t="s">
        <v>8</v>
      </c>
      <c r="AA80">
        <v>18336</v>
      </c>
      <c r="AB80">
        <v>96</v>
      </c>
      <c r="AC80">
        <v>2</v>
      </c>
      <c r="AD80">
        <v>4</v>
      </c>
      <c r="AE80">
        <v>1857.16</v>
      </c>
      <c r="AF80" s="58">
        <v>2.2132000000000001</v>
      </c>
      <c r="AG80" s="57">
        <v>45468</v>
      </c>
      <c r="AH80" s="30">
        <v>0.85453703703703698</v>
      </c>
      <c r="AI80">
        <v>0</v>
      </c>
      <c r="AJ80">
        <v>0</v>
      </c>
      <c r="AK80">
        <v>0</v>
      </c>
      <c r="AL80">
        <v>0</v>
      </c>
      <c r="AM80" s="41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s="83"/>
    </row>
    <row r="81" spans="1:47" x14ac:dyDescent="0.25">
      <c r="A81">
        <v>2</v>
      </c>
      <c r="B81" t="s">
        <v>8</v>
      </c>
      <c r="C81">
        <v>18336</v>
      </c>
      <c r="D81">
        <v>96</v>
      </c>
      <c r="E81">
        <v>2</v>
      </c>
      <c r="F81">
        <v>4</v>
      </c>
      <c r="G81" s="2">
        <v>1981.05</v>
      </c>
      <c r="H81" s="40">
        <v>2.0748000000000002</v>
      </c>
      <c r="I81" s="31">
        <v>45461</v>
      </c>
      <c r="J81" s="38">
        <v>0.87145833333333333</v>
      </c>
      <c r="K81" s="41">
        <v>0</v>
      </c>
      <c r="L81" s="41">
        <v>0</v>
      </c>
      <c r="M81" s="41">
        <v>0</v>
      </c>
      <c r="N81" s="41">
        <v>0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82"/>
      <c r="Y81">
        <v>2</v>
      </c>
      <c r="Z81" t="s">
        <v>8</v>
      </c>
      <c r="AA81">
        <v>18336</v>
      </c>
      <c r="AB81">
        <v>96</v>
      </c>
      <c r="AC81">
        <v>2</v>
      </c>
      <c r="AD81">
        <v>4</v>
      </c>
      <c r="AE81">
        <v>1912.72</v>
      </c>
      <c r="AF81" s="58">
        <v>2.1488999999999998</v>
      </c>
      <c r="AG81" s="57">
        <v>45470</v>
      </c>
      <c r="AH81" s="30">
        <v>0.12028935185185186</v>
      </c>
      <c r="AI81">
        <v>0</v>
      </c>
      <c r="AJ81">
        <v>0</v>
      </c>
      <c r="AK81">
        <v>0</v>
      </c>
      <c r="AL81">
        <v>0</v>
      </c>
      <c r="AM81" s="4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83"/>
    </row>
    <row r="82" spans="1:47" x14ac:dyDescent="0.25">
      <c r="A82">
        <v>3</v>
      </c>
      <c r="B82" t="s">
        <v>8</v>
      </c>
      <c r="C82">
        <v>18336</v>
      </c>
      <c r="D82">
        <v>96</v>
      </c>
      <c r="E82">
        <v>2</v>
      </c>
      <c r="F82">
        <v>4</v>
      </c>
      <c r="G82" s="2">
        <v>2070.41</v>
      </c>
      <c r="H82" s="40">
        <v>1.9853000000000001</v>
      </c>
      <c r="I82" s="31">
        <v>45463</v>
      </c>
      <c r="J82" s="38">
        <v>0.16997685185185185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82"/>
      <c r="Y82">
        <v>3</v>
      </c>
      <c r="Z82" t="s">
        <v>8</v>
      </c>
      <c r="AA82">
        <v>18336</v>
      </c>
      <c r="AB82">
        <v>96</v>
      </c>
      <c r="AC82">
        <v>2</v>
      </c>
      <c r="AD82">
        <v>4</v>
      </c>
      <c r="AE82">
        <v>1822.44</v>
      </c>
      <c r="AF82" s="58">
        <v>2.2553999999999998</v>
      </c>
      <c r="AG82" s="57">
        <v>45471</v>
      </c>
      <c r="AH82" s="30">
        <v>0.38641203703703703</v>
      </c>
      <c r="AI82">
        <v>0</v>
      </c>
      <c r="AJ82">
        <v>0</v>
      </c>
      <c r="AK82">
        <v>0</v>
      </c>
      <c r="AL82">
        <v>0</v>
      </c>
      <c r="AM82" s="41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s="83"/>
    </row>
    <row r="83" spans="1:47" x14ac:dyDescent="0.25">
      <c r="A83">
        <v>4</v>
      </c>
      <c r="B83" t="s">
        <v>8</v>
      </c>
      <c r="C83">
        <v>18336</v>
      </c>
      <c r="D83">
        <v>96</v>
      </c>
      <c r="E83">
        <v>2</v>
      </c>
      <c r="F83">
        <v>4</v>
      </c>
      <c r="G83" s="2">
        <v>1982.41</v>
      </c>
      <c r="H83" s="40">
        <v>2.0733999999999999</v>
      </c>
      <c r="I83" s="31">
        <v>45464</v>
      </c>
      <c r="J83" s="38">
        <v>0.44892361111111112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82"/>
      <c r="Y83">
        <v>4</v>
      </c>
      <c r="Z83" t="s">
        <v>8</v>
      </c>
      <c r="AA83">
        <v>18336</v>
      </c>
      <c r="AB83">
        <v>96</v>
      </c>
      <c r="AC83">
        <v>2</v>
      </c>
      <c r="AD83">
        <v>4</v>
      </c>
      <c r="AE83">
        <v>1891.11</v>
      </c>
      <c r="AF83" s="58">
        <v>2.1735000000000002</v>
      </c>
      <c r="AG83" s="31">
        <v>45472</v>
      </c>
      <c r="AH83" s="30">
        <v>0.65256944444444442</v>
      </c>
      <c r="AI83">
        <v>0</v>
      </c>
      <c r="AJ83">
        <v>0</v>
      </c>
      <c r="AK83">
        <v>0</v>
      </c>
      <c r="AL83">
        <v>0</v>
      </c>
      <c r="AM83" s="41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s="83"/>
    </row>
    <row r="84" spans="1:47" x14ac:dyDescent="0.25">
      <c r="A84">
        <v>0</v>
      </c>
      <c r="B84" t="s">
        <v>8</v>
      </c>
      <c r="C84">
        <v>19392</v>
      </c>
      <c r="D84">
        <v>96</v>
      </c>
      <c r="E84">
        <v>2</v>
      </c>
      <c r="F84">
        <v>4</v>
      </c>
      <c r="G84" s="2">
        <v>2323.56</v>
      </c>
      <c r="H84" s="40">
        <v>2.0924999999999998</v>
      </c>
      <c r="I84" s="31">
        <v>45459</v>
      </c>
      <c r="J84" s="38">
        <v>0.38312499999999999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82">
        <f t="shared" ref="W84" si="30">AVERAGE(H84:H88)</f>
        <v>2.0773600000000001</v>
      </c>
      <c r="Y84">
        <v>0</v>
      </c>
      <c r="Z84" t="s">
        <v>8</v>
      </c>
      <c r="AA84">
        <v>19392</v>
      </c>
      <c r="AB84">
        <v>96</v>
      </c>
      <c r="AC84">
        <v>2</v>
      </c>
      <c r="AD84">
        <v>4</v>
      </c>
      <c r="AE84">
        <v>2062.89</v>
      </c>
      <c r="AF84" s="58">
        <v>2.3570000000000002</v>
      </c>
      <c r="AG84" s="57">
        <v>45466</v>
      </c>
      <c r="AH84" s="30">
        <v>0.40047453703703706</v>
      </c>
      <c r="AI84">
        <v>0</v>
      </c>
      <c r="AJ84">
        <v>0</v>
      </c>
      <c r="AK84">
        <v>0</v>
      </c>
      <c r="AL84">
        <v>0</v>
      </c>
      <c r="AM84" s="41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s="83">
        <f t="shared" ref="AU84" si="31">AVERAGE(AF84:AF88)</f>
        <v>2.2492200000000002</v>
      </c>
    </row>
    <row r="85" spans="1:47" x14ac:dyDescent="0.25">
      <c r="A85">
        <v>1</v>
      </c>
      <c r="B85" t="s">
        <v>8</v>
      </c>
      <c r="C85">
        <v>19392</v>
      </c>
      <c r="D85">
        <v>96</v>
      </c>
      <c r="E85">
        <v>2</v>
      </c>
      <c r="F85">
        <v>4</v>
      </c>
      <c r="G85" s="2">
        <v>2336.4699999999998</v>
      </c>
      <c r="H85" s="40">
        <v>2.081</v>
      </c>
      <c r="I85" s="31">
        <v>45460</v>
      </c>
      <c r="J85" s="38">
        <v>0.68017361111111108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82"/>
      <c r="Y85">
        <v>1</v>
      </c>
      <c r="Z85" t="s">
        <v>8</v>
      </c>
      <c r="AA85">
        <v>19392</v>
      </c>
      <c r="AB85">
        <v>96</v>
      </c>
      <c r="AC85">
        <v>2</v>
      </c>
      <c r="AD85">
        <v>4</v>
      </c>
      <c r="AE85">
        <v>2165.8000000000002</v>
      </c>
      <c r="AF85" s="58">
        <v>2.2450000000000001</v>
      </c>
      <c r="AG85" s="57">
        <v>45469</v>
      </c>
      <c r="AH85" s="30">
        <v>0.25964120370370369</v>
      </c>
      <c r="AI85">
        <v>0</v>
      </c>
      <c r="AJ85">
        <v>0</v>
      </c>
      <c r="AK85">
        <v>0</v>
      </c>
      <c r="AL85">
        <v>0</v>
      </c>
      <c r="AM85" s="41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s="83"/>
    </row>
    <row r="86" spans="1:47" x14ac:dyDescent="0.25">
      <c r="A86">
        <v>2</v>
      </c>
      <c r="B86" t="s">
        <v>8</v>
      </c>
      <c r="C86">
        <v>19392</v>
      </c>
      <c r="D86">
        <v>96</v>
      </c>
      <c r="E86">
        <v>2</v>
      </c>
      <c r="F86">
        <v>4</v>
      </c>
      <c r="G86" s="2">
        <v>2328.46</v>
      </c>
      <c r="H86" s="40">
        <v>2.0880999999999998</v>
      </c>
      <c r="I86" s="31">
        <v>45462</v>
      </c>
      <c r="J86" s="38">
        <v>0.28949074074074072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82"/>
      <c r="Y86">
        <v>2</v>
      </c>
      <c r="Z86" t="s">
        <v>8</v>
      </c>
      <c r="AA86">
        <v>19392</v>
      </c>
      <c r="AB86">
        <v>96</v>
      </c>
      <c r="AC86">
        <v>2</v>
      </c>
      <c r="AD86">
        <v>4</v>
      </c>
      <c r="AE86">
        <v>2202.64</v>
      </c>
      <c r="AF86" s="58">
        <v>2.2073999999999998</v>
      </c>
      <c r="AG86" s="57">
        <v>45470</v>
      </c>
      <c r="AH86" s="30">
        <v>0.52887731481481481</v>
      </c>
      <c r="AI86">
        <v>0</v>
      </c>
      <c r="AJ86">
        <v>0</v>
      </c>
      <c r="AK86">
        <v>0</v>
      </c>
      <c r="AL86">
        <v>0</v>
      </c>
      <c r="AM86" s="41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s="83"/>
    </row>
    <row r="87" spans="1:47" x14ac:dyDescent="0.25">
      <c r="A87">
        <v>3</v>
      </c>
      <c r="B87" t="s">
        <v>8</v>
      </c>
      <c r="C87">
        <v>19392</v>
      </c>
      <c r="D87">
        <v>96</v>
      </c>
      <c r="E87">
        <v>2</v>
      </c>
      <c r="F87">
        <v>4</v>
      </c>
      <c r="G87" s="2">
        <v>2305.65</v>
      </c>
      <c r="H87" s="40">
        <v>2.1088</v>
      </c>
      <c r="I87" s="31">
        <v>45463</v>
      </c>
      <c r="J87" s="38">
        <v>0.58302083333333332</v>
      </c>
      <c r="K87" s="41">
        <v>0</v>
      </c>
      <c r="L87" s="41">
        <v>0</v>
      </c>
      <c r="M87" s="41">
        <v>0</v>
      </c>
      <c r="N87" s="41">
        <v>0</v>
      </c>
      <c r="O87" s="41">
        <v>0</v>
      </c>
      <c r="P87" s="41">
        <v>0</v>
      </c>
      <c r="Q87" s="41">
        <v>0</v>
      </c>
      <c r="R87" s="41">
        <v>0</v>
      </c>
      <c r="S87" s="41">
        <v>0</v>
      </c>
      <c r="T87" s="41">
        <v>0</v>
      </c>
      <c r="U87" s="41">
        <v>0</v>
      </c>
      <c r="V87" s="41">
        <v>0</v>
      </c>
      <c r="W87" s="82"/>
      <c r="Y87">
        <v>3</v>
      </c>
      <c r="Z87" t="s">
        <v>8</v>
      </c>
      <c r="AA87">
        <v>19392</v>
      </c>
      <c r="AB87">
        <v>96</v>
      </c>
      <c r="AC87">
        <v>2</v>
      </c>
      <c r="AD87">
        <v>4</v>
      </c>
      <c r="AE87">
        <v>2190.71</v>
      </c>
      <c r="AF87" s="58">
        <v>2.2193999999999998</v>
      </c>
      <c r="AG87" s="57">
        <v>45471</v>
      </c>
      <c r="AH87" s="30">
        <v>0.7946064814814815</v>
      </c>
      <c r="AI87">
        <v>0</v>
      </c>
      <c r="AJ87">
        <v>0</v>
      </c>
      <c r="AK87">
        <v>0</v>
      </c>
      <c r="AL87">
        <v>0</v>
      </c>
      <c r="AM87" s="41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s="83"/>
    </row>
    <row r="88" spans="1:47" x14ac:dyDescent="0.25">
      <c r="A88">
        <v>4</v>
      </c>
      <c r="B88" t="s">
        <v>8</v>
      </c>
      <c r="C88">
        <v>19392</v>
      </c>
      <c r="D88">
        <v>96</v>
      </c>
      <c r="E88">
        <v>2</v>
      </c>
      <c r="F88">
        <v>4</v>
      </c>
      <c r="G88" s="2">
        <v>2411.2399999999998</v>
      </c>
      <c r="H88" s="40">
        <v>2.0164</v>
      </c>
      <c r="I88" s="31">
        <v>45464</v>
      </c>
      <c r="J88" s="38">
        <v>0.86268518518518522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82"/>
      <c r="Y88">
        <v>4</v>
      </c>
      <c r="Z88" t="s">
        <v>8</v>
      </c>
      <c r="AA88">
        <v>19392</v>
      </c>
      <c r="AB88">
        <v>96</v>
      </c>
      <c r="AC88">
        <v>2</v>
      </c>
      <c r="AD88">
        <v>4</v>
      </c>
      <c r="AE88">
        <v>2192.81</v>
      </c>
      <c r="AF88" s="58">
        <v>2.2172999999999998</v>
      </c>
      <c r="AG88" s="31">
        <v>45473</v>
      </c>
      <c r="AH88" s="30">
        <v>5.8506944444444445E-2</v>
      </c>
      <c r="AI88">
        <v>0</v>
      </c>
      <c r="AJ88">
        <v>0</v>
      </c>
      <c r="AK88">
        <v>0</v>
      </c>
      <c r="AL88">
        <v>0</v>
      </c>
      <c r="AM88" s="41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s="83"/>
    </row>
    <row r="89" spans="1:47" x14ac:dyDescent="0.25">
      <c r="A89">
        <v>0</v>
      </c>
      <c r="B89" t="s">
        <v>8</v>
      </c>
      <c r="C89">
        <v>20544</v>
      </c>
      <c r="D89">
        <v>96</v>
      </c>
      <c r="E89">
        <v>2</v>
      </c>
      <c r="F89">
        <v>4</v>
      </c>
      <c r="G89" s="2">
        <v>2850.36</v>
      </c>
      <c r="H89" s="40">
        <v>2.0282</v>
      </c>
      <c r="I89" s="31">
        <v>45459</v>
      </c>
      <c r="J89" s="38">
        <v>0.86719907407407404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82">
        <f t="shared" ref="W89" si="32">AVERAGE(H89:H93)</f>
        <v>2.0569800000000003</v>
      </c>
      <c r="Y89">
        <v>0</v>
      </c>
      <c r="Z89" t="s">
        <v>8</v>
      </c>
      <c r="AA89">
        <v>20544</v>
      </c>
      <c r="AB89">
        <v>96</v>
      </c>
      <c r="AC89">
        <v>2</v>
      </c>
      <c r="AD89">
        <v>4</v>
      </c>
      <c r="AE89">
        <v>2635.45</v>
      </c>
      <c r="AF89" s="58">
        <v>2.1936</v>
      </c>
      <c r="AG89" s="57">
        <v>45466</v>
      </c>
      <c r="AH89" s="30">
        <v>0.87724537037037043</v>
      </c>
      <c r="AI89">
        <v>0</v>
      </c>
      <c r="AJ89">
        <v>0</v>
      </c>
      <c r="AK89">
        <v>0</v>
      </c>
      <c r="AL89">
        <v>0</v>
      </c>
      <c r="AM89" s="41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s="83">
        <f t="shared" ref="AU89" si="33">AVERAGE(AF89:AF93)</f>
        <v>2.2382199999999997</v>
      </c>
    </row>
    <row r="90" spans="1:47" x14ac:dyDescent="0.25">
      <c r="A90">
        <v>1</v>
      </c>
      <c r="B90" t="s">
        <v>8</v>
      </c>
      <c r="C90">
        <v>20544</v>
      </c>
      <c r="D90">
        <v>96</v>
      </c>
      <c r="E90">
        <v>2</v>
      </c>
      <c r="F90">
        <v>4</v>
      </c>
      <c r="G90" s="2">
        <v>2779.83</v>
      </c>
      <c r="H90" s="40">
        <v>2.0796999999999999</v>
      </c>
      <c r="I90" s="31">
        <v>45461</v>
      </c>
      <c r="J90" s="38">
        <v>0.17239583333333333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41">
        <v>0</v>
      </c>
      <c r="U90" s="41">
        <v>0</v>
      </c>
      <c r="V90" s="41">
        <v>0</v>
      </c>
      <c r="W90" s="82"/>
      <c r="Y90">
        <v>1</v>
      </c>
      <c r="Z90" t="s">
        <v>8</v>
      </c>
      <c r="AA90">
        <v>20544</v>
      </c>
      <c r="AB90">
        <v>96</v>
      </c>
      <c r="AC90">
        <v>2</v>
      </c>
      <c r="AD90">
        <v>4</v>
      </c>
      <c r="AE90">
        <v>2549.39</v>
      </c>
      <c r="AF90" s="58">
        <v>2.2675999999999998</v>
      </c>
      <c r="AG90" s="57">
        <v>45469</v>
      </c>
      <c r="AH90" s="30">
        <v>0.73328703703703701</v>
      </c>
      <c r="AI90">
        <v>0</v>
      </c>
      <c r="AJ90">
        <v>0</v>
      </c>
      <c r="AK90">
        <v>0</v>
      </c>
      <c r="AL90">
        <v>0</v>
      </c>
      <c r="AM90" s="41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s="83"/>
    </row>
    <row r="91" spans="1:47" x14ac:dyDescent="0.25">
      <c r="A91">
        <v>2</v>
      </c>
      <c r="B91" t="s">
        <v>8</v>
      </c>
      <c r="C91">
        <v>20544</v>
      </c>
      <c r="D91">
        <v>96</v>
      </c>
      <c r="E91">
        <v>2</v>
      </c>
      <c r="F91">
        <v>4</v>
      </c>
      <c r="G91" s="2">
        <v>2753.46</v>
      </c>
      <c r="H91" s="40">
        <v>2.0996000000000001</v>
      </c>
      <c r="I91" s="31">
        <v>45462</v>
      </c>
      <c r="J91" s="38">
        <v>0.7784375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82"/>
      <c r="Y91">
        <v>2</v>
      </c>
      <c r="Z91" t="s">
        <v>8</v>
      </c>
      <c r="AA91">
        <v>20544</v>
      </c>
      <c r="AB91">
        <v>96</v>
      </c>
      <c r="AC91">
        <v>2</v>
      </c>
      <c r="AD91">
        <v>4</v>
      </c>
      <c r="AE91">
        <v>2617.9</v>
      </c>
      <c r="AF91" s="58">
        <v>2.2082999999999999</v>
      </c>
      <c r="AG91" s="57">
        <v>45471</v>
      </c>
      <c r="AH91" s="30">
        <v>3.3912037037037036E-3</v>
      </c>
      <c r="AI91">
        <v>0</v>
      </c>
      <c r="AJ91">
        <v>0</v>
      </c>
      <c r="AK91">
        <v>0</v>
      </c>
      <c r="AL91">
        <v>0</v>
      </c>
      <c r="AM91" s="4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s="83"/>
    </row>
    <row r="92" spans="1:47" x14ac:dyDescent="0.25">
      <c r="A92">
        <v>3</v>
      </c>
      <c r="B92" t="s">
        <v>8</v>
      </c>
      <c r="C92">
        <v>20544</v>
      </c>
      <c r="D92">
        <v>96</v>
      </c>
      <c r="E92">
        <v>2</v>
      </c>
      <c r="F92">
        <v>4</v>
      </c>
      <c r="G92" s="2">
        <v>2818.6</v>
      </c>
      <c r="H92" s="40">
        <v>2.0510999999999999</v>
      </c>
      <c r="I92" s="31">
        <v>45464</v>
      </c>
      <c r="J92" s="38">
        <v>7.1539351851851854E-2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82"/>
      <c r="Y92">
        <v>3</v>
      </c>
      <c r="Z92" t="s">
        <v>8</v>
      </c>
      <c r="AA92">
        <v>20544</v>
      </c>
      <c r="AB92">
        <v>96</v>
      </c>
      <c r="AC92">
        <v>2</v>
      </c>
      <c r="AD92">
        <v>4</v>
      </c>
      <c r="AE92">
        <v>2580.9299999999998</v>
      </c>
      <c r="AF92" s="58">
        <v>2.2399</v>
      </c>
      <c r="AG92" s="31">
        <v>45472</v>
      </c>
      <c r="AH92" s="30">
        <v>0.26677083333333335</v>
      </c>
      <c r="AI92">
        <v>0</v>
      </c>
      <c r="AJ92">
        <v>0</v>
      </c>
      <c r="AK92">
        <v>0</v>
      </c>
      <c r="AL92">
        <v>0</v>
      </c>
      <c r="AM92" s="41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s="83"/>
    </row>
    <row r="93" spans="1:47" x14ac:dyDescent="0.25">
      <c r="A93">
        <v>4</v>
      </c>
      <c r="B93" t="s">
        <v>8</v>
      </c>
      <c r="C93">
        <v>20544</v>
      </c>
      <c r="D93">
        <v>96</v>
      </c>
      <c r="E93">
        <v>2</v>
      </c>
      <c r="F93">
        <v>4</v>
      </c>
      <c r="G93" s="2">
        <v>2853.06</v>
      </c>
      <c r="H93" s="40">
        <v>2.0263</v>
      </c>
      <c r="I93" s="31">
        <v>45465</v>
      </c>
      <c r="J93" s="38">
        <v>0.33490740740740743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82"/>
      <c r="Y93">
        <v>4</v>
      </c>
      <c r="Z93" t="s">
        <v>8</v>
      </c>
      <c r="AA93">
        <v>20544</v>
      </c>
      <c r="AB93">
        <v>96</v>
      </c>
      <c r="AC93">
        <v>2</v>
      </c>
      <c r="AD93">
        <v>4</v>
      </c>
      <c r="AE93">
        <v>2533.67</v>
      </c>
      <c r="AF93" s="58">
        <v>2.2816999999999998</v>
      </c>
      <c r="AG93" s="31">
        <v>45473</v>
      </c>
      <c r="AH93" s="30">
        <v>0.53652777777777783</v>
      </c>
      <c r="AI93">
        <v>0</v>
      </c>
      <c r="AJ93">
        <v>0</v>
      </c>
      <c r="AK93">
        <v>0</v>
      </c>
      <c r="AL93">
        <v>0</v>
      </c>
      <c r="AM93" s="41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s="83"/>
    </row>
    <row r="94" spans="1:47" x14ac:dyDescent="0.25">
      <c r="A94">
        <v>0</v>
      </c>
      <c r="B94" t="s">
        <v>8</v>
      </c>
      <c r="C94">
        <v>18304</v>
      </c>
      <c r="D94">
        <v>128</v>
      </c>
      <c r="E94">
        <v>1</v>
      </c>
      <c r="F94">
        <v>8</v>
      </c>
      <c r="G94" s="2">
        <v>2030.88</v>
      </c>
      <c r="H94" s="40">
        <v>2.0133000000000001</v>
      </c>
      <c r="I94" s="31">
        <v>45458</v>
      </c>
      <c r="J94" s="38">
        <v>0.99111111111111116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82">
        <f t="shared" ref="W94" si="34">AVERAGE(H94:H98)</f>
        <v>1.98472</v>
      </c>
      <c r="Y94">
        <v>0</v>
      </c>
      <c r="Z94" t="s">
        <v>8</v>
      </c>
      <c r="AA94">
        <v>18304</v>
      </c>
      <c r="AB94">
        <v>128</v>
      </c>
      <c r="AC94">
        <v>1</v>
      </c>
      <c r="AD94">
        <v>8</v>
      </c>
      <c r="AE94">
        <v>1817.72</v>
      </c>
      <c r="AF94" s="58">
        <v>2.2494000000000001</v>
      </c>
      <c r="AG94" s="57">
        <v>45466</v>
      </c>
      <c r="AH94" s="30">
        <v>2.0243055555555556E-2</v>
      </c>
      <c r="AI94">
        <v>0</v>
      </c>
      <c r="AJ94">
        <v>0</v>
      </c>
      <c r="AK94">
        <v>0</v>
      </c>
      <c r="AL94">
        <v>0</v>
      </c>
      <c r="AM94" s="41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s="83">
        <f t="shared" ref="AU94" si="35">AVERAGE(AF94:AF98)</f>
        <v>2.2298400000000003</v>
      </c>
    </row>
    <row r="95" spans="1:47" x14ac:dyDescent="0.25">
      <c r="A95">
        <v>1</v>
      </c>
      <c r="B95" t="s">
        <v>8</v>
      </c>
      <c r="C95">
        <v>18304</v>
      </c>
      <c r="D95">
        <v>128</v>
      </c>
      <c r="E95">
        <v>1</v>
      </c>
      <c r="F95">
        <v>8</v>
      </c>
      <c r="G95" s="2">
        <v>2069.2399999999998</v>
      </c>
      <c r="H95" s="40">
        <v>1.976</v>
      </c>
      <c r="I95" s="31">
        <v>45460</v>
      </c>
      <c r="J95" s="38">
        <v>0.28667824074074072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82"/>
      <c r="Y95">
        <v>1</v>
      </c>
      <c r="Z95" t="s">
        <v>8</v>
      </c>
      <c r="AA95">
        <v>18304</v>
      </c>
      <c r="AB95">
        <v>128</v>
      </c>
      <c r="AC95">
        <v>1</v>
      </c>
      <c r="AD95">
        <v>8</v>
      </c>
      <c r="AE95">
        <v>1810.97</v>
      </c>
      <c r="AF95" s="58">
        <v>2.2578</v>
      </c>
      <c r="AG95" s="57">
        <v>45468</v>
      </c>
      <c r="AH95" s="30">
        <v>0.87811342592592589</v>
      </c>
      <c r="AI95">
        <v>0</v>
      </c>
      <c r="AJ95">
        <v>0</v>
      </c>
      <c r="AK95">
        <v>0</v>
      </c>
      <c r="AL95">
        <v>0</v>
      </c>
      <c r="AM95" s="41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s="83"/>
    </row>
    <row r="96" spans="1:47" x14ac:dyDescent="0.25">
      <c r="A96">
        <v>2</v>
      </c>
      <c r="B96" t="s">
        <v>8</v>
      </c>
      <c r="C96">
        <v>18304</v>
      </c>
      <c r="D96">
        <v>128</v>
      </c>
      <c r="E96">
        <v>1</v>
      </c>
      <c r="F96">
        <v>8</v>
      </c>
      <c r="G96" s="2">
        <v>2093.71</v>
      </c>
      <c r="H96" s="40">
        <v>1.9529000000000001</v>
      </c>
      <c r="I96" s="31">
        <v>45461</v>
      </c>
      <c r="J96" s="38">
        <v>0.89640046296296294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82"/>
      <c r="Y96">
        <v>2</v>
      </c>
      <c r="Z96" t="s">
        <v>8</v>
      </c>
      <c r="AA96">
        <v>18304</v>
      </c>
      <c r="AB96">
        <v>128</v>
      </c>
      <c r="AC96">
        <v>1</v>
      </c>
      <c r="AD96">
        <v>8</v>
      </c>
      <c r="AE96">
        <v>1891.87</v>
      </c>
      <c r="AF96" s="58">
        <v>2.1613000000000002</v>
      </c>
      <c r="AG96" s="57">
        <v>45470</v>
      </c>
      <c r="AH96" s="30">
        <v>0.14447916666666666</v>
      </c>
      <c r="AI96">
        <v>0</v>
      </c>
      <c r="AJ96">
        <v>0</v>
      </c>
      <c r="AK96">
        <v>0</v>
      </c>
      <c r="AL96">
        <v>0</v>
      </c>
      <c r="AM96" s="41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s="83"/>
    </row>
    <row r="97" spans="1:47" x14ac:dyDescent="0.25">
      <c r="A97">
        <v>3</v>
      </c>
      <c r="B97" t="s">
        <v>8</v>
      </c>
      <c r="C97">
        <v>18304</v>
      </c>
      <c r="D97">
        <v>128</v>
      </c>
      <c r="E97">
        <v>1</v>
      </c>
      <c r="F97">
        <v>8</v>
      </c>
      <c r="G97" s="2">
        <v>2098.0300000000002</v>
      </c>
      <c r="H97" s="40">
        <v>1.9489000000000001</v>
      </c>
      <c r="I97" s="31">
        <v>45463</v>
      </c>
      <c r="J97" s="38">
        <v>0.19498842592592591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82"/>
      <c r="Y97">
        <v>3</v>
      </c>
      <c r="Z97" t="s">
        <v>8</v>
      </c>
      <c r="AA97">
        <v>18304</v>
      </c>
      <c r="AB97">
        <v>128</v>
      </c>
      <c r="AC97">
        <v>1</v>
      </c>
      <c r="AD97">
        <v>8</v>
      </c>
      <c r="AE97">
        <v>1896.97</v>
      </c>
      <c r="AF97" s="58">
        <v>2.1555</v>
      </c>
      <c r="AG97" s="57">
        <v>45471</v>
      </c>
      <c r="AH97" s="30">
        <v>0.41098379629629628</v>
      </c>
      <c r="AI97">
        <v>0</v>
      </c>
      <c r="AJ97">
        <v>0</v>
      </c>
      <c r="AK97">
        <v>0</v>
      </c>
      <c r="AL97">
        <v>0</v>
      </c>
      <c r="AM97" s="41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s="83"/>
    </row>
    <row r="98" spans="1:47" x14ac:dyDescent="0.25">
      <c r="A98">
        <v>4</v>
      </c>
      <c r="B98" t="s">
        <v>8</v>
      </c>
      <c r="C98">
        <v>18304</v>
      </c>
      <c r="D98">
        <v>128</v>
      </c>
      <c r="E98">
        <v>1</v>
      </c>
      <c r="F98">
        <v>8</v>
      </c>
      <c r="G98" s="2">
        <v>2011.73</v>
      </c>
      <c r="H98" s="40">
        <v>2.0325000000000002</v>
      </c>
      <c r="I98" s="31">
        <v>45464</v>
      </c>
      <c r="J98" s="38">
        <v>0.47288194444444442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82"/>
      <c r="Y98">
        <v>4</v>
      </c>
      <c r="Z98" t="s">
        <v>8</v>
      </c>
      <c r="AA98">
        <v>18304</v>
      </c>
      <c r="AB98">
        <v>128</v>
      </c>
      <c r="AC98">
        <v>1</v>
      </c>
      <c r="AD98">
        <v>8</v>
      </c>
      <c r="AE98">
        <v>1758.5</v>
      </c>
      <c r="AF98" s="58">
        <v>2.3252000000000002</v>
      </c>
      <c r="AG98" s="31">
        <v>45472</v>
      </c>
      <c r="AH98" s="30">
        <v>0.67530092592592594</v>
      </c>
      <c r="AI98">
        <v>0</v>
      </c>
      <c r="AJ98">
        <v>0</v>
      </c>
      <c r="AK98">
        <v>0</v>
      </c>
      <c r="AL98">
        <v>0</v>
      </c>
      <c r="AM98" s="41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s="83"/>
    </row>
    <row r="99" spans="1:47" x14ac:dyDescent="0.25">
      <c r="A99">
        <v>0</v>
      </c>
      <c r="B99" t="s">
        <v>8</v>
      </c>
      <c r="C99">
        <v>19456</v>
      </c>
      <c r="D99">
        <v>128</v>
      </c>
      <c r="E99">
        <v>1</v>
      </c>
      <c r="F99">
        <v>8</v>
      </c>
      <c r="G99" s="2">
        <v>2445.77</v>
      </c>
      <c r="H99" s="40">
        <v>2.0076999999999998</v>
      </c>
      <c r="I99" s="31">
        <v>45459</v>
      </c>
      <c r="J99" s="38">
        <v>0.41206018518518517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82">
        <f t="shared" ref="W99" si="36">AVERAGE(H99:H103)</f>
        <v>1.9929199999999998</v>
      </c>
      <c r="Y99">
        <v>0</v>
      </c>
      <c r="Z99" t="s">
        <v>8</v>
      </c>
      <c r="AA99">
        <v>19456</v>
      </c>
      <c r="AB99">
        <v>128</v>
      </c>
      <c r="AC99">
        <v>1</v>
      </c>
      <c r="AD99">
        <v>8</v>
      </c>
      <c r="AE99">
        <v>2170.73</v>
      </c>
      <c r="AF99" s="58">
        <v>2.2621000000000002</v>
      </c>
      <c r="AG99" s="57">
        <v>45466</v>
      </c>
      <c r="AH99" s="30">
        <v>0.42841435185185184</v>
      </c>
      <c r="AI99">
        <v>0</v>
      </c>
      <c r="AJ99">
        <v>0</v>
      </c>
      <c r="AK99">
        <v>0</v>
      </c>
      <c r="AL99">
        <v>0</v>
      </c>
      <c r="AM99" s="41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83">
        <f t="shared" ref="AU99" si="37">AVERAGE(AF99:AF103)</f>
        <v>2.2664</v>
      </c>
    </row>
    <row r="100" spans="1:47" x14ac:dyDescent="0.25">
      <c r="A100">
        <v>1</v>
      </c>
      <c r="B100" t="s">
        <v>8</v>
      </c>
      <c r="C100">
        <v>19456</v>
      </c>
      <c r="D100">
        <v>128</v>
      </c>
      <c r="E100">
        <v>1</v>
      </c>
      <c r="F100">
        <v>8</v>
      </c>
      <c r="G100" s="2">
        <v>2511.37</v>
      </c>
      <c r="H100" s="40">
        <v>1.9553</v>
      </c>
      <c r="I100" s="31">
        <v>45460</v>
      </c>
      <c r="J100" s="38">
        <v>0.70990740740740743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82"/>
      <c r="Y100">
        <v>1</v>
      </c>
      <c r="Z100" t="s">
        <v>8</v>
      </c>
      <c r="AA100">
        <v>19456</v>
      </c>
      <c r="AB100">
        <v>128</v>
      </c>
      <c r="AC100">
        <v>1</v>
      </c>
      <c r="AD100">
        <v>8</v>
      </c>
      <c r="AE100">
        <v>2162.38</v>
      </c>
      <c r="AF100" s="58">
        <v>2.2707999999999999</v>
      </c>
      <c r="AG100" s="57">
        <v>45469</v>
      </c>
      <c r="AH100" s="30">
        <v>0.28743055555555558</v>
      </c>
      <c r="AI100">
        <v>0</v>
      </c>
      <c r="AJ100">
        <v>0</v>
      </c>
      <c r="AK100">
        <v>0</v>
      </c>
      <c r="AL100">
        <v>0</v>
      </c>
      <c r="AM100" s="41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s="83"/>
    </row>
    <row r="101" spans="1:47" x14ac:dyDescent="0.25">
      <c r="A101">
        <v>2</v>
      </c>
      <c r="B101" t="s">
        <v>8</v>
      </c>
      <c r="C101">
        <v>19456</v>
      </c>
      <c r="D101">
        <v>128</v>
      </c>
      <c r="E101">
        <v>1</v>
      </c>
      <c r="F101">
        <v>8</v>
      </c>
      <c r="G101" s="2">
        <v>2437.11</v>
      </c>
      <c r="H101" s="40">
        <v>2.0148999999999999</v>
      </c>
      <c r="I101" s="31">
        <v>45462</v>
      </c>
      <c r="J101" s="38">
        <v>0.31833333333333336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82"/>
      <c r="Y101">
        <v>2</v>
      </c>
      <c r="Z101" t="s">
        <v>8</v>
      </c>
      <c r="AA101">
        <v>19456</v>
      </c>
      <c r="AB101">
        <v>128</v>
      </c>
      <c r="AC101">
        <v>1</v>
      </c>
      <c r="AD101">
        <v>8</v>
      </c>
      <c r="AE101">
        <v>2224.69</v>
      </c>
      <c r="AF101" s="58">
        <v>2.2071999999999998</v>
      </c>
      <c r="AG101" s="57">
        <v>45470</v>
      </c>
      <c r="AH101" s="30">
        <v>0.55738425925925927</v>
      </c>
      <c r="AI101">
        <v>0</v>
      </c>
      <c r="AJ101">
        <v>0</v>
      </c>
      <c r="AK101">
        <v>0</v>
      </c>
      <c r="AL101">
        <v>0</v>
      </c>
      <c r="AM101" s="4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s="83"/>
    </row>
    <row r="102" spans="1:47" x14ac:dyDescent="0.25">
      <c r="A102">
        <v>3</v>
      </c>
      <c r="B102" t="s">
        <v>8</v>
      </c>
      <c r="C102">
        <v>19456</v>
      </c>
      <c r="D102">
        <v>128</v>
      </c>
      <c r="E102">
        <v>1</v>
      </c>
      <c r="F102">
        <v>8</v>
      </c>
      <c r="G102" s="2">
        <v>2464.39</v>
      </c>
      <c r="H102" s="40">
        <v>1.9925999999999999</v>
      </c>
      <c r="I102" s="31">
        <v>45463</v>
      </c>
      <c r="J102" s="38">
        <v>0.61217592592592596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82"/>
      <c r="Y102">
        <v>3</v>
      </c>
      <c r="Z102" t="s">
        <v>8</v>
      </c>
      <c r="AA102">
        <v>19456</v>
      </c>
      <c r="AB102">
        <v>128</v>
      </c>
      <c r="AC102">
        <v>1</v>
      </c>
      <c r="AD102">
        <v>8</v>
      </c>
      <c r="AE102">
        <v>2132.2600000000002</v>
      </c>
      <c r="AF102" s="58">
        <v>2.3029000000000002</v>
      </c>
      <c r="AG102" s="57">
        <v>45471</v>
      </c>
      <c r="AH102" s="30">
        <v>0.82202546296296297</v>
      </c>
      <c r="AI102">
        <v>0</v>
      </c>
      <c r="AJ102">
        <v>0</v>
      </c>
      <c r="AK102">
        <v>0</v>
      </c>
      <c r="AL102">
        <v>0</v>
      </c>
      <c r="AM102" s="41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s="83"/>
    </row>
    <row r="103" spans="1:47" x14ac:dyDescent="0.25">
      <c r="A103">
        <v>4</v>
      </c>
      <c r="B103" t="s">
        <v>8</v>
      </c>
      <c r="C103">
        <v>19456</v>
      </c>
      <c r="D103">
        <v>128</v>
      </c>
      <c r="E103">
        <v>1</v>
      </c>
      <c r="F103">
        <v>8</v>
      </c>
      <c r="G103" s="2">
        <v>2462.4499999999998</v>
      </c>
      <c r="H103" s="40">
        <v>1.9941</v>
      </c>
      <c r="I103" s="31">
        <v>45464</v>
      </c>
      <c r="J103" s="38">
        <v>0.89189814814814816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82"/>
      <c r="Y103">
        <v>4</v>
      </c>
      <c r="Z103" t="s">
        <v>8</v>
      </c>
      <c r="AA103">
        <v>19456</v>
      </c>
      <c r="AB103">
        <v>128</v>
      </c>
      <c r="AC103">
        <v>1</v>
      </c>
      <c r="AD103">
        <v>8</v>
      </c>
      <c r="AE103">
        <v>2145.2600000000002</v>
      </c>
      <c r="AF103" s="58">
        <v>2.2890000000000001</v>
      </c>
      <c r="AG103" s="31">
        <v>45473</v>
      </c>
      <c r="AH103" s="30">
        <v>8.6030092592592589E-2</v>
      </c>
      <c r="AI103">
        <v>0</v>
      </c>
      <c r="AJ103">
        <v>0</v>
      </c>
      <c r="AK103">
        <v>0</v>
      </c>
      <c r="AL103">
        <v>0</v>
      </c>
      <c r="AM103" s="41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s="83"/>
    </row>
    <row r="104" spans="1:47" x14ac:dyDescent="0.25">
      <c r="A104">
        <v>0</v>
      </c>
      <c r="B104" t="s">
        <v>8</v>
      </c>
      <c r="C104">
        <v>20480</v>
      </c>
      <c r="D104">
        <v>128</v>
      </c>
      <c r="E104">
        <v>1</v>
      </c>
      <c r="F104">
        <v>8</v>
      </c>
      <c r="G104" s="2">
        <v>2850.58</v>
      </c>
      <c r="H104" s="40">
        <v>2.0091999999999999</v>
      </c>
      <c r="I104" s="31">
        <v>45459</v>
      </c>
      <c r="J104" s="38">
        <v>0.90103009259259259</v>
      </c>
      <c r="K104" s="41">
        <v>0</v>
      </c>
      <c r="L104" s="41">
        <v>0</v>
      </c>
      <c r="M104" s="41">
        <v>0</v>
      </c>
      <c r="N104" s="41">
        <v>0</v>
      </c>
      <c r="O104" s="41">
        <v>0</v>
      </c>
      <c r="P104" s="41">
        <v>0</v>
      </c>
      <c r="Q104" s="41">
        <v>0</v>
      </c>
      <c r="R104" s="41">
        <v>0</v>
      </c>
      <c r="S104" s="41">
        <v>0</v>
      </c>
      <c r="T104" s="41">
        <v>0</v>
      </c>
      <c r="U104" s="41">
        <v>0</v>
      </c>
      <c r="V104" s="41">
        <v>0</v>
      </c>
      <c r="W104" s="82">
        <f t="shared" ref="W104" si="38">AVERAGE(H104:H108)</f>
        <v>1.9901400000000002</v>
      </c>
      <c r="Y104">
        <v>0</v>
      </c>
      <c r="Z104" t="s">
        <v>8</v>
      </c>
      <c r="AA104">
        <v>20480</v>
      </c>
      <c r="AB104">
        <v>128</v>
      </c>
      <c r="AC104">
        <v>1</v>
      </c>
      <c r="AD104">
        <v>8</v>
      </c>
      <c r="AE104">
        <v>2456.91</v>
      </c>
      <c r="AF104" s="58">
        <v>2.3311000000000002</v>
      </c>
      <c r="AG104" s="57">
        <v>45466</v>
      </c>
      <c r="AH104" s="30">
        <v>0.90885416666666663</v>
      </c>
      <c r="AI104">
        <v>0</v>
      </c>
      <c r="AJ104">
        <v>0</v>
      </c>
      <c r="AK104">
        <v>0</v>
      </c>
      <c r="AL104">
        <v>0</v>
      </c>
      <c r="AM104" s="41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s="83">
        <f t="shared" ref="AU104" si="39">AVERAGE(AF104:AF108)</f>
        <v>2.2870599999999999</v>
      </c>
    </row>
    <row r="105" spans="1:47" x14ac:dyDescent="0.25">
      <c r="A105">
        <v>1</v>
      </c>
      <c r="B105" t="s">
        <v>8</v>
      </c>
      <c r="C105">
        <v>20480</v>
      </c>
      <c r="D105">
        <v>128</v>
      </c>
      <c r="E105">
        <v>1</v>
      </c>
      <c r="F105">
        <v>8</v>
      </c>
      <c r="G105" s="2">
        <v>2874.76</v>
      </c>
      <c r="H105" s="40">
        <v>1.9923</v>
      </c>
      <c r="I105" s="31">
        <v>45461</v>
      </c>
      <c r="J105" s="38">
        <v>0.20644675925925926</v>
      </c>
      <c r="K105" s="41">
        <v>0</v>
      </c>
      <c r="L105" s="41">
        <v>0</v>
      </c>
      <c r="M105" s="41">
        <v>0</v>
      </c>
      <c r="N105" s="41">
        <v>0</v>
      </c>
      <c r="O105" s="41">
        <v>0</v>
      </c>
      <c r="P105" s="41">
        <v>0</v>
      </c>
      <c r="Q105" s="41">
        <v>0</v>
      </c>
      <c r="R105" s="41">
        <v>0</v>
      </c>
      <c r="S105" s="41">
        <v>0</v>
      </c>
      <c r="T105" s="41">
        <v>0</v>
      </c>
      <c r="U105" s="41">
        <v>0</v>
      </c>
      <c r="V105" s="41">
        <v>0</v>
      </c>
      <c r="W105" s="82"/>
      <c r="Y105">
        <v>1</v>
      </c>
      <c r="Z105" t="s">
        <v>8</v>
      </c>
      <c r="AA105">
        <v>20480</v>
      </c>
      <c r="AB105">
        <v>128</v>
      </c>
      <c r="AC105">
        <v>1</v>
      </c>
      <c r="AD105">
        <v>8</v>
      </c>
      <c r="AE105">
        <v>2508.52</v>
      </c>
      <c r="AF105" s="58">
        <v>2.2831000000000001</v>
      </c>
      <c r="AG105" s="57">
        <v>45469</v>
      </c>
      <c r="AH105" s="30">
        <v>0.76519675925925923</v>
      </c>
      <c r="AI105">
        <v>0</v>
      </c>
      <c r="AJ105">
        <v>0</v>
      </c>
      <c r="AK105">
        <v>0</v>
      </c>
      <c r="AL105">
        <v>0</v>
      </c>
      <c r="AM105" s="41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s="83"/>
    </row>
    <row r="106" spans="1:47" x14ac:dyDescent="0.25">
      <c r="A106">
        <v>2</v>
      </c>
      <c r="B106" t="s">
        <v>8</v>
      </c>
      <c r="C106">
        <v>20480</v>
      </c>
      <c r="D106">
        <v>128</v>
      </c>
      <c r="E106">
        <v>1</v>
      </c>
      <c r="F106">
        <v>8</v>
      </c>
      <c r="G106" s="2">
        <v>2890.33</v>
      </c>
      <c r="H106" s="40">
        <v>1.9815</v>
      </c>
      <c r="I106" s="31">
        <v>45462</v>
      </c>
      <c r="J106" s="38">
        <v>0.81263888888888891</v>
      </c>
      <c r="K106" s="41">
        <v>0</v>
      </c>
      <c r="L106" s="41">
        <v>0</v>
      </c>
      <c r="M106" s="41">
        <v>0</v>
      </c>
      <c r="N106" s="41">
        <v>0</v>
      </c>
      <c r="O106" s="41">
        <v>0</v>
      </c>
      <c r="P106" s="41">
        <v>0</v>
      </c>
      <c r="Q106" s="41">
        <v>0</v>
      </c>
      <c r="R106" s="41">
        <v>0</v>
      </c>
      <c r="S106" s="41">
        <v>0</v>
      </c>
      <c r="T106" s="41">
        <v>0</v>
      </c>
      <c r="U106" s="41">
        <v>0</v>
      </c>
      <c r="V106" s="41">
        <v>0</v>
      </c>
      <c r="W106" s="82"/>
      <c r="Y106">
        <v>2</v>
      </c>
      <c r="Z106" t="s">
        <v>8</v>
      </c>
      <c r="AA106">
        <v>20480</v>
      </c>
      <c r="AB106">
        <v>128</v>
      </c>
      <c r="AC106">
        <v>1</v>
      </c>
      <c r="AD106">
        <v>8</v>
      </c>
      <c r="AE106">
        <v>2526.79</v>
      </c>
      <c r="AF106" s="58">
        <v>2.2665999999999999</v>
      </c>
      <c r="AG106" s="57">
        <v>45471</v>
      </c>
      <c r="AH106" s="30">
        <v>3.577546296296296E-2</v>
      </c>
      <c r="AI106">
        <v>0</v>
      </c>
      <c r="AJ106">
        <v>0</v>
      </c>
      <c r="AK106">
        <v>0</v>
      </c>
      <c r="AL106">
        <v>0</v>
      </c>
      <c r="AM106" s="41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s="83"/>
    </row>
    <row r="107" spans="1:47" x14ac:dyDescent="0.25">
      <c r="A107">
        <v>3</v>
      </c>
      <c r="B107" t="s">
        <v>8</v>
      </c>
      <c r="C107">
        <v>20480</v>
      </c>
      <c r="D107">
        <v>128</v>
      </c>
      <c r="E107">
        <v>1</v>
      </c>
      <c r="F107">
        <v>8</v>
      </c>
      <c r="G107" s="2">
        <v>2895.6</v>
      </c>
      <c r="H107" s="40">
        <v>1.9779</v>
      </c>
      <c r="I107" s="31">
        <v>45464</v>
      </c>
      <c r="J107" s="38">
        <v>0.10589120370370371</v>
      </c>
      <c r="K107" s="41">
        <v>0</v>
      </c>
      <c r="L107" s="41">
        <v>0</v>
      </c>
      <c r="M107" s="41">
        <v>0</v>
      </c>
      <c r="N107" s="41">
        <v>0</v>
      </c>
      <c r="O107" s="41">
        <v>0</v>
      </c>
      <c r="P107" s="41">
        <v>0</v>
      </c>
      <c r="Q107" s="41">
        <v>0</v>
      </c>
      <c r="R107" s="41">
        <v>0</v>
      </c>
      <c r="S107" s="41">
        <v>0</v>
      </c>
      <c r="T107" s="41">
        <v>0</v>
      </c>
      <c r="U107" s="41">
        <v>0</v>
      </c>
      <c r="V107" s="41">
        <v>0</v>
      </c>
      <c r="W107" s="82"/>
      <c r="Y107">
        <v>3</v>
      </c>
      <c r="Z107" t="s">
        <v>8</v>
      </c>
      <c r="AA107">
        <v>20480</v>
      </c>
      <c r="AB107">
        <v>128</v>
      </c>
      <c r="AC107">
        <v>1</v>
      </c>
      <c r="AD107">
        <v>8</v>
      </c>
      <c r="AE107">
        <v>2517.7800000000002</v>
      </c>
      <c r="AF107" s="58">
        <v>2.2747000000000002</v>
      </c>
      <c r="AG107" s="31">
        <v>45472</v>
      </c>
      <c r="AH107" s="30">
        <v>0.29921296296296296</v>
      </c>
      <c r="AI107">
        <v>0</v>
      </c>
      <c r="AJ107">
        <v>0</v>
      </c>
      <c r="AK107">
        <v>0</v>
      </c>
      <c r="AL107">
        <v>0</v>
      </c>
      <c r="AM107" s="41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s="83"/>
    </row>
    <row r="108" spans="1:47" x14ac:dyDescent="0.25">
      <c r="A108">
        <v>4</v>
      </c>
      <c r="B108" t="s">
        <v>8</v>
      </c>
      <c r="C108">
        <v>20480</v>
      </c>
      <c r="D108">
        <v>128</v>
      </c>
      <c r="E108">
        <v>1</v>
      </c>
      <c r="F108">
        <v>8</v>
      </c>
      <c r="G108" s="2">
        <v>2878.3</v>
      </c>
      <c r="H108" s="40">
        <v>1.9898</v>
      </c>
      <c r="I108" s="31">
        <v>45465</v>
      </c>
      <c r="J108" s="38">
        <v>0.36891203703703701</v>
      </c>
      <c r="K108" s="41">
        <v>0</v>
      </c>
      <c r="L108" s="41">
        <v>0</v>
      </c>
      <c r="M108" s="41">
        <v>0</v>
      </c>
      <c r="N108" s="41">
        <v>0</v>
      </c>
      <c r="O108" s="41">
        <v>0</v>
      </c>
      <c r="P108" s="41">
        <v>0</v>
      </c>
      <c r="Q108" s="41">
        <v>0</v>
      </c>
      <c r="R108" s="41">
        <v>0</v>
      </c>
      <c r="S108" s="41">
        <v>0</v>
      </c>
      <c r="T108" s="41">
        <v>0</v>
      </c>
      <c r="U108" s="41">
        <v>0</v>
      </c>
      <c r="V108" s="41">
        <v>0</v>
      </c>
      <c r="W108" s="82"/>
      <c r="Y108">
        <v>4</v>
      </c>
      <c r="Z108" t="s">
        <v>8</v>
      </c>
      <c r="AA108">
        <v>20480</v>
      </c>
      <c r="AB108">
        <v>128</v>
      </c>
      <c r="AC108">
        <v>1</v>
      </c>
      <c r="AD108">
        <v>8</v>
      </c>
      <c r="AE108">
        <v>2512.17</v>
      </c>
      <c r="AF108" s="58">
        <v>2.2797999999999998</v>
      </c>
      <c r="AG108" s="31">
        <v>45473</v>
      </c>
      <c r="AH108" s="30">
        <v>0.56842592592592589</v>
      </c>
      <c r="AI108">
        <v>0</v>
      </c>
      <c r="AJ108">
        <v>0</v>
      </c>
      <c r="AK108">
        <v>0</v>
      </c>
      <c r="AL108">
        <v>0</v>
      </c>
      <c r="AM108" s="41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s="83"/>
    </row>
    <row r="109" spans="1:47" x14ac:dyDescent="0.25">
      <c r="A109">
        <v>0</v>
      </c>
      <c r="B109" t="s">
        <v>8</v>
      </c>
      <c r="C109">
        <v>18304</v>
      </c>
      <c r="D109">
        <v>128</v>
      </c>
      <c r="E109">
        <v>2</v>
      </c>
      <c r="F109">
        <v>4</v>
      </c>
      <c r="G109" s="2">
        <v>2060.1999999999998</v>
      </c>
      <c r="H109" s="40">
        <v>1.9846999999999999</v>
      </c>
      <c r="I109" s="31">
        <v>45459</v>
      </c>
      <c r="J109" s="38">
        <v>1.5532407407407408E-2</v>
      </c>
      <c r="K109" s="41">
        <v>0</v>
      </c>
      <c r="L109" s="41">
        <v>0</v>
      </c>
      <c r="M109" s="41">
        <v>0</v>
      </c>
      <c r="N109" s="41">
        <v>0</v>
      </c>
      <c r="O109" s="41">
        <v>0</v>
      </c>
      <c r="P109" s="41">
        <v>0</v>
      </c>
      <c r="Q109" s="41">
        <v>0</v>
      </c>
      <c r="R109" s="41">
        <v>0</v>
      </c>
      <c r="S109" s="41">
        <v>0</v>
      </c>
      <c r="T109" s="41">
        <v>0</v>
      </c>
      <c r="U109" s="41">
        <v>0</v>
      </c>
      <c r="V109" s="41">
        <v>0</v>
      </c>
      <c r="W109" s="82">
        <f t="shared" ref="W109" si="40">AVERAGE(H109:H113)</f>
        <v>1.9839399999999998</v>
      </c>
      <c r="Y109">
        <v>0</v>
      </c>
      <c r="Z109" t="s">
        <v>8</v>
      </c>
      <c r="AA109">
        <v>18304</v>
      </c>
      <c r="AB109">
        <v>128</v>
      </c>
      <c r="AC109">
        <v>2</v>
      </c>
      <c r="AD109">
        <v>4</v>
      </c>
      <c r="AE109">
        <v>1850.91</v>
      </c>
      <c r="AF109" s="58">
        <v>2.2090999999999998</v>
      </c>
      <c r="AG109" s="57">
        <v>45466</v>
      </c>
      <c r="AH109" s="30">
        <v>4.4143518518518519E-2</v>
      </c>
      <c r="AI109">
        <v>0</v>
      </c>
      <c r="AJ109">
        <v>0</v>
      </c>
      <c r="AK109">
        <v>0</v>
      </c>
      <c r="AL109">
        <v>0</v>
      </c>
      <c r="AM109" s="41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s="83">
        <f t="shared" ref="AU109" si="41">AVERAGE(AF109:AF113)</f>
        <v>2.22418</v>
      </c>
    </row>
    <row r="110" spans="1:47" x14ac:dyDescent="0.25">
      <c r="A110">
        <v>1</v>
      </c>
      <c r="B110" t="s">
        <v>8</v>
      </c>
      <c r="C110">
        <v>18304</v>
      </c>
      <c r="D110">
        <v>128</v>
      </c>
      <c r="E110">
        <v>2</v>
      </c>
      <c r="F110">
        <v>4</v>
      </c>
      <c r="G110" s="2">
        <v>2099.2600000000002</v>
      </c>
      <c r="H110" s="40">
        <v>1.9478</v>
      </c>
      <c r="I110" s="31">
        <v>45460</v>
      </c>
      <c r="J110" s="38">
        <v>0.31156250000000002</v>
      </c>
      <c r="K110" s="41">
        <v>0</v>
      </c>
      <c r="L110" s="41">
        <v>0</v>
      </c>
      <c r="M110" s="41">
        <v>0</v>
      </c>
      <c r="N110" s="41">
        <v>0</v>
      </c>
      <c r="O110" s="41">
        <v>0</v>
      </c>
      <c r="P110" s="41">
        <v>0</v>
      </c>
      <c r="Q110" s="41">
        <v>0</v>
      </c>
      <c r="R110" s="41">
        <v>0</v>
      </c>
      <c r="S110" s="41">
        <v>0</v>
      </c>
      <c r="T110" s="41">
        <v>0</v>
      </c>
      <c r="U110" s="41">
        <v>0</v>
      </c>
      <c r="V110" s="41">
        <v>0</v>
      </c>
      <c r="W110" s="82"/>
      <c r="Y110">
        <v>1</v>
      </c>
      <c r="Z110" t="s">
        <v>8</v>
      </c>
      <c r="AA110">
        <v>18304</v>
      </c>
      <c r="AB110">
        <v>128</v>
      </c>
      <c r="AC110">
        <v>2</v>
      </c>
      <c r="AD110">
        <v>4</v>
      </c>
      <c r="AE110">
        <v>1791.01</v>
      </c>
      <c r="AF110" s="58">
        <v>2.2829999999999999</v>
      </c>
      <c r="AG110" s="57">
        <v>45468</v>
      </c>
      <c r="AH110" s="30">
        <v>0.90129629629629626</v>
      </c>
      <c r="AI110">
        <v>0</v>
      </c>
      <c r="AJ110">
        <v>0</v>
      </c>
      <c r="AK110">
        <v>0</v>
      </c>
      <c r="AL110">
        <v>0</v>
      </c>
      <c r="AM110" s="41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 s="83"/>
    </row>
    <row r="111" spans="1:47" x14ac:dyDescent="0.25">
      <c r="A111">
        <v>2</v>
      </c>
      <c r="B111" t="s">
        <v>8</v>
      </c>
      <c r="C111">
        <v>18304</v>
      </c>
      <c r="D111">
        <v>128</v>
      </c>
      <c r="E111">
        <v>2</v>
      </c>
      <c r="F111">
        <v>4</v>
      </c>
      <c r="G111" s="2">
        <v>2032.89</v>
      </c>
      <c r="H111" s="40">
        <v>2.0112999999999999</v>
      </c>
      <c r="I111" s="31">
        <v>45461</v>
      </c>
      <c r="J111" s="38">
        <v>0.92061342592592588</v>
      </c>
      <c r="K111" s="41">
        <v>0</v>
      </c>
      <c r="L111" s="41">
        <v>0</v>
      </c>
      <c r="M111" s="41">
        <v>0</v>
      </c>
      <c r="N111" s="41">
        <v>0</v>
      </c>
      <c r="O111" s="41">
        <v>0</v>
      </c>
      <c r="P111" s="41">
        <v>0</v>
      </c>
      <c r="Q111" s="41">
        <v>0</v>
      </c>
      <c r="R111" s="41">
        <v>0</v>
      </c>
      <c r="S111" s="41">
        <v>0</v>
      </c>
      <c r="T111" s="41">
        <v>0</v>
      </c>
      <c r="U111" s="41">
        <v>0</v>
      </c>
      <c r="V111" s="41">
        <v>0</v>
      </c>
      <c r="W111" s="82"/>
      <c r="Y111">
        <v>2</v>
      </c>
      <c r="Z111" t="s">
        <v>8</v>
      </c>
      <c r="AA111">
        <v>18304</v>
      </c>
      <c r="AB111">
        <v>128</v>
      </c>
      <c r="AC111">
        <v>2</v>
      </c>
      <c r="AD111">
        <v>4</v>
      </c>
      <c r="AE111">
        <v>1830.92</v>
      </c>
      <c r="AF111" s="58">
        <v>2.2332000000000001</v>
      </c>
      <c r="AG111" s="57">
        <v>45470</v>
      </c>
      <c r="AH111" s="30">
        <v>0.16831018518518517</v>
      </c>
      <c r="AI111">
        <v>0</v>
      </c>
      <c r="AJ111">
        <v>0</v>
      </c>
      <c r="AK111">
        <v>0</v>
      </c>
      <c r="AL111">
        <v>0</v>
      </c>
      <c r="AM111" s="4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s="83"/>
    </row>
    <row r="112" spans="1:47" x14ac:dyDescent="0.25">
      <c r="A112">
        <v>3</v>
      </c>
      <c r="B112" t="s">
        <v>8</v>
      </c>
      <c r="C112">
        <v>18304</v>
      </c>
      <c r="D112">
        <v>128</v>
      </c>
      <c r="E112">
        <v>2</v>
      </c>
      <c r="F112">
        <v>4</v>
      </c>
      <c r="G112" s="2">
        <v>2079.58</v>
      </c>
      <c r="H112" s="40">
        <v>1.9661999999999999</v>
      </c>
      <c r="I112" s="31">
        <v>45463</v>
      </c>
      <c r="J112" s="38">
        <v>0.21968750000000001</v>
      </c>
      <c r="K112" s="41">
        <v>0</v>
      </c>
      <c r="L112" s="41">
        <v>0</v>
      </c>
      <c r="M112" s="41">
        <v>0</v>
      </c>
      <c r="N112" s="41">
        <v>0</v>
      </c>
      <c r="O112" s="41">
        <v>0</v>
      </c>
      <c r="P112" s="41">
        <v>0</v>
      </c>
      <c r="Q112" s="41">
        <v>0</v>
      </c>
      <c r="R112" s="41">
        <v>0</v>
      </c>
      <c r="S112" s="41">
        <v>0</v>
      </c>
      <c r="T112" s="41">
        <v>0</v>
      </c>
      <c r="U112" s="41">
        <v>0</v>
      </c>
      <c r="V112" s="41">
        <v>0</v>
      </c>
      <c r="W112" s="82"/>
      <c r="Y112">
        <v>3</v>
      </c>
      <c r="Z112" t="s">
        <v>8</v>
      </c>
      <c r="AA112">
        <v>18304</v>
      </c>
      <c r="AB112">
        <v>128</v>
      </c>
      <c r="AC112">
        <v>2</v>
      </c>
      <c r="AD112">
        <v>4</v>
      </c>
      <c r="AE112">
        <v>1946.94</v>
      </c>
      <c r="AF112" s="58">
        <v>2.1000999999999999</v>
      </c>
      <c r="AG112" s="57">
        <v>45471</v>
      </c>
      <c r="AH112" s="30">
        <v>0.43609953703703702</v>
      </c>
      <c r="AI112">
        <v>0</v>
      </c>
      <c r="AJ112">
        <v>0</v>
      </c>
      <c r="AK112">
        <v>0</v>
      </c>
      <c r="AL112">
        <v>0</v>
      </c>
      <c r="AM112" s="41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s="83"/>
    </row>
    <row r="113" spans="1:47" x14ac:dyDescent="0.25">
      <c r="A113">
        <v>4</v>
      </c>
      <c r="B113" t="s">
        <v>8</v>
      </c>
      <c r="C113">
        <v>18304</v>
      </c>
      <c r="D113">
        <v>128</v>
      </c>
      <c r="E113">
        <v>2</v>
      </c>
      <c r="F113">
        <v>4</v>
      </c>
      <c r="G113" s="2">
        <v>2034.55</v>
      </c>
      <c r="H113" s="40">
        <v>2.0097</v>
      </c>
      <c r="I113" s="31">
        <v>45464</v>
      </c>
      <c r="J113" s="38">
        <v>0.49715277777777778</v>
      </c>
      <c r="K113" s="41">
        <v>0</v>
      </c>
      <c r="L113" s="41">
        <v>0</v>
      </c>
      <c r="M113" s="41">
        <v>0</v>
      </c>
      <c r="N113" s="41">
        <v>0</v>
      </c>
      <c r="O113" s="41">
        <v>0</v>
      </c>
      <c r="P113" s="41">
        <v>0</v>
      </c>
      <c r="Q113" s="41">
        <v>0</v>
      </c>
      <c r="R113" s="41">
        <v>0</v>
      </c>
      <c r="S113" s="41">
        <v>0</v>
      </c>
      <c r="T113" s="41">
        <v>0</v>
      </c>
      <c r="U113" s="41">
        <v>0</v>
      </c>
      <c r="V113" s="41">
        <v>0</v>
      </c>
      <c r="W113" s="82"/>
      <c r="Y113">
        <v>4</v>
      </c>
      <c r="Z113" t="s">
        <v>8</v>
      </c>
      <c r="AA113">
        <v>18304</v>
      </c>
      <c r="AB113">
        <v>128</v>
      </c>
      <c r="AC113">
        <v>2</v>
      </c>
      <c r="AD113">
        <v>4</v>
      </c>
      <c r="AE113">
        <v>1781.24</v>
      </c>
      <c r="AF113" s="58">
        <v>2.2955000000000001</v>
      </c>
      <c r="AG113" s="31">
        <v>45472</v>
      </c>
      <c r="AH113" s="30">
        <v>0.69856481481481481</v>
      </c>
      <c r="AI113">
        <v>0</v>
      </c>
      <c r="AJ113">
        <v>0</v>
      </c>
      <c r="AK113">
        <v>0</v>
      </c>
      <c r="AL113">
        <v>0</v>
      </c>
      <c r="AM113" s="41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s="83"/>
    </row>
    <row r="114" spans="1:47" x14ac:dyDescent="0.25">
      <c r="A114">
        <v>0</v>
      </c>
      <c r="B114" t="s">
        <v>8</v>
      </c>
      <c r="C114">
        <v>19456</v>
      </c>
      <c r="D114">
        <v>128</v>
      </c>
      <c r="E114">
        <v>2</v>
      </c>
      <c r="F114">
        <v>4</v>
      </c>
      <c r="G114" s="2">
        <v>2431.42</v>
      </c>
      <c r="H114" s="40">
        <v>2.0196000000000001</v>
      </c>
      <c r="I114" s="31">
        <v>45459</v>
      </c>
      <c r="J114" s="38">
        <v>0.44097222222222221</v>
      </c>
      <c r="K114" s="41">
        <v>0</v>
      </c>
      <c r="L114" s="41">
        <v>0</v>
      </c>
      <c r="M114" s="41">
        <v>0</v>
      </c>
      <c r="N114" s="41">
        <v>0</v>
      </c>
      <c r="O114" s="41">
        <v>0</v>
      </c>
      <c r="P114" s="41">
        <v>0</v>
      </c>
      <c r="Q114" s="41">
        <v>0</v>
      </c>
      <c r="R114" s="41">
        <v>0</v>
      </c>
      <c r="S114" s="41">
        <v>0</v>
      </c>
      <c r="T114" s="41">
        <v>0</v>
      </c>
      <c r="U114" s="41">
        <v>0</v>
      </c>
      <c r="V114" s="41">
        <v>0</v>
      </c>
      <c r="W114" s="82">
        <f t="shared" ref="W114" si="42">AVERAGE(H114:H118)</f>
        <v>1.9913799999999999</v>
      </c>
      <c r="Y114">
        <v>0</v>
      </c>
      <c r="Z114" t="s">
        <v>8</v>
      </c>
      <c r="AA114">
        <v>19456</v>
      </c>
      <c r="AB114">
        <v>128</v>
      </c>
      <c r="AC114">
        <v>2</v>
      </c>
      <c r="AD114">
        <v>4</v>
      </c>
      <c r="AE114">
        <v>2167.41</v>
      </c>
      <c r="AF114" s="58">
        <v>2.2656000000000001</v>
      </c>
      <c r="AG114" s="57">
        <v>45466</v>
      </c>
      <c r="AH114" s="30">
        <v>0.45624999999999999</v>
      </c>
      <c r="AI114">
        <v>0</v>
      </c>
      <c r="AJ114">
        <v>0</v>
      </c>
      <c r="AK114">
        <v>0</v>
      </c>
      <c r="AL114">
        <v>0</v>
      </c>
      <c r="AM114" s="41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s="83">
        <f t="shared" ref="AU114" si="43">AVERAGE(AF114:AF118)</f>
        <v>2.2254399999999999</v>
      </c>
    </row>
    <row r="115" spans="1:47" x14ac:dyDescent="0.25">
      <c r="A115">
        <v>1</v>
      </c>
      <c r="B115" t="s">
        <v>8</v>
      </c>
      <c r="C115">
        <v>19456</v>
      </c>
      <c r="D115">
        <v>128</v>
      </c>
      <c r="E115">
        <v>2</v>
      </c>
      <c r="F115">
        <v>4</v>
      </c>
      <c r="G115" s="2">
        <v>2425.29</v>
      </c>
      <c r="H115" s="40">
        <v>2.0247000000000002</v>
      </c>
      <c r="I115" s="31">
        <v>45460</v>
      </c>
      <c r="J115" s="38">
        <v>0.7386342592592593</v>
      </c>
      <c r="K115" s="41">
        <v>0</v>
      </c>
      <c r="L115" s="41">
        <v>0</v>
      </c>
      <c r="M115" s="41">
        <v>0</v>
      </c>
      <c r="N115" s="41">
        <v>0</v>
      </c>
      <c r="O115" s="41">
        <v>0</v>
      </c>
      <c r="P115" s="41">
        <v>0</v>
      </c>
      <c r="Q115" s="41">
        <v>0</v>
      </c>
      <c r="R115" s="41">
        <v>0</v>
      </c>
      <c r="S115" s="41">
        <v>0</v>
      </c>
      <c r="T115" s="41">
        <v>0</v>
      </c>
      <c r="U115" s="41">
        <v>0</v>
      </c>
      <c r="V115" s="41">
        <v>0</v>
      </c>
      <c r="W115" s="82"/>
      <c r="Y115">
        <v>1</v>
      </c>
      <c r="Z115" t="s">
        <v>8</v>
      </c>
      <c r="AA115">
        <v>19456</v>
      </c>
      <c r="AB115">
        <v>128</v>
      </c>
      <c r="AC115">
        <v>2</v>
      </c>
      <c r="AD115">
        <v>4</v>
      </c>
      <c r="AE115">
        <v>2256.61</v>
      </c>
      <c r="AF115" s="58">
        <v>2.1760000000000002</v>
      </c>
      <c r="AG115" s="57">
        <v>45469</v>
      </c>
      <c r="AH115" s="30">
        <v>0.3160648148148148</v>
      </c>
      <c r="AI115">
        <v>0</v>
      </c>
      <c r="AJ115">
        <v>0</v>
      </c>
      <c r="AK115">
        <v>0</v>
      </c>
      <c r="AL115">
        <v>0</v>
      </c>
      <c r="AM115" s="41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s="83"/>
    </row>
    <row r="116" spans="1:47" x14ac:dyDescent="0.25">
      <c r="A116">
        <v>2</v>
      </c>
      <c r="B116" t="s">
        <v>8</v>
      </c>
      <c r="C116">
        <v>19456</v>
      </c>
      <c r="D116">
        <v>128</v>
      </c>
      <c r="E116">
        <v>2</v>
      </c>
      <c r="F116">
        <v>4</v>
      </c>
      <c r="G116" s="2">
        <v>2487.84</v>
      </c>
      <c r="H116" s="40">
        <v>1.9738</v>
      </c>
      <c r="I116" s="31">
        <v>45462</v>
      </c>
      <c r="J116" s="38">
        <v>0.34774305555555557</v>
      </c>
      <c r="K116" s="41">
        <v>0</v>
      </c>
      <c r="L116" s="41">
        <v>0</v>
      </c>
      <c r="M116" s="41">
        <v>0</v>
      </c>
      <c r="N116" s="41">
        <v>0</v>
      </c>
      <c r="O116" s="41">
        <v>0</v>
      </c>
      <c r="P116" s="41">
        <v>0</v>
      </c>
      <c r="Q116" s="41">
        <v>0</v>
      </c>
      <c r="R116" s="41">
        <v>0</v>
      </c>
      <c r="S116" s="41">
        <v>0</v>
      </c>
      <c r="T116" s="41">
        <v>0</v>
      </c>
      <c r="U116" s="41">
        <v>0</v>
      </c>
      <c r="V116" s="41">
        <v>0</v>
      </c>
      <c r="W116" s="82"/>
      <c r="Y116">
        <v>2</v>
      </c>
      <c r="Z116" t="s">
        <v>8</v>
      </c>
      <c r="AA116">
        <v>19456</v>
      </c>
      <c r="AB116">
        <v>128</v>
      </c>
      <c r="AC116">
        <v>2</v>
      </c>
      <c r="AD116">
        <v>4</v>
      </c>
      <c r="AE116">
        <v>2171.56</v>
      </c>
      <c r="AF116" s="58">
        <v>2.2612000000000001</v>
      </c>
      <c r="AG116" s="57">
        <v>45470</v>
      </c>
      <c r="AH116" s="30">
        <v>0.58542824074074074</v>
      </c>
      <c r="AI116">
        <v>0</v>
      </c>
      <c r="AJ116">
        <v>0</v>
      </c>
      <c r="AK116">
        <v>0</v>
      </c>
      <c r="AL116">
        <v>0</v>
      </c>
      <c r="AM116" s="41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s="83"/>
    </row>
    <row r="117" spans="1:47" x14ac:dyDescent="0.25">
      <c r="A117">
        <v>3</v>
      </c>
      <c r="B117" t="s">
        <v>8</v>
      </c>
      <c r="C117">
        <v>19456</v>
      </c>
      <c r="D117">
        <v>128</v>
      </c>
      <c r="E117">
        <v>2</v>
      </c>
      <c r="F117">
        <v>4</v>
      </c>
      <c r="G117" s="2">
        <v>2484.1799999999998</v>
      </c>
      <c r="H117" s="40">
        <v>1.9766999999999999</v>
      </c>
      <c r="I117" s="31">
        <v>45463</v>
      </c>
      <c r="J117" s="38">
        <v>0.64170138888888884</v>
      </c>
      <c r="K117" s="41">
        <v>0</v>
      </c>
      <c r="L117" s="41">
        <v>0</v>
      </c>
      <c r="M117" s="41">
        <v>0</v>
      </c>
      <c r="N117" s="41">
        <v>0</v>
      </c>
      <c r="O117" s="41">
        <v>0</v>
      </c>
      <c r="P117" s="41">
        <v>0</v>
      </c>
      <c r="Q117" s="41">
        <v>0</v>
      </c>
      <c r="R117" s="41">
        <v>0</v>
      </c>
      <c r="S117" s="41">
        <v>0</v>
      </c>
      <c r="T117" s="41">
        <v>0</v>
      </c>
      <c r="U117" s="41">
        <v>0</v>
      </c>
      <c r="V117" s="41">
        <v>0</v>
      </c>
      <c r="W117" s="82"/>
      <c r="Y117">
        <v>3</v>
      </c>
      <c r="Z117" t="s">
        <v>8</v>
      </c>
      <c r="AA117">
        <v>19456</v>
      </c>
      <c r="AB117">
        <v>128</v>
      </c>
      <c r="AC117">
        <v>2</v>
      </c>
      <c r="AD117">
        <v>4</v>
      </c>
      <c r="AE117">
        <v>2186.3200000000002</v>
      </c>
      <c r="AF117" s="58">
        <v>2.246</v>
      </c>
      <c r="AG117" s="57">
        <v>45471</v>
      </c>
      <c r="AH117" s="30">
        <v>0.85021990740740738</v>
      </c>
      <c r="AI117">
        <v>0</v>
      </c>
      <c r="AJ117">
        <v>0</v>
      </c>
      <c r="AK117">
        <v>0</v>
      </c>
      <c r="AL117">
        <v>0</v>
      </c>
      <c r="AM117" s="41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s="83"/>
    </row>
    <row r="118" spans="1:47" x14ac:dyDescent="0.25">
      <c r="A118">
        <v>4</v>
      </c>
      <c r="B118" t="s">
        <v>8</v>
      </c>
      <c r="C118">
        <v>19456</v>
      </c>
      <c r="D118">
        <v>128</v>
      </c>
      <c r="E118">
        <v>2</v>
      </c>
      <c r="F118">
        <v>4</v>
      </c>
      <c r="G118" s="2">
        <v>2502.6799999999998</v>
      </c>
      <c r="H118" s="40">
        <v>1.9621</v>
      </c>
      <c r="I118" s="31">
        <v>45464</v>
      </c>
      <c r="J118" s="38">
        <v>0.92162037037037037</v>
      </c>
      <c r="K118" s="41">
        <v>0</v>
      </c>
      <c r="L118" s="41">
        <v>0</v>
      </c>
      <c r="M118" s="41">
        <v>0</v>
      </c>
      <c r="N118" s="41">
        <v>0</v>
      </c>
      <c r="O118" s="41">
        <v>0</v>
      </c>
      <c r="P118" s="41">
        <v>0</v>
      </c>
      <c r="Q118" s="41">
        <v>0</v>
      </c>
      <c r="R118" s="41">
        <v>0</v>
      </c>
      <c r="S118" s="41">
        <v>0</v>
      </c>
      <c r="T118" s="41">
        <v>0</v>
      </c>
      <c r="U118" s="41">
        <v>0</v>
      </c>
      <c r="V118" s="41">
        <v>0</v>
      </c>
      <c r="W118" s="82"/>
      <c r="Y118">
        <v>4</v>
      </c>
      <c r="Z118" t="s">
        <v>8</v>
      </c>
      <c r="AA118">
        <v>19456</v>
      </c>
      <c r="AB118">
        <v>128</v>
      </c>
      <c r="AC118">
        <v>2</v>
      </c>
      <c r="AD118">
        <v>4</v>
      </c>
      <c r="AE118">
        <v>2254.12</v>
      </c>
      <c r="AF118" s="58">
        <v>2.1783999999999999</v>
      </c>
      <c r="AG118" s="31">
        <v>45473</v>
      </c>
      <c r="AH118" s="30">
        <v>0.11482638888888889</v>
      </c>
      <c r="AI118">
        <v>0</v>
      </c>
      <c r="AJ118">
        <v>0</v>
      </c>
      <c r="AK118">
        <v>0</v>
      </c>
      <c r="AL118">
        <v>0</v>
      </c>
      <c r="AM118" s="41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s="83"/>
    </row>
    <row r="119" spans="1:47" x14ac:dyDescent="0.25">
      <c r="A119">
        <v>0</v>
      </c>
      <c r="B119" t="s">
        <v>8</v>
      </c>
      <c r="C119">
        <v>20480</v>
      </c>
      <c r="D119">
        <v>128</v>
      </c>
      <c r="E119">
        <v>2</v>
      </c>
      <c r="F119">
        <v>4</v>
      </c>
      <c r="G119" s="2">
        <v>2864.33</v>
      </c>
      <c r="H119" s="40">
        <v>1.9995000000000001</v>
      </c>
      <c r="I119" s="31">
        <v>45459</v>
      </c>
      <c r="J119" s="38">
        <v>0.93503472222222217</v>
      </c>
      <c r="K119" s="41">
        <v>0</v>
      </c>
      <c r="L119" s="41">
        <v>0</v>
      </c>
      <c r="M119" s="41">
        <v>0</v>
      </c>
      <c r="N119" s="41">
        <v>0</v>
      </c>
      <c r="O119" s="41">
        <v>0</v>
      </c>
      <c r="P119" s="41">
        <v>0</v>
      </c>
      <c r="Q119" s="41">
        <v>0</v>
      </c>
      <c r="R119" s="41">
        <v>0</v>
      </c>
      <c r="S119" s="41">
        <v>0</v>
      </c>
      <c r="T119" s="41">
        <v>0</v>
      </c>
      <c r="U119" s="41">
        <v>0</v>
      </c>
      <c r="V119" s="41">
        <v>0</v>
      </c>
      <c r="W119" s="82">
        <f t="shared" ref="W119" si="44">AVERAGE(H119:H123)</f>
        <v>1.98902</v>
      </c>
      <c r="Y119">
        <v>0</v>
      </c>
      <c r="Z119" t="s">
        <v>8</v>
      </c>
      <c r="AA119">
        <v>20480</v>
      </c>
      <c r="AB119">
        <v>128</v>
      </c>
      <c r="AC119">
        <v>2</v>
      </c>
      <c r="AD119">
        <v>4</v>
      </c>
      <c r="AE119">
        <v>2505.87</v>
      </c>
      <c r="AF119" s="58">
        <v>2.2854999999999999</v>
      </c>
      <c r="AG119" s="57">
        <v>45466</v>
      </c>
      <c r="AH119" s="30">
        <v>0.94097222222222221</v>
      </c>
      <c r="AI119">
        <v>0</v>
      </c>
      <c r="AJ119">
        <v>0</v>
      </c>
      <c r="AK119">
        <v>0</v>
      </c>
      <c r="AL119">
        <v>0</v>
      </c>
      <c r="AM119" s="41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s="83">
        <f t="shared" ref="AU119" si="45">AVERAGE(AF119:AF123)</f>
        <v>2.2837400000000003</v>
      </c>
    </row>
    <row r="120" spans="1:47" x14ac:dyDescent="0.25">
      <c r="A120">
        <v>1</v>
      </c>
      <c r="B120" t="s">
        <v>8</v>
      </c>
      <c r="C120">
        <v>20480</v>
      </c>
      <c r="D120">
        <v>128</v>
      </c>
      <c r="E120">
        <v>2</v>
      </c>
      <c r="F120">
        <v>4</v>
      </c>
      <c r="G120" s="2">
        <v>2868.39</v>
      </c>
      <c r="H120" s="40">
        <v>1.9966999999999999</v>
      </c>
      <c r="I120" s="31">
        <v>45461</v>
      </c>
      <c r="J120" s="38">
        <v>0.24041666666666667</v>
      </c>
      <c r="K120" s="41">
        <v>0</v>
      </c>
      <c r="L120" s="41">
        <v>0</v>
      </c>
      <c r="M120" s="41">
        <v>0</v>
      </c>
      <c r="N120" s="41">
        <v>0</v>
      </c>
      <c r="O120" s="41">
        <v>0</v>
      </c>
      <c r="P120" s="41">
        <v>0</v>
      </c>
      <c r="Q120" s="41">
        <v>0</v>
      </c>
      <c r="R120" s="41">
        <v>0</v>
      </c>
      <c r="S120" s="41">
        <v>0</v>
      </c>
      <c r="T120" s="41">
        <v>0</v>
      </c>
      <c r="U120" s="41">
        <v>0</v>
      </c>
      <c r="V120" s="41">
        <v>0</v>
      </c>
      <c r="W120" s="82"/>
      <c r="Y120">
        <v>1</v>
      </c>
      <c r="Z120" t="s">
        <v>8</v>
      </c>
      <c r="AA120">
        <v>20480</v>
      </c>
      <c r="AB120">
        <v>128</v>
      </c>
      <c r="AC120">
        <v>2</v>
      </c>
      <c r="AD120">
        <v>4</v>
      </c>
      <c r="AE120">
        <v>2517.16</v>
      </c>
      <c r="AF120" s="58">
        <v>2.2753000000000001</v>
      </c>
      <c r="AG120" s="57">
        <v>45469</v>
      </c>
      <c r="AH120" s="30">
        <v>0.7973958333333333</v>
      </c>
      <c r="AI120">
        <v>0</v>
      </c>
      <c r="AJ120">
        <v>0</v>
      </c>
      <c r="AK120">
        <v>0</v>
      </c>
      <c r="AL120">
        <v>0</v>
      </c>
      <c r="AM120" s="41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s="83"/>
    </row>
    <row r="121" spans="1:47" x14ac:dyDescent="0.25">
      <c r="A121">
        <v>2</v>
      </c>
      <c r="B121" t="s">
        <v>8</v>
      </c>
      <c r="C121">
        <v>20480</v>
      </c>
      <c r="D121">
        <v>128</v>
      </c>
      <c r="E121">
        <v>2</v>
      </c>
      <c r="F121">
        <v>4</v>
      </c>
      <c r="G121" s="2">
        <v>2942.43</v>
      </c>
      <c r="H121" s="40">
        <v>1.9463999999999999</v>
      </c>
      <c r="I121" s="31">
        <v>45462</v>
      </c>
      <c r="J121" s="38">
        <v>0.8475462962962963</v>
      </c>
      <c r="K121" s="41">
        <v>0</v>
      </c>
      <c r="L121" s="41">
        <v>0</v>
      </c>
      <c r="M121" s="41">
        <v>0</v>
      </c>
      <c r="N121" s="41">
        <v>0</v>
      </c>
      <c r="O121" s="41">
        <v>0</v>
      </c>
      <c r="P121" s="41">
        <v>0</v>
      </c>
      <c r="Q121" s="41">
        <v>0</v>
      </c>
      <c r="R121" s="41">
        <v>0</v>
      </c>
      <c r="S121" s="41">
        <v>0</v>
      </c>
      <c r="T121" s="41">
        <v>0</v>
      </c>
      <c r="U121" s="41">
        <v>0</v>
      </c>
      <c r="V121" s="41">
        <v>0</v>
      </c>
      <c r="W121" s="82"/>
      <c r="Y121">
        <v>2</v>
      </c>
      <c r="Z121" t="s">
        <v>8</v>
      </c>
      <c r="AA121">
        <v>20480</v>
      </c>
      <c r="AB121">
        <v>128</v>
      </c>
      <c r="AC121">
        <v>2</v>
      </c>
      <c r="AD121">
        <v>4</v>
      </c>
      <c r="AE121">
        <v>2557.48</v>
      </c>
      <c r="AF121" s="58">
        <v>2.2393999999999998</v>
      </c>
      <c r="AG121" s="57">
        <v>45471</v>
      </c>
      <c r="AH121" s="30">
        <v>6.8599537037037042E-2</v>
      </c>
      <c r="AI121">
        <v>0</v>
      </c>
      <c r="AJ121">
        <v>0</v>
      </c>
      <c r="AK121">
        <v>0</v>
      </c>
      <c r="AL121">
        <v>0</v>
      </c>
      <c r="AM121" s="4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s="83"/>
    </row>
    <row r="122" spans="1:47" x14ac:dyDescent="0.25">
      <c r="A122">
        <v>3</v>
      </c>
      <c r="B122" t="s">
        <v>8</v>
      </c>
      <c r="C122">
        <v>20480</v>
      </c>
      <c r="D122">
        <v>128</v>
      </c>
      <c r="E122">
        <v>2</v>
      </c>
      <c r="F122">
        <v>4</v>
      </c>
      <c r="G122" s="2">
        <v>2851.06</v>
      </c>
      <c r="H122" s="40">
        <v>2.0087999999999999</v>
      </c>
      <c r="I122" s="31">
        <v>45464</v>
      </c>
      <c r="J122" s="38">
        <v>0.13969907407407409</v>
      </c>
      <c r="K122" s="41">
        <v>0</v>
      </c>
      <c r="L122" s="41">
        <v>0</v>
      </c>
      <c r="M122" s="41">
        <v>0</v>
      </c>
      <c r="N122" s="41">
        <v>0</v>
      </c>
      <c r="O122" s="41">
        <v>0</v>
      </c>
      <c r="P122" s="41">
        <v>0</v>
      </c>
      <c r="Q122" s="41">
        <v>0</v>
      </c>
      <c r="R122" s="41">
        <v>0</v>
      </c>
      <c r="S122" s="41">
        <v>0</v>
      </c>
      <c r="T122" s="41">
        <v>0</v>
      </c>
      <c r="U122" s="41">
        <v>0</v>
      </c>
      <c r="V122" s="41">
        <v>0</v>
      </c>
      <c r="W122" s="82"/>
      <c r="Y122">
        <v>3</v>
      </c>
      <c r="Z122" t="s">
        <v>8</v>
      </c>
      <c r="AA122">
        <v>20480</v>
      </c>
      <c r="AB122">
        <v>128</v>
      </c>
      <c r="AC122">
        <v>2</v>
      </c>
      <c r="AD122">
        <v>4</v>
      </c>
      <c r="AE122">
        <v>2498.2800000000002</v>
      </c>
      <c r="AF122" s="58">
        <v>2.2925</v>
      </c>
      <c r="AG122" s="31">
        <v>45472</v>
      </c>
      <c r="AH122" s="30">
        <v>0.33108796296296295</v>
      </c>
      <c r="AI122">
        <v>0</v>
      </c>
      <c r="AJ122">
        <v>0</v>
      </c>
      <c r="AK122">
        <v>0</v>
      </c>
      <c r="AL122">
        <v>0</v>
      </c>
      <c r="AM122" s="41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s="83"/>
    </row>
    <row r="123" spans="1:47" x14ac:dyDescent="0.25">
      <c r="A123">
        <v>4</v>
      </c>
      <c r="B123" t="s">
        <v>8</v>
      </c>
      <c r="C123">
        <v>20480</v>
      </c>
      <c r="D123">
        <v>128</v>
      </c>
      <c r="E123">
        <v>2</v>
      </c>
      <c r="F123">
        <v>4</v>
      </c>
      <c r="G123" s="2">
        <v>2872.6</v>
      </c>
      <c r="H123" s="40">
        <v>1.9937</v>
      </c>
      <c r="I123" s="31">
        <v>45465</v>
      </c>
      <c r="J123" s="38">
        <v>0.40299768518518519</v>
      </c>
      <c r="K123" s="41">
        <v>0</v>
      </c>
      <c r="L123" s="41">
        <v>0</v>
      </c>
      <c r="M123" s="41">
        <v>0</v>
      </c>
      <c r="N123" s="41">
        <v>0</v>
      </c>
      <c r="O123" s="41">
        <v>0</v>
      </c>
      <c r="P123" s="41">
        <v>0</v>
      </c>
      <c r="Q123" s="41">
        <v>0</v>
      </c>
      <c r="R123" s="41">
        <v>0</v>
      </c>
      <c r="S123" s="41">
        <v>0</v>
      </c>
      <c r="T123" s="41">
        <v>0</v>
      </c>
      <c r="U123" s="41">
        <v>0</v>
      </c>
      <c r="V123" s="41">
        <v>0</v>
      </c>
      <c r="W123" s="82"/>
      <c r="Y123">
        <v>4</v>
      </c>
      <c r="Z123" t="s">
        <v>8</v>
      </c>
      <c r="AA123">
        <v>20480</v>
      </c>
      <c r="AB123">
        <v>128</v>
      </c>
      <c r="AC123">
        <v>2</v>
      </c>
      <c r="AD123">
        <v>4</v>
      </c>
      <c r="AE123">
        <v>2462.29</v>
      </c>
      <c r="AF123" s="58">
        <v>2.3260000000000001</v>
      </c>
      <c r="AG123" s="31">
        <v>45473</v>
      </c>
      <c r="AH123" s="30">
        <v>0.60012731481481485</v>
      </c>
      <c r="AI123">
        <v>0</v>
      </c>
      <c r="AJ123">
        <v>0</v>
      </c>
      <c r="AK123">
        <v>0</v>
      </c>
      <c r="AL123">
        <v>0</v>
      </c>
      <c r="AM123" s="41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s="83"/>
    </row>
    <row r="124" spans="1:47" x14ac:dyDescent="0.25">
      <c r="A124">
        <v>0</v>
      </c>
      <c r="B124" t="s">
        <v>8</v>
      </c>
      <c r="C124">
        <v>18240</v>
      </c>
      <c r="D124">
        <v>160</v>
      </c>
      <c r="E124">
        <v>1</v>
      </c>
      <c r="F124">
        <v>8</v>
      </c>
      <c r="G124" s="2">
        <v>2007.15</v>
      </c>
      <c r="H124" s="40">
        <v>2.0158</v>
      </c>
      <c r="I124" s="31">
        <v>45459</v>
      </c>
      <c r="J124" s="38">
        <v>3.9351851851851853E-2</v>
      </c>
      <c r="K124" s="41">
        <v>0</v>
      </c>
      <c r="L124" s="41">
        <v>0</v>
      </c>
      <c r="M124" s="41">
        <v>0</v>
      </c>
      <c r="N124" s="41">
        <v>0</v>
      </c>
      <c r="O124" s="41">
        <v>0</v>
      </c>
      <c r="P124" s="41">
        <v>0</v>
      </c>
      <c r="Q124" s="41">
        <v>0</v>
      </c>
      <c r="R124" s="41">
        <v>0</v>
      </c>
      <c r="S124" s="41">
        <v>0</v>
      </c>
      <c r="T124" s="41">
        <v>0</v>
      </c>
      <c r="U124" s="41">
        <v>0</v>
      </c>
      <c r="V124" s="41">
        <v>0</v>
      </c>
      <c r="W124" s="82">
        <f t="shared" ref="W124" si="46">AVERAGE(H124:H128)</f>
        <v>2.03484</v>
      </c>
      <c r="Y124">
        <v>0</v>
      </c>
      <c r="Z124" t="s">
        <v>8</v>
      </c>
      <c r="AA124">
        <v>18240</v>
      </c>
      <c r="AB124">
        <v>160</v>
      </c>
      <c r="AC124">
        <v>1</v>
      </c>
      <c r="AD124">
        <v>8</v>
      </c>
      <c r="AE124">
        <v>1780.76</v>
      </c>
      <c r="AF124" s="58">
        <v>2.2721</v>
      </c>
      <c r="AG124" s="57">
        <v>45466</v>
      </c>
      <c r="AH124" s="30">
        <v>6.7222222222222225E-2</v>
      </c>
      <c r="AI124">
        <v>0</v>
      </c>
      <c r="AJ124">
        <v>0</v>
      </c>
      <c r="AK124">
        <v>0</v>
      </c>
      <c r="AL124">
        <v>0</v>
      </c>
      <c r="AM124" s="41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s="83">
        <f t="shared" ref="AU124" si="47">AVERAGE(AF124:AF128)</f>
        <v>2.26884</v>
      </c>
    </row>
    <row r="125" spans="1:47" x14ac:dyDescent="0.25">
      <c r="A125">
        <v>1</v>
      </c>
      <c r="B125" t="s">
        <v>8</v>
      </c>
      <c r="C125">
        <v>18240</v>
      </c>
      <c r="D125">
        <v>160</v>
      </c>
      <c r="E125">
        <v>1</v>
      </c>
      <c r="F125">
        <v>8</v>
      </c>
      <c r="G125" s="2">
        <v>2048.25</v>
      </c>
      <c r="H125" s="40">
        <v>1.9754</v>
      </c>
      <c r="I125" s="31">
        <v>45460</v>
      </c>
      <c r="J125" s="38">
        <v>0.33590277777777777</v>
      </c>
      <c r="K125" s="41">
        <v>0</v>
      </c>
      <c r="L125" s="41">
        <v>0</v>
      </c>
      <c r="M125" s="41">
        <v>0</v>
      </c>
      <c r="N125" s="41">
        <v>0</v>
      </c>
      <c r="O125" s="41">
        <v>0</v>
      </c>
      <c r="P125" s="41">
        <v>0</v>
      </c>
      <c r="Q125" s="41">
        <v>0</v>
      </c>
      <c r="R125" s="41">
        <v>0</v>
      </c>
      <c r="S125" s="41">
        <v>0</v>
      </c>
      <c r="T125" s="41">
        <v>0</v>
      </c>
      <c r="U125" s="41">
        <v>0</v>
      </c>
      <c r="V125" s="41">
        <v>0</v>
      </c>
      <c r="W125" s="82"/>
      <c r="Y125">
        <v>1</v>
      </c>
      <c r="Z125" t="s">
        <v>8</v>
      </c>
      <c r="AA125">
        <v>18240</v>
      </c>
      <c r="AB125">
        <v>160</v>
      </c>
      <c r="AC125">
        <v>1</v>
      </c>
      <c r="AD125">
        <v>8</v>
      </c>
      <c r="AE125">
        <v>1732.94</v>
      </c>
      <c r="AF125" s="58">
        <v>2.3348</v>
      </c>
      <c r="AG125" s="57">
        <v>45468</v>
      </c>
      <c r="AH125" s="30">
        <v>0.92403935185185182</v>
      </c>
      <c r="AI125">
        <v>0</v>
      </c>
      <c r="AJ125">
        <v>0</v>
      </c>
      <c r="AK125">
        <v>0</v>
      </c>
      <c r="AL125">
        <v>0</v>
      </c>
      <c r="AM125" s="41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s="83"/>
    </row>
    <row r="126" spans="1:47" x14ac:dyDescent="0.25">
      <c r="A126">
        <v>2</v>
      </c>
      <c r="B126" t="s">
        <v>8</v>
      </c>
      <c r="C126">
        <v>18240</v>
      </c>
      <c r="D126">
        <v>160</v>
      </c>
      <c r="E126">
        <v>1</v>
      </c>
      <c r="F126">
        <v>8</v>
      </c>
      <c r="G126" s="2">
        <v>1937.73</v>
      </c>
      <c r="H126" s="40">
        <v>2.0880999999999998</v>
      </c>
      <c r="I126" s="31">
        <v>45461</v>
      </c>
      <c r="J126" s="38">
        <v>0.94363425925925926</v>
      </c>
      <c r="K126" s="41">
        <v>0</v>
      </c>
      <c r="L126" s="41">
        <v>0</v>
      </c>
      <c r="M126" s="41">
        <v>0</v>
      </c>
      <c r="N126" s="41">
        <v>0</v>
      </c>
      <c r="O126" s="41">
        <v>0</v>
      </c>
      <c r="P126" s="41">
        <v>0</v>
      </c>
      <c r="Q126" s="41">
        <v>0</v>
      </c>
      <c r="R126" s="41">
        <v>0</v>
      </c>
      <c r="S126" s="41">
        <v>0</v>
      </c>
      <c r="T126" s="41">
        <v>0</v>
      </c>
      <c r="U126" s="41">
        <v>0</v>
      </c>
      <c r="V126" s="41">
        <v>0</v>
      </c>
      <c r="W126" s="82"/>
      <c r="Y126">
        <v>2</v>
      </c>
      <c r="Z126" t="s">
        <v>8</v>
      </c>
      <c r="AA126">
        <v>18240</v>
      </c>
      <c r="AB126">
        <v>160</v>
      </c>
      <c r="AC126">
        <v>1</v>
      </c>
      <c r="AD126">
        <v>8</v>
      </c>
      <c r="AE126">
        <v>1834.48</v>
      </c>
      <c r="AF126" s="58">
        <v>2.2056</v>
      </c>
      <c r="AG126" s="57">
        <v>45470</v>
      </c>
      <c r="AH126" s="30">
        <v>0.19190972222222222</v>
      </c>
      <c r="AI126">
        <v>0</v>
      </c>
      <c r="AJ126">
        <v>0</v>
      </c>
      <c r="AK126">
        <v>0</v>
      </c>
      <c r="AL126">
        <v>0</v>
      </c>
      <c r="AM126" s="41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s="83"/>
    </row>
    <row r="127" spans="1:47" x14ac:dyDescent="0.25">
      <c r="A127">
        <v>3</v>
      </c>
      <c r="B127" t="s">
        <v>8</v>
      </c>
      <c r="C127">
        <v>18240</v>
      </c>
      <c r="D127">
        <v>160</v>
      </c>
      <c r="E127">
        <v>1</v>
      </c>
      <c r="F127">
        <v>8</v>
      </c>
      <c r="G127" s="2">
        <v>2023.24</v>
      </c>
      <c r="H127" s="40">
        <v>1.9998</v>
      </c>
      <c r="I127" s="31">
        <v>45463</v>
      </c>
      <c r="J127" s="38">
        <v>0.24381944444444445</v>
      </c>
      <c r="K127" s="41">
        <v>0</v>
      </c>
      <c r="L127" s="41">
        <v>0</v>
      </c>
      <c r="M127" s="41">
        <v>0</v>
      </c>
      <c r="N127" s="41">
        <v>0</v>
      </c>
      <c r="O127" s="41">
        <v>0</v>
      </c>
      <c r="P127" s="41">
        <v>0</v>
      </c>
      <c r="Q127" s="41">
        <v>0</v>
      </c>
      <c r="R127" s="41">
        <v>0</v>
      </c>
      <c r="S127" s="41">
        <v>0</v>
      </c>
      <c r="T127" s="41">
        <v>0</v>
      </c>
      <c r="U127" s="41">
        <v>0</v>
      </c>
      <c r="V127" s="41">
        <v>0</v>
      </c>
      <c r="W127" s="82"/>
      <c r="Y127">
        <v>3</v>
      </c>
      <c r="Z127" t="s">
        <v>8</v>
      </c>
      <c r="AA127">
        <v>18240</v>
      </c>
      <c r="AB127">
        <v>160</v>
      </c>
      <c r="AC127">
        <v>1</v>
      </c>
      <c r="AD127">
        <v>8</v>
      </c>
      <c r="AE127">
        <v>1802.73</v>
      </c>
      <c r="AF127" s="58">
        <v>2.2444000000000002</v>
      </c>
      <c r="AG127" s="57">
        <v>45471</v>
      </c>
      <c r="AH127" s="30">
        <v>0.45943287037037039</v>
      </c>
      <c r="AI127">
        <v>0</v>
      </c>
      <c r="AJ127">
        <v>0</v>
      </c>
      <c r="AK127">
        <v>0</v>
      </c>
      <c r="AL127">
        <v>0</v>
      </c>
      <c r="AM127" s="41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s="83"/>
    </row>
    <row r="128" spans="1:47" x14ac:dyDescent="0.25">
      <c r="A128">
        <v>4</v>
      </c>
      <c r="B128" t="s">
        <v>8</v>
      </c>
      <c r="C128">
        <v>18240</v>
      </c>
      <c r="D128">
        <v>160</v>
      </c>
      <c r="E128">
        <v>1</v>
      </c>
      <c r="F128">
        <v>8</v>
      </c>
      <c r="G128" s="2">
        <v>1931.23</v>
      </c>
      <c r="H128" s="40">
        <v>2.0951</v>
      </c>
      <c r="I128" s="31">
        <v>45464</v>
      </c>
      <c r="J128" s="38">
        <v>0.52035879629629633</v>
      </c>
      <c r="K128" s="41">
        <v>0</v>
      </c>
      <c r="L128" s="41">
        <v>0</v>
      </c>
      <c r="M128" s="41">
        <v>0</v>
      </c>
      <c r="N128" s="41">
        <v>0</v>
      </c>
      <c r="O128" s="41">
        <v>0</v>
      </c>
      <c r="P128" s="41">
        <v>0</v>
      </c>
      <c r="Q128" s="41">
        <v>0</v>
      </c>
      <c r="R128" s="41">
        <v>0</v>
      </c>
      <c r="S128" s="41">
        <v>0</v>
      </c>
      <c r="T128" s="41">
        <v>0</v>
      </c>
      <c r="U128" s="41">
        <v>0</v>
      </c>
      <c r="V128" s="41">
        <v>0</v>
      </c>
      <c r="W128" s="82"/>
      <c r="Y128">
        <v>4</v>
      </c>
      <c r="Z128" t="s">
        <v>8</v>
      </c>
      <c r="AA128">
        <v>18240</v>
      </c>
      <c r="AB128">
        <v>160</v>
      </c>
      <c r="AC128">
        <v>1</v>
      </c>
      <c r="AD128">
        <v>8</v>
      </c>
      <c r="AE128">
        <v>1768.93</v>
      </c>
      <c r="AF128" s="58">
        <v>2.2873000000000001</v>
      </c>
      <c r="AG128" s="31">
        <v>45472</v>
      </c>
      <c r="AH128" s="30">
        <v>0.72172453703703698</v>
      </c>
      <c r="AI128">
        <v>0</v>
      </c>
      <c r="AJ128">
        <v>0</v>
      </c>
      <c r="AK128">
        <v>0</v>
      </c>
      <c r="AL128">
        <v>0</v>
      </c>
      <c r="AM128" s="41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s="83"/>
    </row>
    <row r="129" spans="1:47" x14ac:dyDescent="0.25">
      <c r="A129">
        <v>0</v>
      </c>
      <c r="B129" t="s">
        <v>8</v>
      </c>
      <c r="C129">
        <v>19360</v>
      </c>
      <c r="D129">
        <v>160</v>
      </c>
      <c r="E129">
        <v>1</v>
      </c>
      <c r="F129">
        <v>8</v>
      </c>
      <c r="G129" s="2">
        <v>2335.27</v>
      </c>
      <c r="H129" s="40">
        <v>2.0718000000000001</v>
      </c>
      <c r="I129" s="31">
        <v>45459</v>
      </c>
      <c r="J129" s="38">
        <v>0.46884259259259259</v>
      </c>
      <c r="K129" s="41">
        <v>0</v>
      </c>
      <c r="L129" s="41">
        <v>0</v>
      </c>
      <c r="M129" s="41">
        <v>0</v>
      </c>
      <c r="N129" s="41">
        <v>0</v>
      </c>
      <c r="O129" s="41">
        <v>0</v>
      </c>
      <c r="P129" s="41">
        <v>0</v>
      </c>
      <c r="Q129" s="41">
        <v>0</v>
      </c>
      <c r="R129" s="41">
        <v>0</v>
      </c>
      <c r="S129" s="41">
        <v>0</v>
      </c>
      <c r="T129" s="41">
        <v>0</v>
      </c>
      <c r="U129" s="41">
        <v>0</v>
      </c>
      <c r="V129" s="41">
        <v>0</v>
      </c>
      <c r="W129" s="82">
        <f t="shared" ref="W129" si="48">AVERAGE(H129:H133)</f>
        <v>2.0561600000000007</v>
      </c>
      <c r="Y129">
        <v>0</v>
      </c>
      <c r="Z129" t="s">
        <v>8</v>
      </c>
      <c r="AA129">
        <v>19360</v>
      </c>
      <c r="AB129">
        <v>160</v>
      </c>
      <c r="AC129">
        <v>1</v>
      </c>
      <c r="AD129">
        <v>8</v>
      </c>
      <c r="AE129">
        <v>2155.4699999999998</v>
      </c>
      <c r="AF129" s="58">
        <v>2.2446000000000002</v>
      </c>
      <c r="AG129" s="57">
        <v>45466</v>
      </c>
      <c r="AH129" s="30">
        <v>0.48398148148148146</v>
      </c>
      <c r="AI129">
        <v>0</v>
      </c>
      <c r="AJ129">
        <v>0</v>
      </c>
      <c r="AK129">
        <v>0</v>
      </c>
      <c r="AL129">
        <v>0</v>
      </c>
      <c r="AM129" s="41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s="83">
        <f t="shared" ref="AU129" si="49">AVERAGE(AF129:AF133)</f>
        <v>2.3001999999999998</v>
      </c>
    </row>
    <row r="130" spans="1:47" x14ac:dyDescent="0.25">
      <c r="A130">
        <v>1</v>
      </c>
      <c r="B130" t="s">
        <v>8</v>
      </c>
      <c r="C130">
        <v>19360</v>
      </c>
      <c r="D130">
        <v>160</v>
      </c>
      <c r="E130">
        <v>1</v>
      </c>
      <c r="F130">
        <v>8</v>
      </c>
      <c r="G130" s="2">
        <v>2381.46</v>
      </c>
      <c r="H130" s="40">
        <v>2.0316000000000001</v>
      </c>
      <c r="I130" s="31">
        <v>45460</v>
      </c>
      <c r="J130" s="38">
        <v>0.76686342592592593</v>
      </c>
      <c r="K130" s="41">
        <v>0</v>
      </c>
      <c r="L130" s="41">
        <v>0</v>
      </c>
      <c r="M130" s="41">
        <v>0</v>
      </c>
      <c r="N130" s="41">
        <v>0</v>
      </c>
      <c r="O130" s="41">
        <v>0</v>
      </c>
      <c r="P130" s="41">
        <v>0</v>
      </c>
      <c r="Q130" s="41">
        <v>0</v>
      </c>
      <c r="R130" s="41">
        <v>0</v>
      </c>
      <c r="S130" s="41">
        <v>0</v>
      </c>
      <c r="T130" s="41">
        <v>0</v>
      </c>
      <c r="U130" s="41">
        <v>0</v>
      </c>
      <c r="V130" s="41">
        <v>0</v>
      </c>
      <c r="W130" s="82"/>
      <c r="Y130">
        <v>1</v>
      </c>
      <c r="Z130" t="s">
        <v>8</v>
      </c>
      <c r="AA130">
        <v>19360</v>
      </c>
      <c r="AB130">
        <v>160</v>
      </c>
      <c r="AC130">
        <v>1</v>
      </c>
      <c r="AD130">
        <v>8</v>
      </c>
      <c r="AE130">
        <v>2023.75</v>
      </c>
      <c r="AF130" s="58">
        <v>2.3906999999999998</v>
      </c>
      <c r="AG130" s="57">
        <v>45469</v>
      </c>
      <c r="AH130" s="30">
        <v>0.3424537037037037</v>
      </c>
      <c r="AI130">
        <v>0</v>
      </c>
      <c r="AJ130">
        <v>0</v>
      </c>
      <c r="AK130">
        <v>0</v>
      </c>
      <c r="AL130">
        <v>0</v>
      </c>
      <c r="AM130" s="41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s="83"/>
    </row>
    <row r="131" spans="1:47" x14ac:dyDescent="0.25">
      <c r="A131">
        <v>2</v>
      </c>
      <c r="B131" t="s">
        <v>8</v>
      </c>
      <c r="C131">
        <v>19360</v>
      </c>
      <c r="D131">
        <v>160</v>
      </c>
      <c r="E131">
        <v>1</v>
      </c>
      <c r="F131">
        <v>8</v>
      </c>
      <c r="G131" s="2">
        <v>2353.85</v>
      </c>
      <c r="H131" s="40">
        <v>2.0554000000000001</v>
      </c>
      <c r="I131" s="31">
        <v>45462</v>
      </c>
      <c r="J131" s="38">
        <v>0.37579861111111112</v>
      </c>
      <c r="K131" s="41">
        <v>0</v>
      </c>
      <c r="L131" s="41">
        <v>0</v>
      </c>
      <c r="M131" s="41">
        <v>0</v>
      </c>
      <c r="N131" s="41">
        <v>0</v>
      </c>
      <c r="O131" s="41">
        <v>0</v>
      </c>
      <c r="P131" s="41">
        <v>0</v>
      </c>
      <c r="Q131" s="41">
        <v>0</v>
      </c>
      <c r="R131" s="41">
        <v>0</v>
      </c>
      <c r="S131" s="41">
        <v>0</v>
      </c>
      <c r="T131" s="41">
        <v>0</v>
      </c>
      <c r="U131" s="41">
        <v>0</v>
      </c>
      <c r="V131" s="41">
        <v>0</v>
      </c>
      <c r="W131" s="82"/>
      <c r="Y131">
        <v>2</v>
      </c>
      <c r="Z131" t="s">
        <v>8</v>
      </c>
      <c r="AA131">
        <v>19360</v>
      </c>
      <c r="AB131">
        <v>160</v>
      </c>
      <c r="AC131">
        <v>1</v>
      </c>
      <c r="AD131">
        <v>8</v>
      </c>
      <c r="AE131">
        <v>2102.06</v>
      </c>
      <c r="AF131" s="58">
        <v>2.3016000000000001</v>
      </c>
      <c r="AG131" s="57">
        <v>45470</v>
      </c>
      <c r="AH131" s="30">
        <v>0.61241898148148144</v>
      </c>
      <c r="AI131">
        <v>0</v>
      </c>
      <c r="AJ131">
        <v>0</v>
      </c>
      <c r="AK131">
        <v>0</v>
      </c>
      <c r="AL131">
        <v>0</v>
      </c>
      <c r="AM131" s="4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s="83"/>
    </row>
    <row r="132" spans="1:47" x14ac:dyDescent="0.25">
      <c r="A132">
        <v>3</v>
      </c>
      <c r="B132" t="s">
        <v>8</v>
      </c>
      <c r="C132">
        <v>19360</v>
      </c>
      <c r="D132">
        <v>160</v>
      </c>
      <c r="E132">
        <v>1</v>
      </c>
      <c r="F132">
        <v>8</v>
      </c>
      <c r="G132" s="2">
        <v>2362.79</v>
      </c>
      <c r="H132" s="40">
        <v>2.0476000000000001</v>
      </c>
      <c r="I132" s="31">
        <v>45463</v>
      </c>
      <c r="J132" s="38">
        <v>0.66971064814814818</v>
      </c>
      <c r="K132" s="41">
        <v>0</v>
      </c>
      <c r="L132" s="41">
        <v>0</v>
      </c>
      <c r="M132" s="41">
        <v>0</v>
      </c>
      <c r="N132" s="41">
        <v>0</v>
      </c>
      <c r="O132" s="41">
        <v>0</v>
      </c>
      <c r="P132" s="41">
        <v>0</v>
      </c>
      <c r="Q132" s="41">
        <v>0</v>
      </c>
      <c r="R132" s="41">
        <v>0</v>
      </c>
      <c r="S132" s="41">
        <v>0</v>
      </c>
      <c r="T132" s="41">
        <v>0</v>
      </c>
      <c r="U132" s="41">
        <v>0</v>
      </c>
      <c r="V132" s="41">
        <v>0</v>
      </c>
      <c r="W132" s="82"/>
      <c r="Y132">
        <v>3</v>
      </c>
      <c r="Z132" t="s">
        <v>8</v>
      </c>
      <c r="AA132">
        <v>19360</v>
      </c>
      <c r="AB132">
        <v>160</v>
      </c>
      <c r="AC132">
        <v>1</v>
      </c>
      <c r="AD132">
        <v>8</v>
      </c>
      <c r="AE132">
        <v>2096.8000000000002</v>
      </c>
      <c r="AF132" s="58">
        <v>2.3073999999999999</v>
      </c>
      <c r="AG132" s="57">
        <v>45471</v>
      </c>
      <c r="AH132" s="30">
        <v>0.87728009259259254</v>
      </c>
      <c r="AI132">
        <v>0</v>
      </c>
      <c r="AJ132">
        <v>0</v>
      </c>
      <c r="AK132">
        <v>0</v>
      </c>
      <c r="AL132">
        <v>0</v>
      </c>
      <c r="AM132" s="41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s="83"/>
    </row>
    <row r="133" spans="1:47" x14ac:dyDescent="0.25">
      <c r="A133">
        <v>4</v>
      </c>
      <c r="B133" t="s">
        <v>8</v>
      </c>
      <c r="C133">
        <v>19360</v>
      </c>
      <c r="D133">
        <v>160</v>
      </c>
      <c r="E133">
        <v>1</v>
      </c>
      <c r="F133">
        <v>8</v>
      </c>
      <c r="G133" s="2">
        <v>2332.25</v>
      </c>
      <c r="H133" s="40">
        <v>2.0743999999999998</v>
      </c>
      <c r="I133" s="31">
        <v>45464</v>
      </c>
      <c r="J133" s="38">
        <v>0.94942129629629635</v>
      </c>
      <c r="K133" s="41">
        <v>0</v>
      </c>
      <c r="L133" s="41">
        <v>0</v>
      </c>
      <c r="M133" s="41">
        <v>0</v>
      </c>
      <c r="N133" s="41">
        <v>0</v>
      </c>
      <c r="O133" s="41">
        <v>0</v>
      </c>
      <c r="P133" s="41">
        <v>0</v>
      </c>
      <c r="Q133" s="41">
        <v>0</v>
      </c>
      <c r="R133" s="41">
        <v>0</v>
      </c>
      <c r="S133" s="41">
        <v>0</v>
      </c>
      <c r="T133" s="41">
        <v>0</v>
      </c>
      <c r="U133" s="41">
        <v>0</v>
      </c>
      <c r="V133" s="41">
        <v>0</v>
      </c>
      <c r="W133" s="82"/>
      <c r="Y133">
        <v>4</v>
      </c>
      <c r="Z133" t="s">
        <v>8</v>
      </c>
      <c r="AA133">
        <v>19360</v>
      </c>
      <c r="AB133">
        <v>160</v>
      </c>
      <c r="AC133">
        <v>1</v>
      </c>
      <c r="AD133">
        <v>8</v>
      </c>
      <c r="AE133">
        <v>2143.86</v>
      </c>
      <c r="AF133" s="58">
        <v>2.2566999999999999</v>
      </c>
      <c r="AG133" s="31">
        <v>45473</v>
      </c>
      <c r="AH133" s="30">
        <v>0.14254629629629631</v>
      </c>
      <c r="AI133">
        <v>0</v>
      </c>
      <c r="AJ133">
        <v>0</v>
      </c>
      <c r="AK133">
        <v>0</v>
      </c>
      <c r="AL133">
        <v>0</v>
      </c>
      <c r="AM133" s="41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s="83"/>
    </row>
    <row r="134" spans="1:47" x14ac:dyDescent="0.25">
      <c r="A134">
        <v>0</v>
      </c>
      <c r="B134" t="s">
        <v>8</v>
      </c>
      <c r="C134">
        <v>20480</v>
      </c>
      <c r="D134">
        <v>160</v>
      </c>
      <c r="E134">
        <v>1</v>
      </c>
      <c r="F134">
        <v>8</v>
      </c>
      <c r="G134" s="2">
        <v>2932.27</v>
      </c>
      <c r="H134" s="40">
        <v>1.9532</v>
      </c>
      <c r="I134" s="31">
        <v>45459</v>
      </c>
      <c r="J134" s="38">
        <v>0.96966435185185185</v>
      </c>
      <c r="K134" s="41">
        <v>0</v>
      </c>
      <c r="L134" s="41">
        <v>0</v>
      </c>
      <c r="M134" s="41">
        <v>0</v>
      </c>
      <c r="N134" s="41">
        <v>0</v>
      </c>
      <c r="O134" s="41">
        <v>0</v>
      </c>
      <c r="P134" s="41">
        <v>0</v>
      </c>
      <c r="Q134" s="41">
        <v>0</v>
      </c>
      <c r="R134" s="41">
        <v>0</v>
      </c>
      <c r="S134" s="41">
        <v>0</v>
      </c>
      <c r="T134" s="41">
        <v>0</v>
      </c>
      <c r="U134" s="41">
        <v>0</v>
      </c>
      <c r="V134" s="41">
        <v>0</v>
      </c>
      <c r="W134" s="82">
        <f t="shared" ref="W134" si="50">AVERAGE(H134:H138)</f>
        <v>1.6211199999999999</v>
      </c>
      <c r="Y134">
        <v>0</v>
      </c>
      <c r="Z134" t="s">
        <v>8</v>
      </c>
      <c r="AA134">
        <v>20480</v>
      </c>
      <c r="AB134">
        <v>160</v>
      </c>
      <c r="AC134">
        <v>1</v>
      </c>
      <c r="AD134">
        <v>8</v>
      </c>
      <c r="AE134">
        <v>2443.12</v>
      </c>
      <c r="AF134" s="58">
        <v>2.3441999999999998</v>
      </c>
      <c r="AG134" s="57">
        <v>45466</v>
      </c>
      <c r="AH134" s="30">
        <v>0.97223379629629625</v>
      </c>
      <c r="AI134">
        <v>0</v>
      </c>
      <c r="AJ134">
        <v>0</v>
      </c>
      <c r="AK134">
        <v>0</v>
      </c>
      <c r="AL134">
        <v>0</v>
      </c>
      <c r="AM134" s="41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s="83">
        <f t="shared" ref="AU134" si="51">AVERAGE(AF134:AF138)</f>
        <v>2.3207800000000001</v>
      </c>
    </row>
    <row r="135" spans="1:47" x14ac:dyDescent="0.25">
      <c r="A135">
        <v>1</v>
      </c>
      <c r="B135" s="31" t="s">
        <v>8</v>
      </c>
      <c r="C135" s="30">
        <v>20480</v>
      </c>
      <c r="D135">
        <v>160</v>
      </c>
      <c r="E135">
        <v>1</v>
      </c>
      <c r="F135">
        <v>8</v>
      </c>
      <c r="G135" s="2">
        <v>0</v>
      </c>
      <c r="H135" s="40">
        <v>0</v>
      </c>
      <c r="I135" s="31">
        <v>45461</v>
      </c>
      <c r="J135" s="38">
        <v>0.61459490740740741</v>
      </c>
      <c r="K135">
        <v>0</v>
      </c>
      <c r="L135" s="41">
        <v>0</v>
      </c>
      <c r="M135" s="41">
        <v>0</v>
      </c>
      <c r="N135" s="41">
        <v>0</v>
      </c>
      <c r="O135" s="41">
        <v>0</v>
      </c>
      <c r="P135" s="41">
        <v>0</v>
      </c>
      <c r="Q135" s="41">
        <v>0</v>
      </c>
      <c r="R135" s="41">
        <v>0</v>
      </c>
      <c r="S135" s="41">
        <v>0</v>
      </c>
      <c r="T135" s="41">
        <v>0</v>
      </c>
      <c r="U135" s="41">
        <v>0</v>
      </c>
      <c r="V135" s="41">
        <v>0</v>
      </c>
      <c r="W135" s="82"/>
      <c r="Y135">
        <v>1</v>
      </c>
      <c r="Z135" t="s">
        <v>8</v>
      </c>
      <c r="AA135">
        <v>20480</v>
      </c>
      <c r="AB135">
        <v>160</v>
      </c>
      <c r="AC135">
        <v>1</v>
      </c>
      <c r="AD135">
        <v>8</v>
      </c>
      <c r="AE135">
        <v>2394.2199999999998</v>
      </c>
      <c r="AF135" s="58">
        <v>2.3921000000000001</v>
      </c>
      <c r="AG135" s="57">
        <v>45469</v>
      </c>
      <c r="AH135" s="30">
        <v>0.82805555555555554</v>
      </c>
      <c r="AI135">
        <v>0</v>
      </c>
      <c r="AJ135">
        <v>0</v>
      </c>
      <c r="AK135">
        <v>0</v>
      </c>
      <c r="AL135">
        <v>0</v>
      </c>
      <c r="AM135" s="41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s="83"/>
    </row>
    <row r="136" spans="1:47" x14ac:dyDescent="0.25">
      <c r="A136">
        <v>2</v>
      </c>
      <c r="B136" t="s">
        <v>8</v>
      </c>
      <c r="C136">
        <v>20480</v>
      </c>
      <c r="D136">
        <v>160</v>
      </c>
      <c r="E136">
        <v>1</v>
      </c>
      <c r="F136">
        <v>8</v>
      </c>
      <c r="G136" s="2">
        <v>2763.96</v>
      </c>
      <c r="H136" s="40">
        <v>2.0720999999999998</v>
      </c>
      <c r="I136" s="31">
        <v>45462</v>
      </c>
      <c r="J136" s="38">
        <v>0.88039351851851855</v>
      </c>
      <c r="K136" s="41">
        <v>0</v>
      </c>
      <c r="L136" s="41">
        <v>0</v>
      </c>
      <c r="M136" s="41">
        <v>0</v>
      </c>
      <c r="N136" s="41">
        <v>0</v>
      </c>
      <c r="O136" s="41">
        <v>0</v>
      </c>
      <c r="P136" s="41">
        <v>0</v>
      </c>
      <c r="Q136" s="41">
        <v>0</v>
      </c>
      <c r="R136" s="41">
        <v>0</v>
      </c>
      <c r="S136" s="41">
        <v>0</v>
      </c>
      <c r="T136" s="41">
        <v>0</v>
      </c>
      <c r="U136" s="41">
        <v>0</v>
      </c>
      <c r="V136" s="41">
        <v>0</v>
      </c>
      <c r="W136" s="82"/>
      <c r="Y136">
        <v>2</v>
      </c>
      <c r="Z136" t="s">
        <v>8</v>
      </c>
      <c r="AA136">
        <v>20480</v>
      </c>
      <c r="AB136">
        <v>160</v>
      </c>
      <c r="AC136">
        <v>1</v>
      </c>
      <c r="AD136">
        <v>8</v>
      </c>
      <c r="AE136">
        <v>2481.4699999999998</v>
      </c>
      <c r="AF136" s="58">
        <v>2.3079999999999998</v>
      </c>
      <c r="AG136" s="57">
        <v>45471</v>
      </c>
      <c r="AH136" s="30">
        <v>0.10048611111111111</v>
      </c>
      <c r="AI136">
        <v>0</v>
      </c>
      <c r="AJ136">
        <v>0</v>
      </c>
      <c r="AK136">
        <v>0</v>
      </c>
      <c r="AL136">
        <v>0</v>
      </c>
      <c r="AM136" s="41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s="83"/>
    </row>
    <row r="137" spans="1:47" x14ac:dyDescent="0.25">
      <c r="A137">
        <v>3</v>
      </c>
      <c r="B137" t="s">
        <v>8</v>
      </c>
      <c r="C137">
        <v>20480</v>
      </c>
      <c r="D137">
        <v>160</v>
      </c>
      <c r="E137">
        <v>1</v>
      </c>
      <c r="F137">
        <v>8</v>
      </c>
      <c r="G137" s="2">
        <v>2763.63</v>
      </c>
      <c r="H137" s="40">
        <v>2.0724</v>
      </c>
      <c r="I137" s="31">
        <v>45464</v>
      </c>
      <c r="J137" s="38">
        <v>0.1724074074074074</v>
      </c>
      <c r="K137" s="41">
        <v>0</v>
      </c>
      <c r="L137" s="41">
        <v>0</v>
      </c>
      <c r="M137" s="41">
        <v>0</v>
      </c>
      <c r="N137" s="41">
        <v>0</v>
      </c>
      <c r="O137" s="41">
        <v>0</v>
      </c>
      <c r="P137" s="41">
        <v>0</v>
      </c>
      <c r="Q137" s="41">
        <v>0</v>
      </c>
      <c r="R137" s="41">
        <v>0</v>
      </c>
      <c r="S137" s="41">
        <v>0</v>
      </c>
      <c r="T137" s="41">
        <v>0</v>
      </c>
      <c r="U137" s="41">
        <v>0</v>
      </c>
      <c r="V137" s="41">
        <v>0</v>
      </c>
      <c r="W137" s="82"/>
      <c r="Y137">
        <v>3</v>
      </c>
      <c r="Z137" t="s">
        <v>8</v>
      </c>
      <c r="AA137">
        <v>20480</v>
      </c>
      <c r="AB137">
        <v>160</v>
      </c>
      <c r="AC137">
        <v>1</v>
      </c>
      <c r="AD137">
        <v>8</v>
      </c>
      <c r="AE137">
        <v>2487.27</v>
      </c>
      <c r="AF137" s="58">
        <v>2.3026</v>
      </c>
      <c r="AG137" s="31">
        <v>45472</v>
      </c>
      <c r="AH137" s="30">
        <v>0.36300925925925925</v>
      </c>
      <c r="AI137">
        <v>0</v>
      </c>
      <c r="AJ137">
        <v>0</v>
      </c>
      <c r="AK137">
        <v>0</v>
      </c>
      <c r="AL137">
        <v>0</v>
      </c>
      <c r="AM137" s="41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s="83"/>
    </row>
    <row r="138" spans="1:47" x14ac:dyDescent="0.25">
      <c r="A138">
        <v>4</v>
      </c>
      <c r="B138" t="s">
        <v>8</v>
      </c>
      <c r="C138">
        <v>20480</v>
      </c>
      <c r="D138">
        <v>160</v>
      </c>
      <c r="E138">
        <v>1</v>
      </c>
      <c r="F138">
        <v>8</v>
      </c>
      <c r="G138" s="2">
        <v>2852.29</v>
      </c>
      <c r="H138" s="40">
        <v>2.0078999999999998</v>
      </c>
      <c r="I138" s="31">
        <v>45465</v>
      </c>
      <c r="J138" s="38">
        <v>0.43670138888888888</v>
      </c>
      <c r="K138" s="41">
        <v>0</v>
      </c>
      <c r="L138" s="41">
        <v>0</v>
      </c>
      <c r="M138" s="41">
        <v>0</v>
      </c>
      <c r="N138" s="41">
        <v>0</v>
      </c>
      <c r="O138" s="41">
        <v>0</v>
      </c>
      <c r="P138" s="41">
        <v>0</v>
      </c>
      <c r="Q138" s="41">
        <v>0</v>
      </c>
      <c r="R138" s="41">
        <v>0</v>
      </c>
      <c r="S138" s="41">
        <v>0</v>
      </c>
      <c r="T138" s="41">
        <v>0</v>
      </c>
      <c r="U138" s="41">
        <v>0</v>
      </c>
      <c r="V138" s="41">
        <v>0</v>
      </c>
      <c r="W138" s="82"/>
      <c r="Y138">
        <v>4</v>
      </c>
      <c r="Z138" t="s">
        <v>8</v>
      </c>
      <c r="AA138">
        <v>20480</v>
      </c>
      <c r="AB138">
        <v>160</v>
      </c>
      <c r="AC138">
        <v>1</v>
      </c>
      <c r="AD138">
        <v>8</v>
      </c>
      <c r="AE138">
        <v>2537.5</v>
      </c>
      <c r="AF138" s="58">
        <v>2.2570000000000001</v>
      </c>
      <c r="AG138" s="31">
        <v>45473</v>
      </c>
      <c r="AH138" s="30">
        <v>0.63248842592592591</v>
      </c>
      <c r="AI138">
        <v>0</v>
      </c>
      <c r="AJ138">
        <v>0</v>
      </c>
      <c r="AK138">
        <v>0</v>
      </c>
      <c r="AL138">
        <v>0</v>
      </c>
      <c r="AM138" s="41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s="83"/>
    </row>
    <row r="139" spans="1:47" x14ac:dyDescent="0.25">
      <c r="A139">
        <v>0</v>
      </c>
      <c r="B139" t="s">
        <v>8</v>
      </c>
      <c r="C139">
        <v>18240</v>
      </c>
      <c r="D139">
        <v>160</v>
      </c>
      <c r="E139">
        <v>2</v>
      </c>
      <c r="F139">
        <v>4</v>
      </c>
      <c r="G139" s="2">
        <v>2001.79</v>
      </c>
      <c r="H139" s="40">
        <v>2.0211999999999999</v>
      </c>
      <c r="I139" s="31">
        <v>45459</v>
      </c>
      <c r="J139" s="38">
        <v>6.3078703703703706E-2</v>
      </c>
      <c r="K139" s="41">
        <v>0</v>
      </c>
      <c r="L139" s="41">
        <v>0</v>
      </c>
      <c r="M139" s="41">
        <v>0</v>
      </c>
      <c r="N139" s="41">
        <v>0</v>
      </c>
      <c r="O139" s="41">
        <v>0</v>
      </c>
      <c r="P139" s="41">
        <v>0</v>
      </c>
      <c r="Q139" s="41">
        <v>0</v>
      </c>
      <c r="R139" s="41">
        <v>0</v>
      </c>
      <c r="S139" s="41">
        <v>0</v>
      </c>
      <c r="T139" s="41">
        <v>0</v>
      </c>
      <c r="U139" s="41">
        <v>0</v>
      </c>
      <c r="V139" s="41">
        <v>0</v>
      </c>
      <c r="W139" s="82">
        <f t="shared" ref="W139" si="52">AVERAGE(H139:H143)</f>
        <v>2.0204400000000002</v>
      </c>
      <c r="Y139">
        <v>0</v>
      </c>
      <c r="Z139" t="s">
        <v>8</v>
      </c>
      <c r="AA139">
        <v>18240</v>
      </c>
      <c r="AB139">
        <v>160</v>
      </c>
      <c r="AC139">
        <v>2</v>
      </c>
      <c r="AD139">
        <v>4</v>
      </c>
      <c r="AE139">
        <v>1855</v>
      </c>
      <c r="AF139" s="58">
        <v>2.1812</v>
      </c>
      <c r="AG139" s="57">
        <v>45466</v>
      </c>
      <c r="AH139" s="30">
        <v>9.1307870370370373E-2</v>
      </c>
      <c r="AI139">
        <v>0</v>
      </c>
      <c r="AJ139">
        <v>0</v>
      </c>
      <c r="AK139">
        <v>0</v>
      </c>
      <c r="AL139">
        <v>0</v>
      </c>
      <c r="AM139" s="41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s="83">
        <f t="shared" ref="AU139" si="53">AVERAGE(AF139:AF143)</f>
        <v>2.1960800000000003</v>
      </c>
    </row>
    <row r="140" spans="1:47" x14ac:dyDescent="0.25">
      <c r="A140">
        <v>1</v>
      </c>
      <c r="B140" t="s">
        <v>8</v>
      </c>
      <c r="C140">
        <v>18240</v>
      </c>
      <c r="D140">
        <v>160</v>
      </c>
      <c r="E140">
        <v>2</v>
      </c>
      <c r="F140">
        <v>4</v>
      </c>
      <c r="G140" s="2">
        <v>2055.4299999999998</v>
      </c>
      <c r="H140" s="40">
        <v>1.9684999999999999</v>
      </c>
      <c r="I140" s="31">
        <v>45460</v>
      </c>
      <c r="J140" s="38">
        <v>0.36041666666666666</v>
      </c>
      <c r="K140" s="41">
        <v>0</v>
      </c>
      <c r="L140" s="41">
        <v>0</v>
      </c>
      <c r="M140" s="41">
        <v>0</v>
      </c>
      <c r="N140" s="41">
        <v>0</v>
      </c>
      <c r="O140" s="41">
        <v>0</v>
      </c>
      <c r="P140" s="41">
        <v>0</v>
      </c>
      <c r="Q140" s="41">
        <v>0</v>
      </c>
      <c r="R140" s="41">
        <v>0</v>
      </c>
      <c r="S140" s="41">
        <v>0</v>
      </c>
      <c r="T140" s="41">
        <v>0</v>
      </c>
      <c r="U140" s="41">
        <v>0</v>
      </c>
      <c r="V140" s="41">
        <v>0</v>
      </c>
      <c r="W140" s="82"/>
      <c r="Y140">
        <v>1</v>
      </c>
      <c r="Z140" t="s">
        <v>8</v>
      </c>
      <c r="AA140">
        <v>18240</v>
      </c>
      <c r="AB140">
        <v>160</v>
      </c>
      <c r="AC140">
        <v>2</v>
      </c>
      <c r="AD140">
        <v>4</v>
      </c>
      <c r="AE140">
        <v>1820.03</v>
      </c>
      <c r="AF140" s="58">
        <v>2.2231000000000001</v>
      </c>
      <c r="AG140" s="57">
        <v>45468</v>
      </c>
      <c r="AH140" s="30">
        <v>0.9475810185185185</v>
      </c>
      <c r="AI140">
        <v>0</v>
      </c>
      <c r="AJ140">
        <v>0</v>
      </c>
      <c r="AK140">
        <v>0</v>
      </c>
      <c r="AL140">
        <v>0</v>
      </c>
      <c r="AM140" s="41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s="83"/>
    </row>
    <row r="141" spans="1:47" x14ac:dyDescent="0.25">
      <c r="A141">
        <v>2</v>
      </c>
      <c r="B141" t="s">
        <v>8</v>
      </c>
      <c r="C141">
        <v>18240</v>
      </c>
      <c r="D141">
        <v>160</v>
      </c>
      <c r="E141">
        <v>2</v>
      </c>
      <c r="F141">
        <v>4</v>
      </c>
      <c r="G141" s="2">
        <v>2037.94</v>
      </c>
      <c r="H141" s="40">
        <v>1.9854000000000001</v>
      </c>
      <c r="I141" s="31">
        <v>45461</v>
      </c>
      <c r="J141" s="38">
        <v>0.96790509259259261</v>
      </c>
      <c r="K141" s="41">
        <v>0</v>
      </c>
      <c r="L141" s="41">
        <v>0</v>
      </c>
      <c r="M141" s="41">
        <v>0</v>
      </c>
      <c r="N141" s="41">
        <v>0</v>
      </c>
      <c r="O141" s="41">
        <v>0</v>
      </c>
      <c r="P141" s="41">
        <v>0</v>
      </c>
      <c r="Q141" s="41">
        <v>0</v>
      </c>
      <c r="R141" s="41">
        <v>0</v>
      </c>
      <c r="S141" s="41">
        <v>0</v>
      </c>
      <c r="T141" s="41">
        <v>0</v>
      </c>
      <c r="U141" s="41">
        <v>0</v>
      </c>
      <c r="V141" s="41">
        <v>0</v>
      </c>
      <c r="W141" s="82"/>
      <c r="Y141">
        <v>2</v>
      </c>
      <c r="Z141" t="s">
        <v>8</v>
      </c>
      <c r="AA141">
        <v>18240</v>
      </c>
      <c r="AB141">
        <v>160</v>
      </c>
      <c r="AC141">
        <v>2</v>
      </c>
      <c r="AD141">
        <v>4</v>
      </c>
      <c r="AE141">
        <v>1840.53</v>
      </c>
      <c r="AF141" s="58">
        <v>2.1983000000000001</v>
      </c>
      <c r="AG141" s="57">
        <v>45470</v>
      </c>
      <c r="AH141" s="30">
        <v>0.21578703703703703</v>
      </c>
      <c r="AI141">
        <v>0</v>
      </c>
      <c r="AJ141">
        <v>0</v>
      </c>
      <c r="AK141">
        <v>0</v>
      </c>
      <c r="AL141">
        <v>0</v>
      </c>
      <c r="AM141" s="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s="83"/>
    </row>
    <row r="142" spans="1:47" x14ac:dyDescent="0.25">
      <c r="A142">
        <v>3</v>
      </c>
      <c r="B142" t="s">
        <v>8</v>
      </c>
      <c r="C142">
        <v>18240</v>
      </c>
      <c r="D142">
        <v>160</v>
      </c>
      <c r="E142">
        <v>2</v>
      </c>
      <c r="F142">
        <v>4</v>
      </c>
      <c r="G142" s="2">
        <v>1945.93</v>
      </c>
      <c r="H142" s="40">
        <v>2.0792999999999999</v>
      </c>
      <c r="I142" s="31">
        <v>45463</v>
      </c>
      <c r="J142" s="38">
        <v>0.2669212962962963</v>
      </c>
      <c r="K142" s="41">
        <v>0</v>
      </c>
      <c r="L142" s="41">
        <v>0</v>
      </c>
      <c r="M142" s="41">
        <v>0</v>
      </c>
      <c r="N142" s="41">
        <v>0</v>
      </c>
      <c r="O142" s="41">
        <v>0</v>
      </c>
      <c r="P142" s="41">
        <v>0</v>
      </c>
      <c r="Q142" s="41">
        <v>0</v>
      </c>
      <c r="R142" s="41">
        <v>0</v>
      </c>
      <c r="S142" s="41">
        <v>0</v>
      </c>
      <c r="T142" s="41">
        <v>0</v>
      </c>
      <c r="U142" s="41">
        <v>0</v>
      </c>
      <c r="V142" s="41">
        <v>0</v>
      </c>
      <c r="W142" s="82"/>
      <c r="Y142">
        <v>3</v>
      </c>
      <c r="Z142" t="s">
        <v>8</v>
      </c>
      <c r="AA142">
        <v>18240</v>
      </c>
      <c r="AB142">
        <v>160</v>
      </c>
      <c r="AC142">
        <v>2</v>
      </c>
      <c r="AD142">
        <v>4</v>
      </c>
      <c r="AE142">
        <v>1819.39</v>
      </c>
      <c r="AF142" s="58">
        <v>2.2239</v>
      </c>
      <c r="AG142" s="57">
        <v>45471</v>
      </c>
      <c r="AH142" s="30">
        <v>0.48313657407407407</v>
      </c>
      <c r="AI142">
        <v>0</v>
      </c>
      <c r="AJ142">
        <v>0</v>
      </c>
      <c r="AK142">
        <v>0</v>
      </c>
      <c r="AL142">
        <v>0</v>
      </c>
      <c r="AM142" s="41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s="83"/>
    </row>
    <row r="143" spans="1:47" x14ac:dyDescent="0.25">
      <c r="A143">
        <v>4</v>
      </c>
      <c r="B143" t="s">
        <v>8</v>
      </c>
      <c r="C143">
        <v>18240</v>
      </c>
      <c r="D143">
        <v>160</v>
      </c>
      <c r="E143">
        <v>2</v>
      </c>
      <c r="F143">
        <v>4</v>
      </c>
      <c r="G143" s="2">
        <v>1975.83</v>
      </c>
      <c r="H143" s="40">
        <v>2.0478000000000001</v>
      </c>
      <c r="I143" s="31">
        <v>45464</v>
      </c>
      <c r="J143" s="38">
        <v>0.54387731481481483</v>
      </c>
      <c r="K143" s="41">
        <v>0</v>
      </c>
      <c r="L143" s="41">
        <v>0</v>
      </c>
      <c r="M143" s="41">
        <v>0</v>
      </c>
      <c r="N143" s="41">
        <v>0</v>
      </c>
      <c r="O143" s="41">
        <v>0</v>
      </c>
      <c r="P143" s="41">
        <v>0</v>
      </c>
      <c r="Q143" s="41">
        <v>0</v>
      </c>
      <c r="R143" s="41">
        <v>0</v>
      </c>
      <c r="S143" s="41">
        <v>0</v>
      </c>
      <c r="T143" s="41">
        <v>0</v>
      </c>
      <c r="U143" s="41">
        <v>0</v>
      </c>
      <c r="V143" s="41">
        <v>0</v>
      </c>
      <c r="W143" s="82"/>
      <c r="Y143">
        <v>4</v>
      </c>
      <c r="Z143" t="s">
        <v>8</v>
      </c>
      <c r="AA143">
        <v>18240</v>
      </c>
      <c r="AB143">
        <v>160</v>
      </c>
      <c r="AC143">
        <v>2</v>
      </c>
      <c r="AD143">
        <v>4</v>
      </c>
      <c r="AE143">
        <v>1878.47</v>
      </c>
      <c r="AF143" s="58">
        <v>2.1539000000000001</v>
      </c>
      <c r="AG143" s="31">
        <v>45472</v>
      </c>
      <c r="AH143" s="30">
        <v>0.74593750000000003</v>
      </c>
      <c r="AI143">
        <v>0</v>
      </c>
      <c r="AJ143">
        <v>0</v>
      </c>
      <c r="AK143">
        <v>0</v>
      </c>
      <c r="AL143">
        <v>0</v>
      </c>
      <c r="AM143" s="41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s="83"/>
    </row>
    <row r="144" spans="1:47" x14ac:dyDescent="0.25">
      <c r="A144">
        <v>0</v>
      </c>
      <c r="B144" t="s">
        <v>8</v>
      </c>
      <c r="C144">
        <v>19360</v>
      </c>
      <c r="D144">
        <v>160</v>
      </c>
      <c r="E144">
        <v>2</v>
      </c>
      <c r="F144">
        <v>4</v>
      </c>
      <c r="G144" s="2">
        <v>2360.7800000000002</v>
      </c>
      <c r="H144" s="40">
        <v>2.0493999999999999</v>
      </c>
      <c r="I144" s="31">
        <v>45459</v>
      </c>
      <c r="J144" s="38">
        <v>0.49680555555555556</v>
      </c>
      <c r="K144" s="41">
        <v>0</v>
      </c>
      <c r="L144" s="41">
        <v>0</v>
      </c>
      <c r="M144" s="41">
        <v>0</v>
      </c>
      <c r="N144" s="41">
        <v>0</v>
      </c>
      <c r="O144" s="41">
        <v>0</v>
      </c>
      <c r="P144" s="41">
        <v>0</v>
      </c>
      <c r="Q144" s="41">
        <v>0</v>
      </c>
      <c r="R144" s="41">
        <v>0</v>
      </c>
      <c r="S144" s="41">
        <v>0</v>
      </c>
      <c r="T144" s="41">
        <v>0</v>
      </c>
      <c r="U144" s="41">
        <v>0</v>
      </c>
      <c r="V144" s="41">
        <v>0</v>
      </c>
      <c r="W144" s="82">
        <f t="shared" ref="W144" si="54">AVERAGE(H144:H148)</f>
        <v>2.0274200000000002</v>
      </c>
      <c r="Y144">
        <v>0</v>
      </c>
      <c r="Z144" t="s">
        <v>8</v>
      </c>
      <c r="AA144">
        <v>19360</v>
      </c>
      <c r="AB144">
        <v>160</v>
      </c>
      <c r="AC144">
        <v>2</v>
      </c>
      <c r="AD144">
        <v>4</v>
      </c>
      <c r="AE144">
        <v>2174.9</v>
      </c>
      <c r="AF144" s="58">
        <v>2.2244999999999999</v>
      </c>
      <c r="AG144" s="57">
        <v>45466</v>
      </c>
      <c r="AH144" s="30">
        <v>0.51194444444444442</v>
      </c>
      <c r="AI144">
        <v>0</v>
      </c>
      <c r="AJ144">
        <v>0</v>
      </c>
      <c r="AK144">
        <v>0</v>
      </c>
      <c r="AL144">
        <v>0</v>
      </c>
      <c r="AM144" s="41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s="83">
        <f t="shared" ref="AU144" si="55">AVERAGE(AF144:AF148)</f>
        <v>2.2397599999999995</v>
      </c>
    </row>
    <row r="145" spans="1:47" x14ac:dyDescent="0.25">
      <c r="A145">
        <v>1</v>
      </c>
      <c r="B145" t="s">
        <v>8</v>
      </c>
      <c r="C145">
        <v>19360</v>
      </c>
      <c r="D145">
        <v>160</v>
      </c>
      <c r="E145">
        <v>2</v>
      </c>
      <c r="F145">
        <v>4</v>
      </c>
      <c r="G145" s="2">
        <v>2444.9899999999998</v>
      </c>
      <c r="H145" s="40">
        <v>1.9787999999999999</v>
      </c>
      <c r="I145" s="31">
        <v>45460</v>
      </c>
      <c r="J145" s="38">
        <v>0.79605324074074069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82"/>
      <c r="Y145">
        <v>1</v>
      </c>
      <c r="Z145" t="s">
        <v>8</v>
      </c>
      <c r="AA145">
        <v>19360</v>
      </c>
      <c r="AB145">
        <v>160</v>
      </c>
      <c r="AC145">
        <v>2</v>
      </c>
      <c r="AD145">
        <v>4</v>
      </c>
      <c r="AE145">
        <v>2063.67</v>
      </c>
      <c r="AF145" s="58">
        <v>2.3443999999999998</v>
      </c>
      <c r="AG145" s="57">
        <v>45469</v>
      </c>
      <c r="AH145" s="30">
        <v>0.36902777777777779</v>
      </c>
      <c r="AI145">
        <v>0</v>
      </c>
      <c r="AJ145">
        <v>0</v>
      </c>
      <c r="AK145">
        <v>0</v>
      </c>
      <c r="AL145">
        <v>0</v>
      </c>
      <c r="AM145" s="41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s="83"/>
    </row>
    <row r="146" spans="1:47" x14ac:dyDescent="0.25">
      <c r="A146">
        <v>2</v>
      </c>
      <c r="B146" t="s">
        <v>8</v>
      </c>
      <c r="C146">
        <v>19360</v>
      </c>
      <c r="D146">
        <v>160</v>
      </c>
      <c r="E146">
        <v>2</v>
      </c>
      <c r="F146">
        <v>4</v>
      </c>
      <c r="G146" s="2">
        <v>2362.52</v>
      </c>
      <c r="H146" s="40">
        <v>2.0478999999999998</v>
      </c>
      <c r="I146" s="31">
        <v>45462</v>
      </c>
      <c r="J146" s="38">
        <v>0.40377314814814813</v>
      </c>
      <c r="K146" s="41">
        <v>0</v>
      </c>
      <c r="L146" s="41">
        <v>0</v>
      </c>
      <c r="M146" s="41">
        <v>0</v>
      </c>
      <c r="N146" s="41">
        <v>0</v>
      </c>
      <c r="O146" s="41">
        <v>0</v>
      </c>
      <c r="P146" s="41">
        <v>0</v>
      </c>
      <c r="Q146" s="41">
        <v>0</v>
      </c>
      <c r="R146" s="41">
        <v>0</v>
      </c>
      <c r="S146" s="41">
        <v>0</v>
      </c>
      <c r="T146" s="41">
        <v>0</v>
      </c>
      <c r="U146" s="41">
        <v>0</v>
      </c>
      <c r="V146" s="41">
        <v>0</v>
      </c>
      <c r="W146" s="82"/>
      <c r="Y146">
        <v>2</v>
      </c>
      <c r="Z146" t="s">
        <v>8</v>
      </c>
      <c r="AA146">
        <v>19360</v>
      </c>
      <c r="AB146">
        <v>160</v>
      </c>
      <c r="AC146">
        <v>2</v>
      </c>
      <c r="AD146">
        <v>4</v>
      </c>
      <c r="AE146">
        <v>2158.1799999999998</v>
      </c>
      <c r="AF146" s="58">
        <v>2.2418</v>
      </c>
      <c r="AG146" s="57">
        <v>45470</v>
      </c>
      <c r="AH146" s="30">
        <v>0.6400231481481482</v>
      </c>
      <c r="AI146">
        <v>0</v>
      </c>
      <c r="AJ146">
        <v>0</v>
      </c>
      <c r="AK146">
        <v>0</v>
      </c>
      <c r="AL146">
        <v>0</v>
      </c>
      <c r="AM146" s="41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s="83"/>
    </row>
    <row r="147" spans="1:47" x14ac:dyDescent="0.25">
      <c r="A147">
        <v>3</v>
      </c>
      <c r="B147" t="s">
        <v>8</v>
      </c>
      <c r="C147">
        <v>19360</v>
      </c>
      <c r="D147">
        <v>160</v>
      </c>
      <c r="E147">
        <v>2</v>
      </c>
      <c r="F147">
        <v>4</v>
      </c>
      <c r="G147" s="2">
        <v>2409</v>
      </c>
      <c r="H147" s="40">
        <v>2.0083000000000002</v>
      </c>
      <c r="I147" s="31">
        <v>45463</v>
      </c>
      <c r="J147" s="38">
        <v>0.69820601851851849</v>
      </c>
      <c r="K147" s="41">
        <v>0</v>
      </c>
      <c r="L147" s="41">
        <v>0</v>
      </c>
      <c r="M147" s="41">
        <v>0</v>
      </c>
      <c r="N147" s="41">
        <v>0</v>
      </c>
      <c r="O147" s="41">
        <v>0</v>
      </c>
      <c r="P147" s="41">
        <v>0</v>
      </c>
      <c r="Q147" s="41">
        <v>0</v>
      </c>
      <c r="R147" s="41">
        <v>0</v>
      </c>
      <c r="S147" s="41">
        <v>0</v>
      </c>
      <c r="T147" s="41">
        <v>0</v>
      </c>
      <c r="U147" s="41">
        <v>0</v>
      </c>
      <c r="V147" s="41">
        <v>0</v>
      </c>
      <c r="W147" s="82"/>
      <c r="Y147">
        <v>3</v>
      </c>
      <c r="Z147" t="s">
        <v>8</v>
      </c>
      <c r="AA147">
        <v>19360</v>
      </c>
      <c r="AB147">
        <v>160</v>
      </c>
      <c r="AC147">
        <v>2</v>
      </c>
      <c r="AD147">
        <v>4</v>
      </c>
      <c r="AE147">
        <v>2179.91</v>
      </c>
      <c r="AF147" s="58">
        <v>2.2193999999999998</v>
      </c>
      <c r="AG147" s="57">
        <v>45471</v>
      </c>
      <c r="AH147" s="30">
        <v>0.90511574074074075</v>
      </c>
      <c r="AI147">
        <v>0</v>
      </c>
      <c r="AJ147">
        <v>0</v>
      </c>
      <c r="AK147">
        <v>0</v>
      </c>
      <c r="AL147">
        <v>0</v>
      </c>
      <c r="AM147" s="41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s="83"/>
    </row>
    <row r="148" spans="1:47" x14ac:dyDescent="0.25">
      <c r="A148">
        <v>4</v>
      </c>
      <c r="B148" t="s">
        <v>8</v>
      </c>
      <c r="C148">
        <v>19360</v>
      </c>
      <c r="D148">
        <v>160</v>
      </c>
      <c r="E148">
        <v>2</v>
      </c>
      <c r="F148">
        <v>4</v>
      </c>
      <c r="G148" s="2">
        <v>2356.9699999999998</v>
      </c>
      <c r="H148" s="40">
        <v>2.0527000000000002</v>
      </c>
      <c r="I148" s="31">
        <v>45464</v>
      </c>
      <c r="J148" s="38">
        <v>0.97734953703703709</v>
      </c>
      <c r="K148" s="41">
        <v>0</v>
      </c>
      <c r="L148" s="41">
        <v>0</v>
      </c>
      <c r="M148" s="41">
        <v>0</v>
      </c>
      <c r="N148" s="41">
        <v>0</v>
      </c>
      <c r="O148" s="41">
        <v>0</v>
      </c>
      <c r="P148" s="41">
        <v>0</v>
      </c>
      <c r="Q148" s="41">
        <v>0</v>
      </c>
      <c r="R148" s="41">
        <v>0</v>
      </c>
      <c r="S148" s="41">
        <v>0</v>
      </c>
      <c r="T148" s="41">
        <v>0</v>
      </c>
      <c r="U148" s="41">
        <v>0</v>
      </c>
      <c r="V148" s="41">
        <v>0</v>
      </c>
      <c r="W148" s="82"/>
      <c r="Y148">
        <v>4</v>
      </c>
      <c r="Z148" t="s">
        <v>8</v>
      </c>
      <c r="AA148">
        <v>19360</v>
      </c>
      <c r="AB148">
        <v>160</v>
      </c>
      <c r="AC148">
        <v>2</v>
      </c>
      <c r="AD148">
        <v>4</v>
      </c>
      <c r="AE148">
        <v>2230.87</v>
      </c>
      <c r="AF148" s="58">
        <v>2.1686999999999999</v>
      </c>
      <c r="AG148" s="31">
        <v>45473</v>
      </c>
      <c r="AH148" s="30">
        <v>0.17114583333333333</v>
      </c>
      <c r="AI148">
        <v>0</v>
      </c>
      <c r="AJ148">
        <v>0</v>
      </c>
      <c r="AK148">
        <v>0</v>
      </c>
      <c r="AL148">
        <v>0</v>
      </c>
      <c r="AM148" s="41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s="83"/>
    </row>
    <row r="149" spans="1:47" x14ac:dyDescent="0.25">
      <c r="A149">
        <v>0</v>
      </c>
      <c r="B149" t="s">
        <v>8</v>
      </c>
      <c r="C149">
        <v>20480</v>
      </c>
      <c r="D149">
        <v>160</v>
      </c>
      <c r="E149">
        <v>2</v>
      </c>
      <c r="F149">
        <v>4</v>
      </c>
      <c r="G149" s="2">
        <v>2884.27</v>
      </c>
      <c r="H149" s="40">
        <v>1.9857</v>
      </c>
      <c r="I149" s="31">
        <v>45460</v>
      </c>
      <c r="J149" s="38">
        <v>3.7615740740740739E-3</v>
      </c>
      <c r="K149" s="41">
        <v>0</v>
      </c>
      <c r="L149" s="41">
        <v>0</v>
      </c>
      <c r="M149" s="41">
        <v>0</v>
      </c>
      <c r="N149" s="41">
        <v>0</v>
      </c>
      <c r="O149" s="41">
        <v>0</v>
      </c>
      <c r="P149" s="41">
        <v>0</v>
      </c>
      <c r="Q149" s="41">
        <v>0</v>
      </c>
      <c r="R149" s="41">
        <v>0</v>
      </c>
      <c r="S149" s="41">
        <v>0</v>
      </c>
      <c r="T149" s="41">
        <v>0</v>
      </c>
      <c r="U149" s="41">
        <v>0</v>
      </c>
      <c r="V149" s="41">
        <v>0</v>
      </c>
      <c r="W149" s="82">
        <f t="shared" ref="W149" si="56">AVERAGE(H149:H153)</f>
        <v>2.0380399999999996</v>
      </c>
      <c r="Y149">
        <v>0</v>
      </c>
      <c r="Z149" t="s">
        <v>8</v>
      </c>
      <c r="AA149">
        <v>20480</v>
      </c>
      <c r="AB149">
        <v>160</v>
      </c>
      <c r="AC149">
        <v>2</v>
      </c>
      <c r="AD149">
        <v>4</v>
      </c>
      <c r="AE149">
        <v>2615.52</v>
      </c>
      <c r="AF149" s="58">
        <v>2.1897000000000002</v>
      </c>
      <c r="AG149" s="57">
        <v>45468</v>
      </c>
      <c r="AH149" s="30">
        <v>0.60050925925925924</v>
      </c>
      <c r="AI149">
        <v>0</v>
      </c>
      <c r="AJ149">
        <v>0</v>
      </c>
      <c r="AK149">
        <v>0</v>
      </c>
      <c r="AL149">
        <v>0</v>
      </c>
      <c r="AM149" s="41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s="83">
        <f t="shared" ref="AU149" si="57">AVERAGE(AF149:AF153)</f>
        <v>2.23468</v>
      </c>
    </row>
    <row r="150" spans="1:47" x14ac:dyDescent="0.25">
      <c r="A150">
        <v>1</v>
      </c>
      <c r="B150" t="s">
        <v>8</v>
      </c>
      <c r="C150">
        <v>20480</v>
      </c>
      <c r="D150">
        <v>160</v>
      </c>
      <c r="E150">
        <v>2</v>
      </c>
      <c r="F150">
        <v>4</v>
      </c>
      <c r="G150" s="2">
        <v>2839.98</v>
      </c>
      <c r="H150" s="40">
        <v>2.0167000000000002</v>
      </c>
      <c r="I150" s="31">
        <v>45461</v>
      </c>
      <c r="J150" s="38">
        <v>0.30219907407407409</v>
      </c>
      <c r="K150" s="41">
        <v>0</v>
      </c>
      <c r="L150" s="41">
        <v>0</v>
      </c>
      <c r="M150" s="41">
        <v>0</v>
      </c>
      <c r="N150" s="41">
        <v>0</v>
      </c>
      <c r="O150" s="41">
        <v>0</v>
      </c>
      <c r="P150" s="41">
        <v>0</v>
      </c>
      <c r="Q150" s="41">
        <v>0</v>
      </c>
      <c r="R150" s="41">
        <v>0</v>
      </c>
      <c r="S150" s="41">
        <v>0</v>
      </c>
      <c r="T150" s="41">
        <v>0</v>
      </c>
      <c r="U150" s="41">
        <v>0</v>
      </c>
      <c r="V150" s="41">
        <v>0</v>
      </c>
      <c r="W150" s="82"/>
      <c r="Y150">
        <v>1</v>
      </c>
      <c r="Z150" t="s">
        <v>8</v>
      </c>
      <c r="AA150">
        <v>20480</v>
      </c>
      <c r="AB150">
        <v>160</v>
      </c>
      <c r="AC150">
        <v>2</v>
      </c>
      <c r="AD150">
        <v>4</v>
      </c>
      <c r="AE150">
        <v>2516.77</v>
      </c>
      <c r="AF150" s="58">
        <v>2.2755999999999998</v>
      </c>
      <c r="AG150" s="57">
        <v>45469</v>
      </c>
      <c r="AH150" s="30">
        <v>0.86018518518518516</v>
      </c>
      <c r="AI150">
        <v>0</v>
      </c>
      <c r="AJ150">
        <v>0</v>
      </c>
      <c r="AK150">
        <v>0</v>
      </c>
      <c r="AL150">
        <v>0</v>
      </c>
      <c r="AM150" s="41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s="83"/>
    </row>
    <row r="151" spans="1:47" x14ac:dyDescent="0.25">
      <c r="A151">
        <v>2</v>
      </c>
      <c r="B151" t="s">
        <v>8</v>
      </c>
      <c r="C151">
        <v>20480</v>
      </c>
      <c r="D151">
        <v>160</v>
      </c>
      <c r="E151">
        <v>2</v>
      </c>
      <c r="F151">
        <v>4</v>
      </c>
      <c r="G151" s="2">
        <v>2826.65</v>
      </c>
      <c r="H151" s="40">
        <v>2.0261999999999998</v>
      </c>
      <c r="I151" s="31">
        <v>45462</v>
      </c>
      <c r="J151" s="38">
        <v>0.91394675925925928</v>
      </c>
      <c r="K151" s="41">
        <v>0</v>
      </c>
      <c r="L151" s="41">
        <v>0</v>
      </c>
      <c r="M151" s="41">
        <v>0</v>
      </c>
      <c r="N151" s="41">
        <v>0</v>
      </c>
      <c r="O151" s="41">
        <v>0</v>
      </c>
      <c r="P151" s="41">
        <v>0</v>
      </c>
      <c r="Q151" s="41">
        <v>0</v>
      </c>
      <c r="R151" s="41">
        <v>0</v>
      </c>
      <c r="S151" s="41">
        <v>0</v>
      </c>
      <c r="T151" s="41">
        <v>0</v>
      </c>
      <c r="U151" s="41">
        <v>0</v>
      </c>
      <c r="V151" s="41">
        <v>0</v>
      </c>
      <c r="W151" s="82"/>
      <c r="Y151">
        <v>2</v>
      </c>
      <c r="Z151" t="s">
        <v>8</v>
      </c>
      <c r="AA151">
        <v>20480</v>
      </c>
      <c r="AB151">
        <v>160</v>
      </c>
      <c r="AC151">
        <v>2</v>
      </c>
      <c r="AD151">
        <v>4</v>
      </c>
      <c r="AE151">
        <v>2558.0300000000002</v>
      </c>
      <c r="AF151" s="58">
        <v>2.2389000000000001</v>
      </c>
      <c r="AG151" s="57">
        <v>45471</v>
      </c>
      <c r="AH151" s="30">
        <v>0.13304398148148147</v>
      </c>
      <c r="AI151">
        <v>0</v>
      </c>
      <c r="AJ151">
        <v>0</v>
      </c>
      <c r="AK151">
        <v>0</v>
      </c>
      <c r="AL151">
        <v>0</v>
      </c>
      <c r="AM151" s="4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s="83"/>
    </row>
    <row r="152" spans="1:47" x14ac:dyDescent="0.25">
      <c r="A152">
        <v>3</v>
      </c>
      <c r="B152" t="s">
        <v>8</v>
      </c>
      <c r="C152">
        <v>20480</v>
      </c>
      <c r="D152">
        <v>160</v>
      </c>
      <c r="E152">
        <v>2</v>
      </c>
      <c r="F152">
        <v>4</v>
      </c>
      <c r="G152" s="2">
        <v>2700.91</v>
      </c>
      <c r="H152" s="40">
        <v>2.1204999999999998</v>
      </c>
      <c r="I152" s="31">
        <v>45464</v>
      </c>
      <c r="J152" s="38">
        <v>0.20451388888888888</v>
      </c>
      <c r="K152" s="41">
        <v>0</v>
      </c>
      <c r="L152" s="41">
        <v>0</v>
      </c>
      <c r="M152" s="41">
        <v>0</v>
      </c>
      <c r="N152" s="41">
        <v>0</v>
      </c>
      <c r="O152" s="41">
        <v>0</v>
      </c>
      <c r="P152" s="41">
        <v>0</v>
      </c>
      <c r="Q152" s="41">
        <v>0</v>
      </c>
      <c r="R152" s="41">
        <v>0</v>
      </c>
      <c r="S152" s="41">
        <v>0</v>
      </c>
      <c r="T152" s="41">
        <v>0</v>
      </c>
      <c r="U152" s="41">
        <v>0</v>
      </c>
      <c r="V152" s="41">
        <v>0</v>
      </c>
      <c r="W152" s="82"/>
      <c r="Y152">
        <v>3</v>
      </c>
      <c r="Z152" t="s">
        <v>8</v>
      </c>
      <c r="AA152">
        <v>20480</v>
      </c>
      <c r="AB152">
        <v>160</v>
      </c>
      <c r="AC152">
        <v>2</v>
      </c>
      <c r="AD152">
        <v>4</v>
      </c>
      <c r="AE152">
        <v>2551.3200000000002</v>
      </c>
      <c r="AF152" s="58">
        <v>2.2448000000000001</v>
      </c>
      <c r="AG152" s="31">
        <v>45472</v>
      </c>
      <c r="AH152" s="30">
        <v>0.39550925925925928</v>
      </c>
      <c r="AI152">
        <v>0</v>
      </c>
      <c r="AJ152">
        <v>0</v>
      </c>
      <c r="AK152">
        <v>0</v>
      </c>
      <c r="AL152">
        <v>0</v>
      </c>
      <c r="AM152" s="41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s="83"/>
    </row>
    <row r="153" spans="1:47" x14ac:dyDescent="0.25">
      <c r="A153">
        <v>4</v>
      </c>
      <c r="B153" t="s">
        <v>8</v>
      </c>
      <c r="C153">
        <v>20480</v>
      </c>
      <c r="D153">
        <v>160</v>
      </c>
      <c r="E153">
        <v>2</v>
      </c>
      <c r="F153">
        <v>4</v>
      </c>
      <c r="G153" s="2">
        <v>2806</v>
      </c>
      <c r="H153" s="40">
        <v>2.0411000000000001</v>
      </c>
      <c r="I153" s="31">
        <v>45465</v>
      </c>
      <c r="J153" s="38">
        <v>0.4700347222222222</v>
      </c>
      <c r="K153" s="41">
        <v>0</v>
      </c>
      <c r="L153" s="41">
        <v>0</v>
      </c>
      <c r="M153" s="41">
        <v>0</v>
      </c>
      <c r="N153" s="41">
        <v>0</v>
      </c>
      <c r="O153" s="41">
        <v>0</v>
      </c>
      <c r="P153" s="41">
        <v>0</v>
      </c>
      <c r="Q153" s="41">
        <v>0</v>
      </c>
      <c r="R153" s="41">
        <v>0</v>
      </c>
      <c r="S153" s="41">
        <v>0</v>
      </c>
      <c r="T153" s="41">
        <v>0</v>
      </c>
      <c r="U153" s="41">
        <v>0</v>
      </c>
      <c r="V153" s="41">
        <v>0</v>
      </c>
      <c r="W153" s="82"/>
      <c r="Y153">
        <v>4</v>
      </c>
      <c r="Z153" t="s">
        <v>8</v>
      </c>
      <c r="AA153">
        <v>20480</v>
      </c>
      <c r="AB153">
        <v>160</v>
      </c>
      <c r="AC153">
        <v>2</v>
      </c>
      <c r="AD153">
        <v>4</v>
      </c>
      <c r="AE153">
        <v>2574.7199999999998</v>
      </c>
      <c r="AF153" s="58">
        <v>2.2244000000000002</v>
      </c>
      <c r="AG153" s="31">
        <v>45473</v>
      </c>
      <c r="AH153" s="30">
        <v>0.66549768518518515</v>
      </c>
      <c r="AI153">
        <v>0</v>
      </c>
      <c r="AJ153">
        <v>0</v>
      </c>
      <c r="AK153">
        <v>0</v>
      </c>
      <c r="AL153">
        <v>0</v>
      </c>
      <c r="AM153" s="41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s="83"/>
    </row>
    <row r="154" spans="1:47" x14ac:dyDescent="0.25">
      <c r="A154">
        <v>0</v>
      </c>
      <c r="B154" t="s">
        <v>8</v>
      </c>
      <c r="C154">
        <v>18240</v>
      </c>
      <c r="D154">
        <v>192</v>
      </c>
      <c r="E154">
        <v>1</v>
      </c>
      <c r="F154">
        <v>8</v>
      </c>
      <c r="G154" s="2">
        <v>1902.53</v>
      </c>
      <c r="H154" s="40">
        <v>2.1267</v>
      </c>
      <c r="I154" s="31">
        <v>45459</v>
      </c>
      <c r="J154" s="38">
        <v>8.5671296296296301E-2</v>
      </c>
      <c r="K154" s="41">
        <v>0</v>
      </c>
      <c r="L154" s="41">
        <v>0</v>
      </c>
      <c r="M154" s="41">
        <v>0</v>
      </c>
      <c r="N154" s="41">
        <v>0</v>
      </c>
      <c r="O154" s="41">
        <v>0</v>
      </c>
      <c r="P154" s="41">
        <v>0</v>
      </c>
      <c r="Q154" s="41">
        <v>0</v>
      </c>
      <c r="R154" s="41">
        <v>0</v>
      </c>
      <c r="S154" s="41">
        <v>0</v>
      </c>
      <c r="T154" s="41">
        <v>0</v>
      </c>
      <c r="U154" s="41">
        <v>0</v>
      </c>
      <c r="V154" s="41">
        <v>0</v>
      </c>
      <c r="W154" s="82">
        <f t="shared" ref="W154" si="58">AVERAGE(H154:H158)</f>
        <v>2.0467000000000004</v>
      </c>
      <c r="Y154">
        <v>0</v>
      </c>
      <c r="Z154" t="s">
        <v>8</v>
      </c>
      <c r="AA154">
        <v>18240</v>
      </c>
      <c r="AB154">
        <v>192</v>
      </c>
      <c r="AC154">
        <v>1</v>
      </c>
      <c r="AD154">
        <v>8</v>
      </c>
      <c r="AE154">
        <v>1805.16</v>
      </c>
      <c r="AF154" s="58">
        <v>2.2414000000000001</v>
      </c>
      <c r="AG154" s="57">
        <v>45466</v>
      </c>
      <c r="AH154" s="30">
        <v>0.11480324074074075</v>
      </c>
      <c r="AI154">
        <v>0</v>
      </c>
      <c r="AJ154">
        <v>0</v>
      </c>
      <c r="AK154">
        <v>0</v>
      </c>
      <c r="AL154">
        <v>0</v>
      </c>
      <c r="AM154" s="41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s="83">
        <f t="shared" ref="AU154" si="59">AVERAGE(AF154:AF158)</f>
        <v>2.2977799999999999</v>
      </c>
    </row>
    <row r="155" spans="1:47" x14ac:dyDescent="0.25">
      <c r="A155">
        <v>1</v>
      </c>
      <c r="B155" t="s">
        <v>8</v>
      </c>
      <c r="C155">
        <v>18240</v>
      </c>
      <c r="D155">
        <v>192</v>
      </c>
      <c r="E155">
        <v>1</v>
      </c>
      <c r="F155">
        <v>8</v>
      </c>
      <c r="G155" s="2">
        <v>2029.01</v>
      </c>
      <c r="H155" s="40">
        <v>1.9941</v>
      </c>
      <c r="I155" s="31">
        <v>45460</v>
      </c>
      <c r="J155" s="38">
        <v>0.38462962962962965</v>
      </c>
      <c r="K155" s="41">
        <v>0</v>
      </c>
      <c r="L155" s="41">
        <v>0</v>
      </c>
      <c r="M155" s="41">
        <v>0</v>
      </c>
      <c r="N155" s="41">
        <v>0</v>
      </c>
      <c r="O155" s="41">
        <v>0</v>
      </c>
      <c r="P155" s="41">
        <v>0</v>
      </c>
      <c r="Q155" s="41">
        <v>0</v>
      </c>
      <c r="R155" s="41">
        <v>0</v>
      </c>
      <c r="S155" s="41">
        <v>0</v>
      </c>
      <c r="T155" s="41">
        <v>0</v>
      </c>
      <c r="U155" s="41">
        <v>0</v>
      </c>
      <c r="V155" s="41">
        <v>0</v>
      </c>
      <c r="W155" s="82"/>
      <c r="Y155">
        <v>1</v>
      </c>
      <c r="Z155" t="s">
        <v>8</v>
      </c>
      <c r="AA155">
        <v>18240</v>
      </c>
      <c r="AB155">
        <v>192</v>
      </c>
      <c r="AC155">
        <v>1</v>
      </c>
      <c r="AD155">
        <v>8</v>
      </c>
      <c r="AE155">
        <v>1718.86</v>
      </c>
      <c r="AF155" s="58">
        <v>2.3538999999999999</v>
      </c>
      <c r="AG155" s="57">
        <v>45468</v>
      </c>
      <c r="AH155" s="30">
        <v>0.96989583333333329</v>
      </c>
      <c r="AI155">
        <v>0</v>
      </c>
      <c r="AJ155">
        <v>0</v>
      </c>
      <c r="AK155">
        <v>0</v>
      </c>
      <c r="AL155">
        <v>0</v>
      </c>
      <c r="AM155" s="41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s="83"/>
    </row>
    <row r="156" spans="1:47" x14ac:dyDescent="0.25">
      <c r="A156">
        <v>2</v>
      </c>
      <c r="B156" t="s">
        <v>8</v>
      </c>
      <c r="C156">
        <v>18240</v>
      </c>
      <c r="D156">
        <v>192</v>
      </c>
      <c r="E156">
        <v>1</v>
      </c>
      <c r="F156">
        <v>8</v>
      </c>
      <c r="G156" s="2">
        <v>1976.26</v>
      </c>
      <c r="H156" s="40">
        <v>2.0474000000000001</v>
      </c>
      <c r="I156" s="31">
        <v>45461</v>
      </c>
      <c r="J156" s="38">
        <v>0.99136574074074069</v>
      </c>
      <c r="K156" s="41">
        <v>0</v>
      </c>
      <c r="L156" s="41">
        <v>0</v>
      </c>
      <c r="M156" s="41">
        <v>0</v>
      </c>
      <c r="N156" s="41">
        <v>0</v>
      </c>
      <c r="O156" s="41">
        <v>0</v>
      </c>
      <c r="P156" s="41">
        <v>0</v>
      </c>
      <c r="Q156" s="41">
        <v>0</v>
      </c>
      <c r="R156" s="41">
        <v>0</v>
      </c>
      <c r="S156" s="41">
        <v>0</v>
      </c>
      <c r="T156" s="41">
        <v>0</v>
      </c>
      <c r="U156" s="41">
        <v>0</v>
      </c>
      <c r="V156" s="41">
        <v>0</v>
      </c>
      <c r="W156" s="82"/>
      <c r="Y156">
        <v>2</v>
      </c>
      <c r="Z156" t="s">
        <v>8</v>
      </c>
      <c r="AA156">
        <v>18240</v>
      </c>
      <c r="AB156">
        <v>192</v>
      </c>
      <c r="AC156">
        <v>1</v>
      </c>
      <c r="AD156">
        <v>8</v>
      </c>
      <c r="AE156">
        <v>1762.42</v>
      </c>
      <c r="AF156" s="58">
        <v>2.2957999999999998</v>
      </c>
      <c r="AG156" s="57">
        <v>45470</v>
      </c>
      <c r="AH156" s="30">
        <v>0.23881944444444445</v>
      </c>
      <c r="AI156">
        <v>0</v>
      </c>
      <c r="AJ156">
        <v>0</v>
      </c>
      <c r="AK156">
        <v>0</v>
      </c>
      <c r="AL156">
        <v>0</v>
      </c>
      <c r="AM156" s="41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s="83"/>
    </row>
    <row r="157" spans="1:47" x14ac:dyDescent="0.25">
      <c r="A157">
        <v>3</v>
      </c>
      <c r="B157" t="s">
        <v>8</v>
      </c>
      <c r="C157">
        <v>18240</v>
      </c>
      <c r="D157">
        <v>192</v>
      </c>
      <c r="E157">
        <v>1</v>
      </c>
      <c r="F157">
        <v>8</v>
      </c>
      <c r="G157" s="2">
        <v>1956.87</v>
      </c>
      <c r="H157" s="40">
        <v>2.0676000000000001</v>
      </c>
      <c r="I157" s="31">
        <v>45463</v>
      </c>
      <c r="J157" s="38">
        <v>0.29020833333333335</v>
      </c>
      <c r="K157" s="41">
        <v>0</v>
      </c>
      <c r="L157" s="41">
        <v>0</v>
      </c>
      <c r="M157" s="41">
        <v>0</v>
      </c>
      <c r="N157" s="41">
        <v>0</v>
      </c>
      <c r="O157" s="41">
        <v>0</v>
      </c>
      <c r="P157" s="41">
        <v>0</v>
      </c>
      <c r="Q157" s="41">
        <v>0</v>
      </c>
      <c r="R157" s="41">
        <v>0</v>
      </c>
      <c r="S157" s="41">
        <v>0</v>
      </c>
      <c r="T157" s="41">
        <v>0</v>
      </c>
      <c r="U157" s="41">
        <v>0</v>
      </c>
      <c r="V157" s="41">
        <v>0</v>
      </c>
      <c r="W157" s="82"/>
      <c r="Y157">
        <v>3</v>
      </c>
      <c r="Z157" t="s">
        <v>8</v>
      </c>
      <c r="AA157">
        <v>18240</v>
      </c>
      <c r="AB157">
        <v>192</v>
      </c>
      <c r="AC157">
        <v>1</v>
      </c>
      <c r="AD157">
        <v>8</v>
      </c>
      <c r="AE157">
        <v>1726.88</v>
      </c>
      <c r="AF157" s="58">
        <v>2.343</v>
      </c>
      <c r="AG157" s="57">
        <v>45471</v>
      </c>
      <c r="AH157" s="30">
        <v>0.5057638888888889</v>
      </c>
      <c r="AI157">
        <v>0</v>
      </c>
      <c r="AJ157">
        <v>0</v>
      </c>
      <c r="AK157">
        <v>0</v>
      </c>
      <c r="AL157">
        <v>0</v>
      </c>
      <c r="AM157" s="41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s="83"/>
    </row>
    <row r="158" spans="1:47" x14ac:dyDescent="0.25">
      <c r="A158">
        <v>4</v>
      </c>
      <c r="B158" t="s">
        <v>8</v>
      </c>
      <c r="C158">
        <v>18240</v>
      </c>
      <c r="D158">
        <v>192</v>
      </c>
      <c r="E158">
        <v>1</v>
      </c>
      <c r="F158">
        <v>8</v>
      </c>
      <c r="G158" s="2">
        <v>2025.36</v>
      </c>
      <c r="H158" s="40">
        <v>1.9977</v>
      </c>
      <c r="I158" s="31">
        <v>45464</v>
      </c>
      <c r="J158" s="38">
        <v>0.56790509259259259</v>
      </c>
      <c r="K158" s="41">
        <v>0</v>
      </c>
      <c r="L158" s="41">
        <v>0</v>
      </c>
      <c r="M158" s="41">
        <v>0</v>
      </c>
      <c r="N158" s="41">
        <v>0</v>
      </c>
      <c r="O158" s="41">
        <v>0</v>
      </c>
      <c r="P158" s="41">
        <v>0</v>
      </c>
      <c r="Q158" s="41">
        <v>0</v>
      </c>
      <c r="R158" s="41">
        <v>0</v>
      </c>
      <c r="S158" s="41">
        <v>0</v>
      </c>
      <c r="T158" s="41">
        <v>0</v>
      </c>
      <c r="U158" s="41">
        <v>0</v>
      </c>
      <c r="V158" s="41">
        <v>0</v>
      </c>
      <c r="W158" s="82"/>
      <c r="Y158">
        <v>4</v>
      </c>
      <c r="Z158" t="s">
        <v>8</v>
      </c>
      <c r="AA158">
        <v>18240</v>
      </c>
      <c r="AB158">
        <v>192</v>
      </c>
      <c r="AC158">
        <v>1</v>
      </c>
      <c r="AD158">
        <v>8</v>
      </c>
      <c r="AE158">
        <v>1794.44</v>
      </c>
      <c r="AF158" s="58">
        <v>2.2547999999999999</v>
      </c>
      <c r="AG158" s="31">
        <v>45472</v>
      </c>
      <c r="AH158" s="30">
        <v>0.76893518518518522</v>
      </c>
      <c r="AI158">
        <v>0</v>
      </c>
      <c r="AJ158">
        <v>0</v>
      </c>
      <c r="AK158">
        <v>0</v>
      </c>
      <c r="AL158">
        <v>0</v>
      </c>
      <c r="AM158" s="41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s="83"/>
    </row>
    <row r="159" spans="1:47" x14ac:dyDescent="0.25">
      <c r="A159">
        <v>0</v>
      </c>
      <c r="B159" t="s">
        <v>8</v>
      </c>
      <c r="C159">
        <v>19392</v>
      </c>
      <c r="D159">
        <v>192</v>
      </c>
      <c r="E159">
        <v>1</v>
      </c>
      <c r="F159">
        <v>8</v>
      </c>
      <c r="G159" s="2">
        <v>2364.08</v>
      </c>
      <c r="H159" s="40">
        <v>2.0567000000000002</v>
      </c>
      <c r="I159" s="31">
        <v>45459</v>
      </c>
      <c r="J159" s="38">
        <v>0.52481481481481485</v>
      </c>
      <c r="K159" s="41">
        <v>0</v>
      </c>
      <c r="L159" s="41">
        <v>0</v>
      </c>
      <c r="M159" s="41">
        <v>0</v>
      </c>
      <c r="N159" s="41">
        <v>0</v>
      </c>
      <c r="O159" s="41">
        <v>0</v>
      </c>
      <c r="P159" s="41">
        <v>0</v>
      </c>
      <c r="Q159" s="41">
        <v>0</v>
      </c>
      <c r="R159" s="41">
        <v>0</v>
      </c>
      <c r="S159" s="41">
        <v>0</v>
      </c>
      <c r="T159" s="41">
        <v>0</v>
      </c>
      <c r="U159" s="41">
        <v>0</v>
      </c>
      <c r="V159" s="41">
        <v>0</v>
      </c>
      <c r="W159" s="82">
        <f t="shared" ref="W159" si="60">AVERAGE(H159:H163)</f>
        <v>2.0668599999999997</v>
      </c>
      <c r="Y159">
        <v>0</v>
      </c>
      <c r="Z159" t="s">
        <v>8</v>
      </c>
      <c r="AA159">
        <v>19392</v>
      </c>
      <c r="AB159">
        <v>192</v>
      </c>
      <c r="AC159">
        <v>1</v>
      </c>
      <c r="AD159">
        <v>8</v>
      </c>
      <c r="AE159">
        <v>2134.27</v>
      </c>
      <c r="AF159" s="58">
        <v>2.2780999999999998</v>
      </c>
      <c r="AG159" s="57">
        <v>45466</v>
      </c>
      <c r="AH159" s="30">
        <v>0.53944444444444439</v>
      </c>
      <c r="AI159">
        <v>0</v>
      </c>
      <c r="AJ159">
        <v>0</v>
      </c>
      <c r="AK159">
        <v>0</v>
      </c>
      <c r="AL159">
        <v>0</v>
      </c>
      <c r="AM159" s="41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s="83">
        <f t="shared" ref="AU159" si="61">AVERAGE(AF159:AF163)</f>
        <v>2.3142400000000003</v>
      </c>
    </row>
    <row r="160" spans="1:47" x14ac:dyDescent="0.25">
      <c r="A160">
        <v>1</v>
      </c>
      <c r="B160" t="s">
        <v>8</v>
      </c>
      <c r="C160">
        <v>19392</v>
      </c>
      <c r="D160">
        <v>192</v>
      </c>
      <c r="E160">
        <v>1</v>
      </c>
      <c r="F160">
        <v>8</v>
      </c>
      <c r="G160" s="2">
        <v>2384.15</v>
      </c>
      <c r="H160" s="40">
        <v>2.0394000000000001</v>
      </c>
      <c r="I160" s="31">
        <v>45460</v>
      </c>
      <c r="J160" s="38">
        <v>0.8244097222222222</v>
      </c>
      <c r="K160" s="41">
        <v>0</v>
      </c>
      <c r="L160" s="41">
        <v>0</v>
      </c>
      <c r="M160" s="41">
        <v>0</v>
      </c>
      <c r="N160" s="41">
        <v>0</v>
      </c>
      <c r="O160" s="41">
        <v>0</v>
      </c>
      <c r="P160" s="41">
        <v>0</v>
      </c>
      <c r="Q160" s="41">
        <v>0</v>
      </c>
      <c r="R160" s="41">
        <v>0</v>
      </c>
      <c r="S160" s="41">
        <v>0</v>
      </c>
      <c r="T160" s="41">
        <v>0</v>
      </c>
      <c r="U160" s="41">
        <v>0</v>
      </c>
      <c r="V160" s="41">
        <v>0</v>
      </c>
      <c r="W160" s="82"/>
      <c r="Y160">
        <v>1</v>
      </c>
      <c r="Z160" t="s">
        <v>8</v>
      </c>
      <c r="AA160">
        <v>19392</v>
      </c>
      <c r="AB160">
        <v>192</v>
      </c>
      <c r="AC160">
        <v>1</v>
      </c>
      <c r="AD160">
        <v>8</v>
      </c>
      <c r="AE160">
        <v>2115.33</v>
      </c>
      <c r="AF160" s="58">
        <v>2.2985000000000002</v>
      </c>
      <c r="AG160" s="57">
        <v>45469</v>
      </c>
      <c r="AH160" s="30">
        <v>0.39635416666666667</v>
      </c>
      <c r="AI160">
        <v>0</v>
      </c>
      <c r="AJ160">
        <v>0</v>
      </c>
      <c r="AK160">
        <v>0</v>
      </c>
      <c r="AL160">
        <v>0</v>
      </c>
      <c r="AM160" s="41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s="83"/>
    </row>
    <row r="161" spans="1:47" x14ac:dyDescent="0.25">
      <c r="A161">
        <v>2</v>
      </c>
      <c r="B161" t="s">
        <v>8</v>
      </c>
      <c r="C161">
        <v>19392</v>
      </c>
      <c r="D161">
        <v>192</v>
      </c>
      <c r="E161">
        <v>1</v>
      </c>
      <c r="F161">
        <v>8</v>
      </c>
      <c r="G161" s="2">
        <v>2344.46</v>
      </c>
      <c r="H161" s="40">
        <v>2.0739000000000001</v>
      </c>
      <c r="I161" s="31">
        <v>45462</v>
      </c>
      <c r="J161" s="38">
        <v>0.43167824074074074</v>
      </c>
      <c r="K161" s="41">
        <v>0</v>
      </c>
      <c r="L161" s="41">
        <v>0</v>
      </c>
      <c r="M161" s="41">
        <v>0</v>
      </c>
      <c r="N161" s="41">
        <v>0</v>
      </c>
      <c r="O161" s="41">
        <v>0</v>
      </c>
      <c r="P161" s="41">
        <v>0</v>
      </c>
      <c r="Q161" s="41">
        <v>0</v>
      </c>
      <c r="R161" s="41">
        <v>0</v>
      </c>
      <c r="S161" s="41">
        <v>0</v>
      </c>
      <c r="T161" s="41">
        <v>0</v>
      </c>
      <c r="U161" s="41">
        <v>0</v>
      </c>
      <c r="V161" s="41">
        <v>0</v>
      </c>
      <c r="W161" s="82"/>
      <c r="Y161">
        <v>2</v>
      </c>
      <c r="Z161" t="s">
        <v>8</v>
      </c>
      <c r="AA161">
        <v>19392</v>
      </c>
      <c r="AB161">
        <v>192</v>
      </c>
      <c r="AC161">
        <v>1</v>
      </c>
      <c r="AD161">
        <v>8</v>
      </c>
      <c r="AE161">
        <v>2082.04</v>
      </c>
      <c r="AF161" s="58">
        <v>2.3353000000000002</v>
      </c>
      <c r="AG161" s="57">
        <v>45470</v>
      </c>
      <c r="AH161" s="30">
        <v>0.66686342592592596</v>
      </c>
      <c r="AI161">
        <v>0</v>
      </c>
      <c r="AJ161">
        <v>0</v>
      </c>
      <c r="AK161">
        <v>0</v>
      </c>
      <c r="AL161">
        <v>0</v>
      </c>
      <c r="AM161" s="4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s="83"/>
    </row>
    <row r="162" spans="1:47" x14ac:dyDescent="0.25">
      <c r="A162">
        <v>3</v>
      </c>
      <c r="B162" t="s">
        <v>8</v>
      </c>
      <c r="C162">
        <v>19392</v>
      </c>
      <c r="D162">
        <v>192</v>
      </c>
      <c r="E162">
        <v>1</v>
      </c>
      <c r="F162">
        <v>8</v>
      </c>
      <c r="G162" s="2">
        <v>2352.14</v>
      </c>
      <c r="H162" s="40">
        <v>2.0670999999999999</v>
      </c>
      <c r="I162" s="31">
        <v>45463</v>
      </c>
      <c r="J162" s="38">
        <v>0.726099537037037</v>
      </c>
      <c r="K162" s="41">
        <v>0</v>
      </c>
      <c r="L162" s="41">
        <v>0</v>
      </c>
      <c r="M162" s="41">
        <v>0</v>
      </c>
      <c r="N162" s="41">
        <v>0</v>
      </c>
      <c r="O162" s="41">
        <v>0</v>
      </c>
      <c r="P162" s="41">
        <v>0</v>
      </c>
      <c r="Q162" s="41">
        <v>0</v>
      </c>
      <c r="R162" s="41">
        <v>0</v>
      </c>
      <c r="S162" s="41">
        <v>0</v>
      </c>
      <c r="T162" s="41">
        <v>0</v>
      </c>
      <c r="U162" s="41">
        <v>0</v>
      </c>
      <c r="V162" s="41">
        <v>0</v>
      </c>
      <c r="W162" s="82"/>
      <c r="Y162">
        <v>3</v>
      </c>
      <c r="Z162" t="s">
        <v>8</v>
      </c>
      <c r="AA162">
        <v>19392</v>
      </c>
      <c r="AB162">
        <v>192</v>
      </c>
      <c r="AC162">
        <v>1</v>
      </c>
      <c r="AD162">
        <v>8</v>
      </c>
      <c r="AE162">
        <v>2036.39</v>
      </c>
      <c r="AF162" s="58">
        <v>2.3875999999999999</v>
      </c>
      <c r="AG162" s="57">
        <v>45471</v>
      </c>
      <c r="AH162" s="30">
        <v>0.9314930555555555</v>
      </c>
      <c r="AI162">
        <v>0</v>
      </c>
      <c r="AJ162">
        <v>0</v>
      </c>
      <c r="AK162">
        <v>0</v>
      </c>
      <c r="AL162">
        <v>0</v>
      </c>
      <c r="AM162" s="41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s="83"/>
    </row>
    <row r="163" spans="1:47" x14ac:dyDescent="0.25">
      <c r="A163">
        <v>4</v>
      </c>
      <c r="B163" t="s">
        <v>8</v>
      </c>
      <c r="C163">
        <v>19392</v>
      </c>
      <c r="D163">
        <v>192</v>
      </c>
      <c r="E163">
        <v>1</v>
      </c>
      <c r="F163">
        <v>8</v>
      </c>
      <c r="G163" s="2">
        <v>2318.44</v>
      </c>
      <c r="H163" s="40">
        <v>2.0972</v>
      </c>
      <c r="I163" s="31">
        <v>45465</v>
      </c>
      <c r="J163" s="38">
        <v>4.9768518518518521E-3</v>
      </c>
      <c r="K163" s="41">
        <v>0</v>
      </c>
      <c r="L163" s="41">
        <v>0</v>
      </c>
      <c r="M163" s="41">
        <v>0</v>
      </c>
      <c r="N163" s="41">
        <v>0</v>
      </c>
      <c r="O163" s="41">
        <v>0</v>
      </c>
      <c r="P163" s="41">
        <v>0</v>
      </c>
      <c r="Q163" s="41">
        <v>0</v>
      </c>
      <c r="R163" s="41">
        <v>0</v>
      </c>
      <c r="S163" s="41">
        <v>0</v>
      </c>
      <c r="T163" s="41">
        <v>0</v>
      </c>
      <c r="U163" s="41">
        <v>0</v>
      </c>
      <c r="V163" s="41">
        <v>0</v>
      </c>
      <c r="W163" s="82"/>
      <c r="Y163">
        <v>4</v>
      </c>
      <c r="Z163" t="s">
        <v>8</v>
      </c>
      <c r="AA163">
        <v>19392</v>
      </c>
      <c r="AB163">
        <v>192</v>
      </c>
      <c r="AC163">
        <v>1</v>
      </c>
      <c r="AD163">
        <v>8</v>
      </c>
      <c r="AE163">
        <v>2140.31</v>
      </c>
      <c r="AF163" s="58">
        <v>2.2717000000000001</v>
      </c>
      <c r="AG163" s="31">
        <v>45473</v>
      </c>
      <c r="AH163" s="30">
        <v>0.1988425925925926</v>
      </c>
      <c r="AI163">
        <v>0</v>
      </c>
      <c r="AJ163">
        <v>0</v>
      </c>
      <c r="AK163">
        <v>0</v>
      </c>
      <c r="AL163">
        <v>0</v>
      </c>
      <c r="AM163" s="41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s="83"/>
    </row>
    <row r="164" spans="1:47" x14ac:dyDescent="0.25">
      <c r="A164">
        <v>0</v>
      </c>
      <c r="B164" s="31" t="s">
        <v>8</v>
      </c>
      <c r="C164" s="30">
        <v>20544</v>
      </c>
      <c r="D164">
        <v>192</v>
      </c>
      <c r="E164">
        <v>1</v>
      </c>
      <c r="F164">
        <v>8</v>
      </c>
      <c r="G164" s="2">
        <v>0</v>
      </c>
      <c r="H164" s="40">
        <v>0</v>
      </c>
      <c r="I164" s="31">
        <v>45461</v>
      </c>
      <c r="J164" s="38">
        <v>0.61266203703703703</v>
      </c>
      <c r="K164">
        <v>0</v>
      </c>
      <c r="L164" s="41">
        <v>0</v>
      </c>
      <c r="M164" s="41">
        <v>0</v>
      </c>
      <c r="N164" s="41">
        <v>0</v>
      </c>
      <c r="O164" s="41">
        <v>0</v>
      </c>
      <c r="P164" s="41">
        <v>0</v>
      </c>
      <c r="Q164" s="41">
        <v>0</v>
      </c>
      <c r="R164" s="41">
        <v>0</v>
      </c>
      <c r="S164" s="41">
        <v>0</v>
      </c>
      <c r="T164" s="41">
        <v>0</v>
      </c>
      <c r="U164" s="41">
        <v>0</v>
      </c>
      <c r="V164" s="41">
        <v>0</v>
      </c>
      <c r="W164" s="82">
        <f t="shared" ref="W164" si="62">AVERAGE(H164:H168)</f>
        <v>0</v>
      </c>
      <c r="Y164">
        <v>0</v>
      </c>
      <c r="Z164" t="s">
        <v>8</v>
      </c>
      <c r="AA164">
        <v>20544</v>
      </c>
      <c r="AB164">
        <v>192</v>
      </c>
      <c r="AC164">
        <v>1</v>
      </c>
      <c r="AD164">
        <v>8</v>
      </c>
      <c r="AF164" s="40">
        <v>0</v>
      </c>
      <c r="AG164" s="31">
        <v>45468</v>
      </c>
      <c r="AH164" s="30">
        <v>0.60217592592592595</v>
      </c>
      <c r="AI164">
        <v>0</v>
      </c>
      <c r="AJ164">
        <v>0</v>
      </c>
      <c r="AK164">
        <v>0</v>
      </c>
      <c r="AL164">
        <v>0</v>
      </c>
      <c r="AM164" s="59">
        <v>0</v>
      </c>
      <c r="AN164" s="9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s="83">
        <f t="shared" ref="AU164" si="63">AVERAGE(AF164:AF168)</f>
        <v>0</v>
      </c>
    </row>
    <row r="165" spans="1:47" x14ac:dyDescent="0.25">
      <c r="A165">
        <v>1</v>
      </c>
      <c r="B165" s="31" t="s">
        <v>8</v>
      </c>
      <c r="C165" s="30">
        <v>20544</v>
      </c>
      <c r="D165">
        <v>192</v>
      </c>
      <c r="E165">
        <v>1</v>
      </c>
      <c r="F165">
        <v>8</v>
      </c>
      <c r="G165" s="2">
        <v>0</v>
      </c>
      <c r="H165" s="40">
        <v>0</v>
      </c>
      <c r="I165" s="31">
        <v>45461</v>
      </c>
      <c r="J165" s="38">
        <v>0.61804398148148143</v>
      </c>
      <c r="K165">
        <v>0</v>
      </c>
      <c r="L165" s="41">
        <v>0</v>
      </c>
      <c r="M165" s="41">
        <v>0</v>
      </c>
      <c r="N165" s="41">
        <v>0</v>
      </c>
      <c r="O165" s="41">
        <v>0</v>
      </c>
      <c r="P165" s="41">
        <v>0</v>
      </c>
      <c r="Q165" s="41">
        <v>0</v>
      </c>
      <c r="R165" s="41">
        <v>0</v>
      </c>
      <c r="S165" s="41">
        <v>0</v>
      </c>
      <c r="T165" s="41">
        <v>0</v>
      </c>
      <c r="U165" s="41">
        <v>0</v>
      </c>
      <c r="V165" s="41">
        <v>0</v>
      </c>
      <c r="W165" s="82"/>
      <c r="Y165">
        <v>1</v>
      </c>
      <c r="Z165" t="s">
        <v>8</v>
      </c>
      <c r="AA165">
        <v>20544</v>
      </c>
      <c r="AB165">
        <v>192</v>
      </c>
      <c r="AC165">
        <v>1</v>
      </c>
      <c r="AD165">
        <v>8</v>
      </c>
      <c r="AF165" s="40">
        <v>0</v>
      </c>
      <c r="AG165" s="31">
        <v>45469</v>
      </c>
      <c r="AH165" s="30">
        <v>0.86365740740740737</v>
      </c>
      <c r="AI165">
        <v>0</v>
      </c>
      <c r="AJ165">
        <v>0</v>
      </c>
      <c r="AK165">
        <v>0</v>
      </c>
      <c r="AL165">
        <v>0</v>
      </c>
      <c r="AM165" s="59">
        <v>0</v>
      </c>
      <c r="AN165" s="9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s="83"/>
    </row>
    <row r="166" spans="1:47" x14ac:dyDescent="0.25">
      <c r="A166">
        <v>2</v>
      </c>
      <c r="B166" s="31" t="s">
        <v>8</v>
      </c>
      <c r="C166" s="30">
        <v>20544</v>
      </c>
      <c r="D166">
        <v>192</v>
      </c>
      <c r="E166">
        <v>1</v>
      </c>
      <c r="F166">
        <v>8</v>
      </c>
      <c r="G166" s="2">
        <v>0</v>
      </c>
      <c r="H166" s="40">
        <v>0</v>
      </c>
      <c r="I166" s="31">
        <v>45462</v>
      </c>
      <c r="J166" s="38">
        <v>0.91631944444444446</v>
      </c>
      <c r="K166" s="41">
        <v>0</v>
      </c>
      <c r="L166" s="41">
        <v>0</v>
      </c>
      <c r="M166" s="41">
        <v>0</v>
      </c>
      <c r="N166" s="41">
        <v>0</v>
      </c>
      <c r="O166" s="41">
        <v>0</v>
      </c>
      <c r="P166" s="41">
        <v>0</v>
      </c>
      <c r="Q166" s="41">
        <v>0</v>
      </c>
      <c r="R166" s="41">
        <v>0</v>
      </c>
      <c r="S166" s="41">
        <v>0</v>
      </c>
      <c r="T166" s="41">
        <v>0</v>
      </c>
      <c r="U166" s="41">
        <v>0</v>
      </c>
      <c r="V166" s="41">
        <v>0</v>
      </c>
      <c r="W166" s="82"/>
      <c r="Y166">
        <v>2</v>
      </c>
      <c r="Z166" t="s">
        <v>8</v>
      </c>
      <c r="AA166">
        <v>20544</v>
      </c>
      <c r="AB166">
        <v>192</v>
      </c>
      <c r="AC166">
        <v>1</v>
      </c>
      <c r="AD166">
        <v>8</v>
      </c>
      <c r="AF166" s="40">
        <v>0</v>
      </c>
      <c r="AG166" s="31">
        <v>45471</v>
      </c>
      <c r="AH166" s="30">
        <v>0.13483796296296297</v>
      </c>
      <c r="AI166">
        <v>0</v>
      </c>
      <c r="AJ166">
        <v>0</v>
      </c>
      <c r="AK166">
        <v>0</v>
      </c>
      <c r="AL166">
        <v>0</v>
      </c>
      <c r="AM166" s="59">
        <v>0</v>
      </c>
      <c r="AN166" s="9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s="83"/>
    </row>
    <row r="167" spans="1:47" x14ac:dyDescent="0.25">
      <c r="A167">
        <v>3</v>
      </c>
      <c r="B167" s="31" t="s">
        <v>8</v>
      </c>
      <c r="C167" s="30">
        <v>20544</v>
      </c>
      <c r="D167">
        <v>192</v>
      </c>
      <c r="E167">
        <v>1</v>
      </c>
      <c r="F167">
        <v>8</v>
      </c>
      <c r="G167" s="2">
        <v>0</v>
      </c>
      <c r="H167" s="40">
        <v>0</v>
      </c>
      <c r="I167" s="31">
        <v>45464</v>
      </c>
      <c r="J167" s="38">
        <v>0.20734953703703704</v>
      </c>
      <c r="K167" s="41">
        <v>0</v>
      </c>
      <c r="L167" s="41">
        <v>0</v>
      </c>
      <c r="M167" s="41">
        <v>0</v>
      </c>
      <c r="N167" s="41">
        <v>0</v>
      </c>
      <c r="O167" s="41">
        <v>0</v>
      </c>
      <c r="P167" s="41">
        <v>0</v>
      </c>
      <c r="Q167" s="41">
        <v>0</v>
      </c>
      <c r="R167" s="41">
        <v>0</v>
      </c>
      <c r="S167" s="41">
        <v>0</v>
      </c>
      <c r="T167" s="41">
        <v>0</v>
      </c>
      <c r="U167" s="41">
        <v>0</v>
      </c>
      <c r="V167" s="41">
        <v>0</v>
      </c>
      <c r="W167" s="82"/>
      <c r="Y167">
        <v>3</v>
      </c>
      <c r="Z167" t="s">
        <v>8</v>
      </c>
      <c r="AA167">
        <v>20544</v>
      </c>
      <c r="AB167">
        <v>192</v>
      </c>
      <c r="AC167">
        <v>1</v>
      </c>
      <c r="AD167">
        <v>8</v>
      </c>
      <c r="AF167" s="40">
        <v>0</v>
      </c>
      <c r="AG167" s="31">
        <v>45472</v>
      </c>
      <c r="AH167" s="30">
        <v>0.3988888888888889</v>
      </c>
      <c r="AI167">
        <v>0</v>
      </c>
      <c r="AJ167">
        <v>0</v>
      </c>
      <c r="AK167">
        <v>0</v>
      </c>
      <c r="AL167">
        <v>0</v>
      </c>
      <c r="AM167" s="41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s="83"/>
    </row>
    <row r="168" spans="1:47" x14ac:dyDescent="0.25">
      <c r="A168">
        <v>4</v>
      </c>
      <c r="B168" s="31" t="s">
        <v>8</v>
      </c>
      <c r="C168" s="30">
        <v>20544</v>
      </c>
      <c r="D168">
        <v>192</v>
      </c>
      <c r="E168">
        <v>1</v>
      </c>
      <c r="F168">
        <v>8</v>
      </c>
      <c r="G168" s="2">
        <v>0</v>
      </c>
      <c r="H168" s="40">
        <v>0</v>
      </c>
      <c r="I168" s="31">
        <v>45465</v>
      </c>
      <c r="J168" s="38">
        <v>0.47216435185185185</v>
      </c>
      <c r="K168" s="41">
        <v>0</v>
      </c>
      <c r="L168" s="41">
        <v>0</v>
      </c>
      <c r="M168" s="41">
        <v>0</v>
      </c>
      <c r="N168" s="41">
        <v>0</v>
      </c>
      <c r="O168" s="41">
        <v>0</v>
      </c>
      <c r="P168" s="41">
        <v>0</v>
      </c>
      <c r="Q168" s="41">
        <v>0</v>
      </c>
      <c r="R168" s="41">
        <v>0</v>
      </c>
      <c r="S168" s="41">
        <v>0</v>
      </c>
      <c r="T168" s="41">
        <v>0</v>
      </c>
      <c r="U168" s="41">
        <v>0</v>
      </c>
      <c r="V168" s="41">
        <v>0</v>
      </c>
      <c r="W168" s="82"/>
      <c r="Y168">
        <v>4</v>
      </c>
      <c r="Z168" t="s">
        <v>8</v>
      </c>
      <c r="AA168">
        <v>20544</v>
      </c>
      <c r="AB168">
        <v>192</v>
      </c>
      <c r="AC168">
        <v>1</v>
      </c>
      <c r="AD168">
        <v>8</v>
      </c>
      <c r="AF168" s="40">
        <v>0</v>
      </c>
      <c r="AG168" s="31">
        <v>45473</v>
      </c>
      <c r="AH168" s="30">
        <v>0.6705092592592593</v>
      </c>
      <c r="AI168">
        <v>0</v>
      </c>
      <c r="AJ168">
        <v>0</v>
      </c>
      <c r="AK168">
        <v>0</v>
      </c>
      <c r="AL168">
        <v>0</v>
      </c>
      <c r="AM168" s="41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s="83"/>
    </row>
    <row r="169" spans="1:47" x14ac:dyDescent="0.25">
      <c r="A169">
        <v>0</v>
      </c>
      <c r="B169" t="s">
        <v>8</v>
      </c>
      <c r="C169">
        <v>18240</v>
      </c>
      <c r="D169">
        <v>192</v>
      </c>
      <c r="E169">
        <v>2</v>
      </c>
      <c r="F169">
        <v>4</v>
      </c>
      <c r="G169" s="2">
        <v>1985.58</v>
      </c>
      <c r="H169" s="40">
        <v>2.0377000000000001</v>
      </c>
      <c r="I169" s="31">
        <v>45459</v>
      </c>
      <c r="J169" s="38">
        <v>0.10935185185185185</v>
      </c>
      <c r="K169" s="41">
        <v>0</v>
      </c>
      <c r="L169" s="41">
        <v>0</v>
      </c>
      <c r="M169" s="41">
        <v>0</v>
      </c>
      <c r="N169" s="41">
        <v>0</v>
      </c>
      <c r="O169" s="41">
        <v>0</v>
      </c>
      <c r="P169" s="41">
        <v>0</v>
      </c>
      <c r="Q169" s="41">
        <v>0</v>
      </c>
      <c r="R169" s="41">
        <v>0</v>
      </c>
      <c r="S169" s="41">
        <v>0</v>
      </c>
      <c r="T169" s="41">
        <v>0</v>
      </c>
      <c r="U169" s="41">
        <v>0</v>
      </c>
      <c r="V169" s="41">
        <v>0</v>
      </c>
      <c r="W169" s="82">
        <f t="shared" ref="W169" si="64">AVERAGE(H169:H173)</f>
        <v>2.0130600000000003</v>
      </c>
      <c r="Y169">
        <v>0</v>
      </c>
      <c r="Z169" t="s">
        <v>8</v>
      </c>
      <c r="AA169">
        <v>18240</v>
      </c>
      <c r="AB169">
        <v>192</v>
      </c>
      <c r="AC169">
        <v>2</v>
      </c>
      <c r="AD169">
        <v>4</v>
      </c>
      <c r="AE169">
        <v>1841.02</v>
      </c>
      <c r="AF169" s="58">
        <v>2.1978</v>
      </c>
      <c r="AG169" s="57">
        <v>45466</v>
      </c>
      <c r="AH169" s="30">
        <v>0.13872685185185185</v>
      </c>
      <c r="AI169">
        <v>0</v>
      </c>
      <c r="AJ169">
        <v>0</v>
      </c>
      <c r="AK169">
        <v>0</v>
      </c>
      <c r="AL169">
        <v>0</v>
      </c>
      <c r="AM169" s="41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s="83">
        <f t="shared" ref="AU169" si="65">AVERAGE(AF169:AF173)</f>
        <v>2.2356199999999999</v>
      </c>
    </row>
    <row r="170" spans="1:47" x14ac:dyDescent="0.25">
      <c r="A170">
        <v>1</v>
      </c>
      <c r="B170" t="s">
        <v>8</v>
      </c>
      <c r="C170">
        <v>18240</v>
      </c>
      <c r="D170">
        <v>192</v>
      </c>
      <c r="E170">
        <v>2</v>
      </c>
      <c r="F170">
        <v>4</v>
      </c>
      <c r="G170" s="2">
        <v>2052.88</v>
      </c>
      <c r="H170" s="40">
        <v>1.9709000000000001</v>
      </c>
      <c r="I170" s="31">
        <v>45460</v>
      </c>
      <c r="J170" s="38">
        <v>0.40912037037037036</v>
      </c>
      <c r="K170" s="41">
        <v>0</v>
      </c>
      <c r="L170" s="41">
        <v>0</v>
      </c>
      <c r="M170" s="41">
        <v>0</v>
      </c>
      <c r="N170" s="41">
        <v>0</v>
      </c>
      <c r="O170" s="41">
        <v>0</v>
      </c>
      <c r="P170" s="41">
        <v>0</v>
      </c>
      <c r="Q170" s="41">
        <v>0</v>
      </c>
      <c r="R170" s="41">
        <v>0</v>
      </c>
      <c r="S170" s="41">
        <v>0</v>
      </c>
      <c r="T170" s="41">
        <v>0</v>
      </c>
      <c r="U170" s="41">
        <v>0</v>
      </c>
      <c r="V170" s="41">
        <v>0</v>
      </c>
      <c r="W170" s="82"/>
      <c r="Y170">
        <v>1</v>
      </c>
      <c r="Z170" t="s">
        <v>8</v>
      </c>
      <c r="AA170">
        <v>18240</v>
      </c>
      <c r="AB170">
        <v>192</v>
      </c>
      <c r="AC170">
        <v>2</v>
      </c>
      <c r="AD170">
        <v>4</v>
      </c>
      <c r="AE170">
        <v>1761.14</v>
      </c>
      <c r="AF170" s="58">
        <v>2.2974000000000001</v>
      </c>
      <c r="AG170" s="57">
        <v>45468</v>
      </c>
      <c r="AH170" s="30">
        <v>0.9927083333333333</v>
      </c>
      <c r="AI170">
        <v>0</v>
      </c>
      <c r="AJ170">
        <v>0</v>
      </c>
      <c r="AK170">
        <v>0</v>
      </c>
      <c r="AL170">
        <v>0</v>
      </c>
      <c r="AM170" s="41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s="83"/>
    </row>
    <row r="171" spans="1:47" x14ac:dyDescent="0.25">
      <c r="A171">
        <v>2</v>
      </c>
      <c r="B171" t="s">
        <v>8</v>
      </c>
      <c r="C171">
        <v>18240</v>
      </c>
      <c r="D171">
        <v>192</v>
      </c>
      <c r="E171">
        <v>2</v>
      </c>
      <c r="F171">
        <v>4</v>
      </c>
      <c r="G171" s="2">
        <v>1987.16</v>
      </c>
      <c r="H171" s="40">
        <v>2.0360999999999998</v>
      </c>
      <c r="I171" s="31">
        <v>45462</v>
      </c>
      <c r="J171" s="38">
        <v>1.5104166666666667E-2</v>
      </c>
      <c r="K171" s="41">
        <v>0</v>
      </c>
      <c r="L171" s="41">
        <v>0</v>
      </c>
      <c r="M171" s="41">
        <v>0</v>
      </c>
      <c r="N171" s="41">
        <v>0</v>
      </c>
      <c r="O171" s="41">
        <v>0</v>
      </c>
      <c r="P171" s="41">
        <v>0</v>
      </c>
      <c r="Q171" s="41">
        <v>0</v>
      </c>
      <c r="R171" s="41">
        <v>0</v>
      </c>
      <c r="S171" s="41">
        <v>0</v>
      </c>
      <c r="T171" s="41">
        <v>0</v>
      </c>
      <c r="U171" s="41">
        <v>0</v>
      </c>
      <c r="V171" s="41">
        <v>0</v>
      </c>
      <c r="W171" s="82"/>
      <c r="Y171">
        <v>2</v>
      </c>
      <c r="Z171" t="s">
        <v>8</v>
      </c>
      <c r="AA171">
        <v>18240</v>
      </c>
      <c r="AB171">
        <v>192</v>
      </c>
      <c r="AC171">
        <v>2</v>
      </c>
      <c r="AD171">
        <v>4</v>
      </c>
      <c r="AE171">
        <v>1871.46</v>
      </c>
      <c r="AF171" s="58">
        <v>2.1619999999999999</v>
      </c>
      <c r="AG171" s="57">
        <v>45470</v>
      </c>
      <c r="AH171" s="30">
        <v>0.26291666666666669</v>
      </c>
      <c r="AI171">
        <v>0</v>
      </c>
      <c r="AJ171">
        <v>0</v>
      </c>
      <c r="AK171">
        <v>0</v>
      </c>
      <c r="AL171">
        <v>0</v>
      </c>
      <c r="AM171" s="4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s="83"/>
    </row>
    <row r="172" spans="1:47" x14ac:dyDescent="0.25">
      <c r="A172">
        <v>3</v>
      </c>
      <c r="B172" t="s">
        <v>8</v>
      </c>
      <c r="C172">
        <v>18240</v>
      </c>
      <c r="D172">
        <v>192</v>
      </c>
      <c r="E172">
        <v>2</v>
      </c>
      <c r="F172">
        <v>4</v>
      </c>
      <c r="G172" s="2">
        <v>2017.19</v>
      </c>
      <c r="H172" s="40">
        <v>2.0057999999999998</v>
      </c>
      <c r="I172" s="31">
        <v>45463</v>
      </c>
      <c r="J172" s="38">
        <v>0.31429398148148147</v>
      </c>
      <c r="K172" s="41">
        <v>0</v>
      </c>
      <c r="L172" s="41">
        <v>0</v>
      </c>
      <c r="M172" s="41">
        <v>0</v>
      </c>
      <c r="N172" s="41">
        <v>0</v>
      </c>
      <c r="O172" s="41">
        <v>0</v>
      </c>
      <c r="P172" s="41">
        <v>0</v>
      </c>
      <c r="Q172" s="41">
        <v>0</v>
      </c>
      <c r="R172" s="41">
        <v>0</v>
      </c>
      <c r="S172" s="41">
        <v>0</v>
      </c>
      <c r="T172" s="41">
        <v>0</v>
      </c>
      <c r="U172" s="41">
        <v>0</v>
      </c>
      <c r="V172" s="41">
        <v>0</v>
      </c>
      <c r="W172" s="82"/>
      <c r="Y172">
        <v>3</v>
      </c>
      <c r="Z172" t="s">
        <v>8</v>
      </c>
      <c r="AA172">
        <v>18240</v>
      </c>
      <c r="AB172">
        <v>192</v>
      </c>
      <c r="AC172">
        <v>2</v>
      </c>
      <c r="AD172">
        <v>4</v>
      </c>
      <c r="AE172">
        <v>1797.43</v>
      </c>
      <c r="AF172" s="58">
        <v>2.2509999999999999</v>
      </c>
      <c r="AG172" s="57">
        <v>45471</v>
      </c>
      <c r="AH172" s="30">
        <v>0.52925925925925921</v>
      </c>
      <c r="AI172">
        <v>0</v>
      </c>
      <c r="AJ172">
        <v>0</v>
      </c>
      <c r="AK172">
        <v>0</v>
      </c>
      <c r="AL172">
        <v>0</v>
      </c>
      <c r="AM172" s="41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s="83"/>
    </row>
    <row r="173" spans="1:47" x14ac:dyDescent="0.25">
      <c r="A173">
        <v>4</v>
      </c>
      <c r="B173" t="s">
        <v>8</v>
      </c>
      <c r="C173">
        <v>18240</v>
      </c>
      <c r="D173">
        <v>192</v>
      </c>
      <c r="E173">
        <v>2</v>
      </c>
      <c r="F173">
        <v>4</v>
      </c>
      <c r="G173" s="2">
        <v>2008.15</v>
      </c>
      <c r="H173" s="40">
        <v>2.0148000000000001</v>
      </c>
      <c r="I173" s="31">
        <v>45464</v>
      </c>
      <c r="J173" s="38">
        <v>0.59187500000000004</v>
      </c>
      <c r="K173" s="41">
        <v>0</v>
      </c>
      <c r="L173" s="41">
        <v>0</v>
      </c>
      <c r="M173" s="41">
        <v>0</v>
      </c>
      <c r="N173" s="41">
        <v>0</v>
      </c>
      <c r="O173" s="41">
        <v>0</v>
      </c>
      <c r="P173" s="41">
        <v>0</v>
      </c>
      <c r="Q173" s="41">
        <v>0</v>
      </c>
      <c r="R173" s="41">
        <v>0</v>
      </c>
      <c r="S173" s="41">
        <v>0</v>
      </c>
      <c r="T173" s="41">
        <v>0</v>
      </c>
      <c r="U173" s="41">
        <v>0</v>
      </c>
      <c r="V173" s="41">
        <v>0</v>
      </c>
      <c r="W173" s="82"/>
      <c r="Y173">
        <v>4</v>
      </c>
      <c r="Z173" t="s">
        <v>8</v>
      </c>
      <c r="AA173">
        <v>18240</v>
      </c>
      <c r="AB173">
        <v>192</v>
      </c>
      <c r="AC173">
        <v>2</v>
      </c>
      <c r="AD173">
        <v>4</v>
      </c>
      <c r="AE173">
        <v>1782.54</v>
      </c>
      <c r="AF173" s="58">
        <v>2.2698999999999998</v>
      </c>
      <c r="AG173" s="31">
        <v>45472</v>
      </c>
      <c r="AH173" s="30">
        <v>0.79218750000000004</v>
      </c>
      <c r="AI173">
        <v>0</v>
      </c>
      <c r="AJ173">
        <v>0</v>
      </c>
      <c r="AK173">
        <v>0</v>
      </c>
      <c r="AL173">
        <v>0</v>
      </c>
      <c r="AM173" s="41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s="83"/>
    </row>
    <row r="174" spans="1:47" x14ac:dyDescent="0.25">
      <c r="A174">
        <v>0</v>
      </c>
      <c r="B174" t="s">
        <v>8</v>
      </c>
      <c r="C174">
        <v>19392</v>
      </c>
      <c r="D174">
        <v>192</v>
      </c>
      <c r="E174">
        <v>2</v>
      </c>
      <c r="F174">
        <v>4</v>
      </c>
      <c r="G174" s="2">
        <v>2351.46</v>
      </c>
      <c r="H174" s="40">
        <v>2.0676999999999999</v>
      </c>
      <c r="I174" s="31">
        <v>45459</v>
      </c>
      <c r="J174" s="38">
        <v>0.55265046296296294</v>
      </c>
      <c r="K174" s="41">
        <v>0</v>
      </c>
      <c r="L174" s="41">
        <v>0</v>
      </c>
      <c r="M174" s="41">
        <v>0</v>
      </c>
      <c r="N174" s="41">
        <v>0</v>
      </c>
      <c r="O174" s="41">
        <v>0</v>
      </c>
      <c r="P174" s="41">
        <v>0</v>
      </c>
      <c r="Q174" s="41">
        <v>0</v>
      </c>
      <c r="R174" s="41">
        <v>0</v>
      </c>
      <c r="S174" s="41">
        <v>0</v>
      </c>
      <c r="T174" s="41">
        <v>0</v>
      </c>
      <c r="U174" s="41">
        <v>0</v>
      </c>
      <c r="V174" s="41">
        <v>0</v>
      </c>
      <c r="W174" s="82">
        <f t="shared" ref="W174" si="66">AVERAGE(H174:H178)</f>
        <v>2.1006999999999998</v>
      </c>
      <c r="Y174">
        <v>0</v>
      </c>
      <c r="Z174" t="s">
        <v>8</v>
      </c>
      <c r="AA174">
        <v>19392</v>
      </c>
      <c r="AB174">
        <v>192</v>
      </c>
      <c r="AC174">
        <v>2</v>
      </c>
      <c r="AD174">
        <v>4</v>
      </c>
      <c r="AE174">
        <v>2158.2600000000002</v>
      </c>
      <c r="AF174" s="58">
        <v>2.2528000000000001</v>
      </c>
      <c r="AG174" s="57">
        <v>45466</v>
      </c>
      <c r="AH174" s="30">
        <v>0.56716435185185188</v>
      </c>
      <c r="AI174">
        <v>0</v>
      </c>
      <c r="AJ174">
        <v>0</v>
      </c>
      <c r="AK174">
        <v>0</v>
      </c>
      <c r="AL174">
        <v>0</v>
      </c>
      <c r="AM174" s="41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s="83">
        <f t="shared" ref="AU174" si="67">AVERAGE(AF174:AF178)</f>
        <v>2.2215400000000001</v>
      </c>
    </row>
    <row r="175" spans="1:47" x14ac:dyDescent="0.25">
      <c r="A175">
        <v>1</v>
      </c>
      <c r="B175" t="s">
        <v>8</v>
      </c>
      <c r="C175">
        <v>19392</v>
      </c>
      <c r="D175">
        <v>192</v>
      </c>
      <c r="E175">
        <v>2</v>
      </c>
      <c r="F175">
        <v>4</v>
      </c>
      <c r="G175" s="2">
        <v>2247.4499999999998</v>
      </c>
      <c r="H175" s="40">
        <v>2.1634000000000002</v>
      </c>
      <c r="I175" s="31">
        <v>45460</v>
      </c>
      <c r="J175" s="38">
        <v>0.85116898148148146</v>
      </c>
      <c r="K175" s="41">
        <v>0</v>
      </c>
      <c r="L175" s="41">
        <v>0</v>
      </c>
      <c r="M175" s="41">
        <v>0</v>
      </c>
      <c r="N175" s="41">
        <v>0</v>
      </c>
      <c r="O175" s="41">
        <v>0</v>
      </c>
      <c r="P175" s="41">
        <v>0</v>
      </c>
      <c r="Q175" s="41">
        <v>0</v>
      </c>
      <c r="R175" s="41">
        <v>0</v>
      </c>
      <c r="S175" s="41">
        <v>0</v>
      </c>
      <c r="T175" s="41">
        <v>0</v>
      </c>
      <c r="U175" s="41">
        <v>0</v>
      </c>
      <c r="V175" s="41">
        <v>0</v>
      </c>
      <c r="W175" s="82"/>
      <c r="Y175">
        <v>1</v>
      </c>
      <c r="Z175" t="s">
        <v>8</v>
      </c>
      <c r="AA175">
        <v>19392</v>
      </c>
      <c r="AB175">
        <v>192</v>
      </c>
      <c r="AC175">
        <v>2</v>
      </c>
      <c r="AD175">
        <v>4</v>
      </c>
      <c r="AE175">
        <v>2254.69</v>
      </c>
      <c r="AF175" s="58">
        <v>2.1564999999999999</v>
      </c>
      <c r="AG175" s="57">
        <v>45469</v>
      </c>
      <c r="AH175" s="30">
        <v>0.42524305555555558</v>
      </c>
      <c r="AI175">
        <v>0</v>
      </c>
      <c r="AJ175">
        <v>0</v>
      </c>
      <c r="AK175">
        <v>0</v>
      </c>
      <c r="AL175">
        <v>0</v>
      </c>
      <c r="AM175" s="41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s="83"/>
    </row>
    <row r="176" spans="1:47" x14ac:dyDescent="0.25">
      <c r="A176">
        <v>2</v>
      </c>
      <c r="B176" t="s">
        <v>8</v>
      </c>
      <c r="C176">
        <v>19392</v>
      </c>
      <c r="D176">
        <v>192</v>
      </c>
      <c r="E176">
        <v>2</v>
      </c>
      <c r="F176">
        <v>4</v>
      </c>
      <c r="G176" s="2">
        <v>2356.62</v>
      </c>
      <c r="H176" s="40">
        <v>2.0632000000000001</v>
      </c>
      <c r="I176" s="31">
        <v>45462</v>
      </c>
      <c r="J176" s="38">
        <v>0.4597222222222222</v>
      </c>
      <c r="K176" s="41">
        <v>0</v>
      </c>
      <c r="L176" s="41">
        <v>0</v>
      </c>
      <c r="M176" s="41">
        <v>0</v>
      </c>
      <c r="N176" s="41">
        <v>0</v>
      </c>
      <c r="O176" s="41">
        <v>0</v>
      </c>
      <c r="P176" s="41">
        <v>0</v>
      </c>
      <c r="Q176" s="41">
        <v>0</v>
      </c>
      <c r="R176" s="41">
        <v>0</v>
      </c>
      <c r="S176" s="41">
        <v>0</v>
      </c>
      <c r="T176" s="41">
        <v>0</v>
      </c>
      <c r="U176" s="41">
        <v>0</v>
      </c>
      <c r="V176" s="41">
        <v>0</v>
      </c>
      <c r="W176" s="82"/>
      <c r="Y176">
        <v>2</v>
      </c>
      <c r="Z176" t="s">
        <v>8</v>
      </c>
      <c r="AA176">
        <v>19392</v>
      </c>
      <c r="AB176">
        <v>192</v>
      </c>
      <c r="AC176">
        <v>2</v>
      </c>
      <c r="AD176">
        <v>4</v>
      </c>
      <c r="AE176">
        <v>2192.33</v>
      </c>
      <c r="AF176" s="58">
        <v>2.2178</v>
      </c>
      <c r="AG176" s="57">
        <v>45470</v>
      </c>
      <c r="AH176" s="30">
        <v>0.69504629629629633</v>
      </c>
      <c r="AI176">
        <v>0</v>
      </c>
      <c r="AJ176">
        <v>0</v>
      </c>
      <c r="AK176">
        <v>0</v>
      </c>
      <c r="AL176">
        <v>0</v>
      </c>
      <c r="AM176" s="41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s="83"/>
    </row>
    <row r="177" spans="1:47" x14ac:dyDescent="0.25">
      <c r="A177">
        <v>3</v>
      </c>
      <c r="B177" t="s">
        <v>8</v>
      </c>
      <c r="C177">
        <v>19392</v>
      </c>
      <c r="D177">
        <v>192</v>
      </c>
      <c r="E177">
        <v>2</v>
      </c>
      <c r="F177">
        <v>4</v>
      </c>
      <c r="G177" s="2">
        <v>2323.1799999999998</v>
      </c>
      <c r="H177" s="40">
        <v>2.0929000000000002</v>
      </c>
      <c r="I177" s="31">
        <v>45463</v>
      </c>
      <c r="J177" s="38">
        <v>0.75361111111111112</v>
      </c>
      <c r="K177" s="41">
        <v>0</v>
      </c>
      <c r="L177" s="41">
        <v>0</v>
      </c>
      <c r="M177" s="41">
        <v>0</v>
      </c>
      <c r="N177" s="41">
        <v>0</v>
      </c>
      <c r="O177" s="41">
        <v>0</v>
      </c>
      <c r="P177" s="41">
        <v>0</v>
      </c>
      <c r="Q177" s="41">
        <v>0</v>
      </c>
      <c r="R177" s="41">
        <v>0</v>
      </c>
      <c r="S177" s="41">
        <v>0</v>
      </c>
      <c r="T177" s="41">
        <v>0</v>
      </c>
      <c r="U177" s="41">
        <v>0</v>
      </c>
      <c r="V177" s="41">
        <v>0</v>
      </c>
      <c r="W177" s="82"/>
      <c r="Y177">
        <v>3</v>
      </c>
      <c r="Z177" t="s">
        <v>8</v>
      </c>
      <c r="AA177">
        <v>19392</v>
      </c>
      <c r="AB177">
        <v>192</v>
      </c>
      <c r="AC177">
        <v>2</v>
      </c>
      <c r="AD177">
        <v>4</v>
      </c>
      <c r="AE177">
        <v>2143.9499999999998</v>
      </c>
      <c r="AF177" s="58">
        <v>2.2677999999999998</v>
      </c>
      <c r="AG177" s="57">
        <v>45471</v>
      </c>
      <c r="AH177" s="30">
        <v>0.95900462962962962</v>
      </c>
      <c r="AI177">
        <v>0</v>
      </c>
      <c r="AJ177">
        <v>0</v>
      </c>
      <c r="AK177">
        <v>0</v>
      </c>
      <c r="AL177">
        <v>0</v>
      </c>
      <c r="AM177" s="41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s="83"/>
    </row>
    <row r="178" spans="1:47" x14ac:dyDescent="0.25">
      <c r="A178">
        <v>4</v>
      </c>
      <c r="B178" t="s">
        <v>8</v>
      </c>
      <c r="C178">
        <v>19392</v>
      </c>
      <c r="D178">
        <v>192</v>
      </c>
      <c r="E178">
        <v>2</v>
      </c>
      <c r="F178">
        <v>4</v>
      </c>
      <c r="G178" s="2">
        <v>2297.4299999999998</v>
      </c>
      <c r="H178" s="40">
        <v>2.1162999999999998</v>
      </c>
      <c r="I178" s="31">
        <v>45465</v>
      </c>
      <c r="J178" s="38">
        <v>3.2372685185185185E-2</v>
      </c>
      <c r="K178" s="41">
        <v>0</v>
      </c>
      <c r="L178" s="41">
        <v>0</v>
      </c>
      <c r="M178" s="41">
        <v>0</v>
      </c>
      <c r="N178" s="41">
        <v>0</v>
      </c>
      <c r="O178" s="41">
        <v>0</v>
      </c>
      <c r="P178" s="41">
        <v>0</v>
      </c>
      <c r="Q178" s="41">
        <v>0</v>
      </c>
      <c r="R178" s="41">
        <v>0</v>
      </c>
      <c r="S178" s="41">
        <v>0</v>
      </c>
      <c r="T178" s="41">
        <v>0</v>
      </c>
      <c r="U178" s="41">
        <v>0</v>
      </c>
      <c r="V178" s="41">
        <v>0</v>
      </c>
      <c r="W178" s="82"/>
      <c r="Y178">
        <v>4</v>
      </c>
      <c r="Z178" t="s">
        <v>8</v>
      </c>
      <c r="AA178">
        <v>19392</v>
      </c>
      <c r="AB178">
        <v>192</v>
      </c>
      <c r="AC178">
        <v>2</v>
      </c>
      <c r="AD178">
        <v>4</v>
      </c>
      <c r="AE178">
        <v>2197.29</v>
      </c>
      <c r="AF178" s="58">
        <v>2.2128000000000001</v>
      </c>
      <c r="AG178" s="31">
        <v>45473</v>
      </c>
      <c r="AH178" s="30">
        <v>0.22715277777777779</v>
      </c>
      <c r="AI178">
        <v>0</v>
      </c>
      <c r="AJ178">
        <v>0</v>
      </c>
      <c r="AK178">
        <v>0</v>
      </c>
      <c r="AL178">
        <v>0</v>
      </c>
      <c r="AM178" s="41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s="83"/>
    </row>
    <row r="179" spans="1:47" x14ac:dyDescent="0.25">
      <c r="A179">
        <v>0</v>
      </c>
      <c r="B179" t="s">
        <v>8</v>
      </c>
      <c r="C179">
        <v>20544</v>
      </c>
      <c r="D179">
        <v>192</v>
      </c>
      <c r="E179">
        <v>2</v>
      </c>
      <c r="F179">
        <v>4</v>
      </c>
      <c r="G179" s="2">
        <v>2967.77</v>
      </c>
      <c r="H179" s="40">
        <v>1.948</v>
      </c>
      <c r="I179" s="31">
        <v>45460</v>
      </c>
      <c r="J179" s="38">
        <v>4.2557870370370371E-2</v>
      </c>
      <c r="K179" s="41">
        <v>0</v>
      </c>
      <c r="L179" s="41">
        <v>0</v>
      </c>
      <c r="M179" s="41">
        <v>0</v>
      </c>
      <c r="N179" s="41">
        <v>0</v>
      </c>
      <c r="O179" s="41">
        <v>0</v>
      </c>
      <c r="P179" s="41">
        <v>0</v>
      </c>
      <c r="Q179" s="41">
        <v>0</v>
      </c>
      <c r="R179" s="41">
        <v>0</v>
      </c>
      <c r="S179" s="41">
        <v>0</v>
      </c>
      <c r="T179" s="41">
        <v>0</v>
      </c>
      <c r="U179" s="41">
        <v>0</v>
      </c>
      <c r="V179" s="41">
        <v>0</v>
      </c>
      <c r="W179" s="82">
        <f t="shared" ref="W179" si="68">AVERAGE(H179:H183)</f>
        <v>1.9785200000000001</v>
      </c>
      <c r="Y179">
        <v>0</v>
      </c>
      <c r="Z179" t="s">
        <v>8</v>
      </c>
      <c r="AA179">
        <v>20544</v>
      </c>
      <c r="AB179">
        <v>192</v>
      </c>
      <c r="AC179">
        <v>2</v>
      </c>
      <c r="AD179">
        <v>4</v>
      </c>
      <c r="AE179">
        <v>2528.9699999999998</v>
      </c>
      <c r="AF179" s="58">
        <v>2.286</v>
      </c>
      <c r="AG179" s="57">
        <v>45468</v>
      </c>
      <c r="AH179" s="30">
        <v>0.63465277777777773</v>
      </c>
      <c r="AI179">
        <v>0</v>
      </c>
      <c r="AJ179">
        <v>0</v>
      </c>
      <c r="AK179">
        <v>0</v>
      </c>
      <c r="AL179">
        <v>0</v>
      </c>
      <c r="AM179" s="41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s="83">
        <f t="shared" ref="AU179" si="69">AVERAGE(AF179:AF183)</f>
        <v>2.182175</v>
      </c>
    </row>
    <row r="180" spans="1:47" x14ac:dyDescent="0.25">
      <c r="A180">
        <v>1</v>
      </c>
      <c r="B180" t="s">
        <v>8</v>
      </c>
      <c r="C180">
        <v>20544</v>
      </c>
      <c r="D180">
        <v>192</v>
      </c>
      <c r="E180">
        <v>2</v>
      </c>
      <c r="F180">
        <v>4</v>
      </c>
      <c r="G180" s="2">
        <v>2865.75</v>
      </c>
      <c r="H180" s="40">
        <v>2.0173000000000001</v>
      </c>
      <c r="I180" s="31">
        <v>45461</v>
      </c>
      <c r="J180" s="38">
        <v>0.65204861111111112</v>
      </c>
      <c r="K180" s="41">
        <v>0</v>
      </c>
      <c r="L180" s="41">
        <v>0</v>
      </c>
      <c r="M180" s="41">
        <v>0</v>
      </c>
      <c r="N180" s="41">
        <v>0</v>
      </c>
      <c r="O180" s="41">
        <v>0</v>
      </c>
      <c r="P180" s="41">
        <v>0</v>
      </c>
      <c r="Q180" s="41">
        <v>0</v>
      </c>
      <c r="R180" s="41">
        <v>0</v>
      </c>
      <c r="S180" s="41">
        <v>0</v>
      </c>
      <c r="T180" s="41">
        <v>0</v>
      </c>
      <c r="U180" s="41">
        <v>0</v>
      </c>
      <c r="V180" s="41">
        <v>0</v>
      </c>
      <c r="W180" s="82"/>
      <c r="Y180">
        <v>1</v>
      </c>
      <c r="Z180" t="s">
        <v>8</v>
      </c>
      <c r="AA180">
        <v>20544</v>
      </c>
      <c r="AB180">
        <v>192</v>
      </c>
      <c r="AC180">
        <v>2</v>
      </c>
      <c r="AD180">
        <v>4</v>
      </c>
      <c r="AE180">
        <v>2494.15</v>
      </c>
      <c r="AF180" s="58">
        <v>2.3178999999999998</v>
      </c>
      <c r="AG180" s="57">
        <v>45469</v>
      </c>
      <c r="AH180" s="30">
        <v>0.89556712962962959</v>
      </c>
      <c r="AI180">
        <v>0</v>
      </c>
      <c r="AJ180">
        <v>0</v>
      </c>
      <c r="AK180">
        <v>0</v>
      </c>
      <c r="AL180">
        <v>0</v>
      </c>
      <c r="AM180" s="41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s="83"/>
    </row>
    <row r="181" spans="1:47" x14ac:dyDescent="0.25">
      <c r="A181">
        <v>2</v>
      </c>
      <c r="B181" t="s">
        <v>8</v>
      </c>
      <c r="C181">
        <v>20544</v>
      </c>
      <c r="D181">
        <v>192</v>
      </c>
      <c r="E181">
        <v>2</v>
      </c>
      <c r="F181">
        <v>4</v>
      </c>
      <c r="G181" s="2">
        <v>2793.75</v>
      </c>
      <c r="H181" s="40">
        <v>2.0693000000000001</v>
      </c>
      <c r="I181" s="31">
        <v>45462</v>
      </c>
      <c r="J181" s="38">
        <v>0.94952546296296292</v>
      </c>
      <c r="K181" s="41">
        <v>0</v>
      </c>
      <c r="L181" s="41">
        <v>0</v>
      </c>
      <c r="M181" s="41">
        <v>0</v>
      </c>
      <c r="N181" s="41">
        <v>0</v>
      </c>
      <c r="O181" s="41">
        <v>0</v>
      </c>
      <c r="P181" s="41">
        <v>0</v>
      </c>
      <c r="Q181" s="41">
        <v>0</v>
      </c>
      <c r="R181" s="41">
        <v>0</v>
      </c>
      <c r="S181" s="41">
        <v>0</v>
      </c>
      <c r="T181" s="41">
        <v>0</v>
      </c>
      <c r="U181" s="41">
        <v>0</v>
      </c>
      <c r="V181" s="41">
        <v>0</v>
      </c>
      <c r="W181" s="82"/>
      <c r="Y181">
        <v>2</v>
      </c>
      <c r="Z181" t="s">
        <v>8</v>
      </c>
      <c r="AA181">
        <v>20544</v>
      </c>
      <c r="AB181">
        <v>192</v>
      </c>
      <c r="AC181">
        <v>2</v>
      </c>
      <c r="AD181">
        <v>4</v>
      </c>
      <c r="AE181">
        <v>2819.09</v>
      </c>
      <c r="AF181" s="58">
        <v>2.0507</v>
      </c>
      <c r="AG181" s="57">
        <v>45471</v>
      </c>
      <c r="AH181" s="30">
        <v>0.17072916666666665</v>
      </c>
      <c r="AI181">
        <v>0</v>
      </c>
      <c r="AJ181">
        <v>0</v>
      </c>
      <c r="AK181">
        <v>0</v>
      </c>
      <c r="AL181">
        <v>0</v>
      </c>
      <c r="AM181" s="4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s="83"/>
    </row>
    <row r="182" spans="1:47" x14ac:dyDescent="0.25">
      <c r="A182">
        <v>3</v>
      </c>
      <c r="B182" t="s">
        <v>8</v>
      </c>
      <c r="C182">
        <v>20544</v>
      </c>
      <c r="D182">
        <v>192</v>
      </c>
      <c r="E182">
        <v>2</v>
      </c>
      <c r="F182">
        <v>4</v>
      </c>
      <c r="G182" s="2">
        <v>2978.3</v>
      </c>
      <c r="H182" s="40">
        <v>1.9411</v>
      </c>
      <c r="I182" s="31">
        <v>45464</v>
      </c>
      <c r="J182" s="38">
        <v>0.24260416666666668</v>
      </c>
      <c r="K182" s="41">
        <v>0</v>
      </c>
      <c r="L182" s="41">
        <v>0</v>
      </c>
      <c r="M182" s="41">
        <v>0</v>
      </c>
      <c r="N182" s="41">
        <v>0</v>
      </c>
      <c r="O182" s="41">
        <v>0</v>
      </c>
      <c r="P182" s="41">
        <v>0</v>
      </c>
      <c r="Q182" s="41">
        <v>0</v>
      </c>
      <c r="R182" s="41">
        <v>0</v>
      </c>
      <c r="S182" s="41">
        <v>0</v>
      </c>
      <c r="T182" s="41">
        <v>0</v>
      </c>
      <c r="U182" s="41">
        <v>0</v>
      </c>
      <c r="V182" s="41">
        <v>0</v>
      </c>
      <c r="W182" s="82"/>
      <c r="Y182">
        <v>3</v>
      </c>
      <c r="Z182" t="s">
        <v>8</v>
      </c>
      <c r="AA182">
        <v>20544</v>
      </c>
      <c r="AB182">
        <v>192</v>
      </c>
      <c r="AC182">
        <v>2</v>
      </c>
      <c r="AD182">
        <v>4</v>
      </c>
      <c r="AE182">
        <v>2787.32</v>
      </c>
      <c r="AF182" s="58">
        <v>2.0741000000000001</v>
      </c>
      <c r="AG182" s="31">
        <v>45472</v>
      </c>
      <c r="AH182" s="30">
        <v>0.43418981481481483</v>
      </c>
      <c r="AI182">
        <v>0</v>
      </c>
      <c r="AJ182">
        <v>0</v>
      </c>
      <c r="AK182">
        <v>0</v>
      </c>
      <c r="AL182">
        <v>0</v>
      </c>
      <c r="AM182" s="41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s="83"/>
    </row>
    <row r="183" spans="1:47" x14ac:dyDescent="0.25">
      <c r="A183">
        <v>4</v>
      </c>
      <c r="B183" t="s">
        <v>8</v>
      </c>
      <c r="C183">
        <v>20544</v>
      </c>
      <c r="D183">
        <v>192</v>
      </c>
      <c r="E183">
        <v>2</v>
      </c>
      <c r="F183">
        <v>4</v>
      </c>
      <c r="G183" s="2">
        <v>3015.8</v>
      </c>
      <c r="H183" s="40">
        <v>1.9169</v>
      </c>
      <c r="I183" s="31">
        <v>45465</v>
      </c>
      <c r="J183" s="38">
        <v>0.50784722222222223</v>
      </c>
      <c r="K183" s="41">
        <v>0</v>
      </c>
      <c r="L183" s="41">
        <v>0</v>
      </c>
      <c r="M183" s="41">
        <v>0</v>
      </c>
      <c r="N183" s="41">
        <v>0</v>
      </c>
      <c r="O183" s="41">
        <v>0</v>
      </c>
      <c r="P183" s="41">
        <v>0</v>
      </c>
      <c r="Q183" s="41">
        <v>0</v>
      </c>
      <c r="R183" s="41">
        <v>0</v>
      </c>
      <c r="S183" s="41">
        <v>0</v>
      </c>
      <c r="T183" s="41">
        <v>0</v>
      </c>
      <c r="U183" s="41">
        <v>0</v>
      </c>
      <c r="V183" s="41">
        <v>0</v>
      </c>
      <c r="W183" s="82"/>
      <c r="Y183">
        <v>4</v>
      </c>
      <c r="Z183" t="s">
        <v>8</v>
      </c>
      <c r="AA183">
        <v>20544</v>
      </c>
      <c r="AB183">
        <v>192</v>
      </c>
      <c r="AC183">
        <v>2</v>
      </c>
      <c r="AD183">
        <v>4</v>
      </c>
      <c r="AF183"/>
      <c r="AG183" s="31">
        <v>45473</v>
      </c>
      <c r="AH183" s="30">
        <v>0.68137731481481478</v>
      </c>
      <c r="AI183">
        <v>0</v>
      </c>
      <c r="AJ183">
        <v>0</v>
      </c>
      <c r="AK183">
        <v>0</v>
      </c>
      <c r="AL183">
        <v>0</v>
      </c>
      <c r="AM183" s="41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s="83"/>
    </row>
    <row r="184" spans="1:47" x14ac:dyDescent="0.25">
      <c r="A184">
        <v>0</v>
      </c>
      <c r="B184" t="s">
        <v>8</v>
      </c>
      <c r="C184">
        <v>18368</v>
      </c>
      <c r="D184">
        <v>224</v>
      </c>
      <c r="E184">
        <v>1</v>
      </c>
      <c r="F184">
        <v>8</v>
      </c>
      <c r="G184" s="2">
        <v>2073.33</v>
      </c>
      <c r="H184" s="40">
        <v>1.9928999999999999</v>
      </c>
      <c r="I184" s="31">
        <v>45459</v>
      </c>
      <c r="J184" s="38">
        <v>0.13408564814814813</v>
      </c>
      <c r="K184" s="41">
        <v>0</v>
      </c>
      <c r="L184" s="41">
        <v>0</v>
      </c>
      <c r="M184" s="41">
        <v>0</v>
      </c>
      <c r="N184" s="41">
        <v>0</v>
      </c>
      <c r="O184" s="41">
        <v>0</v>
      </c>
      <c r="P184" s="41">
        <v>0</v>
      </c>
      <c r="Q184" s="41">
        <v>0</v>
      </c>
      <c r="R184" s="41">
        <v>0</v>
      </c>
      <c r="S184" s="41">
        <v>0</v>
      </c>
      <c r="T184" s="41">
        <v>0</v>
      </c>
      <c r="U184" s="41">
        <v>0</v>
      </c>
      <c r="V184" s="41">
        <v>0</v>
      </c>
      <c r="W184" s="82">
        <f t="shared" ref="W184" si="70">AVERAGE(H184:H188)</f>
        <v>2.0196999999999998</v>
      </c>
      <c r="Y184">
        <v>0</v>
      </c>
      <c r="Z184" t="s">
        <v>8</v>
      </c>
      <c r="AA184">
        <v>18368</v>
      </c>
      <c r="AB184">
        <v>224</v>
      </c>
      <c r="AC184">
        <v>1</v>
      </c>
      <c r="AD184">
        <v>8</v>
      </c>
      <c r="AE184">
        <v>1758.98</v>
      </c>
      <c r="AF184" s="58">
        <v>2.3490000000000002</v>
      </c>
      <c r="AG184" s="57">
        <v>45466</v>
      </c>
      <c r="AH184" s="30">
        <v>0.16153935185185186</v>
      </c>
      <c r="AI184">
        <v>0</v>
      </c>
      <c r="AJ184">
        <v>0</v>
      </c>
      <c r="AK184">
        <v>0</v>
      </c>
      <c r="AL184">
        <v>0</v>
      </c>
      <c r="AM184" s="41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s="83">
        <f t="shared" ref="AU184" si="71">AVERAGE(AF184:AF188)</f>
        <v>2.3356599999999998</v>
      </c>
    </row>
    <row r="185" spans="1:47" x14ac:dyDescent="0.25">
      <c r="A185">
        <v>1</v>
      </c>
      <c r="B185" t="s">
        <v>8</v>
      </c>
      <c r="C185">
        <v>18368</v>
      </c>
      <c r="D185">
        <v>224</v>
      </c>
      <c r="E185">
        <v>1</v>
      </c>
      <c r="F185">
        <v>8</v>
      </c>
      <c r="G185" s="2">
        <v>2136.0100000000002</v>
      </c>
      <c r="H185" s="40">
        <v>1.9343999999999999</v>
      </c>
      <c r="I185" s="31">
        <v>45460</v>
      </c>
      <c r="J185" s="38">
        <v>0.43453703703703705</v>
      </c>
      <c r="K185" s="41">
        <v>0</v>
      </c>
      <c r="L185" s="41">
        <v>0</v>
      </c>
      <c r="M185" s="41">
        <v>0</v>
      </c>
      <c r="N185" s="41">
        <v>0</v>
      </c>
      <c r="O185" s="41">
        <v>0</v>
      </c>
      <c r="P185" s="41">
        <v>0</v>
      </c>
      <c r="Q185" s="41">
        <v>0</v>
      </c>
      <c r="R185" s="41">
        <v>0</v>
      </c>
      <c r="S185" s="41">
        <v>0</v>
      </c>
      <c r="T185" s="41">
        <v>0</v>
      </c>
      <c r="U185" s="41">
        <v>0</v>
      </c>
      <c r="V185" s="41">
        <v>0</v>
      </c>
      <c r="W185" s="82"/>
      <c r="Y185">
        <v>1</v>
      </c>
      <c r="Z185" t="s">
        <v>8</v>
      </c>
      <c r="AA185">
        <v>18368</v>
      </c>
      <c r="AB185">
        <v>224</v>
      </c>
      <c r="AC185">
        <v>1</v>
      </c>
      <c r="AD185">
        <v>8</v>
      </c>
      <c r="AE185">
        <v>1790.66</v>
      </c>
      <c r="AF185" s="58">
        <v>2.3075000000000001</v>
      </c>
      <c r="AG185" s="57">
        <v>45469</v>
      </c>
      <c r="AH185" s="30">
        <v>1.5891203703703703E-2</v>
      </c>
      <c r="AI185">
        <v>0</v>
      </c>
      <c r="AJ185">
        <v>0</v>
      </c>
      <c r="AK185">
        <v>0</v>
      </c>
      <c r="AL185">
        <v>0</v>
      </c>
      <c r="AM185" s="41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s="83"/>
    </row>
    <row r="186" spans="1:47" x14ac:dyDescent="0.25">
      <c r="A186">
        <v>2</v>
      </c>
      <c r="B186" t="s">
        <v>8</v>
      </c>
      <c r="C186">
        <v>18368</v>
      </c>
      <c r="D186">
        <v>224</v>
      </c>
      <c r="E186">
        <v>1</v>
      </c>
      <c r="F186">
        <v>8</v>
      </c>
      <c r="G186" s="2">
        <v>2030.78</v>
      </c>
      <c r="H186" s="40">
        <v>2.0346000000000002</v>
      </c>
      <c r="I186" s="31">
        <v>45462</v>
      </c>
      <c r="J186" s="38">
        <v>3.934027777777778E-2</v>
      </c>
      <c r="K186" s="41">
        <v>0</v>
      </c>
      <c r="L186" s="41">
        <v>0</v>
      </c>
      <c r="M186" s="41">
        <v>0</v>
      </c>
      <c r="N186" s="41">
        <v>0</v>
      </c>
      <c r="O186" s="41">
        <v>0</v>
      </c>
      <c r="P186" s="41">
        <v>0</v>
      </c>
      <c r="Q186" s="41">
        <v>0</v>
      </c>
      <c r="R186" s="41">
        <v>0</v>
      </c>
      <c r="S186" s="41">
        <v>0</v>
      </c>
      <c r="T186" s="41">
        <v>0</v>
      </c>
      <c r="U186" s="41">
        <v>0</v>
      </c>
      <c r="V186" s="41">
        <v>0</v>
      </c>
      <c r="W186" s="82"/>
      <c r="Y186">
        <v>2</v>
      </c>
      <c r="Z186" t="s">
        <v>8</v>
      </c>
      <c r="AA186">
        <v>18368</v>
      </c>
      <c r="AB186">
        <v>224</v>
      </c>
      <c r="AC186">
        <v>1</v>
      </c>
      <c r="AD186">
        <v>8</v>
      </c>
      <c r="AE186">
        <v>1778.77</v>
      </c>
      <c r="AF186" s="58">
        <v>2.3229000000000002</v>
      </c>
      <c r="AG186" s="57">
        <v>45470</v>
      </c>
      <c r="AH186" s="30">
        <v>0.2860300925925926</v>
      </c>
      <c r="AI186">
        <v>0</v>
      </c>
      <c r="AJ186">
        <v>0</v>
      </c>
      <c r="AK186">
        <v>0</v>
      </c>
      <c r="AL186">
        <v>0</v>
      </c>
      <c r="AM186" s="41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s="83"/>
    </row>
    <row r="187" spans="1:47" x14ac:dyDescent="0.25">
      <c r="A187">
        <v>3</v>
      </c>
      <c r="B187" t="s">
        <v>8</v>
      </c>
      <c r="C187">
        <v>18368</v>
      </c>
      <c r="D187">
        <v>224</v>
      </c>
      <c r="E187">
        <v>1</v>
      </c>
      <c r="F187">
        <v>8</v>
      </c>
      <c r="G187" s="2">
        <v>1987.69</v>
      </c>
      <c r="H187" s="40">
        <v>2.0787</v>
      </c>
      <c r="I187" s="31">
        <v>45463</v>
      </c>
      <c r="J187" s="38">
        <v>0.33791666666666664</v>
      </c>
      <c r="K187" s="41">
        <v>0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41">
        <v>0</v>
      </c>
      <c r="R187" s="41">
        <v>0</v>
      </c>
      <c r="S187" s="41">
        <v>0</v>
      </c>
      <c r="T187" s="41">
        <v>0</v>
      </c>
      <c r="U187" s="41">
        <v>0</v>
      </c>
      <c r="V187" s="41">
        <v>0</v>
      </c>
      <c r="W187" s="82"/>
      <c r="Y187">
        <v>3</v>
      </c>
      <c r="Z187" t="s">
        <v>8</v>
      </c>
      <c r="AA187">
        <v>18368</v>
      </c>
      <c r="AB187">
        <v>224</v>
      </c>
      <c r="AC187">
        <v>1</v>
      </c>
      <c r="AD187">
        <v>8</v>
      </c>
      <c r="AE187">
        <v>1750.52</v>
      </c>
      <c r="AF187" s="58">
        <v>2.3603999999999998</v>
      </c>
      <c r="AG187" s="57">
        <v>45471</v>
      </c>
      <c r="AH187" s="30">
        <v>0.55202546296296295</v>
      </c>
      <c r="AI187">
        <v>0</v>
      </c>
      <c r="AJ187">
        <v>0</v>
      </c>
      <c r="AK187">
        <v>0</v>
      </c>
      <c r="AL187">
        <v>0</v>
      </c>
      <c r="AM187" s="41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s="83"/>
    </row>
    <row r="188" spans="1:47" x14ac:dyDescent="0.25">
      <c r="A188">
        <v>4</v>
      </c>
      <c r="B188" t="s">
        <v>8</v>
      </c>
      <c r="C188">
        <v>18368</v>
      </c>
      <c r="D188">
        <v>224</v>
      </c>
      <c r="E188">
        <v>1</v>
      </c>
      <c r="F188">
        <v>8</v>
      </c>
      <c r="G188" s="2">
        <v>2007.81</v>
      </c>
      <c r="H188" s="40">
        <v>2.0579000000000001</v>
      </c>
      <c r="I188" s="31">
        <v>45464</v>
      </c>
      <c r="J188" s="38">
        <v>0.6158217592592593</v>
      </c>
      <c r="K188" s="41">
        <v>0</v>
      </c>
      <c r="L188" s="41">
        <v>0</v>
      </c>
      <c r="M188" s="41">
        <v>0</v>
      </c>
      <c r="N188" s="41">
        <v>0</v>
      </c>
      <c r="O188" s="41">
        <v>0</v>
      </c>
      <c r="P188" s="41">
        <v>0</v>
      </c>
      <c r="Q188" s="41">
        <v>0</v>
      </c>
      <c r="R188" s="41">
        <v>0</v>
      </c>
      <c r="S188" s="41">
        <v>0</v>
      </c>
      <c r="T188" s="41">
        <v>0</v>
      </c>
      <c r="U188" s="41">
        <v>0</v>
      </c>
      <c r="V188" s="41">
        <v>0</v>
      </c>
      <c r="W188" s="82"/>
      <c r="Y188">
        <v>4</v>
      </c>
      <c r="Z188" t="s">
        <v>8</v>
      </c>
      <c r="AA188">
        <v>18368</v>
      </c>
      <c r="AB188">
        <v>224</v>
      </c>
      <c r="AC188">
        <v>1</v>
      </c>
      <c r="AD188">
        <v>8</v>
      </c>
      <c r="AE188">
        <v>1766.86</v>
      </c>
      <c r="AF188" s="58">
        <v>2.3384999999999998</v>
      </c>
      <c r="AG188" s="31">
        <v>45472</v>
      </c>
      <c r="AH188" s="30">
        <v>0.81534722222222222</v>
      </c>
      <c r="AI188">
        <v>0</v>
      </c>
      <c r="AJ188">
        <v>0</v>
      </c>
      <c r="AK188">
        <v>0</v>
      </c>
      <c r="AL188">
        <v>0</v>
      </c>
      <c r="AM188" s="41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s="83"/>
    </row>
    <row r="189" spans="1:47" x14ac:dyDescent="0.25">
      <c r="A189">
        <v>0</v>
      </c>
      <c r="B189" t="s">
        <v>8</v>
      </c>
      <c r="C189">
        <v>19264</v>
      </c>
      <c r="D189">
        <v>224</v>
      </c>
      <c r="E189">
        <v>1</v>
      </c>
      <c r="F189">
        <v>8</v>
      </c>
      <c r="G189" s="2">
        <v>2284.81</v>
      </c>
      <c r="H189" s="40">
        <v>2.0861999999999998</v>
      </c>
      <c r="I189" s="31">
        <v>45459</v>
      </c>
      <c r="J189" s="38">
        <v>0.57973379629629629</v>
      </c>
      <c r="K189" s="41">
        <v>0</v>
      </c>
      <c r="L189" s="41">
        <v>0</v>
      </c>
      <c r="M189" s="41">
        <v>0</v>
      </c>
      <c r="N189" s="41">
        <v>0</v>
      </c>
      <c r="O189" s="41">
        <v>0</v>
      </c>
      <c r="P189" s="41">
        <v>0</v>
      </c>
      <c r="Q189" s="41">
        <v>0</v>
      </c>
      <c r="R189" s="41">
        <v>0</v>
      </c>
      <c r="S189" s="41">
        <v>0</v>
      </c>
      <c r="T189" s="41">
        <v>0</v>
      </c>
      <c r="U189" s="41">
        <v>0</v>
      </c>
      <c r="V189" s="41">
        <v>0</v>
      </c>
      <c r="W189" s="82">
        <f t="shared" ref="W189" si="72">AVERAGE(H189:H193)</f>
        <v>2.0819199999999998</v>
      </c>
      <c r="Y189">
        <v>0</v>
      </c>
      <c r="Z189" t="s">
        <v>8</v>
      </c>
      <c r="AA189">
        <v>19264</v>
      </c>
      <c r="AB189">
        <v>224</v>
      </c>
      <c r="AC189">
        <v>1</v>
      </c>
      <c r="AD189">
        <v>8</v>
      </c>
      <c r="AE189">
        <v>2022.8</v>
      </c>
      <c r="AF189" s="58">
        <v>2.3563999999999998</v>
      </c>
      <c r="AG189" s="57">
        <v>45466</v>
      </c>
      <c r="AH189" s="30">
        <v>0.59324074074074074</v>
      </c>
      <c r="AI189">
        <v>0</v>
      </c>
      <c r="AJ189">
        <v>0</v>
      </c>
      <c r="AK189">
        <v>0</v>
      </c>
      <c r="AL189">
        <v>0</v>
      </c>
      <c r="AM189" s="41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s="83">
        <f t="shared" ref="AU189" si="73">AVERAGE(AF189:AF193)</f>
        <v>2.3454000000000002</v>
      </c>
    </row>
    <row r="190" spans="1:47" x14ac:dyDescent="0.25">
      <c r="A190">
        <v>1</v>
      </c>
      <c r="B190" t="s">
        <v>8</v>
      </c>
      <c r="C190">
        <v>19264</v>
      </c>
      <c r="D190">
        <v>224</v>
      </c>
      <c r="E190">
        <v>1</v>
      </c>
      <c r="F190">
        <v>8</v>
      </c>
      <c r="G190" s="2">
        <v>2327.16</v>
      </c>
      <c r="H190" s="40">
        <v>2.0482</v>
      </c>
      <c r="I190" s="31">
        <v>45460</v>
      </c>
      <c r="J190" s="38">
        <v>0.87877314814814811</v>
      </c>
      <c r="K190" s="41">
        <v>0</v>
      </c>
      <c r="L190" s="41">
        <v>0</v>
      </c>
      <c r="M190" s="41">
        <v>0</v>
      </c>
      <c r="N190" s="41">
        <v>0</v>
      </c>
      <c r="O190" s="41">
        <v>0</v>
      </c>
      <c r="P190" s="41">
        <v>0</v>
      </c>
      <c r="Q190" s="41">
        <v>0</v>
      </c>
      <c r="R190" s="41">
        <v>0</v>
      </c>
      <c r="S190" s="41">
        <v>0</v>
      </c>
      <c r="T190" s="41">
        <v>0</v>
      </c>
      <c r="U190" s="41">
        <v>0</v>
      </c>
      <c r="V190" s="41">
        <v>0</v>
      </c>
      <c r="W190" s="82"/>
      <c r="Y190">
        <v>1</v>
      </c>
      <c r="Z190" t="s">
        <v>8</v>
      </c>
      <c r="AA190">
        <v>19264</v>
      </c>
      <c r="AB190">
        <v>224</v>
      </c>
      <c r="AC190">
        <v>1</v>
      </c>
      <c r="AD190">
        <v>8</v>
      </c>
      <c r="AE190">
        <v>2068.6</v>
      </c>
      <c r="AF190" s="58">
        <v>2.3041999999999998</v>
      </c>
      <c r="AG190" s="57">
        <v>45469</v>
      </c>
      <c r="AH190" s="30">
        <v>0.45196759259259262</v>
      </c>
      <c r="AI190">
        <v>0</v>
      </c>
      <c r="AJ190">
        <v>0</v>
      </c>
      <c r="AK190">
        <v>0</v>
      </c>
      <c r="AL190">
        <v>0</v>
      </c>
      <c r="AM190" s="41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s="83"/>
    </row>
    <row r="191" spans="1:47" x14ac:dyDescent="0.25">
      <c r="A191">
        <v>2</v>
      </c>
      <c r="B191" t="s">
        <v>8</v>
      </c>
      <c r="C191">
        <v>19264</v>
      </c>
      <c r="D191">
        <v>224</v>
      </c>
      <c r="E191">
        <v>1</v>
      </c>
      <c r="F191">
        <v>8</v>
      </c>
      <c r="G191" s="2">
        <v>2284.11</v>
      </c>
      <c r="H191" s="40">
        <v>2.0868000000000002</v>
      </c>
      <c r="I191" s="31">
        <v>45462</v>
      </c>
      <c r="J191" s="38">
        <v>0.48694444444444446</v>
      </c>
      <c r="K191" s="41">
        <v>0</v>
      </c>
      <c r="L191" s="41">
        <v>0</v>
      </c>
      <c r="M191" s="41">
        <v>0</v>
      </c>
      <c r="N191" s="41">
        <v>0</v>
      </c>
      <c r="O191" s="41">
        <v>0</v>
      </c>
      <c r="P191" s="41">
        <v>0</v>
      </c>
      <c r="Q191" s="41">
        <v>0</v>
      </c>
      <c r="R191" s="41">
        <v>0</v>
      </c>
      <c r="S191" s="41">
        <v>0</v>
      </c>
      <c r="T191" s="41">
        <v>0</v>
      </c>
      <c r="U191" s="41">
        <v>0</v>
      </c>
      <c r="V191" s="41">
        <v>0</v>
      </c>
      <c r="W191" s="82"/>
      <c r="Y191">
        <v>2</v>
      </c>
      <c r="Z191" t="s">
        <v>8</v>
      </c>
      <c r="AA191">
        <v>19264</v>
      </c>
      <c r="AB191">
        <v>224</v>
      </c>
      <c r="AC191">
        <v>1</v>
      </c>
      <c r="AD191">
        <v>8</v>
      </c>
      <c r="AE191">
        <v>2013.7</v>
      </c>
      <c r="AF191" s="58">
        <v>2.367</v>
      </c>
      <c r="AG191" s="57">
        <v>45470</v>
      </c>
      <c r="AH191" s="30">
        <v>0.72115740740740741</v>
      </c>
      <c r="AI191">
        <v>0</v>
      </c>
      <c r="AJ191">
        <v>0</v>
      </c>
      <c r="AK191">
        <v>0</v>
      </c>
      <c r="AL191">
        <v>0</v>
      </c>
      <c r="AM191" s="4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s="83"/>
    </row>
    <row r="192" spans="1:47" x14ac:dyDescent="0.25">
      <c r="A192">
        <v>3</v>
      </c>
      <c r="B192" t="s">
        <v>8</v>
      </c>
      <c r="C192">
        <v>19264</v>
      </c>
      <c r="D192">
        <v>224</v>
      </c>
      <c r="E192">
        <v>1</v>
      </c>
      <c r="F192">
        <v>8</v>
      </c>
      <c r="G192" s="2">
        <v>2335.98</v>
      </c>
      <c r="H192" s="40">
        <v>2.0405000000000002</v>
      </c>
      <c r="I192" s="31">
        <v>45463</v>
      </c>
      <c r="J192" s="38">
        <v>0.78127314814814819</v>
      </c>
      <c r="K192" s="41">
        <v>0</v>
      </c>
      <c r="L192" s="41">
        <v>0</v>
      </c>
      <c r="M192" s="41">
        <v>0</v>
      </c>
      <c r="N192" s="41">
        <v>0</v>
      </c>
      <c r="O192" s="41">
        <v>0</v>
      </c>
      <c r="P192" s="41">
        <v>0</v>
      </c>
      <c r="Q192" s="41">
        <v>0</v>
      </c>
      <c r="R192" s="41">
        <v>0</v>
      </c>
      <c r="S192" s="41">
        <v>0</v>
      </c>
      <c r="T192" s="41">
        <v>0</v>
      </c>
      <c r="U192" s="41">
        <v>0</v>
      </c>
      <c r="V192" s="41">
        <v>0</v>
      </c>
      <c r="W192" s="82"/>
      <c r="Y192">
        <v>3</v>
      </c>
      <c r="Z192" t="s">
        <v>8</v>
      </c>
      <c r="AA192">
        <v>19264</v>
      </c>
      <c r="AB192">
        <v>224</v>
      </c>
      <c r="AC192">
        <v>1</v>
      </c>
      <c r="AD192">
        <v>8</v>
      </c>
      <c r="AE192">
        <v>2063.16</v>
      </c>
      <c r="AF192" s="58">
        <v>2.3102999999999998</v>
      </c>
      <c r="AG192" s="57">
        <v>45471</v>
      </c>
      <c r="AH192" s="30">
        <v>0.98542824074074076</v>
      </c>
      <c r="AI192">
        <v>0</v>
      </c>
      <c r="AJ192">
        <v>0</v>
      </c>
      <c r="AK192">
        <v>0</v>
      </c>
      <c r="AL192">
        <v>0</v>
      </c>
      <c r="AM192" s="41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s="83"/>
    </row>
    <row r="193" spans="1:47" x14ac:dyDescent="0.25">
      <c r="A193">
        <v>4</v>
      </c>
      <c r="B193" t="s">
        <v>8</v>
      </c>
      <c r="C193">
        <v>19264</v>
      </c>
      <c r="D193">
        <v>224</v>
      </c>
      <c r="E193">
        <v>1</v>
      </c>
      <c r="F193">
        <v>8</v>
      </c>
      <c r="G193" s="2">
        <v>2219.14</v>
      </c>
      <c r="H193" s="40">
        <v>2.1478999999999999</v>
      </c>
      <c r="I193" s="31">
        <v>45465</v>
      </c>
      <c r="J193" s="38">
        <v>5.8680555555555555E-2</v>
      </c>
      <c r="K193" s="41">
        <v>0</v>
      </c>
      <c r="L193" s="41">
        <v>0</v>
      </c>
      <c r="M193" s="41">
        <v>0</v>
      </c>
      <c r="N193" s="41">
        <v>0</v>
      </c>
      <c r="O193" s="41">
        <v>0</v>
      </c>
      <c r="P193" s="41">
        <v>0</v>
      </c>
      <c r="Q193" s="41">
        <v>0</v>
      </c>
      <c r="R193" s="41">
        <v>0</v>
      </c>
      <c r="S193" s="41">
        <v>0</v>
      </c>
      <c r="T193" s="41">
        <v>0</v>
      </c>
      <c r="U193" s="41">
        <v>0</v>
      </c>
      <c r="V193" s="41">
        <v>0</v>
      </c>
      <c r="W193" s="82"/>
      <c r="Y193">
        <v>4</v>
      </c>
      <c r="Z193" t="s">
        <v>8</v>
      </c>
      <c r="AA193">
        <v>19264</v>
      </c>
      <c r="AB193">
        <v>224</v>
      </c>
      <c r="AC193">
        <v>1</v>
      </c>
      <c r="AD193">
        <v>8</v>
      </c>
      <c r="AE193">
        <v>1995.11</v>
      </c>
      <c r="AF193" s="58">
        <v>2.3891</v>
      </c>
      <c r="AG193" s="31">
        <v>45473</v>
      </c>
      <c r="AH193" s="30">
        <v>0.25312499999999999</v>
      </c>
      <c r="AI193">
        <v>0</v>
      </c>
      <c r="AJ193">
        <v>0</v>
      </c>
      <c r="AK193">
        <v>0</v>
      </c>
      <c r="AL193">
        <v>0</v>
      </c>
      <c r="AM193" s="41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s="83"/>
    </row>
    <row r="194" spans="1:47" x14ac:dyDescent="0.25">
      <c r="A194">
        <v>0</v>
      </c>
      <c r="B194" s="31" t="s">
        <v>8</v>
      </c>
      <c r="C194" s="30">
        <v>20384</v>
      </c>
      <c r="D194">
        <v>224</v>
      </c>
      <c r="E194">
        <v>1</v>
      </c>
      <c r="F194">
        <v>8</v>
      </c>
      <c r="G194" s="2">
        <v>0</v>
      </c>
      <c r="H194" s="40">
        <v>0</v>
      </c>
      <c r="I194" s="31">
        <v>45461</v>
      </c>
      <c r="J194" s="38">
        <v>0.61332175925925925</v>
      </c>
      <c r="K194">
        <v>0</v>
      </c>
      <c r="L194" s="41">
        <v>0</v>
      </c>
      <c r="M194" s="41">
        <v>0</v>
      </c>
      <c r="N194" s="41">
        <v>0</v>
      </c>
      <c r="O194" s="41">
        <v>0</v>
      </c>
      <c r="P194" s="41">
        <v>0</v>
      </c>
      <c r="Q194" s="41">
        <v>0</v>
      </c>
      <c r="R194" s="41">
        <v>0</v>
      </c>
      <c r="S194" s="41">
        <v>0</v>
      </c>
      <c r="T194" s="41">
        <v>0</v>
      </c>
      <c r="U194" s="41">
        <v>0</v>
      </c>
      <c r="V194" s="41">
        <v>0</v>
      </c>
      <c r="W194" s="82">
        <f t="shared" ref="W194" si="74">AVERAGE(H194:H198)</f>
        <v>0</v>
      </c>
      <c r="Y194">
        <v>0</v>
      </c>
      <c r="Z194" t="s">
        <v>8</v>
      </c>
      <c r="AA194">
        <v>20384</v>
      </c>
      <c r="AB194">
        <v>224</v>
      </c>
      <c r="AC194">
        <v>1</v>
      </c>
      <c r="AD194">
        <v>8</v>
      </c>
      <c r="AF194" s="40">
        <v>0</v>
      </c>
      <c r="AG194" s="31">
        <v>45468</v>
      </c>
      <c r="AH194" s="30">
        <v>0.63849537037037041</v>
      </c>
      <c r="AI194">
        <v>0</v>
      </c>
      <c r="AJ194">
        <v>0</v>
      </c>
      <c r="AK194">
        <v>0</v>
      </c>
      <c r="AL194">
        <v>0</v>
      </c>
      <c r="AM194" s="59">
        <v>0</v>
      </c>
      <c r="AN194" s="9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s="83">
        <f t="shared" ref="AU194" si="75">AVERAGE(AF194:AF198)</f>
        <v>0</v>
      </c>
    </row>
    <row r="195" spans="1:47" x14ac:dyDescent="0.25">
      <c r="A195">
        <v>1</v>
      </c>
      <c r="B195" s="31" t="s">
        <v>8</v>
      </c>
      <c r="C195" s="30">
        <v>20384</v>
      </c>
      <c r="D195">
        <v>224</v>
      </c>
      <c r="E195">
        <v>1</v>
      </c>
      <c r="F195">
        <v>8</v>
      </c>
      <c r="G195" s="2">
        <v>0</v>
      </c>
      <c r="H195" s="40">
        <v>0</v>
      </c>
      <c r="I195" s="31">
        <v>45461</v>
      </c>
      <c r="J195" s="38">
        <v>0.6557291666666667</v>
      </c>
      <c r="K195">
        <v>0</v>
      </c>
      <c r="L195" s="41">
        <v>0</v>
      </c>
      <c r="M195" s="41">
        <v>0</v>
      </c>
      <c r="N195" s="41">
        <v>0</v>
      </c>
      <c r="O195" s="41">
        <v>0</v>
      </c>
      <c r="P195" s="41">
        <v>0</v>
      </c>
      <c r="Q195" s="41">
        <v>0</v>
      </c>
      <c r="R195" s="41">
        <v>0</v>
      </c>
      <c r="S195" s="41">
        <v>0</v>
      </c>
      <c r="T195" s="41">
        <v>0</v>
      </c>
      <c r="U195" s="41">
        <v>0</v>
      </c>
      <c r="V195" s="41">
        <v>0</v>
      </c>
      <c r="W195" s="82"/>
      <c r="Y195">
        <v>1</v>
      </c>
      <c r="Z195" t="s">
        <v>8</v>
      </c>
      <c r="AA195">
        <v>20384</v>
      </c>
      <c r="AB195">
        <v>224</v>
      </c>
      <c r="AC195">
        <v>1</v>
      </c>
      <c r="AD195">
        <v>8</v>
      </c>
      <c r="AF195" s="40">
        <v>0</v>
      </c>
      <c r="AG195" s="31">
        <v>45469</v>
      </c>
      <c r="AH195" s="30">
        <v>0.89947916666666672</v>
      </c>
      <c r="AI195">
        <v>0</v>
      </c>
      <c r="AJ195">
        <v>0</v>
      </c>
      <c r="AK195">
        <v>0</v>
      </c>
      <c r="AL195">
        <v>0</v>
      </c>
      <c r="AM195" s="59">
        <v>0</v>
      </c>
      <c r="AN195" s="9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s="83"/>
    </row>
    <row r="196" spans="1:47" x14ac:dyDescent="0.25">
      <c r="A196">
        <v>2</v>
      </c>
      <c r="B196" s="31" t="s">
        <v>8</v>
      </c>
      <c r="C196" s="30">
        <v>20384</v>
      </c>
      <c r="D196">
        <v>224</v>
      </c>
      <c r="E196">
        <v>1</v>
      </c>
      <c r="F196">
        <v>8</v>
      </c>
      <c r="G196" s="2">
        <v>0</v>
      </c>
      <c r="H196" s="40">
        <v>0</v>
      </c>
      <c r="I196" s="31">
        <v>45462</v>
      </c>
      <c r="J196" s="38">
        <v>0.95283564814814814</v>
      </c>
      <c r="K196" s="41">
        <v>0</v>
      </c>
      <c r="L196" s="41">
        <v>0</v>
      </c>
      <c r="M196" s="41">
        <v>0</v>
      </c>
      <c r="N196" s="41">
        <v>0</v>
      </c>
      <c r="O196" s="41">
        <v>0</v>
      </c>
      <c r="P196" s="41">
        <v>0</v>
      </c>
      <c r="Q196" s="41">
        <v>0</v>
      </c>
      <c r="R196" s="41">
        <v>0</v>
      </c>
      <c r="S196" s="41">
        <v>0</v>
      </c>
      <c r="T196" s="41">
        <v>0</v>
      </c>
      <c r="U196" s="41">
        <v>0</v>
      </c>
      <c r="V196" s="41">
        <v>0</v>
      </c>
      <c r="W196" s="82"/>
      <c r="Y196">
        <v>2</v>
      </c>
      <c r="Z196" t="s">
        <v>8</v>
      </c>
      <c r="AA196">
        <v>20384</v>
      </c>
      <c r="AB196">
        <v>224</v>
      </c>
      <c r="AC196">
        <v>1</v>
      </c>
      <c r="AD196">
        <v>8</v>
      </c>
      <c r="AF196" s="40">
        <v>0</v>
      </c>
      <c r="AG196" s="31">
        <v>45471</v>
      </c>
      <c r="AH196" s="30">
        <v>0.17231481481481481</v>
      </c>
      <c r="AI196">
        <v>0</v>
      </c>
      <c r="AJ196">
        <v>0</v>
      </c>
      <c r="AK196">
        <v>0</v>
      </c>
      <c r="AL196">
        <v>0</v>
      </c>
      <c r="AM196" s="59">
        <v>0</v>
      </c>
      <c r="AN196" s="9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s="83"/>
    </row>
    <row r="197" spans="1:47" x14ac:dyDescent="0.25">
      <c r="A197">
        <v>3</v>
      </c>
      <c r="B197" s="31" t="s">
        <v>8</v>
      </c>
      <c r="C197" s="30">
        <v>20384</v>
      </c>
      <c r="D197">
        <v>224</v>
      </c>
      <c r="E197">
        <v>1</v>
      </c>
      <c r="F197">
        <v>8</v>
      </c>
      <c r="G197" s="2">
        <v>0</v>
      </c>
      <c r="H197" s="40">
        <v>0</v>
      </c>
      <c r="I197" s="31">
        <v>45464</v>
      </c>
      <c r="J197" s="38">
        <v>0.24318287037037037</v>
      </c>
      <c r="K197" s="41">
        <v>0</v>
      </c>
      <c r="L197" s="41">
        <v>0</v>
      </c>
      <c r="M197" s="41">
        <v>0</v>
      </c>
      <c r="N197" s="41">
        <v>0</v>
      </c>
      <c r="O197" s="41">
        <v>0</v>
      </c>
      <c r="P197" s="41">
        <v>0</v>
      </c>
      <c r="Q197" s="41">
        <v>0</v>
      </c>
      <c r="R197" s="41">
        <v>0</v>
      </c>
      <c r="S197" s="41">
        <v>0</v>
      </c>
      <c r="T197" s="41">
        <v>0</v>
      </c>
      <c r="U197" s="41">
        <v>0</v>
      </c>
      <c r="V197" s="41">
        <v>0</v>
      </c>
      <c r="W197" s="82"/>
      <c r="Y197">
        <v>3</v>
      </c>
      <c r="Z197" t="s">
        <v>8</v>
      </c>
      <c r="AA197">
        <v>20384</v>
      </c>
      <c r="AB197">
        <v>224</v>
      </c>
      <c r="AC197">
        <v>1</v>
      </c>
      <c r="AD197">
        <v>8</v>
      </c>
      <c r="AF197" s="40">
        <v>0</v>
      </c>
      <c r="AG197" s="31">
        <v>45472</v>
      </c>
      <c r="AH197" s="30">
        <v>0.43785879629629632</v>
      </c>
      <c r="AI197">
        <v>0</v>
      </c>
      <c r="AJ197">
        <v>0</v>
      </c>
      <c r="AK197">
        <v>0</v>
      </c>
      <c r="AL197">
        <v>0</v>
      </c>
      <c r="AM197" s="41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s="83"/>
    </row>
    <row r="198" spans="1:47" x14ac:dyDescent="0.25">
      <c r="A198">
        <v>4</v>
      </c>
      <c r="B198" s="31" t="s">
        <v>8</v>
      </c>
      <c r="C198" s="30">
        <v>20384</v>
      </c>
      <c r="D198">
        <v>224</v>
      </c>
      <c r="E198">
        <v>1</v>
      </c>
      <c r="F198">
        <v>8</v>
      </c>
      <c r="G198" s="2">
        <v>0</v>
      </c>
      <c r="H198" s="40">
        <v>0</v>
      </c>
      <c r="I198" s="31">
        <v>45465</v>
      </c>
      <c r="J198" s="38">
        <v>0.50908564814814816</v>
      </c>
      <c r="K198" s="41">
        <v>0</v>
      </c>
      <c r="L198" s="41">
        <v>0</v>
      </c>
      <c r="M198" s="41">
        <v>0</v>
      </c>
      <c r="N198" s="41">
        <v>0</v>
      </c>
      <c r="O198" s="41">
        <v>0</v>
      </c>
      <c r="P198" s="41">
        <v>0</v>
      </c>
      <c r="Q198" s="41">
        <v>0</v>
      </c>
      <c r="R198" s="41">
        <v>0</v>
      </c>
      <c r="S198" s="41">
        <v>0</v>
      </c>
      <c r="T198" s="41">
        <v>0</v>
      </c>
      <c r="U198" s="41">
        <v>0</v>
      </c>
      <c r="V198" s="41">
        <v>0</v>
      </c>
      <c r="W198" s="82"/>
      <c r="Y198">
        <v>4</v>
      </c>
      <c r="Z198" t="s">
        <v>8</v>
      </c>
      <c r="AA198">
        <v>20384</v>
      </c>
      <c r="AB198">
        <v>224</v>
      </c>
      <c r="AC198">
        <v>1</v>
      </c>
      <c r="AD198">
        <v>8</v>
      </c>
      <c r="AF198" s="40">
        <v>0</v>
      </c>
      <c r="AG198" s="31">
        <v>45473</v>
      </c>
      <c r="AH198" s="30">
        <v>0.68299768518518522</v>
      </c>
      <c r="AI198">
        <v>0</v>
      </c>
      <c r="AJ198">
        <v>0</v>
      </c>
      <c r="AK198">
        <v>0</v>
      </c>
      <c r="AL198">
        <v>0</v>
      </c>
      <c r="AM198" s="41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s="83"/>
    </row>
    <row r="199" spans="1:47" x14ac:dyDescent="0.25">
      <c r="A199">
        <v>0</v>
      </c>
      <c r="B199" t="s">
        <v>8</v>
      </c>
      <c r="C199">
        <v>18368</v>
      </c>
      <c r="D199">
        <v>224</v>
      </c>
      <c r="E199">
        <v>2</v>
      </c>
      <c r="F199">
        <v>4</v>
      </c>
      <c r="G199" s="2">
        <v>2042.04</v>
      </c>
      <c r="H199" s="40">
        <v>2.0234000000000001</v>
      </c>
      <c r="I199" s="31">
        <v>45459</v>
      </c>
      <c r="J199" s="38">
        <v>0.1582986111111111</v>
      </c>
      <c r="K199" s="41">
        <v>0</v>
      </c>
      <c r="L199" s="41">
        <v>0</v>
      </c>
      <c r="M199" s="41">
        <v>0</v>
      </c>
      <c r="N199" s="41">
        <v>0</v>
      </c>
      <c r="O199" s="41">
        <v>0</v>
      </c>
      <c r="P199" s="41">
        <v>0</v>
      </c>
      <c r="Q199" s="41">
        <v>0</v>
      </c>
      <c r="R199" s="41">
        <v>0</v>
      </c>
      <c r="S199" s="41">
        <v>0</v>
      </c>
      <c r="T199" s="41">
        <v>0</v>
      </c>
      <c r="U199" s="41">
        <v>0</v>
      </c>
      <c r="V199" s="41">
        <v>0</v>
      </c>
      <c r="W199" s="82">
        <f t="shared" ref="W199" si="76">AVERAGE(H199:H203)</f>
        <v>2.0421800000000001</v>
      </c>
      <c r="Y199">
        <v>0</v>
      </c>
      <c r="Z199" t="s">
        <v>8</v>
      </c>
      <c r="AA199">
        <v>18368</v>
      </c>
      <c r="AB199">
        <v>224</v>
      </c>
      <c r="AC199">
        <v>2</v>
      </c>
      <c r="AD199">
        <v>4</v>
      </c>
      <c r="AE199">
        <v>1833.96</v>
      </c>
      <c r="AF199" s="58">
        <v>2.2530000000000001</v>
      </c>
      <c r="AG199" s="57">
        <v>45466</v>
      </c>
      <c r="AH199" s="30">
        <v>0.18535879629629629</v>
      </c>
      <c r="AI199">
        <v>0</v>
      </c>
      <c r="AJ199">
        <v>0</v>
      </c>
      <c r="AK199">
        <v>0</v>
      </c>
      <c r="AL199">
        <v>0</v>
      </c>
      <c r="AM199" s="41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s="83">
        <f t="shared" ref="AU199" si="77">AVERAGE(AF199:AF203)</f>
        <v>2.2432600000000003</v>
      </c>
    </row>
    <row r="200" spans="1:47" x14ac:dyDescent="0.25">
      <c r="A200">
        <v>1</v>
      </c>
      <c r="B200" t="s">
        <v>8</v>
      </c>
      <c r="C200">
        <v>18368</v>
      </c>
      <c r="D200">
        <v>224</v>
      </c>
      <c r="E200">
        <v>2</v>
      </c>
      <c r="F200">
        <v>4</v>
      </c>
      <c r="G200" s="2">
        <v>2017.79</v>
      </c>
      <c r="H200" s="40">
        <v>2.0476999999999999</v>
      </c>
      <c r="I200" s="31">
        <v>45460</v>
      </c>
      <c r="J200" s="38">
        <v>0.45861111111111114</v>
      </c>
      <c r="K200" s="41">
        <v>0</v>
      </c>
      <c r="L200" s="41">
        <v>0</v>
      </c>
      <c r="M200" s="41">
        <v>0</v>
      </c>
      <c r="N200" s="41">
        <v>0</v>
      </c>
      <c r="O200" s="41">
        <v>0</v>
      </c>
      <c r="P200" s="41">
        <v>0</v>
      </c>
      <c r="Q200" s="41">
        <v>0</v>
      </c>
      <c r="R200" s="41">
        <v>0</v>
      </c>
      <c r="S200" s="41">
        <v>0</v>
      </c>
      <c r="T200" s="41">
        <v>0</v>
      </c>
      <c r="U200" s="41">
        <v>0</v>
      </c>
      <c r="V200" s="41">
        <v>0</v>
      </c>
      <c r="W200" s="82"/>
      <c r="Y200">
        <v>1</v>
      </c>
      <c r="Z200" t="s">
        <v>8</v>
      </c>
      <c r="AA200">
        <v>18368</v>
      </c>
      <c r="AB200">
        <v>224</v>
      </c>
      <c r="AC200">
        <v>2</v>
      </c>
      <c r="AD200">
        <v>4</v>
      </c>
      <c r="AE200">
        <v>1923.42</v>
      </c>
      <c r="AF200" s="58">
        <v>2.1482000000000001</v>
      </c>
      <c r="AG200" s="57">
        <v>45469</v>
      </c>
      <c r="AH200" s="30">
        <v>4.0821759259259259E-2</v>
      </c>
      <c r="AI200">
        <v>0</v>
      </c>
      <c r="AJ200">
        <v>0</v>
      </c>
      <c r="AK200">
        <v>0</v>
      </c>
      <c r="AL200">
        <v>0</v>
      </c>
      <c r="AM200" s="41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s="83"/>
    </row>
    <row r="201" spans="1:47" x14ac:dyDescent="0.25">
      <c r="A201">
        <v>2</v>
      </c>
      <c r="B201" t="s">
        <v>8</v>
      </c>
      <c r="C201">
        <v>18368</v>
      </c>
      <c r="D201">
        <v>224</v>
      </c>
      <c r="E201">
        <v>2</v>
      </c>
      <c r="F201">
        <v>4</v>
      </c>
      <c r="G201" s="2">
        <v>2039.15</v>
      </c>
      <c r="H201" s="40">
        <v>2.0263</v>
      </c>
      <c r="I201" s="31">
        <v>45462</v>
      </c>
      <c r="J201" s="38">
        <v>6.368055555555556E-2</v>
      </c>
      <c r="K201" s="41">
        <v>0</v>
      </c>
      <c r="L201" s="41">
        <v>0</v>
      </c>
      <c r="M201" s="41">
        <v>0</v>
      </c>
      <c r="N201" s="41">
        <v>0</v>
      </c>
      <c r="O201" s="41">
        <v>0</v>
      </c>
      <c r="P201" s="41">
        <v>0</v>
      </c>
      <c r="Q201" s="41">
        <v>0</v>
      </c>
      <c r="R201" s="41">
        <v>0</v>
      </c>
      <c r="S201" s="41">
        <v>0</v>
      </c>
      <c r="T201" s="41">
        <v>0</v>
      </c>
      <c r="U201" s="41">
        <v>0</v>
      </c>
      <c r="V201" s="41">
        <v>0</v>
      </c>
      <c r="W201" s="82"/>
      <c r="Y201">
        <v>2</v>
      </c>
      <c r="Z201" t="s">
        <v>8</v>
      </c>
      <c r="AA201">
        <v>18368</v>
      </c>
      <c r="AB201">
        <v>224</v>
      </c>
      <c r="AC201">
        <v>2</v>
      </c>
      <c r="AD201">
        <v>4</v>
      </c>
      <c r="AE201">
        <v>1833.7</v>
      </c>
      <c r="AF201" s="58">
        <v>2.2532999999999999</v>
      </c>
      <c r="AG201" s="57">
        <v>45470</v>
      </c>
      <c r="AH201" s="30">
        <v>0.30994212962962964</v>
      </c>
      <c r="AI201">
        <v>0</v>
      </c>
      <c r="AJ201">
        <v>0</v>
      </c>
      <c r="AK201">
        <v>0</v>
      </c>
      <c r="AL201">
        <v>0</v>
      </c>
      <c r="AM201" s="4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s="83"/>
    </row>
    <row r="202" spans="1:47" x14ac:dyDescent="0.25">
      <c r="A202">
        <v>3</v>
      </c>
      <c r="B202" t="s">
        <v>8</v>
      </c>
      <c r="C202">
        <v>18368</v>
      </c>
      <c r="D202">
        <v>224</v>
      </c>
      <c r="E202">
        <v>2</v>
      </c>
      <c r="F202">
        <v>4</v>
      </c>
      <c r="G202" s="2">
        <v>1979.85</v>
      </c>
      <c r="H202" s="40">
        <v>2.0870000000000002</v>
      </c>
      <c r="I202" s="31">
        <v>45463</v>
      </c>
      <c r="J202" s="38">
        <v>0.3614236111111111</v>
      </c>
      <c r="K202" s="41">
        <v>0</v>
      </c>
      <c r="L202" s="41">
        <v>0</v>
      </c>
      <c r="M202" s="41">
        <v>0</v>
      </c>
      <c r="N202" s="41">
        <v>0</v>
      </c>
      <c r="O202" s="41">
        <v>0</v>
      </c>
      <c r="P202" s="41">
        <v>0</v>
      </c>
      <c r="Q202" s="41">
        <v>0</v>
      </c>
      <c r="R202" s="41">
        <v>0</v>
      </c>
      <c r="S202" s="41">
        <v>0</v>
      </c>
      <c r="T202" s="41">
        <v>0</v>
      </c>
      <c r="U202" s="41">
        <v>0</v>
      </c>
      <c r="V202" s="41">
        <v>0</v>
      </c>
      <c r="W202" s="82"/>
      <c r="Y202">
        <v>3</v>
      </c>
      <c r="Z202" t="s">
        <v>8</v>
      </c>
      <c r="AA202">
        <v>18368</v>
      </c>
      <c r="AB202">
        <v>224</v>
      </c>
      <c r="AC202">
        <v>2</v>
      </c>
      <c r="AD202">
        <v>4</v>
      </c>
      <c r="AE202">
        <v>1819.6</v>
      </c>
      <c r="AF202" s="58">
        <v>2.2707999999999999</v>
      </c>
      <c r="AG202" s="57">
        <v>45471</v>
      </c>
      <c r="AH202" s="30">
        <v>0.57574074074074078</v>
      </c>
      <c r="AI202">
        <v>0</v>
      </c>
      <c r="AJ202">
        <v>0</v>
      </c>
      <c r="AK202">
        <v>0</v>
      </c>
      <c r="AL202">
        <v>0</v>
      </c>
      <c r="AM202" s="41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83"/>
    </row>
    <row r="203" spans="1:47" x14ac:dyDescent="0.25">
      <c r="A203">
        <v>4</v>
      </c>
      <c r="B203" t="s">
        <v>8</v>
      </c>
      <c r="C203">
        <v>18368</v>
      </c>
      <c r="D203">
        <v>224</v>
      </c>
      <c r="E203">
        <v>2</v>
      </c>
      <c r="F203">
        <v>4</v>
      </c>
      <c r="G203" s="2">
        <v>2038.94</v>
      </c>
      <c r="H203" s="40">
        <v>2.0265</v>
      </c>
      <c r="I203" s="31">
        <v>45464</v>
      </c>
      <c r="J203" s="38">
        <v>0.64015046296296296</v>
      </c>
      <c r="K203" s="41">
        <v>0</v>
      </c>
      <c r="L203" s="41">
        <v>0</v>
      </c>
      <c r="M203" s="41">
        <v>0</v>
      </c>
      <c r="N203" s="41">
        <v>0</v>
      </c>
      <c r="O203" s="41">
        <v>0</v>
      </c>
      <c r="P203" s="41">
        <v>0</v>
      </c>
      <c r="Q203" s="41">
        <v>0</v>
      </c>
      <c r="R203" s="41">
        <v>0</v>
      </c>
      <c r="S203" s="41">
        <v>0</v>
      </c>
      <c r="T203" s="41">
        <v>0</v>
      </c>
      <c r="U203" s="41">
        <v>0</v>
      </c>
      <c r="V203" s="41">
        <v>0</v>
      </c>
      <c r="W203" s="82"/>
      <c r="Y203">
        <v>4</v>
      </c>
      <c r="Z203" t="s">
        <v>8</v>
      </c>
      <c r="AA203">
        <v>18368</v>
      </c>
      <c r="AB203">
        <v>224</v>
      </c>
      <c r="AC203">
        <v>2</v>
      </c>
      <c r="AD203">
        <v>4</v>
      </c>
      <c r="AE203">
        <v>1803.51</v>
      </c>
      <c r="AF203" s="58">
        <v>2.2909999999999999</v>
      </c>
      <c r="AG203" s="31">
        <v>45472</v>
      </c>
      <c r="AH203" s="30">
        <v>0.83849537037037036</v>
      </c>
      <c r="AI203">
        <v>0</v>
      </c>
      <c r="AJ203">
        <v>0</v>
      </c>
      <c r="AK203">
        <v>0</v>
      </c>
      <c r="AL203">
        <v>0</v>
      </c>
      <c r="AM203" s="41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s="83"/>
    </row>
    <row r="204" spans="1:47" x14ac:dyDescent="0.25">
      <c r="A204">
        <v>0</v>
      </c>
      <c r="B204" t="s">
        <v>8</v>
      </c>
      <c r="C204">
        <v>19264</v>
      </c>
      <c r="D204">
        <v>224</v>
      </c>
      <c r="E204">
        <v>2</v>
      </c>
      <c r="F204">
        <v>4</v>
      </c>
      <c r="G204" s="2">
        <v>2311.46</v>
      </c>
      <c r="H204" s="40">
        <v>2.0621</v>
      </c>
      <c r="I204" s="31">
        <v>45459</v>
      </c>
      <c r="J204" s="38">
        <v>0.60715277777777776</v>
      </c>
      <c r="K204" s="41">
        <v>0</v>
      </c>
      <c r="L204" s="41">
        <v>0</v>
      </c>
      <c r="M204" s="41">
        <v>0</v>
      </c>
      <c r="N204" s="41">
        <v>0</v>
      </c>
      <c r="O204" s="41">
        <v>0</v>
      </c>
      <c r="P204" s="41">
        <v>0</v>
      </c>
      <c r="Q204" s="41">
        <v>0</v>
      </c>
      <c r="R204" s="41">
        <v>0</v>
      </c>
      <c r="S204" s="41">
        <v>0</v>
      </c>
      <c r="T204" s="41">
        <v>0</v>
      </c>
      <c r="U204" s="41">
        <v>0</v>
      </c>
      <c r="V204" s="41">
        <v>0</v>
      </c>
      <c r="W204" s="82">
        <f t="shared" ref="W204" si="78">AVERAGE(H204:H208)</f>
        <v>2.0949599999999999</v>
      </c>
      <c r="Y204">
        <v>0</v>
      </c>
      <c r="Z204" t="s">
        <v>8</v>
      </c>
      <c r="AA204">
        <v>19264</v>
      </c>
      <c r="AB204">
        <v>224</v>
      </c>
      <c r="AC204">
        <v>2</v>
      </c>
      <c r="AD204">
        <v>4</v>
      </c>
      <c r="AE204">
        <v>2122.94</v>
      </c>
      <c r="AF204" s="58">
        <v>2.2452000000000001</v>
      </c>
      <c r="AG204" s="57">
        <v>45466</v>
      </c>
      <c r="AH204" s="30">
        <v>0.62049768518518522</v>
      </c>
      <c r="AI204">
        <v>0</v>
      </c>
      <c r="AJ204">
        <v>0</v>
      </c>
      <c r="AK204">
        <v>0</v>
      </c>
      <c r="AL204">
        <v>0</v>
      </c>
      <c r="AM204" s="41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s="83">
        <f t="shared" ref="AU204" si="79">AVERAGE(AF204:AF208)</f>
        <v>2.2704800000000001</v>
      </c>
    </row>
    <row r="205" spans="1:47" x14ac:dyDescent="0.25">
      <c r="A205">
        <v>1</v>
      </c>
      <c r="B205" t="s">
        <v>8</v>
      </c>
      <c r="C205">
        <v>19264</v>
      </c>
      <c r="D205">
        <v>224</v>
      </c>
      <c r="E205">
        <v>2</v>
      </c>
      <c r="F205">
        <v>4</v>
      </c>
      <c r="G205" s="2">
        <v>2399.13</v>
      </c>
      <c r="H205" s="40">
        <v>1.9867999999999999</v>
      </c>
      <c r="I205" s="31">
        <v>45460</v>
      </c>
      <c r="J205" s="38">
        <v>0.90716435185185185</v>
      </c>
      <c r="K205" s="41">
        <v>0</v>
      </c>
      <c r="L205" s="41">
        <v>0</v>
      </c>
      <c r="M205" s="41">
        <v>0</v>
      </c>
      <c r="N205" s="41">
        <v>0</v>
      </c>
      <c r="O205" s="41">
        <v>0</v>
      </c>
      <c r="P205" s="41">
        <v>0</v>
      </c>
      <c r="Q205" s="41">
        <v>0</v>
      </c>
      <c r="R205" s="41">
        <v>0</v>
      </c>
      <c r="S205" s="41">
        <v>0</v>
      </c>
      <c r="T205" s="41">
        <v>0</v>
      </c>
      <c r="U205" s="41">
        <v>0</v>
      </c>
      <c r="V205" s="41">
        <v>0</v>
      </c>
      <c r="W205" s="82"/>
      <c r="Y205">
        <v>1</v>
      </c>
      <c r="Z205" t="s">
        <v>8</v>
      </c>
      <c r="AA205">
        <v>19264</v>
      </c>
      <c r="AB205">
        <v>224</v>
      </c>
      <c r="AC205">
        <v>2</v>
      </c>
      <c r="AD205">
        <v>4</v>
      </c>
      <c r="AE205">
        <v>2043.79</v>
      </c>
      <c r="AF205" s="58">
        <v>2.3321999999999998</v>
      </c>
      <c r="AG205" s="57">
        <v>45469</v>
      </c>
      <c r="AH205" s="30">
        <v>0.47848379629629628</v>
      </c>
      <c r="AI205">
        <v>0</v>
      </c>
      <c r="AJ205">
        <v>0</v>
      </c>
      <c r="AK205">
        <v>0</v>
      </c>
      <c r="AL205">
        <v>0</v>
      </c>
      <c r="AM205" s="41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s="83"/>
    </row>
    <row r="206" spans="1:47" x14ac:dyDescent="0.25">
      <c r="A206">
        <v>2</v>
      </c>
      <c r="B206" t="s">
        <v>8</v>
      </c>
      <c r="C206">
        <v>19264</v>
      </c>
      <c r="D206">
        <v>224</v>
      </c>
      <c r="E206">
        <v>2</v>
      </c>
      <c r="F206">
        <v>4</v>
      </c>
      <c r="G206" s="2">
        <v>2276.56</v>
      </c>
      <c r="H206" s="40">
        <v>2.0937000000000001</v>
      </c>
      <c r="I206" s="31">
        <v>45462</v>
      </c>
      <c r="J206" s="38">
        <v>0.51407407407407413</v>
      </c>
      <c r="K206" s="41">
        <v>0</v>
      </c>
      <c r="L206" s="41">
        <v>0</v>
      </c>
      <c r="M206" s="41">
        <v>0</v>
      </c>
      <c r="N206" s="41">
        <v>0</v>
      </c>
      <c r="O206" s="41">
        <v>0</v>
      </c>
      <c r="P206" s="41">
        <v>0</v>
      </c>
      <c r="Q206" s="41">
        <v>0</v>
      </c>
      <c r="R206" s="41">
        <v>0</v>
      </c>
      <c r="S206" s="41">
        <v>0</v>
      </c>
      <c r="T206" s="41">
        <v>0</v>
      </c>
      <c r="U206" s="41">
        <v>0</v>
      </c>
      <c r="V206" s="41">
        <v>0</v>
      </c>
      <c r="W206" s="82"/>
      <c r="Y206">
        <v>2</v>
      </c>
      <c r="Z206" t="s">
        <v>8</v>
      </c>
      <c r="AA206">
        <v>19264</v>
      </c>
      <c r="AB206">
        <v>224</v>
      </c>
      <c r="AC206">
        <v>2</v>
      </c>
      <c r="AD206">
        <v>4</v>
      </c>
      <c r="AE206">
        <v>2139.84</v>
      </c>
      <c r="AF206" s="58">
        <v>2.2275</v>
      </c>
      <c r="AG206" s="57">
        <v>45470</v>
      </c>
      <c r="AH206" s="30">
        <v>0.74859953703703708</v>
      </c>
      <c r="AI206">
        <v>0</v>
      </c>
      <c r="AJ206">
        <v>0</v>
      </c>
      <c r="AK206">
        <v>0</v>
      </c>
      <c r="AL206">
        <v>0</v>
      </c>
      <c r="AM206" s="41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s="83"/>
    </row>
    <row r="207" spans="1:47" x14ac:dyDescent="0.25">
      <c r="A207">
        <v>3</v>
      </c>
      <c r="B207" t="s">
        <v>8</v>
      </c>
      <c r="C207">
        <v>19264</v>
      </c>
      <c r="D207">
        <v>224</v>
      </c>
      <c r="E207">
        <v>2</v>
      </c>
      <c r="F207">
        <v>4</v>
      </c>
      <c r="G207" s="2">
        <v>2244.9499999999998</v>
      </c>
      <c r="H207" s="40">
        <v>2.1232000000000002</v>
      </c>
      <c r="I207" s="31">
        <v>45463</v>
      </c>
      <c r="J207" s="38">
        <v>0.80787037037037035</v>
      </c>
      <c r="K207" s="41">
        <v>0</v>
      </c>
      <c r="L207" s="41">
        <v>0</v>
      </c>
      <c r="M207" s="41">
        <v>0</v>
      </c>
      <c r="N207" s="41">
        <v>0</v>
      </c>
      <c r="O207" s="41">
        <v>0</v>
      </c>
      <c r="P207" s="41">
        <v>0</v>
      </c>
      <c r="Q207" s="41">
        <v>0</v>
      </c>
      <c r="R207" s="41">
        <v>0</v>
      </c>
      <c r="S207" s="41">
        <v>0</v>
      </c>
      <c r="T207" s="41">
        <v>0</v>
      </c>
      <c r="U207" s="41">
        <v>0</v>
      </c>
      <c r="V207" s="41">
        <v>0</v>
      </c>
      <c r="W207" s="82"/>
      <c r="Y207">
        <v>3</v>
      </c>
      <c r="Z207" t="s">
        <v>8</v>
      </c>
      <c r="AA207">
        <v>19264</v>
      </c>
      <c r="AB207">
        <v>224</v>
      </c>
      <c r="AC207">
        <v>2</v>
      </c>
      <c r="AD207">
        <v>4</v>
      </c>
      <c r="AE207">
        <v>2083.9699999999998</v>
      </c>
      <c r="AF207" s="58">
        <v>2.2871999999999999</v>
      </c>
      <c r="AG207" s="57">
        <v>45472</v>
      </c>
      <c r="AH207" s="30">
        <v>1.2268518518518519E-2</v>
      </c>
      <c r="AI207">
        <v>0</v>
      </c>
      <c r="AJ207">
        <v>0</v>
      </c>
      <c r="AK207">
        <v>0</v>
      </c>
      <c r="AL207">
        <v>0</v>
      </c>
      <c r="AM207" s="41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s="83"/>
    </row>
    <row r="208" spans="1:47" x14ac:dyDescent="0.25">
      <c r="A208">
        <v>4</v>
      </c>
      <c r="B208" t="s">
        <v>8</v>
      </c>
      <c r="C208">
        <v>19264</v>
      </c>
      <c r="D208">
        <v>224</v>
      </c>
      <c r="E208">
        <v>2</v>
      </c>
      <c r="F208">
        <v>4</v>
      </c>
      <c r="G208" s="2">
        <v>2157.7399999999998</v>
      </c>
      <c r="H208" s="40">
        <v>2.2090000000000001</v>
      </c>
      <c r="I208" s="31">
        <v>45465</v>
      </c>
      <c r="J208" s="38">
        <v>8.44212962962963E-2</v>
      </c>
      <c r="K208" s="41">
        <v>0</v>
      </c>
      <c r="L208" s="41">
        <v>0</v>
      </c>
      <c r="M208" s="41">
        <v>0</v>
      </c>
      <c r="N208" s="41">
        <v>0</v>
      </c>
      <c r="O208" s="41">
        <v>0</v>
      </c>
      <c r="P208" s="41">
        <v>0</v>
      </c>
      <c r="Q208" s="41">
        <v>0</v>
      </c>
      <c r="R208" s="41">
        <v>0</v>
      </c>
      <c r="S208" s="41">
        <v>0</v>
      </c>
      <c r="T208" s="41">
        <v>0</v>
      </c>
      <c r="U208" s="41">
        <v>0</v>
      </c>
      <c r="V208" s="41">
        <v>0</v>
      </c>
      <c r="W208" s="82"/>
      <c r="Y208">
        <v>4</v>
      </c>
      <c r="Z208" t="s">
        <v>8</v>
      </c>
      <c r="AA208">
        <v>19264</v>
      </c>
      <c r="AB208">
        <v>224</v>
      </c>
      <c r="AC208">
        <v>2</v>
      </c>
      <c r="AD208">
        <v>4</v>
      </c>
      <c r="AE208">
        <v>2108.83</v>
      </c>
      <c r="AF208" s="58">
        <v>2.2603</v>
      </c>
      <c r="AG208" s="31">
        <v>45473</v>
      </c>
      <c r="AH208" s="30">
        <v>0.28021990740740743</v>
      </c>
      <c r="AI208">
        <v>0</v>
      </c>
      <c r="AJ208">
        <v>0</v>
      </c>
      <c r="AK208">
        <v>0</v>
      </c>
      <c r="AL208">
        <v>0</v>
      </c>
      <c r="AM208" s="41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s="83"/>
    </row>
    <row r="209" spans="1:47" x14ac:dyDescent="0.25">
      <c r="A209">
        <v>0</v>
      </c>
      <c r="B209" t="s">
        <v>8</v>
      </c>
      <c r="C209">
        <v>20384</v>
      </c>
      <c r="D209">
        <v>224</v>
      </c>
      <c r="E209">
        <v>2</v>
      </c>
      <c r="F209">
        <v>4</v>
      </c>
      <c r="G209" s="2">
        <v>2846.42</v>
      </c>
      <c r="H209" s="40">
        <v>1.9839</v>
      </c>
      <c r="I209" s="31">
        <v>45460</v>
      </c>
      <c r="J209" s="38">
        <v>7.6932870370370374E-2</v>
      </c>
      <c r="K209" s="41">
        <v>0</v>
      </c>
      <c r="L209" s="41">
        <v>0</v>
      </c>
      <c r="M209" s="41">
        <v>0</v>
      </c>
      <c r="N209" s="41">
        <v>0</v>
      </c>
      <c r="O209" s="41">
        <v>0</v>
      </c>
      <c r="P209" s="41">
        <v>0</v>
      </c>
      <c r="Q209" s="41">
        <v>0</v>
      </c>
      <c r="R209" s="41">
        <v>0</v>
      </c>
      <c r="S209" s="41">
        <v>0</v>
      </c>
      <c r="T209" s="41">
        <v>0</v>
      </c>
      <c r="U209" s="41">
        <v>0</v>
      </c>
      <c r="V209" s="41">
        <v>0</v>
      </c>
      <c r="W209" s="82">
        <f t="shared" ref="W209" si="80">AVERAGE(H209:H213)</f>
        <v>1.6191200000000001</v>
      </c>
      <c r="Y209">
        <v>0</v>
      </c>
      <c r="Z209" t="s">
        <v>8</v>
      </c>
      <c r="AA209">
        <v>20384</v>
      </c>
      <c r="AB209">
        <v>224</v>
      </c>
      <c r="AC209">
        <v>2</v>
      </c>
      <c r="AD209">
        <v>4</v>
      </c>
      <c r="AE209">
        <v>2461.9</v>
      </c>
      <c r="AF209" s="58">
        <v>2.2938000000000001</v>
      </c>
      <c r="AG209" s="57">
        <v>45468</v>
      </c>
      <c r="AH209" s="30">
        <v>0.66991898148148143</v>
      </c>
      <c r="AI209">
        <v>0</v>
      </c>
      <c r="AJ209">
        <v>0</v>
      </c>
      <c r="AK209">
        <v>0</v>
      </c>
      <c r="AL209">
        <v>0</v>
      </c>
      <c r="AM209" s="41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s="83">
        <f t="shared" ref="AU209" si="81">AVERAGE(AF209:AF213)</f>
        <v>2.2532800000000002</v>
      </c>
    </row>
    <row r="210" spans="1:47" x14ac:dyDescent="0.25">
      <c r="A210">
        <v>1</v>
      </c>
      <c r="B210" t="s">
        <v>8</v>
      </c>
      <c r="C210">
        <v>20384</v>
      </c>
      <c r="D210">
        <v>224</v>
      </c>
      <c r="E210">
        <v>2</v>
      </c>
      <c r="F210">
        <v>4</v>
      </c>
      <c r="G210" s="2">
        <v>2688.32</v>
      </c>
      <c r="H210" s="40">
        <v>2.1006</v>
      </c>
      <c r="I210" s="31">
        <v>45461</v>
      </c>
      <c r="J210" s="38">
        <v>0.68775462962962963</v>
      </c>
      <c r="K210" s="41">
        <v>0</v>
      </c>
      <c r="L210" s="41">
        <v>0</v>
      </c>
      <c r="M210" s="41">
        <v>0</v>
      </c>
      <c r="N210" s="41">
        <v>0</v>
      </c>
      <c r="O210" s="41">
        <v>0</v>
      </c>
      <c r="P210" s="41">
        <v>0</v>
      </c>
      <c r="Q210" s="41">
        <v>0</v>
      </c>
      <c r="R210" s="41">
        <v>0</v>
      </c>
      <c r="S210" s="41">
        <v>0</v>
      </c>
      <c r="T210" s="41">
        <v>0</v>
      </c>
      <c r="U210" s="41">
        <v>0</v>
      </c>
      <c r="V210" s="41">
        <v>0</v>
      </c>
      <c r="W210" s="82"/>
      <c r="Y210">
        <v>1</v>
      </c>
      <c r="Z210" t="s">
        <v>8</v>
      </c>
      <c r="AA210">
        <v>20384</v>
      </c>
      <c r="AB210">
        <v>224</v>
      </c>
      <c r="AC210">
        <v>2</v>
      </c>
      <c r="AD210">
        <v>4</v>
      </c>
      <c r="AE210">
        <v>2507.3000000000002</v>
      </c>
      <c r="AF210" s="58">
        <v>2.2523</v>
      </c>
      <c r="AG210" s="57">
        <v>45469</v>
      </c>
      <c r="AH210" s="30">
        <v>0.93166666666666664</v>
      </c>
      <c r="AI210">
        <v>0</v>
      </c>
      <c r="AJ210">
        <v>0</v>
      </c>
      <c r="AK210">
        <v>0</v>
      </c>
      <c r="AL210">
        <v>0</v>
      </c>
      <c r="AM210" s="41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s="83"/>
    </row>
    <row r="211" spans="1:47" x14ac:dyDescent="0.25">
      <c r="A211">
        <v>2</v>
      </c>
      <c r="B211" t="s">
        <v>8</v>
      </c>
      <c r="C211">
        <v>20384</v>
      </c>
      <c r="D211">
        <v>224</v>
      </c>
      <c r="E211">
        <v>2</v>
      </c>
      <c r="F211">
        <v>4</v>
      </c>
      <c r="G211" s="2">
        <v>2853.13</v>
      </c>
      <c r="H211" s="40">
        <v>1.9793000000000001</v>
      </c>
      <c r="I211" s="31">
        <v>45462</v>
      </c>
      <c r="J211" s="38">
        <v>0.98662037037037043</v>
      </c>
      <c r="K211" s="41">
        <v>0</v>
      </c>
      <c r="L211" s="41">
        <v>0</v>
      </c>
      <c r="M211" s="41">
        <v>0</v>
      </c>
      <c r="N211" s="41">
        <v>0</v>
      </c>
      <c r="O211" s="41">
        <v>0</v>
      </c>
      <c r="P211" s="41">
        <v>0</v>
      </c>
      <c r="Q211" s="41">
        <v>0</v>
      </c>
      <c r="R211" s="41">
        <v>0</v>
      </c>
      <c r="S211" s="41">
        <v>0</v>
      </c>
      <c r="T211" s="41">
        <v>0</v>
      </c>
      <c r="U211" s="41">
        <v>0</v>
      </c>
      <c r="V211" s="41">
        <v>0</v>
      </c>
      <c r="W211" s="82"/>
      <c r="Y211">
        <v>2</v>
      </c>
      <c r="Z211" t="s">
        <v>8</v>
      </c>
      <c r="AA211">
        <v>20384</v>
      </c>
      <c r="AB211">
        <v>224</v>
      </c>
      <c r="AC211">
        <v>2</v>
      </c>
      <c r="AD211">
        <v>4</v>
      </c>
      <c r="AE211">
        <v>2425.11</v>
      </c>
      <c r="AF211" s="58">
        <v>2.3285999999999998</v>
      </c>
      <c r="AG211" s="57">
        <v>45471</v>
      </c>
      <c r="AH211" s="30">
        <v>0.20359953703703704</v>
      </c>
      <c r="AI211">
        <v>0</v>
      </c>
      <c r="AJ211">
        <v>0</v>
      </c>
      <c r="AK211">
        <v>0</v>
      </c>
      <c r="AL211">
        <v>0</v>
      </c>
      <c r="AM211" s="4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s="83"/>
    </row>
    <row r="212" spans="1:47" x14ac:dyDescent="0.25">
      <c r="A212">
        <v>3</v>
      </c>
      <c r="B212" s="31" t="s">
        <v>8</v>
      </c>
      <c r="C212" s="30">
        <v>20384</v>
      </c>
      <c r="D212">
        <v>224</v>
      </c>
      <c r="E212">
        <v>2</v>
      </c>
      <c r="F212">
        <v>4</v>
      </c>
      <c r="G212" s="2">
        <v>0</v>
      </c>
      <c r="H212" s="40">
        <v>0</v>
      </c>
      <c r="I212" s="31">
        <v>45464</v>
      </c>
      <c r="J212" s="38">
        <v>0.2675925925925926</v>
      </c>
      <c r="K212" s="41">
        <v>0</v>
      </c>
      <c r="L212" s="41">
        <v>0</v>
      </c>
      <c r="M212" s="41">
        <v>0</v>
      </c>
      <c r="N212" s="41">
        <v>0</v>
      </c>
      <c r="O212" s="41">
        <v>0</v>
      </c>
      <c r="P212" s="41">
        <v>0</v>
      </c>
      <c r="Q212" s="41">
        <v>0</v>
      </c>
      <c r="R212" s="41">
        <v>0</v>
      </c>
      <c r="S212" s="41">
        <v>0</v>
      </c>
      <c r="T212" s="41">
        <v>0</v>
      </c>
      <c r="U212" s="41">
        <v>0</v>
      </c>
      <c r="V212" s="41">
        <v>0</v>
      </c>
      <c r="W212" s="82"/>
      <c r="Y212">
        <v>3</v>
      </c>
      <c r="Z212" t="s">
        <v>8</v>
      </c>
      <c r="AA212">
        <v>20384</v>
      </c>
      <c r="AB212">
        <v>224</v>
      </c>
      <c r="AC212">
        <v>2</v>
      </c>
      <c r="AD212">
        <v>4</v>
      </c>
      <c r="AE212">
        <v>2501.85</v>
      </c>
      <c r="AF212" s="58">
        <v>2.2572000000000001</v>
      </c>
      <c r="AG212" s="31">
        <v>45472</v>
      </c>
      <c r="AH212" s="30">
        <v>0.46994212962962961</v>
      </c>
      <c r="AI212">
        <v>0</v>
      </c>
      <c r="AJ212">
        <v>0</v>
      </c>
      <c r="AK212">
        <v>0</v>
      </c>
      <c r="AL212">
        <v>0</v>
      </c>
      <c r="AM212" s="41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s="83"/>
    </row>
    <row r="213" spans="1:47" x14ac:dyDescent="0.25">
      <c r="A213">
        <v>4</v>
      </c>
      <c r="B213" t="s">
        <v>8</v>
      </c>
      <c r="C213">
        <v>20384</v>
      </c>
      <c r="D213">
        <v>224</v>
      </c>
      <c r="E213">
        <v>2</v>
      </c>
      <c r="F213">
        <v>4</v>
      </c>
      <c r="G213" s="2">
        <v>2779.32</v>
      </c>
      <c r="H213" s="40">
        <v>2.0318000000000001</v>
      </c>
      <c r="I213" s="31">
        <v>45465</v>
      </c>
      <c r="J213" s="38">
        <v>0.54204861111111113</v>
      </c>
      <c r="K213" s="41">
        <v>0</v>
      </c>
      <c r="L213" s="41">
        <v>0</v>
      </c>
      <c r="M213" s="41">
        <v>0</v>
      </c>
      <c r="N213" s="41">
        <v>0</v>
      </c>
      <c r="O213" s="41">
        <v>0</v>
      </c>
      <c r="P213" s="41">
        <v>0</v>
      </c>
      <c r="Q213" s="41">
        <v>0</v>
      </c>
      <c r="R213" s="41">
        <v>0</v>
      </c>
      <c r="S213" s="41">
        <v>0</v>
      </c>
      <c r="T213" s="41">
        <v>0</v>
      </c>
      <c r="U213" s="41">
        <v>0</v>
      </c>
      <c r="V213" s="41">
        <v>0</v>
      </c>
      <c r="W213" s="82"/>
      <c r="Y213">
        <v>4</v>
      </c>
      <c r="Z213" t="s">
        <v>8</v>
      </c>
      <c r="AA213">
        <v>20384</v>
      </c>
      <c r="AB213">
        <v>224</v>
      </c>
      <c r="AC213">
        <v>2</v>
      </c>
      <c r="AD213">
        <v>4</v>
      </c>
      <c r="AE213">
        <v>2645.68</v>
      </c>
      <c r="AF213" s="58">
        <v>2.1345000000000001</v>
      </c>
      <c r="AG213" s="31">
        <v>45473</v>
      </c>
      <c r="AH213" s="30">
        <v>0.716400462962963</v>
      </c>
      <c r="AI213">
        <v>0</v>
      </c>
      <c r="AJ213">
        <v>0</v>
      </c>
      <c r="AK213">
        <v>0</v>
      </c>
      <c r="AL213">
        <v>0</v>
      </c>
      <c r="AM213" s="41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s="83"/>
    </row>
    <row r="214" spans="1:47" x14ac:dyDescent="0.25">
      <c r="A214">
        <v>0</v>
      </c>
      <c r="B214" t="s">
        <v>8</v>
      </c>
      <c r="C214">
        <v>18176</v>
      </c>
      <c r="D214">
        <v>256</v>
      </c>
      <c r="E214">
        <v>1</v>
      </c>
      <c r="F214">
        <v>8</v>
      </c>
      <c r="G214" s="2">
        <v>1980.06</v>
      </c>
      <c r="H214" s="40">
        <v>2.0219999999999998</v>
      </c>
      <c r="I214" s="31">
        <v>45459</v>
      </c>
      <c r="J214" s="38">
        <v>0.18187500000000001</v>
      </c>
      <c r="K214" s="41">
        <v>0</v>
      </c>
      <c r="L214" s="41">
        <v>0</v>
      </c>
      <c r="M214" s="41">
        <v>0</v>
      </c>
      <c r="N214" s="41">
        <v>0</v>
      </c>
      <c r="O214" s="41">
        <v>0</v>
      </c>
      <c r="P214" s="41">
        <v>0</v>
      </c>
      <c r="Q214" s="41">
        <v>0</v>
      </c>
      <c r="R214" s="41">
        <v>0</v>
      </c>
      <c r="S214" s="41">
        <v>0</v>
      </c>
      <c r="T214" s="41">
        <v>0</v>
      </c>
      <c r="U214" s="41">
        <v>0</v>
      </c>
      <c r="V214" s="41">
        <v>0</v>
      </c>
      <c r="W214" s="82">
        <f t="shared" ref="W214" si="82">AVERAGE(H214:H218)</f>
        <v>2.0209999999999999</v>
      </c>
      <c r="Y214">
        <v>0</v>
      </c>
      <c r="Z214" t="s">
        <v>8</v>
      </c>
      <c r="AA214">
        <v>18176</v>
      </c>
      <c r="AB214">
        <v>256</v>
      </c>
      <c r="AC214">
        <v>1</v>
      </c>
      <c r="AD214">
        <v>8</v>
      </c>
      <c r="AE214">
        <v>1766.36</v>
      </c>
      <c r="AF214" s="58">
        <v>2.2665999999999999</v>
      </c>
      <c r="AG214" s="57">
        <v>45466</v>
      </c>
      <c r="AH214" s="30">
        <v>0.20821759259259259</v>
      </c>
      <c r="AI214">
        <v>0</v>
      </c>
      <c r="AJ214">
        <v>0</v>
      </c>
      <c r="AK214">
        <v>0</v>
      </c>
      <c r="AL214">
        <v>0</v>
      </c>
      <c r="AM214" s="41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s="83">
        <f t="shared" ref="AU214" si="83">AVERAGE(AF214:AF218)</f>
        <v>2.2600199999999999</v>
      </c>
    </row>
    <row r="215" spans="1:47" x14ac:dyDescent="0.25">
      <c r="A215">
        <v>1</v>
      </c>
      <c r="B215" t="s">
        <v>8</v>
      </c>
      <c r="C215">
        <v>18176</v>
      </c>
      <c r="D215">
        <v>256</v>
      </c>
      <c r="E215">
        <v>1</v>
      </c>
      <c r="F215">
        <v>8</v>
      </c>
      <c r="G215" s="2">
        <v>1936.58</v>
      </c>
      <c r="H215" s="40">
        <v>2.0674000000000001</v>
      </c>
      <c r="I215" s="31">
        <v>45460</v>
      </c>
      <c r="J215" s="38">
        <v>0.48159722222222223</v>
      </c>
      <c r="K215" s="41">
        <v>0</v>
      </c>
      <c r="L215" s="41">
        <v>0</v>
      </c>
      <c r="M215" s="41">
        <v>0</v>
      </c>
      <c r="N215" s="41">
        <v>0</v>
      </c>
      <c r="O215" s="41">
        <v>0</v>
      </c>
      <c r="P215" s="41">
        <v>0</v>
      </c>
      <c r="Q215" s="41">
        <v>0</v>
      </c>
      <c r="R215" s="41">
        <v>0</v>
      </c>
      <c r="S215" s="41">
        <v>0</v>
      </c>
      <c r="T215" s="41">
        <v>0</v>
      </c>
      <c r="U215" s="41">
        <v>0</v>
      </c>
      <c r="V215" s="41">
        <v>0</v>
      </c>
      <c r="W215" s="82"/>
      <c r="Y215">
        <v>1</v>
      </c>
      <c r="Z215" t="s">
        <v>8</v>
      </c>
      <c r="AA215">
        <v>18176</v>
      </c>
      <c r="AB215">
        <v>256</v>
      </c>
      <c r="AC215">
        <v>1</v>
      </c>
      <c r="AD215">
        <v>8</v>
      </c>
      <c r="AE215">
        <v>1745.91</v>
      </c>
      <c r="AF215" s="58">
        <v>2.2932000000000001</v>
      </c>
      <c r="AG215" s="57">
        <v>45469</v>
      </c>
      <c r="AH215" s="30">
        <v>6.3611111111111104E-2</v>
      </c>
      <c r="AI215">
        <v>0</v>
      </c>
      <c r="AJ215">
        <v>0</v>
      </c>
      <c r="AK215">
        <v>0</v>
      </c>
      <c r="AL215">
        <v>0</v>
      </c>
      <c r="AM215" s="41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s="83"/>
    </row>
    <row r="216" spans="1:47" x14ac:dyDescent="0.25">
      <c r="A216">
        <v>2</v>
      </c>
      <c r="B216" t="s">
        <v>8</v>
      </c>
      <c r="C216">
        <v>18176</v>
      </c>
      <c r="D216">
        <v>256</v>
      </c>
      <c r="E216">
        <v>1</v>
      </c>
      <c r="F216">
        <v>8</v>
      </c>
      <c r="G216" s="2">
        <v>2006.08</v>
      </c>
      <c r="H216" s="40">
        <v>1.9958</v>
      </c>
      <c r="I216" s="31">
        <v>45462</v>
      </c>
      <c r="J216" s="38">
        <v>8.7476851851851847E-2</v>
      </c>
      <c r="K216" s="41">
        <v>0</v>
      </c>
      <c r="L216" s="41">
        <v>0</v>
      </c>
      <c r="M216" s="41">
        <v>0</v>
      </c>
      <c r="N216" s="41">
        <v>0</v>
      </c>
      <c r="O216" s="41">
        <v>0</v>
      </c>
      <c r="P216" s="41">
        <v>0</v>
      </c>
      <c r="Q216" s="41">
        <v>0</v>
      </c>
      <c r="R216" s="41">
        <v>0</v>
      </c>
      <c r="S216" s="41">
        <v>0</v>
      </c>
      <c r="T216" s="41">
        <v>0</v>
      </c>
      <c r="U216" s="41">
        <v>0</v>
      </c>
      <c r="V216" s="41">
        <v>0</v>
      </c>
      <c r="W216" s="82"/>
      <c r="Y216">
        <v>2</v>
      </c>
      <c r="Z216" t="s">
        <v>8</v>
      </c>
      <c r="AA216">
        <v>18176</v>
      </c>
      <c r="AB216">
        <v>256</v>
      </c>
      <c r="AC216">
        <v>1</v>
      </c>
      <c r="AD216">
        <v>8</v>
      </c>
      <c r="AE216">
        <v>1839.02</v>
      </c>
      <c r="AF216" s="58">
        <v>2.1770999999999998</v>
      </c>
      <c r="AG216" s="57">
        <v>45470</v>
      </c>
      <c r="AH216" s="30">
        <v>0.33356481481481481</v>
      </c>
      <c r="AI216">
        <v>0</v>
      </c>
      <c r="AJ216">
        <v>0</v>
      </c>
      <c r="AK216">
        <v>0</v>
      </c>
      <c r="AL216">
        <v>0</v>
      </c>
      <c r="AM216" s="41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s="83"/>
    </row>
    <row r="217" spans="1:47" x14ac:dyDescent="0.25">
      <c r="A217">
        <v>3</v>
      </c>
      <c r="B217" t="s">
        <v>8</v>
      </c>
      <c r="C217">
        <v>18176</v>
      </c>
      <c r="D217">
        <v>256</v>
      </c>
      <c r="E217">
        <v>1</v>
      </c>
      <c r="F217">
        <v>8</v>
      </c>
      <c r="G217" s="2">
        <v>1962.16</v>
      </c>
      <c r="H217" s="40">
        <v>2.0404</v>
      </c>
      <c r="I217" s="31">
        <v>45463</v>
      </c>
      <c r="J217" s="38">
        <v>0.38476851851851851</v>
      </c>
      <c r="K217" s="41">
        <v>0</v>
      </c>
      <c r="L217" s="41">
        <v>0</v>
      </c>
      <c r="M217" s="41">
        <v>0</v>
      </c>
      <c r="N217" s="41">
        <v>0</v>
      </c>
      <c r="O217" s="41">
        <v>0</v>
      </c>
      <c r="P217" s="41">
        <v>0</v>
      </c>
      <c r="Q217" s="41">
        <v>0</v>
      </c>
      <c r="R217" s="41">
        <v>0</v>
      </c>
      <c r="S217" s="41">
        <v>0</v>
      </c>
      <c r="T217" s="41">
        <v>0</v>
      </c>
      <c r="U217" s="41">
        <v>0</v>
      </c>
      <c r="V217" s="41">
        <v>0</v>
      </c>
      <c r="W217" s="82"/>
      <c r="Y217">
        <v>3</v>
      </c>
      <c r="Z217" t="s">
        <v>8</v>
      </c>
      <c r="AA217">
        <v>18176</v>
      </c>
      <c r="AB217">
        <v>256</v>
      </c>
      <c r="AC217">
        <v>1</v>
      </c>
      <c r="AD217">
        <v>8</v>
      </c>
      <c r="AE217">
        <v>1768.41</v>
      </c>
      <c r="AF217" s="58">
        <v>2.2639999999999998</v>
      </c>
      <c r="AG217" s="57">
        <v>45471</v>
      </c>
      <c r="AH217" s="30">
        <v>0.59865740740740736</v>
      </c>
      <c r="AI217">
        <v>0</v>
      </c>
      <c r="AJ217">
        <v>0</v>
      </c>
      <c r="AK217">
        <v>0</v>
      </c>
      <c r="AL217">
        <v>0</v>
      </c>
      <c r="AM217" s="41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s="83"/>
    </row>
    <row r="218" spans="1:47" x14ac:dyDescent="0.25">
      <c r="A218">
        <v>4</v>
      </c>
      <c r="B218" t="s">
        <v>8</v>
      </c>
      <c r="C218">
        <v>18176</v>
      </c>
      <c r="D218">
        <v>256</v>
      </c>
      <c r="E218">
        <v>1</v>
      </c>
      <c r="F218">
        <v>8</v>
      </c>
      <c r="G218" s="2">
        <v>2022.71</v>
      </c>
      <c r="H218" s="40">
        <v>1.9794</v>
      </c>
      <c r="I218" s="31">
        <v>45464</v>
      </c>
      <c r="J218" s="38">
        <v>0.66427083333333337</v>
      </c>
      <c r="K218" s="41">
        <v>0</v>
      </c>
      <c r="L218" s="41">
        <v>0</v>
      </c>
      <c r="M218" s="41">
        <v>0</v>
      </c>
      <c r="N218" s="41">
        <v>0</v>
      </c>
      <c r="O218" s="41">
        <v>0</v>
      </c>
      <c r="P218" s="41">
        <v>0</v>
      </c>
      <c r="Q218" s="41">
        <v>0</v>
      </c>
      <c r="R218" s="41">
        <v>0</v>
      </c>
      <c r="S218" s="41">
        <v>0</v>
      </c>
      <c r="T218" s="41">
        <v>0</v>
      </c>
      <c r="U218" s="41">
        <v>0</v>
      </c>
      <c r="V218" s="41">
        <v>0</v>
      </c>
      <c r="W218" s="82"/>
      <c r="Y218">
        <v>4</v>
      </c>
      <c r="Z218" t="s">
        <v>8</v>
      </c>
      <c r="AA218">
        <v>18176</v>
      </c>
      <c r="AB218">
        <v>256</v>
      </c>
      <c r="AC218">
        <v>1</v>
      </c>
      <c r="AD218">
        <v>8</v>
      </c>
      <c r="AE218">
        <v>1741.32</v>
      </c>
      <c r="AF218" s="58">
        <v>2.2991999999999999</v>
      </c>
      <c r="AG218" s="31">
        <v>45472</v>
      </c>
      <c r="AH218" s="30">
        <v>0.86105324074074074</v>
      </c>
      <c r="AI218">
        <v>0</v>
      </c>
      <c r="AJ218">
        <v>0</v>
      </c>
      <c r="AK218">
        <v>0</v>
      </c>
      <c r="AL218">
        <v>0</v>
      </c>
      <c r="AM218" s="41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s="83"/>
    </row>
    <row r="219" spans="1:47" x14ac:dyDescent="0.25">
      <c r="A219">
        <v>0</v>
      </c>
      <c r="B219" t="s">
        <v>8</v>
      </c>
      <c r="C219">
        <v>19456</v>
      </c>
      <c r="D219">
        <v>256</v>
      </c>
      <c r="E219">
        <v>1</v>
      </c>
      <c r="F219">
        <v>8</v>
      </c>
      <c r="G219" s="2">
        <v>2423.0700000000002</v>
      </c>
      <c r="H219" s="40">
        <v>2.0265</v>
      </c>
      <c r="I219" s="31">
        <v>45459</v>
      </c>
      <c r="J219" s="38">
        <v>0.63587962962962963</v>
      </c>
      <c r="K219" s="41">
        <v>0</v>
      </c>
      <c r="L219" s="41">
        <v>0</v>
      </c>
      <c r="M219" s="41">
        <v>0</v>
      </c>
      <c r="N219" s="41">
        <v>0</v>
      </c>
      <c r="O219" s="41">
        <v>0</v>
      </c>
      <c r="P219" s="41">
        <v>0</v>
      </c>
      <c r="Q219" s="41">
        <v>0</v>
      </c>
      <c r="R219" s="41">
        <v>0</v>
      </c>
      <c r="S219" s="41">
        <v>0</v>
      </c>
      <c r="T219" s="41">
        <v>0</v>
      </c>
      <c r="U219" s="41">
        <v>0</v>
      </c>
      <c r="V219" s="41">
        <v>0</v>
      </c>
      <c r="W219" s="82">
        <f t="shared" ref="W219" si="84">AVERAGE(H219:H223)</f>
        <v>1.9952400000000001</v>
      </c>
      <c r="Y219">
        <v>0</v>
      </c>
      <c r="Z219" t="s">
        <v>8</v>
      </c>
      <c r="AA219">
        <v>19456</v>
      </c>
      <c r="AB219">
        <v>256</v>
      </c>
      <c r="AC219">
        <v>1</v>
      </c>
      <c r="AD219">
        <v>8</v>
      </c>
      <c r="AE219">
        <v>2108.89</v>
      </c>
      <c r="AF219" s="58">
        <v>2.3283999999999998</v>
      </c>
      <c r="AG219" s="57">
        <v>45466</v>
      </c>
      <c r="AH219" s="30">
        <v>0.64773148148148152</v>
      </c>
      <c r="AI219">
        <v>0</v>
      </c>
      <c r="AJ219">
        <v>0</v>
      </c>
      <c r="AK219">
        <v>0</v>
      </c>
      <c r="AL219">
        <v>0</v>
      </c>
      <c r="AM219" s="41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s="83">
        <f t="shared" ref="AU219" si="85">AVERAGE(AF219:AF223)</f>
        <v>2.3167</v>
      </c>
    </row>
    <row r="220" spans="1:47" x14ac:dyDescent="0.25">
      <c r="A220">
        <v>1</v>
      </c>
      <c r="B220" t="s">
        <v>8</v>
      </c>
      <c r="C220">
        <v>19456</v>
      </c>
      <c r="D220">
        <v>256</v>
      </c>
      <c r="E220">
        <v>1</v>
      </c>
      <c r="F220">
        <v>8</v>
      </c>
      <c r="G220" s="2">
        <v>2495.9299999999998</v>
      </c>
      <c r="H220" s="40">
        <v>1.9674</v>
      </c>
      <c r="I220" s="31">
        <v>45460</v>
      </c>
      <c r="J220" s="38">
        <v>0.93672453703703706</v>
      </c>
      <c r="K220" s="41">
        <v>0</v>
      </c>
      <c r="L220" s="41">
        <v>0</v>
      </c>
      <c r="M220" s="41">
        <v>0</v>
      </c>
      <c r="N220" s="41">
        <v>0</v>
      </c>
      <c r="O220" s="41">
        <v>0</v>
      </c>
      <c r="P220" s="41">
        <v>0</v>
      </c>
      <c r="Q220" s="41">
        <v>0</v>
      </c>
      <c r="R220" s="41">
        <v>0</v>
      </c>
      <c r="S220" s="41">
        <v>0</v>
      </c>
      <c r="T220" s="41">
        <v>0</v>
      </c>
      <c r="U220" s="41">
        <v>0</v>
      </c>
      <c r="V220" s="41">
        <v>0</v>
      </c>
      <c r="W220" s="82"/>
      <c r="Y220">
        <v>1</v>
      </c>
      <c r="Z220" t="s">
        <v>8</v>
      </c>
      <c r="AA220">
        <v>19456</v>
      </c>
      <c r="AB220">
        <v>256</v>
      </c>
      <c r="AC220">
        <v>1</v>
      </c>
      <c r="AD220">
        <v>8</v>
      </c>
      <c r="AE220">
        <v>2078.67</v>
      </c>
      <c r="AF220" s="58">
        <v>2.3622999999999998</v>
      </c>
      <c r="AG220" s="57">
        <v>45469</v>
      </c>
      <c r="AH220" s="30">
        <v>0.50540509259259259</v>
      </c>
      <c r="AI220">
        <v>0</v>
      </c>
      <c r="AJ220">
        <v>0</v>
      </c>
      <c r="AK220">
        <v>0</v>
      </c>
      <c r="AL220">
        <v>0</v>
      </c>
      <c r="AM220" s="41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s="83"/>
    </row>
    <row r="221" spans="1:47" x14ac:dyDescent="0.25">
      <c r="A221">
        <v>2</v>
      </c>
      <c r="B221" t="s">
        <v>8</v>
      </c>
      <c r="C221">
        <v>19456</v>
      </c>
      <c r="D221">
        <v>256</v>
      </c>
      <c r="E221">
        <v>1</v>
      </c>
      <c r="F221">
        <v>8</v>
      </c>
      <c r="G221" s="2">
        <v>2484.59</v>
      </c>
      <c r="H221" s="40">
        <v>1.9763999999999999</v>
      </c>
      <c r="I221" s="31">
        <v>45462</v>
      </c>
      <c r="J221" s="38">
        <v>0.54362268518518519</v>
      </c>
      <c r="K221" s="41">
        <v>0</v>
      </c>
      <c r="L221" s="41">
        <v>0</v>
      </c>
      <c r="M221" s="41">
        <v>0</v>
      </c>
      <c r="N221" s="41">
        <v>0</v>
      </c>
      <c r="O221" s="41">
        <v>0</v>
      </c>
      <c r="P221" s="41">
        <v>0</v>
      </c>
      <c r="Q221" s="41">
        <v>0</v>
      </c>
      <c r="R221" s="41">
        <v>0</v>
      </c>
      <c r="S221" s="41">
        <v>0</v>
      </c>
      <c r="T221" s="41">
        <v>0</v>
      </c>
      <c r="U221" s="41">
        <v>0</v>
      </c>
      <c r="V221" s="41">
        <v>0</v>
      </c>
      <c r="W221" s="82"/>
      <c r="Y221">
        <v>2</v>
      </c>
      <c r="Z221" t="s">
        <v>8</v>
      </c>
      <c r="AA221">
        <v>19456</v>
      </c>
      <c r="AB221">
        <v>256</v>
      </c>
      <c r="AC221">
        <v>1</v>
      </c>
      <c r="AD221">
        <v>8</v>
      </c>
      <c r="AE221">
        <v>2133.71</v>
      </c>
      <c r="AF221" s="58">
        <v>2.3014000000000001</v>
      </c>
      <c r="AG221" s="57">
        <v>45470</v>
      </c>
      <c r="AH221" s="30">
        <v>0.77609953703703705</v>
      </c>
      <c r="AI221">
        <v>0</v>
      </c>
      <c r="AJ221">
        <v>0</v>
      </c>
      <c r="AK221">
        <v>0</v>
      </c>
      <c r="AL221">
        <v>0</v>
      </c>
      <c r="AM221" s="4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s="83"/>
    </row>
    <row r="222" spans="1:47" x14ac:dyDescent="0.25">
      <c r="A222">
        <v>3</v>
      </c>
      <c r="B222" t="s">
        <v>8</v>
      </c>
      <c r="C222">
        <v>19456</v>
      </c>
      <c r="D222">
        <v>256</v>
      </c>
      <c r="E222">
        <v>1</v>
      </c>
      <c r="F222">
        <v>8</v>
      </c>
      <c r="G222" s="2">
        <v>2445.8200000000002</v>
      </c>
      <c r="H222" s="40">
        <v>2.0076999999999998</v>
      </c>
      <c r="I222" s="31">
        <v>45463</v>
      </c>
      <c r="J222" s="38">
        <v>0.83685185185185185</v>
      </c>
      <c r="K222" s="41">
        <v>0</v>
      </c>
      <c r="L222" s="41">
        <v>0</v>
      </c>
      <c r="M222" s="41">
        <v>0</v>
      </c>
      <c r="N222" s="41">
        <v>0</v>
      </c>
      <c r="O222" s="41">
        <v>0</v>
      </c>
      <c r="P222" s="41">
        <v>0</v>
      </c>
      <c r="Q222" s="41">
        <v>0</v>
      </c>
      <c r="R222" s="41">
        <v>0</v>
      </c>
      <c r="S222" s="41">
        <v>0</v>
      </c>
      <c r="T222" s="41">
        <v>0</v>
      </c>
      <c r="U222" s="41">
        <v>0</v>
      </c>
      <c r="V222" s="41">
        <v>0</v>
      </c>
      <c r="W222" s="82"/>
      <c r="Y222">
        <v>3</v>
      </c>
      <c r="Z222" t="s">
        <v>8</v>
      </c>
      <c r="AA222">
        <v>19456</v>
      </c>
      <c r="AB222">
        <v>256</v>
      </c>
      <c r="AC222">
        <v>1</v>
      </c>
      <c r="AD222">
        <v>8</v>
      </c>
      <c r="AE222">
        <v>2164.54</v>
      </c>
      <c r="AF222" s="58">
        <v>2.2686000000000002</v>
      </c>
      <c r="AG222" s="57">
        <v>45472</v>
      </c>
      <c r="AH222" s="30">
        <v>4.0196759259259258E-2</v>
      </c>
      <c r="AI222">
        <v>0</v>
      </c>
      <c r="AJ222">
        <v>0</v>
      </c>
      <c r="AK222">
        <v>0</v>
      </c>
      <c r="AL222">
        <v>0</v>
      </c>
      <c r="AM222" s="41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s="83"/>
    </row>
    <row r="223" spans="1:47" x14ac:dyDescent="0.25">
      <c r="A223">
        <v>4</v>
      </c>
      <c r="B223" t="s">
        <v>8</v>
      </c>
      <c r="C223">
        <v>19456</v>
      </c>
      <c r="D223">
        <v>256</v>
      </c>
      <c r="E223">
        <v>1</v>
      </c>
      <c r="F223">
        <v>8</v>
      </c>
      <c r="G223" s="2">
        <v>2457.41</v>
      </c>
      <c r="H223" s="40">
        <v>1.9982</v>
      </c>
      <c r="I223" s="31">
        <v>45465</v>
      </c>
      <c r="J223" s="38">
        <v>0.11350694444444444</v>
      </c>
      <c r="K223" s="41">
        <v>0</v>
      </c>
      <c r="L223" s="41">
        <v>0</v>
      </c>
      <c r="M223" s="41">
        <v>0</v>
      </c>
      <c r="N223" s="41">
        <v>0</v>
      </c>
      <c r="O223" s="41">
        <v>0</v>
      </c>
      <c r="P223" s="41">
        <v>0</v>
      </c>
      <c r="Q223" s="41">
        <v>0</v>
      </c>
      <c r="R223" s="41">
        <v>0</v>
      </c>
      <c r="S223" s="41">
        <v>0</v>
      </c>
      <c r="T223" s="41">
        <v>0</v>
      </c>
      <c r="U223" s="41">
        <v>0</v>
      </c>
      <c r="V223" s="41">
        <v>0</v>
      </c>
      <c r="W223" s="82"/>
      <c r="Y223">
        <v>4</v>
      </c>
      <c r="Z223" t="s">
        <v>8</v>
      </c>
      <c r="AA223">
        <v>19456</v>
      </c>
      <c r="AB223">
        <v>256</v>
      </c>
      <c r="AC223">
        <v>1</v>
      </c>
      <c r="AD223">
        <v>8</v>
      </c>
      <c r="AE223">
        <v>2114.0500000000002</v>
      </c>
      <c r="AF223" s="58">
        <v>2.3228</v>
      </c>
      <c r="AG223" s="31">
        <v>45473</v>
      </c>
      <c r="AH223" s="30">
        <v>0.3075</v>
      </c>
      <c r="AI223">
        <v>0</v>
      </c>
      <c r="AJ223">
        <v>0</v>
      </c>
      <c r="AK223">
        <v>0</v>
      </c>
      <c r="AL223">
        <v>0</v>
      </c>
      <c r="AM223" s="41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s="83"/>
    </row>
    <row r="224" spans="1:47" x14ac:dyDescent="0.25">
      <c r="A224">
        <v>0</v>
      </c>
      <c r="B224" s="31" t="s">
        <v>8</v>
      </c>
      <c r="C224" s="30">
        <v>20480</v>
      </c>
      <c r="D224">
        <v>256</v>
      </c>
      <c r="E224">
        <v>1</v>
      </c>
      <c r="F224">
        <v>8</v>
      </c>
      <c r="G224" s="2">
        <v>0</v>
      </c>
      <c r="H224" s="40">
        <v>0</v>
      </c>
      <c r="I224" s="31">
        <v>45461</v>
      </c>
      <c r="J224" s="38">
        <v>0.61393518518518519</v>
      </c>
      <c r="K224">
        <v>0</v>
      </c>
      <c r="L224" s="41">
        <v>0</v>
      </c>
      <c r="M224" s="41">
        <v>0</v>
      </c>
      <c r="N224" s="41">
        <v>0</v>
      </c>
      <c r="O224" s="41">
        <v>0</v>
      </c>
      <c r="P224" s="41">
        <v>0</v>
      </c>
      <c r="Q224" s="41">
        <v>0</v>
      </c>
      <c r="R224" s="41">
        <v>0</v>
      </c>
      <c r="S224" s="41">
        <v>0</v>
      </c>
      <c r="T224" s="41">
        <v>0</v>
      </c>
      <c r="U224" s="41">
        <v>0</v>
      </c>
      <c r="V224" s="41">
        <v>0</v>
      </c>
      <c r="W224" s="82">
        <f t="shared" ref="W224" si="86">AVERAGE(H224:H228)</f>
        <v>0</v>
      </c>
      <c r="Y224">
        <v>0</v>
      </c>
      <c r="Z224" t="s">
        <v>8</v>
      </c>
      <c r="AA224">
        <v>20480</v>
      </c>
      <c r="AB224">
        <v>256</v>
      </c>
      <c r="AC224">
        <v>1</v>
      </c>
      <c r="AD224">
        <v>8</v>
      </c>
      <c r="AF224" s="40">
        <v>0</v>
      </c>
      <c r="AG224" s="31">
        <v>45468</v>
      </c>
      <c r="AH224" s="30">
        <v>0.67659722222222218</v>
      </c>
      <c r="AI224">
        <v>0</v>
      </c>
      <c r="AJ224">
        <v>0</v>
      </c>
      <c r="AK224">
        <v>0</v>
      </c>
      <c r="AL224">
        <v>0</v>
      </c>
      <c r="AM224" s="59">
        <v>0</v>
      </c>
      <c r="AN224" s="9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s="83">
        <f t="shared" ref="AU224" si="87">AVERAGE(AF224:AF228)</f>
        <v>0</v>
      </c>
    </row>
    <row r="225" spans="1:47" x14ac:dyDescent="0.25">
      <c r="A225">
        <v>1</v>
      </c>
      <c r="B225" s="31" t="s">
        <v>8</v>
      </c>
      <c r="C225" s="30">
        <v>20480</v>
      </c>
      <c r="D225">
        <v>256</v>
      </c>
      <c r="E225">
        <v>1</v>
      </c>
      <c r="F225">
        <v>8</v>
      </c>
      <c r="G225" s="2">
        <v>0</v>
      </c>
      <c r="H225" s="40">
        <v>0</v>
      </c>
      <c r="I225" s="31">
        <v>45461</v>
      </c>
      <c r="J225" s="38">
        <v>0.6884837962962963</v>
      </c>
      <c r="K225" s="41">
        <v>0</v>
      </c>
      <c r="L225" s="41">
        <v>0</v>
      </c>
      <c r="M225" s="41">
        <v>0</v>
      </c>
      <c r="N225" s="41">
        <v>0</v>
      </c>
      <c r="O225" s="41">
        <v>0</v>
      </c>
      <c r="P225" s="41">
        <v>0</v>
      </c>
      <c r="Q225" s="41">
        <v>0</v>
      </c>
      <c r="R225" s="41">
        <v>0</v>
      </c>
      <c r="S225" s="41">
        <v>0</v>
      </c>
      <c r="T225" s="41">
        <v>0</v>
      </c>
      <c r="U225" s="41">
        <v>0</v>
      </c>
      <c r="V225" s="41">
        <v>0</v>
      </c>
      <c r="W225" s="82"/>
      <c r="Y225">
        <v>1</v>
      </c>
      <c r="Z225" t="s">
        <v>8</v>
      </c>
      <c r="AA225">
        <v>20480</v>
      </c>
      <c r="AB225">
        <v>256</v>
      </c>
      <c r="AC225">
        <v>1</v>
      </c>
      <c r="AD225">
        <v>8</v>
      </c>
      <c r="AF225" s="40">
        <v>0</v>
      </c>
      <c r="AG225" s="31">
        <v>45469</v>
      </c>
      <c r="AH225" s="30">
        <v>0.94081018518518522</v>
      </c>
      <c r="AI225">
        <v>0</v>
      </c>
      <c r="AJ225">
        <v>0</v>
      </c>
      <c r="AK225">
        <v>0</v>
      </c>
      <c r="AL225">
        <v>0</v>
      </c>
      <c r="AM225" s="59">
        <v>0</v>
      </c>
      <c r="AN225" s="9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s="83"/>
    </row>
    <row r="226" spans="1:47" x14ac:dyDescent="0.25">
      <c r="A226">
        <v>2</v>
      </c>
      <c r="B226" s="31" t="s">
        <v>8</v>
      </c>
      <c r="C226" s="30">
        <v>20480</v>
      </c>
      <c r="D226">
        <v>256</v>
      </c>
      <c r="E226">
        <v>1</v>
      </c>
      <c r="F226">
        <v>8</v>
      </c>
      <c r="G226" s="2">
        <v>0</v>
      </c>
      <c r="H226" s="40">
        <v>0</v>
      </c>
      <c r="I226" s="31">
        <v>45462</v>
      </c>
      <c r="J226" s="38">
        <v>0.98768518518518522</v>
      </c>
      <c r="K226" s="41">
        <v>0</v>
      </c>
      <c r="L226" s="41">
        <v>0</v>
      </c>
      <c r="M226" s="41">
        <v>0</v>
      </c>
      <c r="N226" s="41">
        <v>0</v>
      </c>
      <c r="O226" s="41">
        <v>0</v>
      </c>
      <c r="P226" s="41">
        <v>0</v>
      </c>
      <c r="Q226" s="41">
        <v>0</v>
      </c>
      <c r="R226" s="41">
        <v>0</v>
      </c>
      <c r="S226" s="41">
        <v>0</v>
      </c>
      <c r="T226" s="41">
        <v>0</v>
      </c>
      <c r="U226" s="41">
        <v>0</v>
      </c>
      <c r="V226" s="41">
        <v>0</v>
      </c>
      <c r="W226" s="82"/>
      <c r="Y226">
        <v>2</v>
      </c>
      <c r="Z226" t="s">
        <v>8</v>
      </c>
      <c r="AA226">
        <v>20480</v>
      </c>
      <c r="AB226">
        <v>256</v>
      </c>
      <c r="AC226">
        <v>1</v>
      </c>
      <c r="AD226">
        <v>8</v>
      </c>
      <c r="AF226" s="40">
        <v>0</v>
      </c>
      <c r="AG226" s="31">
        <v>45471</v>
      </c>
      <c r="AH226" s="30">
        <v>0.2053587962962963</v>
      </c>
      <c r="AI226">
        <v>0</v>
      </c>
      <c r="AJ226">
        <v>0</v>
      </c>
      <c r="AK226">
        <v>0</v>
      </c>
      <c r="AL226">
        <v>0</v>
      </c>
      <c r="AM226" s="59">
        <v>0</v>
      </c>
      <c r="AN226" s="9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s="83"/>
    </row>
    <row r="227" spans="1:47" x14ac:dyDescent="0.25">
      <c r="A227">
        <v>3</v>
      </c>
      <c r="B227" s="31" t="s">
        <v>8</v>
      </c>
      <c r="C227" s="30">
        <v>20480</v>
      </c>
      <c r="D227">
        <v>256</v>
      </c>
      <c r="E227">
        <v>1</v>
      </c>
      <c r="F227">
        <v>8</v>
      </c>
      <c r="G227" s="2">
        <v>0</v>
      </c>
      <c r="H227" s="40">
        <v>0</v>
      </c>
      <c r="I227" s="31">
        <v>45464</v>
      </c>
      <c r="J227" s="38">
        <v>0.26834490740740741</v>
      </c>
      <c r="K227" s="41">
        <v>0</v>
      </c>
      <c r="L227" s="41">
        <v>0</v>
      </c>
      <c r="M227" s="41">
        <v>0</v>
      </c>
      <c r="N227" s="41">
        <v>0</v>
      </c>
      <c r="O227" s="41">
        <v>0</v>
      </c>
      <c r="P227" s="41">
        <v>0</v>
      </c>
      <c r="Q227" s="41">
        <v>0</v>
      </c>
      <c r="R227" s="41">
        <v>0</v>
      </c>
      <c r="S227" s="41">
        <v>0</v>
      </c>
      <c r="T227" s="41">
        <v>0</v>
      </c>
      <c r="U227" s="41">
        <v>0</v>
      </c>
      <c r="V227" s="41">
        <v>0</v>
      </c>
      <c r="W227" s="82"/>
      <c r="Y227">
        <v>3</v>
      </c>
      <c r="Z227" t="s">
        <v>8</v>
      </c>
      <c r="AA227">
        <v>20480</v>
      </c>
      <c r="AB227">
        <v>256</v>
      </c>
      <c r="AC227">
        <v>1</v>
      </c>
      <c r="AD227">
        <v>8</v>
      </c>
      <c r="AF227" s="40">
        <v>0</v>
      </c>
      <c r="AG227" s="31">
        <v>45472</v>
      </c>
      <c r="AH227" s="30">
        <v>0.47164351851851855</v>
      </c>
      <c r="AI227">
        <v>0</v>
      </c>
      <c r="AJ227">
        <v>0</v>
      </c>
      <c r="AK227">
        <v>0</v>
      </c>
      <c r="AL227">
        <v>0</v>
      </c>
      <c r="AM227" s="41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s="83"/>
    </row>
    <row r="228" spans="1:47" x14ac:dyDescent="0.25">
      <c r="A228">
        <v>4</v>
      </c>
      <c r="B228" s="31" t="s">
        <v>8</v>
      </c>
      <c r="C228" s="30">
        <v>20480</v>
      </c>
      <c r="D228">
        <v>256</v>
      </c>
      <c r="E228">
        <v>1</v>
      </c>
      <c r="F228">
        <v>8</v>
      </c>
      <c r="G228" s="2">
        <v>0</v>
      </c>
      <c r="H228" s="40">
        <v>0</v>
      </c>
      <c r="I228" s="31">
        <v>45465</v>
      </c>
      <c r="J228" s="38">
        <v>0.54313657407407412</v>
      </c>
      <c r="K228" s="41">
        <v>0</v>
      </c>
      <c r="L228" s="41">
        <v>0</v>
      </c>
      <c r="M228" s="41">
        <v>0</v>
      </c>
      <c r="N228" s="41">
        <v>0</v>
      </c>
      <c r="O228" s="41">
        <v>0</v>
      </c>
      <c r="P228" s="41">
        <v>0</v>
      </c>
      <c r="Q228" s="41">
        <v>0</v>
      </c>
      <c r="R228" s="41">
        <v>0</v>
      </c>
      <c r="S228" s="41">
        <v>0</v>
      </c>
      <c r="T228" s="41">
        <v>0</v>
      </c>
      <c r="U228" s="41">
        <v>0</v>
      </c>
      <c r="V228" s="41">
        <v>0</v>
      </c>
      <c r="W228" s="82"/>
      <c r="Y228">
        <v>4</v>
      </c>
      <c r="Z228" t="s">
        <v>8</v>
      </c>
      <c r="AA228">
        <v>20480</v>
      </c>
      <c r="AB228">
        <v>256</v>
      </c>
      <c r="AC228">
        <v>1</v>
      </c>
      <c r="AD228">
        <v>8</v>
      </c>
      <c r="AF228" s="40">
        <v>0</v>
      </c>
      <c r="AG228" s="31">
        <v>45473</v>
      </c>
      <c r="AH228" s="30">
        <v>0.71993055555555552</v>
      </c>
      <c r="AI228">
        <v>0</v>
      </c>
      <c r="AJ228">
        <v>0</v>
      </c>
      <c r="AK228">
        <v>0</v>
      </c>
      <c r="AL228">
        <v>0</v>
      </c>
      <c r="AM228" s="41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s="83"/>
    </row>
    <row r="229" spans="1:47" x14ac:dyDescent="0.25">
      <c r="A229">
        <v>0</v>
      </c>
      <c r="B229" t="s">
        <v>8</v>
      </c>
      <c r="C229">
        <v>18176</v>
      </c>
      <c r="D229">
        <v>256</v>
      </c>
      <c r="E229">
        <v>2</v>
      </c>
      <c r="F229">
        <v>4</v>
      </c>
      <c r="G229" s="2">
        <v>2028.09</v>
      </c>
      <c r="H229" s="40">
        <v>1.9741</v>
      </c>
      <c r="I229" s="31">
        <v>45459</v>
      </c>
      <c r="J229" s="38">
        <v>0.20605324074074075</v>
      </c>
      <c r="K229" s="41">
        <v>0</v>
      </c>
      <c r="L229" s="41">
        <v>0</v>
      </c>
      <c r="M229" s="41">
        <v>0</v>
      </c>
      <c r="N229" s="41">
        <v>0</v>
      </c>
      <c r="O229" s="41">
        <v>0</v>
      </c>
      <c r="P229" s="41">
        <v>0</v>
      </c>
      <c r="Q229" s="41">
        <v>0</v>
      </c>
      <c r="R229" s="41">
        <v>0</v>
      </c>
      <c r="S229" s="41">
        <v>0</v>
      </c>
      <c r="T229" s="41">
        <v>0</v>
      </c>
      <c r="U229" s="41">
        <v>0</v>
      </c>
      <c r="V229" s="41">
        <v>0</v>
      </c>
      <c r="W229" s="82">
        <f t="shared" ref="W229" si="88">AVERAGE(H229:H233)</f>
        <v>1.98298</v>
      </c>
      <c r="Y229">
        <v>0</v>
      </c>
      <c r="Z229" t="s">
        <v>8</v>
      </c>
      <c r="AA229">
        <v>18176</v>
      </c>
      <c r="AB229">
        <v>256</v>
      </c>
      <c r="AC229">
        <v>2</v>
      </c>
      <c r="AD229">
        <v>4</v>
      </c>
      <c r="AE229">
        <v>1808.39</v>
      </c>
      <c r="AF229" s="58">
        <v>2.2139000000000002</v>
      </c>
      <c r="AG229" s="57">
        <v>45466</v>
      </c>
      <c r="AH229" s="30">
        <v>0.23158564814814814</v>
      </c>
      <c r="AI229">
        <v>0</v>
      </c>
      <c r="AJ229">
        <v>0</v>
      </c>
      <c r="AK229">
        <v>0</v>
      </c>
      <c r="AL229">
        <v>0</v>
      </c>
      <c r="AM229" s="41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s="83">
        <f t="shared" ref="AU229" si="89">AVERAGE(AF229:AF233)</f>
        <v>2.1742599999999999</v>
      </c>
    </row>
    <row r="230" spans="1:47" x14ac:dyDescent="0.25">
      <c r="A230">
        <v>1</v>
      </c>
      <c r="B230" t="s">
        <v>8</v>
      </c>
      <c r="C230">
        <v>18176</v>
      </c>
      <c r="D230">
        <v>256</v>
      </c>
      <c r="E230">
        <v>2</v>
      </c>
      <c r="F230">
        <v>4</v>
      </c>
      <c r="G230" s="2">
        <v>1984.14</v>
      </c>
      <c r="H230" s="40">
        <v>2.0177999999999998</v>
      </c>
      <c r="I230" s="31">
        <v>45460</v>
      </c>
      <c r="J230" s="38">
        <v>0.50528935185185186</v>
      </c>
      <c r="K230" s="41">
        <v>0</v>
      </c>
      <c r="L230" s="41">
        <v>0</v>
      </c>
      <c r="M230" s="41">
        <v>0</v>
      </c>
      <c r="N230" s="41">
        <v>0</v>
      </c>
      <c r="O230" s="41">
        <v>0</v>
      </c>
      <c r="P230" s="41">
        <v>0</v>
      </c>
      <c r="Q230" s="41">
        <v>0</v>
      </c>
      <c r="R230" s="41">
        <v>0</v>
      </c>
      <c r="S230" s="41">
        <v>0</v>
      </c>
      <c r="T230" s="41">
        <v>0</v>
      </c>
      <c r="U230" s="41">
        <v>0</v>
      </c>
      <c r="V230" s="41">
        <v>0</v>
      </c>
      <c r="W230" s="82"/>
      <c r="Y230">
        <v>1</v>
      </c>
      <c r="Z230" t="s">
        <v>8</v>
      </c>
      <c r="AA230">
        <v>18176</v>
      </c>
      <c r="AB230">
        <v>256</v>
      </c>
      <c r="AC230">
        <v>2</v>
      </c>
      <c r="AD230">
        <v>4</v>
      </c>
      <c r="AE230">
        <v>1829.09</v>
      </c>
      <c r="AF230" s="58">
        <v>2.1888999999999998</v>
      </c>
      <c r="AG230" s="57">
        <v>45469</v>
      </c>
      <c r="AH230" s="30">
        <v>8.7222222222222229E-2</v>
      </c>
      <c r="AI230">
        <v>0</v>
      </c>
      <c r="AJ230">
        <v>0</v>
      </c>
      <c r="AK230">
        <v>0</v>
      </c>
      <c r="AL230">
        <v>0</v>
      </c>
      <c r="AM230" s="41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s="83"/>
    </row>
    <row r="231" spans="1:47" x14ac:dyDescent="0.25">
      <c r="A231">
        <v>2</v>
      </c>
      <c r="B231" t="s">
        <v>8</v>
      </c>
      <c r="C231">
        <v>18176</v>
      </c>
      <c r="D231">
        <v>256</v>
      </c>
      <c r="E231">
        <v>2</v>
      </c>
      <c r="F231">
        <v>4</v>
      </c>
      <c r="G231" s="2">
        <v>2032.31</v>
      </c>
      <c r="H231" s="40">
        <v>1.97</v>
      </c>
      <c r="I231" s="31">
        <v>45462</v>
      </c>
      <c r="J231" s="38">
        <v>0.11170138888888889</v>
      </c>
      <c r="K231" s="41">
        <v>0</v>
      </c>
      <c r="L231" s="41">
        <v>0</v>
      </c>
      <c r="M231" s="41">
        <v>0</v>
      </c>
      <c r="N231" s="41">
        <v>0</v>
      </c>
      <c r="O231" s="41">
        <v>0</v>
      </c>
      <c r="P231" s="41">
        <v>0</v>
      </c>
      <c r="Q231" s="41">
        <v>0</v>
      </c>
      <c r="R231" s="41">
        <v>0</v>
      </c>
      <c r="S231" s="41">
        <v>0</v>
      </c>
      <c r="T231" s="41">
        <v>0</v>
      </c>
      <c r="U231" s="41">
        <v>0</v>
      </c>
      <c r="V231" s="41">
        <v>0</v>
      </c>
      <c r="W231" s="82"/>
      <c r="Y231">
        <v>2</v>
      </c>
      <c r="Z231" t="s">
        <v>8</v>
      </c>
      <c r="AA231">
        <v>18176</v>
      </c>
      <c r="AB231">
        <v>256</v>
      </c>
      <c r="AC231">
        <v>2</v>
      </c>
      <c r="AD231">
        <v>4</v>
      </c>
      <c r="AE231">
        <v>1844.11</v>
      </c>
      <c r="AF231" s="58">
        <v>2.1711</v>
      </c>
      <c r="AG231" s="57">
        <v>45470</v>
      </c>
      <c r="AH231" s="30">
        <v>0.35753472222222221</v>
      </c>
      <c r="AI231">
        <v>0</v>
      </c>
      <c r="AJ231">
        <v>0</v>
      </c>
      <c r="AK231">
        <v>0</v>
      </c>
      <c r="AL231">
        <v>0</v>
      </c>
      <c r="AM231" s="4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s="83"/>
    </row>
    <row r="232" spans="1:47" x14ac:dyDescent="0.25">
      <c r="A232">
        <v>3</v>
      </c>
      <c r="B232" t="s">
        <v>8</v>
      </c>
      <c r="C232">
        <v>18176</v>
      </c>
      <c r="D232">
        <v>256</v>
      </c>
      <c r="E232">
        <v>2</v>
      </c>
      <c r="F232">
        <v>4</v>
      </c>
      <c r="G232" s="2">
        <v>2008.74</v>
      </c>
      <c r="H232" s="40">
        <v>1.9931000000000001</v>
      </c>
      <c r="I232" s="31">
        <v>45463</v>
      </c>
      <c r="J232" s="38">
        <v>0.40870370370370368</v>
      </c>
      <c r="K232" s="41">
        <v>0</v>
      </c>
      <c r="L232" s="41">
        <v>0</v>
      </c>
      <c r="M232" s="41">
        <v>0</v>
      </c>
      <c r="N232" s="41">
        <v>0</v>
      </c>
      <c r="O232" s="41">
        <v>0</v>
      </c>
      <c r="P232" s="41">
        <v>0</v>
      </c>
      <c r="Q232" s="41">
        <v>0</v>
      </c>
      <c r="R232" s="41">
        <v>0</v>
      </c>
      <c r="S232" s="41">
        <v>0</v>
      </c>
      <c r="T232" s="41">
        <v>0</v>
      </c>
      <c r="U232" s="41">
        <v>0</v>
      </c>
      <c r="V232" s="41">
        <v>0</v>
      </c>
      <c r="W232" s="82"/>
      <c r="Y232">
        <v>3</v>
      </c>
      <c r="Z232" t="s">
        <v>8</v>
      </c>
      <c r="AA232">
        <v>18176</v>
      </c>
      <c r="AB232">
        <v>256</v>
      </c>
      <c r="AC232">
        <v>2</v>
      </c>
      <c r="AD232">
        <v>4</v>
      </c>
      <c r="AE232">
        <v>1865.47</v>
      </c>
      <c r="AF232" s="58">
        <v>2.1461999999999999</v>
      </c>
      <c r="AG232" s="57">
        <v>45471</v>
      </c>
      <c r="AH232" s="30">
        <v>0.62261574074074078</v>
      </c>
      <c r="AI232">
        <v>0</v>
      </c>
      <c r="AJ232">
        <v>0</v>
      </c>
      <c r="AK232">
        <v>0</v>
      </c>
      <c r="AL232">
        <v>0</v>
      </c>
      <c r="AM232" s="41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s="83"/>
    </row>
    <row r="233" spans="1:47" x14ac:dyDescent="0.25">
      <c r="A233">
        <v>4</v>
      </c>
      <c r="B233" t="s">
        <v>8</v>
      </c>
      <c r="C233">
        <v>18176</v>
      </c>
      <c r="D233">
        <v>256</v>
      </c>
      <c r="E233">
        <v>2</v>
      </c>
      <c r="F233">
        <v>4</v>
      </c>
      <c r="G233" s="2">
        <v>2042.78</v>
      </c>
      <c r="H233" s="40">
        <v>1.9599</v>
      </c>
      <c r="I233" s="31">
        <v>45464</v>
      </c>
      <c r="J233" s="38">
        <v>0.68862268518518521</v>
      </c>
      <c r="K233" s="41">
        <v>0</v>
      </c>
      <c r="L233" s="41">
        <v>0</v>
      </c>
      <c r="M233" s="41">
        <v>0</v>
      </c>
      <c r="N233" s="41">
        <v>0</v>
      </c>
      <c r="O233" s="41">
        <v>0</v>
      </c>
      <c r="P233" s="41">
        <v>0</v>
      </c>
      <c r="Q233" s="41">
        <v>0</v>
      </c>
      <c r="R233" s="41">
        <v>0</v>
      </c>
      <c r="S233" s="41">
        <v>0</v>
      </c>
      <c r="T233" s="41">
        <v>0</v>
      </c>
      <c r="U233" s="41">
        <v>0</v>
      </c>
      <c r="V233" s="41">
        <v>0</v>
      </c>
      <c r="W233" s="82"/>
      <c r="Y233">
        <v>4</v>
      </c>
      <c r="Z233" t="s">
        <v>8</v>
      </c>
      <c r="AA233">
        <v>18176</v>
      </c>
      <c r="AB233">
        <v>256</v>
      </c>
      <c r="AC233">
        <v>2</v>
      </c>
      <c r="AD233">
        <v>4</v>
      </c>
      <c r="AE233">
        <v>1861.1</v>
      </c>
      <c r="AF233" s="58">
        <v>2.1511999999999998</v>
      </c>
      <c r="AG233" s="31">
        <v>45472</v>
      </c>
      <c r="AH233" s="30">
        <v>0.88526620370370368</v>
      </c>
      <c r="AI233">
        <v>0</v>
      </c>
      <c r="AJ233">
        <v>0</v>
      </c>
      <c r="AK233">
        <v>0</v>
      </c>
      <c r="AL233">
        <v>0</v>
      </c>
      <c r="AM233" s="41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s="83"/>
    </row>
    <row r="234" spans="1:47" x14ac:dyDescent="0.25">
      <c r="A234">
        <v>0</v>
      </c>
      <c r="B234" t="s">
        <v>8</v>
      </c>
      <c r="C234">
        <v>19456</v>
      </c>
      <c r="D234">
        <v>256</v>
      </c>
      <c r="E234">
        <v>2</v>
      </c>
      <c r="F234">
        <v>4</v>
      </c>
      <c r="G234" s="2">
        <v>2353</v>
      </c>
      <c r="H234" s="40">
        <v>2.0869</v>
      </c>
      <c r="I234" s="31">
        <v>45459</v>
      </c>
      <c r="J234" s="38">
        <v>0.66392361111111109</v>
      </c>
      <c r="K234" s="41">
        <v>0</v>
      </c>
      <c r="L234" s="41">
        <v>0</v>
      </c>
      <c r="M234" s="41">
        <v>0</v>
      </c>
      <c r="N234" s="41">
        <v>0</v>
      </c>
      <c r="O234" s="41">
        <v>0</v>
      </c>
      <c r="P234" s="41">
        <v>0</v>
      </c>
      <c r="Q234" s="41">
        <v>0</v>
      </c>
      <c r="R234" s="41">
        <v>0</v>
      </c>
      <c r="S234" s="41">
        <v>0</v>
      </c>
      <c r="T234" s="41">
        <v>0</v>
      </c>
      <c r="U234" s="41">
        <v>0</v>
      </c>
      <c r="V234" s="41">
        <v>0</v>
      </c>
      <c r="W234" s="82">
        <f t="shared" ref="W234" si="90">AVERAGE(H234:H238)</f>
        <v>2.0363800000000003</v>
      </c>
      <c r="Y234">
        <v>0</v>
      </c>
      <c r="Z234" t="s">
        <v>8</v>
      </c>
      <c r="AA234">
        <v>19456</v>
      </c>
      <c r="AB234">
        <v>256</v>
      </c>
      <c r="AC234">
        <v>2</v>
      </c>
      <c r="AD234">
        <v>4</v>
      </c>
      <c r="AE234">
        <v>2190.11</v>
      </c>
      <c r="AF234" s="58">
        <v>2.2421000000000002</v>
      </c>
      <c r="AG234" s="57">
        <v>45466</v>
      </c>
      <c r="AH234" s="30">
        <v>0.67581018518518521</v>
      </c>
      <c r="AI234">
        <v>0</v>
      </c>
      <c r="AJ234">
        <v>0</v>
      </c>
      <c r="AK234">
        <v>0</v>
      </c>
      <c r="AL234">
        <v>0</v>
      </c>
      <c r="AM234" s="41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s="83">
        <f t="shared" ref="AU234" si="91">AVERAGE(AF234:AF238)</f>
        <v>2.2493799999999995</v>
      </c>
    </row>
    <row r="235" spans="1:47" x14ac:dyDescent="0.25">
      <c r="A235">
        <v>1</v>
      </c>
      <c r="B235" t="s">
        <v>8</v>
      </c>
      <c r="C235">
        <v>19456</v>
      </c>
      <c r="D235">
        <v>256</v>
      </c>
      <c r="E235">
        <v>2</v>
      </c>
      <c r="F235">
        <v>4</v>
      </c>
      <c r="G235" s="2">
        <v>2399.04</v>
      </c>
      <c r="H235" s="40">
        <v>2.0468000000000002</v>
      </c>
      <c r="I235" s="31">
        <v>45460</v>
      </c>
      <c r="J235" s="38">
        <v>0.96527777777777779</v>
      </c>
      <c r="K235" s="41">
        <v>0</v>
      </c>
      <c r="L235" s="41">
        <v>0</v>
      </c>
      <c r="M235" s="41">
        <v>0</v>
      </c>
      <c r="N235" s="41">
        <v>0</v>
      </c>
      <c r="O235" s="41">
        <v>0</v>
      </c>
      <c r="P235" s="41">
        <v>0</v>
      </c>
      <c r="Q235" s="41">
        <v>0</v>
      </c>
      <c r="R235" s="41">
        <v>0</v>
      </c>
      <c r="S235" s="41">
        <v>0</v>
      </c>
      <c r="T235" s="41">
        <v>0</v>
      </c>
      <c r="U235" s="41">
        <v>0</v>
      </c>
      <c r="V235" s="41">
        <v>0</v>
      </c>
      <c r="W235" s="82"/>
      <c r="Y235">
        <v>1</v>
      </c>
      <c r="Z235" t="s">
        <v>8</v>
      </c>
      <c r="AA235">
        <v>19456</v>
      </c>
      <c r="AB235">
        <v>256</v>
      </c>
      <c r="AC235">
        <v>2</v>
      </c>
      <c r="AD235">
        <v>4</v>
      </c>
      <c r="AE235">
        <v>2225.83</v>
      </c>
      <c r="AF235" s="58">
        <v>2.2061000000000002</v>
      </c>
      <c r="AG235" s="57">
        <v>45469</v>
      </c>
      <c r="AH235" s="30">
        <v>0.53384259259259259</v>
      </c>
      <c r="AI235">
        <v>0</v>
      </c>
      <c r="AJ235">
        <v>0</v>
      </c>
      <c r="AK235">
        <v>0</v>
      </c>
      <c r="AL235">
        <v>0</v>
      </c>
      <c r="AM235" s="41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s="83"/>
    </row>
    <row r="236" spans="1:47" x14ac:dyDescent="0.25">
      <c r="A236">
        <v>2</v>
      </c>
      <c r="B236" t="s">
        <v>8</v>
      </c>
      <c r="C236">
        <v>19456</v>
      </c>
      <c r="D236">
        <v>256</v>
      </c>
      <c r="E236">
        <v>2</v>
      </c>
      <c r="F236">
        <v>4</v>
      </c>
      <c r="G236" s="2">
        <v>2441.54</v>
      </c>
      <c r="H236" s="40">
        <v>2.0112000000000001</v>
      </c>
      <c r="I236" s="31">
        <v>45462</v>
      </c>
      <c r="J236" s="38">
        <v>0.57256944444444446</v>
      </c>
      <c r="K236" s="41">
        <v>0</v>
      </c>
      <c r="L236" s="41">
        <v>0</v>
      </c>
      <c r="M236" s="41">
        <v>0</v>
      </c>
      <c r="N236" s="41">
        <v>0</v>
      </c>
      <c r="O236" s="41">
        <v>0</v>
      </c>
      <c r="P236" s="41">
        <v>0</v>
      </c>
      <c r="Q236" s="41">
        <v>0</v>
      </c>
      <c r="R236" s="41">
        <v>0</v>
      </c>
      <c r="S236" s="41">
        <v>0</v>
      </c>
      <c r="T236" s="41">
        <v>0</v>
      </c>
      <c r="U236" s="41">
        <v>0</v>
      </c>
      <c r="V236" s="41">
        <v>0</v>
      </c>
      <c r="W236" s="82"/>
      <c r="Y236">
        <v>2</v>
      </c>
      <c r="Z236" t="s">
        <v>8</v>
      </c>
      <c r="AA236">
        <v>19456</v>
      </c>
      <c r="AB236">
        <v>256</v>
      </c>
      <c r="AC236">
        <v>2</v>
      </c>
      <c r="AD236">
        <v>4</v>
      </c>
      <c r="AE236">
        <v>2187.1999999999998</v>
      </c>
      <c r="AF236" s="58">
        <v>2.2450999999999999</v>
      </c>
      <c r="AG236" s="57">
        <v>45470</v>
      </c>
      <c r="AH236" s="30">
        <v>0.80402777777777779</v>
      </c>
      <c r="AI236">
        <v>0</v>
      </c>
      <c r="AJ236">
        <v>0</v>
      </c>
      <c r="AK236">
        <v>0</v>
      </c>
      <c r="AL236">
        <v>0</v>
      </c>
      <c r="AM236" s="41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s="83"/>
    </row>
    <row r="237" spans="1:47" x14ac:dyDescent="0.25">
      <c r="A237">
        <v>3</v>
      </c>
      <c r="B237" t="s">
        <v>8</v>
      </c>
      <c r="C237">
        <v>19456</v>
      </c>
      <c r="D237">
        <v>256</v>
      </c>
      <c r="E237">
        <v>2</v>
      </c>
      <c r="F237">
        <v>4</v>
      </c>
      <c r="G237" s="2">
        <v>2468.6799999999998</v>
      </c>
      <c r="H237" s="40">
        <v>1.9891000000000001</v>
      </c>
      <c r="I237" s="31">
        <v>45463</v>
      </c>
      <c r="J237" s="38">
        <v>0.86627314814814815</v>
      </c>
      <c r="K237" s="41">
        <v>0</v>
      </c>
      <c r="L237" s="41">
        <v>0</v>
      </c>
      <c r="M237" s="41">
        <v>0</v>
      </c>
      <c r="N237" s="41">
        <v>0</v>
      </c>
      <c r="O237" s="41">
        <v>0</v>
      </c>
      <c r="P237" s="41">
        <v>0</v>
      </c>
      <c r="Q237" s="41">
        <v>0</v>
      </c>
      <c r="R237" s="41">
        <v>0</v>
      </c>
      <c r="S237" s="41">
        <v>0</v>
      </c>
      <c r="T237" s="41">
        <v>0</v>
      </c>
      <c r="U237" s="41">
        <v>0</v>
      </c>
      <c r="V237" s="41">
        <v>0</v>
      </c>
      <c r="W237" s="82"/>
      <c r="Y237">
        <v>3</v>
      </c>
      <c r="Z237" t="s">
        <v>8</v>
      </c>
      <c r="AA237">
        <v>19456</v>
      </c>
      <c r="AB237">
        <v>256</v>
      </c>
      <c r="AC237">
        <v>2</v>
      </c>
      <c r="AD237">
        <v>4</v>
      </c>
      <c r="AE237">
        <v>2174.2800000000002</v>
      </c>
      <c r="AF237" s="58">
        <v>2.2584</v>
      </c>
      <c r="AG237" s="31">
        <v>45472</v>
      </c>
      <c r="AH237" s="30">
        <v>6.806712962962963E-2</v>
      </c>
      <c r="AI237">
        <v>0</v>
      </c>
      <c r="AJ237">
        <v>0</v>
      </c>
      <c r="AK237">
        <v>0</v>
      </c>
      <c r="AL237">
        <v>0</v>
      </c>
      <c r="AM237" s="41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s="83"/>
    </row>
    <row r="238" spans="1:47" x14ac:dyDescent="0.25">
      <c r="A238">
        <v>4</v>
      </c>
      <c r="B238" t="s">
        <v>8</v>
      </c>
      <c r="C238">
        <v>19456</v>
      </c>
      <c r="D238">
        <v>256</v>
      </c>
      <c r="E238">
        <v>2</v>
      </c>
      <c r="F238">
        <v>4</v>
      </c>
      <c r="G238" s="2">
        <v>2397.84</v>
      </c>
      <c r="H238" s="40">
        <v>2.0478999999999998</v>
      </c>
      <c r="I238" s="31">
        <v>45465</v>
      </c>
      <c r="J238" s="38">
        <v>0.14215277777777777</v>
      </c>
      <c r="K238" s="41">
        <v>0</v>
      </c>
      <c r="L238" s="41">
        <v>0</v>
      </c>
      <c r="M238" s="41">
        <v>0</v>
      </c>
      <c r="N238" s="41">
        <v>0</v>
      </c>
      <c r="O238" s="41">
        <v>0</v>
      </c>
      <c r="P238" s="41">
        <v>0</v>
      </c>
      <c r="Q238" s="41">
        <v>0</v>
      </c>
      <c r="R238" s="41">
        <v>0</v>
      </c>
      <c r="S238" s="41">
        <v>0</v>
      </c>
      <c r="T238" s="41">
        <v>0</v>
      </c>
      <c r="U238" s="41">
        <v>0</v>
      </c>
      <c r="V238" s="41">
        <v>0</v>
      </c>
      <c r="W238" s="82"/>
      <c r="Y238">
        <v>4</v>
      </c>
      <c r="Z238" t="s">
        <v>8</v>
      </c>
      <c r="AA238">
        <v>19456</v>
      </c>
      <c r="AB238">
        <v>256</v>
      </c>
      <c r="AC238">
        <v>2</v>
      </c>
      <c r="AD238">
        <v>4</v>
      </c>
      <c r="AE238">
        <v>2139.42</v>
      </c>
      <c r="AF238" s="58">
        <v>2.2951999999999999</v>
      </c>
      <c r="AG238" s="31">
        <v>45473</v>
      </c>
      <c r="AH238" s="30">
        <v>0.33483796296296298</v>
      </c>
      <c r="AI238">
        <v>0</v>
      </c>
      <c r="AJ238">
        <v>0</v>
      </c>
      <c r="AK238">
        <v>0</v>
      </c>
      <c r="AL238">
        <v>0</v>
      </c>
      <c r="AM238" s="41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s="83"/>
    </row>
    <row r="239" spans="1:47" x14ac:dyDescent="0.25">
      <c r="A239">
        <v>0</v>
      </c>
      <c r="B239" t="s">
        <v>8</v>
      </c>
      <c r="C239">
        <v>20480</v>
      </c>
      <c r="D239">
        <v>256</v>
      </c>
      <c r="E239">
        <v>2</v>
      </c>
      <c r="F239">
        <v>4</v>
      </c>
      <c r="G239" s="2">
        <v>3004.27</v>
      </c>
      <c r="H239" s="40">
        <v>1.9064000000000001</v>
      </c>
      <c r="I239" s="31">
        <v>45460</v>
      </c>
      <c r="J239" s="38">
        <v>0.11329861111111111</v>
      </c>
      <c r="K239" s="41">
        <v>0</v>
      </c>
      <c r="L239" s="41">
        <v>0</v>
      </c>
      <c r="M239" s="41">
        <v>0</v>
      </c>
      <c r="N239" s="41">
        <v>0</v>
      </c>
      <c r="O239" s="41">
        <v>0</v>
      </c>
      <c r="P239" s="41">
        <v>0</v>
      </c>
      <c r="Q239" s="41">
        <v>0</v>
      </c>
      <c r="R239" s="41">
        <v>0</v>
      </c>
      <c r="S239" s="41">
        <v>0</v>
      </c>
      <c r="T239" s="41">
        <v>0</v>
      </c>
      <c r="U239" s="41">
        <v>0</v>
      </c>
      <c r="V239" s="41">
        <v>0</v>
      </c>
      <c r="W239" s="82">
        <f t="shared" ref="W239" si="92">AVERAGE(H239:H243)</f>
        <v>1.95044</v>
      </c>
      <c r="Y239">
        <v>0</v>
      </c>
      <c r="Z239" t="s">
        <v>8</v>
      </c>
      <c r="AA239">
        <v>20480</v>
      </c>
      <c r="AB239">
        <v>256</v>
      </c>
      <c r="AC239">
        <v>2</v>
      </c>
      <c r="AD239">
        <v>4</v>
      </c>
      <c r="AE239">
        <v>2516.79</v>
      </c>
      <c r="AF239" s="58">
        <v>2.2755999999999998</v>
      </c>
      <c r="AG239" s="57">
        <v>45468</v>
      </c>
      <c r="AH239" s="30">
        <v>0.7086689814814815</v>
      </c>
      <c r="AI239">
        <v>0</v>
      </c>
      <c r="AJ239">
        <v>0</v>
      </c>
      <c r="AK239">
        <v>0</v>
      </c>
      <c r="AL239">
        <v>0</v>
      </c>
      <c r="AM239" s="41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s="83">
        <f t="shared" ref="AU239" si="93">AVERAGE(AF239:AF243)</f>
        <v>2.2409400000000002</v>
      </c>
    </row>
    <row r="240" spans="1:47" x14ac:dyDescent="0.25">
      <c r="A240">
        <v>1</v>
      </c>
      <c r="B240" t="s">
        <v>8</v>
      </c>
      <c r="C240">
        <v>20480</v>
      </c>
      <c r="D240">
        <v>256</v>
      </c>
      <c r="E240">
        <v>2</v>
      </c>
      <c r="F240">
        <v>4</v>
      </c>
      <c r="G240" s="2">
        <v>2862.48</v>
      </c>
      <c r="H240" s="40">
        <v>2.0007999999999999</v>
      </c>
      <c r="I240" s="31">
        <v>45461</v>
      </c>
      <c r="J240" s="38">
        <v>0.72241898148148154</v>
      </c>
      <c r="K240" s="41">
        <v>0</v>
      </c>
      <c r="L240" s="41">
        <v>0</v>
      </c>
      <c r="M240" s="41">
        <v>0</v>
      </c>
      <c r="N240" s="41">
        <v>0</v>
      </c>
      <c r="O240" s="41">
        <v>0</v>
      </c>
      <c r="P240" s="41">
        <v>0</v>
      </c>
      <c r="Q240" s="41">
        <v>0</v>
      </c>
      <c r="R240" s="41">
        <v>0</v>
      </c>
      <c r="S240" s="41">
        <v>0</v>
      </c>
      <c r="T240" s="41">
        <v>0</v>
      </c>
      <c r="U240" s="41">
        <v>0</v>
      </c>
      <c r="V240" s="41">
        <v>0</v>
      </c>
      <c r="W240" s="82"/>
      <c r="Y240">
        <v>1</v>
      </c>
      <c r="Z240" t="s">
        <v>8</v>
      </c>
      <c r="AA240">
        <v>20480</v>
      </c>
      <c r="AB240">
        <v>256</v>
      </c>
      <c r="AC240">
        <v>2</v>
      </c>
      <c r="AD240">
        <v>4</v>
      </c>
      <c r="AE240">
        <v>2422.4</v>
      </c>
      <c r="AF240" s="58">
        <v>2.3643000000000001</v>
      </c>
      <c r="AG240" s="57">
        <v>45469</v>
      </c>
      <c r="AH240" s="30">
        <v>0.97186342592592589</v>
      </c>
      <c r="AI240">
        <v>0</v>
      </c>
      <c r="AJ240">
        <v>0</v>
      </c>
      <c r="AK240">
        <v>0</v>
      </c>
      <c r="AL240">
        <v>0</v>
      </c>
      <c r="AM240" s="41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s="83"/>
    </row>
    <row r="241" spans="1:47" x14ac:dyDescent="0.25">
      <c r="A241">
        <v>2</v>
      </c>
      <c r="B241" t="s">
        <v>8</v>
      </c>
      <c r="C241">
        <v>20480</v>
      </c>
      <c r="D241">
        <v>256</v>
      </c>
      <c r="E241">
        <v>2</v>
      </c>
      <c r="F241">
        <v>4</v>
      </c>
      <c r="G241" s="2">
        <v>3027.5</v>
      </c>
      <c r="H241" s="40">
        <v>1.8916999999999999</v>
      </c>
      <c r="I241" s="31">
        <v>45463</v>
      </c>
      <c r="J241" s="38">
        <v>2.3425925925925926E-2</v>
      </c>
      <c r="K241" s="41">
        <v>0</v>
      </c>
      <c r="L241" s="41">
        <v>0</v>
      </c>
      <c r="M241" s="41">
        <v>0</v>
      </c>
      <c r="N241" s="41">
        <v>0</v>
      </c>
      <c r="O241" s="41">
        <v>0</v>
      </c>
      <c r="P241" s="41">
        <v>0</v>
      </c>
      <c r="Q241" s="41">
        <v>0</v>
      </c>
      <c r="R241" s="41">
        <v>0</v>
      </c>
      <c r="S241" s="41">
        <v>0</v>
      </c>
      <c r="T241" s="41">
        <v>0</v>
      </c>
      <c r="U241" s="41">
        <v>0</v>
      </c>
      <c r="V241" s="41">
        <v>0</v>
      </c>
      <c r="W241" s="82"/>
      <c r="Y241">
        <v>2</v>
      </c>
      <c r="Z241" t="s">
        <v>8</v>
      </c>
      <c r="AA241">
        <v>20480</v>
      </c>
      <c r="AB241">
        <v>256</v>
      </c>
      <c r="AC241">
        <v>2</v>
      </c>
      <c r="AD241">
        <v>4</v>
      </c>
      <c r="AE241">
        <v>2616.12</v>
      </c>
      <c r="AF241" s="58">
        <v>2.1892</v>
      </c>
      <c r="AG241" s="57">
        <v>45471</v>
      </c>
      <c r="AH241" s="30">
        <v>0.23884259259259261</v>
      </c>
      <c r="AI241">
        <v>0</v>
      </c>
      <c r="AJ241">
        <v>0</v>
      </c>
      <c r="AK241">
        <v>0</v>
      </c>
      <c r="AL241">
        <v>0</v>
      </c>
      <c r="AM241" s="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s="83"/>
    </row>
    <row r="242" spans="1:47" x14ac:dyDescent="0.25">
      <c r="A242">
        <v>3</v>
      </c>
      <c r="B242" t="s">
        <v>8</v>
      </c>
      <c r="C242">
        <v>20480</v>
      </c>
      <c r="D242">
        <v>256</v>
      </c>
      <c r="E242">
        <v>2</v>
      </c>
      <c r="F242">
        <v>4</v>
      </c>
      <c r="G242" s="2">
        <v>2816.43</v>
      </c>
      <c r="H242" s="40">
        <v>2.0335000000000001</v>
      </c>
      <c r="I242" s="31">
        <v>45464</v>
      </c>
      <c r="J242" s="38">
        <v>0.30170138888888887</v>
      </c>
      <c r="K242" s="41">
        <v>0</v>
      </c>
      <c r="L242" s="41">
        <v>0</v>
      </c>
      <c r="M242" s="41">
        <v>0</v>
      </c>
      <c r="N242" s="41">
        <v>0</v>
      </c>
      <c r="O242" s="41">
        <v>0</v>
      </c>
      <c r="P242" s="41">
        <v>0</v>
      </c>
      <c r="Q242" s="41">
        <v>0</v>
      </c>
      <c r="R242" s="41">
        <v>0</v>
      </c>
      <c r="S242" s="41">
        <v>0</v>
      </c>
      <c r="T242" s="41">
        <v>0</v>
      </c>
      <c r="U242" s="41">
        <v>0</v>
      </c>
      <c r="V242" s="41">
        <v>0</v>
      </c>
      <c r="W242" s="82"/>
      <c r="Y242">
        <v>3</v>
      </c>
      <c r="Z242" t="s">
        <v>8</v>
      </c>
      <c r="AA242">
        <v>20480</v>
      </c>
      <c r="AB242">
        <v>256</v>
      </c>
      <c r="AC242">
        <v>2</v>
      </c>
      <c r="AD242">
        <v>4</v>
      </c>
      <c r="AE242">
        <v>2647.1</v>
      </c>
      <c r="AF242" s="58">
        <v>2.1636000000000002</v>
      </c>
      <c r="AG242" s="31">
        <v>45472</v>
      </c>
      <c r="AH242" s="30">
        <v>0.5055439814814815</v>
      </c>
      <c r="AI242">
        <v>0</v>
      </c>
      <c r="AJ242">
        <v>0</v>
      </c>
      <c r="AK242">
        <v>0</v>
      </c>
      <c r="AL242">
        <v>0</v>
      </c>
      <c r="AM242" s="41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s="83"/>
    </row>
    <row r="243" spans="1:47" x14ac:dyDescent="0.25">
      <c r="A243">
        <v>4</v>
      </c>
      <c r="B243" t="s">
        <v>8</v>
      </c>
      <c r="C243">
        <v>20480</v>
      </c>
      <c r="D243">
        <v>256</v>
      </c>
      <c r="E243">
        <v>2</v>
      </c>
      <c r="F243">
        <v>4</v>
      </c>
      <c r="G243" s="2">
        <v>2983.19</v>
      </c>
      <c r="H243" s="40">
        <v>1.9198</v>
      </c>
      <c r="I243" s="31">
        <v>45465</v>
      </c>
      <c r="J243" s="38">
        <v>0.57855324074074077</v>
      </c>
      <c r="K243" s="41">
        <v>0</v>
      </c>
      <c r="L243" s="41">
        <v>0</v>
      </c>
      <c r="M243" s="41">
        <v>0</v>
      </c>
      <c r="N243" s="41">
        <v>0</v>
      </c>
      <c r="O243" s="41">
        <v>0</v>
      </c>
      <c r="P243" s="41">
        <v>0</v>
      </c>
      <c r="Q243" s="41">
        <v>0</v>
      </c>
      <c r="R243" s="41">
        <v>0</v>
      </c>
      <c r="S243" s="41">
        <v>0</v>
      </c>
      <c r="T243" s="41">
        <v>0</v>
      </c>
      <c r="U243" s="41">
        <v>0</v>
      </c>
      <c r="V243" s="41">
        <v>0</v>
      </c>
      <c r="W243" s="82"/>
      <c r="Y243">
        <v>4</v>
      </c>
      <c r="Z243" t="s">
        <v>8</v>
      </c>
      <c r="AA243">
        <v>20480</v>
      </c>
      <c r="AB243">
        <v>256</v>
      </c>
      <c r="AC243">
        <v>2</v>
      </c>
      <c r="AD243">
        <v>4</v>
      </c>
      <c r="AE243">
        <v>2589.23</v>
      </c>
      <c r="AF243" s="58">
        <v>2.2120000000000002</v>
      </c>
      <c r="AG243" s="31">
        <v>45473</v>
      </c>
      <c r="AH243" s="30">
        <v>0.75287037037037041</v>
      </c>
      <c r="AI243">
        <v>0</v>
      </c>
      <c r="AJ243">
        <v>0</v>
      </c>
      <c r="AK243">
        <v>0</v>
      </c>
      <c r="AL243">
        <v>0</v>
      </c>
      <c r="AM243" s="41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s="83"/>
    </row>
  </sheetData>
  <sortState xmlns:xlrd2="http://schemas.microsoft.com/office/spreadsheetml/2017/richdata2" ref="Y4:AT243">
    <sortCondition ref="AB4:AB243"/>
    <sortCondition ref="AC4:AC243"/>
    <sortCondition ref="AA4:AA243"/>
    <sortCondition ref="Y4:Y243"/>
  </sortState>
  <mergeCells count="112">
    <mergeCell ref="W199:W203"/>
    <mergeCell ref="W154:W158"/>
    <mergeCell ref="W159:W163"/>
    <mergeCell ref="W164:W168"/>
    <mergeCell ref="W169:W173"/>
    <mergeCell ref="W174:W178"/>
    <mergeCell ref="W229:W233"/>
    <mergeCell ref="W234:W238"/>
    <mergeCell ref="W239:W243"/>
    <mergeCell ref="W204:W208"/>
    <mergeCell ref="W209:W213"/>
    <mergeCell ref="W214:W218"/>
    <mergeCell ref="W219:W223"/>
    <mergeCell ref="W224:W228"/>
    <mergeCell ref="W179:W183"/>
    <mergeCell ref="W124:W128"/>
    <mergeCell ref="W129:W133"/>
    <mergeCell ref="W134:W138"/>
    <mergeCell ref="W139:W143"/>
    <mergeCell ref="W144:W148"/>
    <mergeCell ref="W149:W153"/>
    <mergeCell ref="W184:W188"/>
    <mergeCell ref="W189:W193"/>
    <mergeCell ref="W194:W198"/>
    <mergeCell ref="W79:W83"/>
    <mergeCell ref="W84:W88"/>
    <mergeCell ref="W89:W93"/>
    <mergeCell ref="W94:W98"/>
    <mergeCell ref="W99:W103"/>
    <mergeCell ref="W104:W108"/>
    <mergeCell ref="W109:W113"/>
    <mergeCell ref="W114:W118"/>
    <mergeCell ref="W119:W123"/>
    <mergeCell ref="W74:W78"/>
    <mergeCell ref="W29:W33"/>
    <mergeCell ref="W34:W38"/>
    <mergeCell ref="W39:W43"/>
    <mergeCell ref="W44:W48"/>
    <mergeCell ref="W49:W53"/>
    <mergeCell ref="W4:W8"/>
    <mergeCell ref="W9:W13"/>
    <mergeCell ref="W14:W18"/>
    <mergeCell ref="W19:W23"/>
    <mergeCell ref="W24:W28"/>
    <mergeCell ref="A1:D1"/>
    <mergeCell ref="A2:B2"/>
    <mergeCell ref="K2:M2"/>
    <mergeCell ref="N2:P2"/>
    <mergeCell ref="Q2:S2"/>
    <mergeCell ref="W54:W58"/>
    <mergeCell ref="W59:W63"/>
    <mergeCell ref="W64:W68"/>
    <mergeCell ref="W69:W73"/>
    <mergeCell ref="AU19:AU23"/>
    <mergeCell ref="AU24:AU28"/>
    <mergeCell ref="AU29:AU33"/>
    <mergeCell ref="AU34:AU38"/>
    <mergeCell ref="AU39:AU43"/>
    <mergeCell ref="T2:V2"/>
    <mergeCell ref="K1:V1"/>
    <mergeCell ref="AU4:AU8"/>
    <mergeCell ref="AU9:AU13"/>
    <mergeCell ref="AU14:AU18"/>
    <mergeCell ref="Y1:AB1"/>
    <mergeCell ref="AI1:AT1"/>
    <mergeCell ref="Y2:Z2"/>
    <mergeCell ref="AI2:AK2"/>
    <mergeCell ref="AL2:AN2"/>
    <mergeCell ref="AO2:AQ2"/>
    <mergeCell ref="AR2:AT2"/>
    <mergeCell ref="AU1:AU3"/>
    <mergeCell ref="W1:W3"/>
    <mergeCell ref="AU69:AU73"/>
    <mergeCell ref="AU74:AU78"/>
    <mergeCell ref="AU79:AU83"/>
    <mergeCell ref="AU84:AU88"/>
    <mergeCell ref="AU89:AU93"/>
    <mergeCell ref="AU44:AU48"/>
    <mergeCell ref="AU49:AU53"/>
    <mergeCell ref="AU54:AU58"/>
    <mergeCell ref="AU59:AU63"/>
    <mergeCell ref="AU64:AU68"/>
    <mergeCell ref="AU119:AU123"/>
    <mergeCell ref="AU124:AU128"/>
    <mergeCell ref="AU129:AU133"/>
    <mergeCell ref="AU134:AU138"/>
    <mergeCell ref="AU139:AU143"/>
    <mergeCell ref="AU94:AU98"/>
    <mergeCell ref="AU99:AU103"/>
    <mergeCell ref="AU104:AU108"/>
    <mergeCell ref="AU109:AU113"/>
    <mergeCell ref="AU114:AU118"/>
    <mergeCell ref="AU169:AU173"/>
    <mergeCell ref="AU174:AU178"/>
    <mergeCell ref="AU179:AU183"/>
    <mergeCell ref="AU184:AU188"/>
    <mergeCell ref="AU189:AU193"/>
    <mergeCell ref="AU144:AU148"/>
    <mergeCell ref="AU149:AU153"/>
    <mergeCell ref="AU154:AU158"/>
    <mergeCell ref="AU159:AU163"/>
    <mergeCell ref="AU164:AU168"/>
    <mergeCell ref="AU219:AU223"/>
    <mergeCell ref="AU224:AU228"/>
    <mergeCell ref="AU229:AU233"/>
    <mergeCell ref="AU234:AU238"/>
    <mergeCell ref="AU239:AU243"/>
    <mergeCell ref="AU194:AU198"/>
    <mergeCell ref="AU199:AU203"/>
    <mergeCell ref="AU204:AU208"/>
    <mergeCell ref="AU209:AU213"/>
    <mergeCell ref="AU214:AU218"/>
  </mergeCells>
  <conditionalFormatting sqref="W4:W2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2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234F-D2B3-4F1B-AAB7-E9E67895D99C}">
  <dimension ref="A1:W404"/>
  <sheetViews>
    <sheetView zoomScale="115" zoomScaleNormal="115" workbookViewId="0">
      <selection activeCell="M4" sqref="M4:M27"/>
    </sheetView>
  </sheetViews>
  <sheetFormatPr defaultRowHeight="15" x14ac:dyDescent="0.25"/>
  <cols>
    <col min="1" max="1" width="10.5703125" style="41" bestFit="1" customWidth="1"/>
    <col min="2" max="4" width="9.28515625" style="41" bestFit="1" customWidth="1"/>
    <col min="5" max="5" width="9.140625" style="40"/>
    <col min="7" max="7" width="10.5703125" style="41" bestFit="1" customWidth="1"/>
    <col min="8" max="10" width="9.28515625" style="41" bestFit="1" customWidth="1"/>
    <col min="11" max="11" width="9.140625" style="40"/>
    <col min="12" max="12" width="9.140625" style="41"/>
    <col min="13" max="13" width="11.85546875" style="41" bestFit="1" customWidth="1"/>
    <col min="14" max="14" width="11.7109375" style="41" bestFit="1" customWidth="1"/>
    <col min="15" max="15" width="9.140625" style="2"/>
    <col min="23" max="23" width="9.140625" style="40"/>
  </cols>
  <sheetData>
    <row r="1" spans="1:14" x14ac:dyDescent="0.25">
      <c r="A1" s="86" t="s">
        <v>188</v>
      </c>
      <c r="B1" s="86"/>
      <c r="C1" s="86"/>
      <c r="D1" s="86"/>
      <c r="E1" s="86"/>
      <c r="G1" s="86" t="s">
        <v>176</v>
      </c>
      <c r="H1" s="86"/>
      <c r="I1" s="86"/>
      <c r="J1" s="86"/>
      <c r="K1" s="86"/>
    </row>
    <row r="2" spans="1:14" x14ac:dyDescent="0.25">
      <c r="A2" s="60">
        <f>INDEX(A4:A500,MATCH(MAX(E4:E500),E4:E500,0))</f>
        <v>9696</v>
      </c>
      <c r="B2" s="60">
        <f>INDEX(B4:B500,MATCH(MAX(E4:E500),E4:E500,0))</f>
        <v>96</v>
      </c>
      <c r="C2" s="60">
        <f>INDEX(C4:C500,MATCH(MAX(E4:E500),E4:E500,0))</f>
        <v>1</v>
      </c>
      <c r="D2" s="60">
        <f>INDEX(D4:D500,MATCH(MAX(E4:E500),E4:E500,0))</f>
        <v>2</v>
      </c>
      <c r="E2" s="67">
        <f>MAX(E4:E500)</f>
        <v>0.66076000000000001</v>
      </c>
      <c r="G2" s="60">
        <f>INDEX(G4:G500,MATCH(MAX(K4:K500),K4:K500,0))</f>
        <v>10080</v>
      </c>
      <c r="H2" s="60">
        <f>INDEX(H4:H500,MATCH(MAX(K4:K500),K4:K500,0))</f>
        <v>224</v>
      </c>
      <c r="I2" s="60">
        <f>INDEX(I4:I500,MATCH(MAX(K4:K500),K4:K500,0))</f>
        <v>1</v>
      </c>
      <c r="J2" s="60">
        <f>INDEX(J4:J500,MATCH(MAX(K4:K500),K4:K500,0))</f>
        <v>2</v>
      </c>
      <c r="K2" s="67">
        <f>MAX(K4:K500)</f>
        <v>0.72249799999999997</v>
      </c>
    </row>
    <row r="3" spans="1:14" x14ac:dyDescent="0.25">
      <c r="A3" s="60" t="s">
        <v>2</v>
      </c>
      <c r="B3" s="60" t="s">
        <v>3</v>
      </c>
      <c r="C3" s="60" t="s">
        <v>4</v>
      </c>
      <c r="D3" s="60" t="s">
        <v>5</v>
      </c>
      <c r="E3" s="50" t="s">
        <v>175</v>
      </c>
      <c r="G3" s="60" t="s">
        <v>2</v>
      </c>
      <c r="H3" s="60" t="s">
        <v>3</v>
      </c>
      <c r="I3" s="60" t="s">
        <v>4</v>
      </c>
      <c r="J3" s="60" t="s">
        <v>5</v>
      </c>
      <c r="K3" s="50" t="s">
        <v>175</v>
      </c>
      <c r="M3" s="41" t="s">
        <v>191</v>
      </c>
      <c r="N3" s="41" t="s">
        <v>191</v>
      </c>
    </row>
    <row r="4" spans="1:14" x14ac:dyDescent="0.25">
      <c r="A4" s="41" cm="1">
        <f t="array" ref="A4:E404">_xlfn.CHOOSECOLS(_xlfn._xlws.FILTER('1 node, params, RAW'!A4:N500,'1 node, params, RAW'!A4:A500=0),3,4,5,6,14)</f>
        <v>9216</v>
      </c>
      <c r="B4" s="41">
        <v>32</v>
      </c>
      <c r="C4" s="41">
        <v>1</v>
      </c>
      <c r="D4" s="41">
        <v>2</v>
      </c>
      <c r="E4" s="40">
        <v>0.61635200000000001</v>
      </c>
      <c r="G4" s="41" cm="1">
        <f t="array" ref="G4:K404">_xlfn.CHOOSECOLS(_xlfn._xlws.FILTER('1 node, params, RAW'!P4:AC500,'1 node, params, RAW'!P4:P500=0),3,4,5,6,14)</f>
        <v>9216</v>
      </c>
      <c r="H4" s="41">
        <v>32</v>
      </c>
      <c r="I4" s="41">
        <v>1</v>
      </c>
      <c r="J4" s="41">
        <v>2</v>
      </c>
      <c r="K4" s="40">
        <v>0.66597800000000007</v>
      </c>
      <c r="M4" s="41">
        <f>CHOOSE(IF(ABS(A4-9216) &lt;= ABS(A4-9728),IF(ABS(A4-9216) &lt;= ABS(A4-10240),1,3),IF(ABS(A4-9728) &lt;= ABS(A4-10240),2,3)),9216,9728,10240)</f>
        <v>9216</v>
      </c>
      <c r="N4" s="41">
        <f>CHOOSE(IF(ABS(G4-9216) &lt;= ABS(G4-9728),IF(ABS(G4-9216) &lt;= ABS(G4-10240),1,3),IF(ABS(G4-9728) &lt;= ABS(G4-10240),2,3)),9216,9728,10240)</f>
        <v>9216</v>
      </c>
    </row>
    <row r="5" spans="1:14" x14ac:dyDescent="0.25">
      <c r="A5" s="41">
        <v>9728</v>
      </c>
      <c r="B5" s="41">
        <v>32</v>
      </c>
      <c r="C5" s="41">
        <v>1</v>
      </c>
      <c r="D5" s="41">
        <v>2</v>
      </c>
      <c r="E5" s="40">
        <v>0.61668800000000001</v>
      </c>
      <c r="G5" s="41">
        <v>9728</v>
      </c>
      <c r="H5" s="41">
        <v>32</v>
      </c>
      <c r="I5" s="41">
        <v>1</v>
      </c>
      <c r="J5" s="41">
        <v>2</v>
      </c>
      <c r="K5" s="40">
        <v>0.67175200000000002</v>
      </c>
      <c r="M5" s="41">
        <f t="shared" ref="M5:M27" si="0">CHOOSE(IF(ABS(A5-9216) &lt;= ABS(A5-9728),IF(ABS(A5-9216) &lt;= ABS(A5-10240),1,3),IF(ABS(A5-9728) &lt;= ABS(A5-10240),2,3)),9216,9728,10240)</f>
        <v>9728</v>
      </c>
      <c r="N5" s="41">
        <f t="shared" ref="N5:N27" si="1">CHOOSE(IF(ABS(G5-9216) &lt;= ABS(G5-9728),IF(ABS(G5-9216) &lt;= ABS(G5-10240),1,3),IF(ABS(G5-9728) &lt;= ABS(G5-10240),2,3)),9216,9728,10240)</f>
        <v>9728</v>
      </c>
    </row>
    <row r="6" spans="1:14" x14ac:dyDescent="0.25">
      <c r="A6" s="41">
        <v>10240</v>
      </c>
      <c r="B6" s="41">
        <v>32</v>
      </c>
      <c r="C6" s="41">
        <v>1</v>
      </c>
      <c r="D6" s="41">
        <v>2</v>
      </c>
      <c r="E6" s="40">
        <v>0.61732999999999993</v>
      </c>
      <c r="G6" s="41">
        <v>10240</v>
      </c>
      <c r="H6" s="41">
        <v>32</v>
      </c>
      <c r="I6" s="41">
        <v>1</v>
      </c>
      <c r="J6" s="41">
        <v>2</v>
      </c>
      <c r="K6" s="40">
        <v>0.67843600000000004</v>
      </c>
      <c r="M6" s="41">
        <f t="shared" si="0"/>
        <v>10240</v>
      </c>
      <c r="N6" s="41">
        <f t="shared" si="1"/>
        <v>10240</v>
      </c>
    </row>
    <row r="7" spans="1:14" x14ac:dyDescent="0.25">
      <c r="A7" s="41">
        <v>9216</v>
      </c>
      <c r="B7" s="41">
        <v>64</v>
      </c>
      <c r="C7" s="41">
        <v>1</v>
      </c>
      <c r="D7" s="41">
        <v>2</v>
      </c>
      <c r="E7" s="40">
        <v>0.62129800000000002</v>
      </c>
      <c r="G7" s="41">
        <v>9216</v>
      </c>
      <c r="H7" s="41">
        <v>64</v>
      </c>
      <c r="I7" s="41">
        <v>1</v>
      </c>
      <c r="J7" s="41">
        <v>2</v>
      </c>
      <c r="K7" s="40">
        <v>0.70793800000000007</v>
      </c>
      <c r="M7" s="41">
        <f t="shared" si="0"/>
        <v>9216</v>
      </c>
      <c r="N7" s="41">
        <f t="shared" si="1"/>
        <v>9216</v>
      </c>
    </row>
    <row r="8" spans="1:14" x14ac:dyDescent="0.25">
      <c r="A8" s="41">
        <v>9728</v>
      </c>
      <c r="B8" s="41">
        <v>64</v>
      </c>
      <c r="C8" s="41">
        <v>1</v>
      </c>
      <c r="D8" s="41">
        <v>2</v>
      </c>
      <c r="E8" s="40">
        <v>0.62430400000000008</v>
      </c>
      <c r="G8" s="41">
        <v>9728</v>
      </c>
      <c r="H8" s="41">
        <v>64</v>
      </c>
      <c r="I8" s="41">
        <v>1</v>
      </c>
      <c r="J8" s="41">
        <v>2</v>
      </c>
      <c r="K8" s="40">
        <v>0.71590200000000004</v>
      </c>
      <c r="M8" s="41">
        <f t="shared" si="0"/>
        <v>9728</v>
      </c>
      <c r="N8" s="41">
        <f t="shared" si="1"/>
        <v>9728</v>
      </c>
    </row>
    <row r="9" spans="1:14" x14ac:dyDescent="0.25">
      <c r="A9" s="41">
        <v>10240</v>
      </c>
      <c r="B9" s="41">
        <v>64</v>
      </c>
      <c r="C9" s="41">
        <v>1</v>
      </c>
      <c r="D9" s="41">
        <v>2</v>
      </c>
      <c r="E9" s="40">
        <v>0.62390999999999996</v>
      </c>
      <c r="G9" s="41">
        <v>10240</v>
      </c>
      <c r="H9" s="41">
        <v>64</v>
      </c>
      <c r="I9" s="41">
        <v>1</v>
      </c>
      <c r="J9" s="41">
        <v>2</v>
      </c>
      <c r="K9" s="40">
        <v>0.70856199999999991</v>
      </c>
      <c r="M9" s="41">
        <f t="shared" si="0"/>
        <v>10240</v>
      </c>
      <c r="N9" s="41">
        <f t="shared" si="1"/>
        <v>10240</v>
      </c>
    </row>
    <row r="10" spans="1:14" x14ac:dyDescent="0.25">
      <c r="A10" s="41">
        <v>9216</v>
      </c>
      <c r="B10" s="41">
        <v>96</v>
      </c>
      <c r="C10" s="41">
        <v>1</v>
      </c>
      <c r="D10" s="41">
        <v>2</v>
      </c>
      <c r="E10" s="40">
        <v>0.64347600000000005</v>
      </c>
      <c r="G10" s="41">
        <v>9216</v>
      </c>
      <c r="H10" s="41">
        <v>96</v>
      </c>
      <c r="I10" s="41">
        <v>1</v>
      </c>
      <c r="J10" s="41">
        <v>2</v>
      </c>
      <c r="K10" s="40">
        <v>0.7139899999999999</v>
      </c>
      <c r="M10" s="41">
        <f t="shared" si="0"/>
        <v>9216</v>
      </c>
      <c r="N10" s="41">
        <f t="shared" si="1"/>
        <v>9216</v>
      </c>
    </row>
    <row r="11" spans="1:14" x14ac:dyDescent="0.25">
      <c r="A11" s="41">
        <v>9696</v>
      </c>
      <c r="B11" s="41">
        <v>96</v>
      </c>
      <c r="C11" s="41">
        <v>1</v>
      </c>
      <c r="D11" s="41">
        <v>2</v>
      </c>
      <c r="E11" s="40">
        <v>0.66076000000000001</v>
      </c>
      <c r="G11" s="41">
        <v>9696</v>
      </c>
      <c r="H11" s="41">
        <v>96</v>
      </c>
      <c r="I11" s="41">
        <v>1</v>
      </c>
      <c r="J11" s="41">
        <v>2</v>
      </c>
      <c r="K11" s="40">
        <v>0.72216800000000003</v>
      </c>
      <c r="M11" s="41">
        <f t="shared" si="0"/>
        <v>9728</v>
      </c>
      <c r="N11" s="41">
        <f t="shared" si="1"/>
        <v>9728</v>
      </c>
    </row>
    <row r="12" spans="1:14" x14ac:dyDescent="0.25">
      <c r="A12" s="41">
        <v>10176</v>
      </c>
      <c r="B12" s="41">
        <v>96</v>
      </c>
      <c r="C12" s="41">
        <v>1</v>
      </c>
      <c r="D12" s="41">
        <v>2</v>
      </c>
      <c r="E12" s="40">
        <v>0.65985000000000005</v>
      </c>
      <c r="G12" s="41">
        <v>10176</v>
      </c>
      <c r="H12" s="41">
        <v>96</v>
      </c>
      <c r="I12" s="41">
        <v>1</v>
      </c>
      <c r="J12" s="41">
        <v>2</v>
      </c>
      <c r="K12" s="40">
        <v>0.72211799999999993</v>
      </c>
      <c r="M12" s="41">
        <f t="shared" si="0"/>
        <v>10240</v>
      </c>
      <c r="N12" s="41">
        <f t="shared" si="1"/>
        <v>10240</v>
      </c>
    </row>
    <row r="13" spans="1:14" x14ac:dyDescent="0.25">
      <c r="A13" s="41">
        <v>9216</v>
      </c>
      <c r="B13" s="41">
        <v>128</v>
      </c>
      <c r="C13" s="41">
        <v>1</v>
      </c>
      <c r="D13" s="41">
        <v>2</v>
      </c>
      <c r="E13" s="40">
        <v>0.63427999999999995</v>
      </c>
      <c r="G13" s="41">
        <v>9216</v>
      </c>
      <c r="H13" s="41">
        <v>128</v>
      </c>
      <c r="I13" s="41">
        <v>1</v>
      </c>
      <c r="J13" s="41">
        <v>2</v>
      </c>
      <c r="K13" s="40">
        <v>0.70786199999999999</v>
      </c>
      <c r="M13" s="41">
        <f t="shared" si="0"/>
        <v>9216</v>
      </c>
      <c r="N13" s="41">
        <f t="shared" si="1"/>
        <v>9216</v>
      </c>
    </row>
    <row r="14" spans="1:14" x14ac:dyDescent="0.25">
      <c r="A14" s="41">
        <v>9728</v>
      </c>
      <c r="B14" s="41">
        <v>128</v>
      </c>
      <c r="C14" s="41">
        <v>1</v>
      </c>
      <c r="D14" s="41">
        <v>2</v>
      </c>
      <c r="E14" s="40">
        <v>0.63583999999999996</v>
      </c>
      <c r="G14" s="41">
        <v>9728</v>
      </c>
      <c r="H14" s="41">
        <v>128</v>
      </c>
      <c r="I14" s="41">
        <v>1</v>
      </c>
      <c r="J14" s="41">
        <v>2</v>
      </c>
      <c r="K14" s="40">
        <v>0.71286399999999994</v>
      </c>
      <c r="M14" s="41">
        <f t="shared" si="0"/>
        <v>9728</v>
      </c>
      <c r="N14" s="41">
        <f t="shared" si="1"/>
        <v>9728</v>
      </c>
    </row>
    <row r="15" spans="1:14" x14ac:dyDescent="0.25">
      <c r="A15" s="41">
        <v>10240</v>
      </c>
      <c r="B15" s="41">
        <v>128</v>
      </c>
      <c r="C15" s="41">
        <v>1</v>
      </c>
      <c r="D15" s="41">
        <v>2</v>
      </c>
      <c r="E15" s="40">
        <v>0.63469799999999998</v>
      </c>
      <c r="G15" s="41">
        <v>10240</v>
      </c>
      <c r="H15" s="41">
        <v>128</v>
      </c>
      <c r="I15" s="41">
        <v>1</v>
      </c>
      <c r="J15" s="41">
        <v>2</v>
      </c>
      <c r="K15" s="40">
        <v>0.71455999999999997</v>
      </c>
      <c r="M15" s="41">
        <f t="shared" si="0"/>
        <v>10240</v>
      </c>
      <c r="N15" s="41">
        <f t="shared" si="1"/>
        <v>10240</v>
      </c>
    </row>
    <row r="16" spans="1:14" x14ac:dyDescent="0.25">
      <c r="A16" s="41">
        <v>9120</v>
      </c>
      <c r="B16" s="41">
        <v>160</v>
      </c>
      <c r="C16" s="41">
        <v>1</v>
      </c>
      <c r="D16" s="41">
        <v>2</v>
      </c>
      <c r="E16" s="40">
        <v>0.653084</v>
      </c>
      <c r="G16" s="41">
        <v>9120</v>
      </c>
      <c r="H16" s="41">
        <v>160</v>
      </c>
      <c r="I16" s="41">
        <v>1</v>
      </c>
      <c r="J16" s="41">
        <v>2</v>
      </c>
      <c r="K16" s="40">
        <v>0.715194</v>
      </c>
      <c r="M16" s="41">
        <f t="shared" si="0"/>
        <v>9216</v>
      </c>
      <c r="N16" s="41">
        <f t="shared" si="1"/>
        <v>9216</v>
      </c>
    </row>
    <row r="17" spans="1:14" x14ac:dyDescent="0.25">
      <c r="A17" s="41">
        <v>9600</v>
      </c>
      <c r="B17" s="41">
        <v>160</v>
      </c>
      <c r="C17" s="41">
        <v>1</v>
      </c>
      <c r="D17" s="41">
        <v>2</v>
      </c>
      <c r="E17" s="40">
        <v>0.64873800000000004</v>
      </c>
      <c r="G17" s="41">
        <v>9600</v>
      </c>
      <c r="H17" s="41">
        <v>160</v>
      </c>
      <c r="I17" s="41">
        <v>1</v>
      </c>
      <c r="J17" s="41">
        <v>2</v>
      </c>
      <c r="K17" s="40">
        <v>0.71828599999999998</v>
      </c>
      <c r="M17" s="41">
        <f t="shared" si="0"/>
        <v>9728</v>
      </c>
      <c r="N17" s="41">
        <f t="shared" si="1"/>
        <v>9728</v>
      </c>
    </row>
    <row r="18" spans="1:14" x14ac:dyDescent="0.25">
      <c r="A18" s="41">
        <v>10240</v>
      </c>
      <c r="B18" s="41">
        <v>160</v>
      </c>
      <c r="C18" s="41">
        <v>1</v>
      </c>
      <c r="D18" s="41">
        <v>2</v>
      </c>
      <c r="E18" s="40">
        <v>0.639598</v>
      </c>
      <c r="G18" s="41">
        <v>10240</v>
      </c>
      <c r="H18" s="41">
        <v>160</v>
      </c>
      <c r="I18" s="41">
        <v>1</v>
      </c>
      <c r="J18" s="41">
        <v>2</v>
      </c>
      <c r="K18" s="40">
        <v>0.71787000000000012</v>
      </c>
      <c r="M18" s="41">
        <f t="shared" si="0"/>
        <v>10240</v>
      </c>
      <c r="N18" s="41">
        <f t="shared" si="1"/>
        <v>10240</v>
      </c>
    </row>
    <row r="19" spans="1:14" x14ac:dyDescent="0.25">
      <c r="A19" s="41">
        <v>9216</v>
      </c>
      <c r="B19" s="41">
        <v>192</v>
      </c>
      <c r="C19" s="41">
        <v>1</v>
      </c>
      <c r="D19" s="41">
        <v>2</v>
      </c>
      <c r="E19" s="40">
        <v>0.63951599999999997</v>
      </c>
      <c r="G19" s="41">
        <v>9216</v>
      </c>
      <c r="H19" s="41">
        <v>192</v>
      </c>
      <c r="I19" s="41">
        <v>1</v>
      </c>
      <c r="J19" s="41">
        <v>2</v>
      </c>
      <c r="K19" s="40">
        <v>0.71471200000000001</v>
      </c>
      <c r="M19" s="41">
        <f t="shared" si="0"/>
        <v>9216</v>
      </c>
      <c r="N19" s="41">
        <f t="shared" si="1"/>
        <v>9216</v>
      </c>
    </row>
    <row r="20" spans="1:14" x14ac:dyDescent="0.25">
      <c r="A20" s="41">
        <v>9600</v>
      </c>
      <c r="B20" s="41">
        <v>192</v>
      </c>
      <c r="C20" s="41">
        <v>1</v>
      </c>
      <c r="D20" s="41">
        <v>2</v>
      </c>
      <c r="E20" s="40">
        <v>0.65904000000000007</v>
      </c>
      <c r="G20" s="41">
        <v>9600</v>
      </c>
      <c r="H20" s="41">
        <v>192</v>
      </c>
      <c r="I20" s="41">
        <v>1</v>
      </c>
      <c r="J20" s="41">
        <v>2</v>
      </c>
      <c r="K20" s="40">
        <v>0.71927200000000002</v>
      </c>
      <c r="M20" s="41">
        <f t="shared" si="0"/>
        <v>9728</v>
      </c>
      <c r="N20" s="41">
        <f t="shared" si="1"/>
        <v>9728</v>
      </c>
    </row>
    <row r="21" spans="1:14" x14ac:dyDescent="0.25">
      <c r="A21" s="41">
        <v>10176</v>
      </c>
      <c r="B21" s="41">
        <v>192</v>
      </c>
      <c r="C21" s="41">
        <v>1</v>
      </c>
      <c r="D21" s="41">
        <v>2</v>
      </c>
      <c r="E21" s="40">
        <v>0.65877200000000002</v>
      </c>
      <c r="G21" s="41">
        <v>10176</v>
      </c>
      <c r="H21" s="41">
        <v>192</v>
      </c>
      <c r="I21" s="41">
        <v>1</v>
      </c>
      <c r="J21" s="41">
        <v>2</v>
      </c>
      <c r="K21" s="40">
        <v>0.71656799999999998</v>
      </c>
      <c r="M21" s="41">
        <f t="shared" si="0"/>
        <v>10240</v>
      </c>
      <c r="N21" s="41">
        <f t="shared" si="1"/>
        <v>10240</v>
      </c>
    </row>
    <row r="22" spans="1:14" x14ac:dyDescent="0.25">
      <c r="A22" s="41">
        <v>9184</v>
      </c>
      <c r="B22" s="41">
        <v>224</v>
      </c>
      <c r="C22" s="41">
        <v>1</v>
      </c>
      <c r="D22" s="41">
        <v>2</v>
      </c>
      <c r="E22" s="40">
        <v>0.64905799999999991</v>
      </c>
      <c r="G22" s="41">
        <v>9184</v>
      </c>
      <c r="H22" s="41">
        <v>224</v>
      </c>
      <c r="I22" s="41">
        <v>1</v>
      </c>
      <c r="J22" s="41">
        <v>2</v>
      </c>
      <c r="K22" s="40">
        <v>0.72235000000000005</v>
      </c>
      <c r="M22" s="41">
        <f t="shared" si="0"/>
        <v>9216</v>
      </c>
      <c r="N22" s="41">
        <f t="shared" si="1"/>
        <v>9216</v>
      </c>
    </row>
    <row r="23" spans="1:14" x14ac:dyDescent="0.25">
      <c r="A23" s="41">
        <v>9632</v>
      </c>
      <c r="B23" s="41">
        <v>224</v>
      </c>
      <c r="C23" s="41">
        <v>1</v>
      </c>
      <c r="D23" s="41">
        <v>2</v>
      </c>
      <c r="E23" s="40">
        <v>0.65214399999999995</v>
      </c>
      <c r="G23" s="41">
        <v>9632</v>
      </c>
      <c r="H23" s="41">
        <v>224</v>
      </c>
      <c r="I23" s="41">
        <v>1</v>
      </c>
      <c r="J23" s="41">
        <v>2</v>
      </c>
      <c r="K23" s="40">
        <v>0.71823199999999998</v>
      </c>
      <c r="M23" s="41">
        <f t="shared" si="0"/>
        <v>9728</v>
      </c>
      <c r="N23" s="41">
        <f t="shared" si="1"/>
        <v>9728</v>
      </c>
    </row>
    <row r="24" spans="1:14" x14ac:dyDescent="0.25">
      <c r="A24" s="41">
        <v>10080</v>
      </c>
      <c r="B24" s="41">
        <v>224</v>
      </c>
      <c r="C24" s="41">
        <v>1</v>
      </c>
      <c r="D24" s="41">
        <v>2</v>
      </c>
      <c r="E24" s="40">
        <v>0.65258000000000005</v>
      </c>
      <c r="G24" s="41">
        <v>10080</v>
      </c>
      <c r="H24" s="41">
        <v>224</v>
      </c>
      <c r="I24" s="41">
        <v>1</v>
      </c>
      <c r="J24" s="41">
        <v>2</v>
      </c>
      <c r="K24" s="40">
        <v>0.72249799999999997</v>
      </c>
      <c r="M24" s="41">
        <f t="shared" si="0"/>
        <v>10240</v>
      </c>
      <c r="N24" s="41">
        <f t="shared" si="1"/>
        <v>10240</v>
      </c>
    </row>
    <row r="25" spans="1:14" x14ac:dyDescent="0.25">
      <c r="A25" s="41">
        <v>9216</v>
      </c>
      <c r="B25" s="41">
        <v>256</v>
      </c>
      <c r="C25" s="41">
        <v>1</v>
      </c>
      <c r="D25" s="41">
        <v>2</v>
      </c>
      <c r="E25" s="40">
        <v>0.62730999999999992</v>
      </c>
      <c r="G25" s="41">
        <v>9216</v>
      </c>
      <c r="H25" s="41">
        <v>256</v>
      </c>
      <c r="I25" s="41">
        <v>1</v>
      </c>
      <c r="J25" s="41">
        <v>2</v>
      </c>
      <c r="K25" s="40">
        <v>0.70035599999999998</v>
      </c>
      <c r="M25" s="41">
        <f t="shared" si="0"/>
        <v>9216</v>
      </c>
      <c r="N25" s="41">
        <f t="shared" si="1"/>
        <v>9216</v>
      </c>
    </row>
    <row r="26" spans="1:14" x14ac:dyDescent="0.25">
      <c r="A26" s="41">
        <v>9728</v>
      </c>
      <c r="B26" s="41">
        <v>256</v>
      </c>
      <c r="C26" s="41">
        <v>1</v>
      </c>
      <c r="D26" s="41">
        <v>2</v>
      </c>
      <c r="E26" s="40">
        <v>0.62989399999999995</v>
      </c>
      <c r="G26" s="41">
        <v>9728</v>
      </c>
      <c r="H26" s="41">
        <v>256</v>
      </c>
      <c r="I26" s="41">
        <v>1</v>
      </c>
      <c r="J26" s="41">
        <v>2</v>
      </c>
      <c r="K26" s="40">
        <v>0.70344999999999991</v>
      </c>
      <c r="M26" s="41">
        <f t="shared" si="0"/>
        <v>9728</v>
      </c>
      <c r="N26" s="41">
        <f t="shared" si="1"/>
        <v>9728</v>
      </c>
    </row>
    <row r="27" spans="1:14" x14ac:dyDescent="0.25">
      <c r="A27" s="41">
        <v>10240</v>
      </c>
      <c r="B27" s="41">
        <v>256</v>
      </c>
      <c r="C27" s="41">
        <v>1</v>
      </c>
      <c r="D27" s="41">
        <v>2</v>
      </c>
      <c r="E27" s="40">
        <v>0.62835599999999991</v>
      </c>
      <c r="G27" s="41">
        <v>10240</v>
      </c>
      <c r="H27" s="41">
        <v>256</v>
      </c>
      <c r="I27" s="41">
        <v>1</v>
      </c>
      <c r="J27" s="41">
        <v>2</v>
      </c>
      <c r="K27" s="40">
        <v>0.71308800000000006</v>
      </c>
      <c r="M27" s="41">
        <f t="shared" si="0"/>
        <v>10240</v>
      </c>
      <c r="N27" s="41">
        <f t="shared" si="1"/>
        <v>10240</v>
      </c>
    </row>
    <row r="28" spans="1:14" x14ac:dyDescent="0.25">
      <c r="A28" s="41">
        <v>0</v>
      </c>
      <c r="B28" s="41">
        <v>0</v>
      </c>
      <c r="C28" s="41">
        <v>0</v>
      </c>
      <c r="D28" s="41">
        <v>0</v>
      </c>
      <c r="E28" s="40">
        <v>0</v>
      </c>
      <c r="G28" s="41">
        <v>0</v>
      </c>
      <c r="H28" s="41">
        <v>0</v>
      </c>
      <c r="I28" s="41">
        <v>0</v>
      </c>
      <c r="J28" s="41">
        <v>0</v>
      </c>
      <c r="K28" s="40">
        <v>0</v>
      </c>
    </row>
    <row r="29" spans="1:14" x14ac:dyDescent="0.25">
      <c r="A29" s="41">
        <v>0</v>
      </c>
      <c r="B29" s="41">
        <v>0</v>
      </c>
      <c r="C29" s="41">
        <v>0</v>
      </c>
      <c r="D29" s="41">
        <v>0</v>
      </c>
      <c r="E29" s="40">
        <v>0</v>
      </c>
      <c r="G29" s="41">
        <v>0</v>
      </c>
      <c r="H29" s="41">
        <v>0</v>
      </c>
      <c r="I29" s="41">
        <v>0</v>
      </c>
      <c r="J29" s="41">
        <v>0</v>
      </c>
      <c r="K29" s="40">
        <v>0</v>
      </c>
    </row>
    <row r="30" spans="1:14" x14ac:dyDescent="0.25">
      <c r="A30" s="41">
        <v>0</v>
      </c>
      <c r="B30" s="41">
        <v>0</v>
      </c>
      <c r="C30" s="41">
        <v>0</v>
      </c>
      <c r="D30" s="41">
        <v>0</v>
      </c>
      <c r="E30" s="40">
        <v>0</v>
      </c>
      <c r="G30" s="41">
        <v>0</v>
      </c>
      <c r="H30" s="41">
        <v>0</v>
      </c>
      <c r="I30" s="41">
        <v>0</v>
      </c>
      <c r="J30" s="41">
        <v>0</v>
      </c>
      <c r="K30" s="40">
        <v>0</v>
      </c>
    </row>
    <row r="31" spans="1:14" x14ac:dyDescent="0.25">
      <c r="A31" s="41">
        <v>0</v>
      </c>
      <c r="B31" s="41">
        <v>0</v>
      </c>
      <c r="C31" s="41">
        <v>0</v>
      </c>
      <c r="D31" s="41">
        <v>0</v>
      </c>
      <c r="E31" s="40">
        <v>0</v>
      </c>
      <c r="G31" s="41">
        <v>0</v>
      </c>
      <c r="H31" s="41">
        <v>0</v>
      </c>
      <c r="I31" s="41">
        <v>0</v>
      </c>
      <c r="J31" s="41">
        <v>0</v>
      </c>
      <c r="K31" s="40">
        <v>0</v>
      </c>
    </row>
    <row r="32" spans="1:14" x14ac:dyDescent="0.25">
      <c r="A32" s="41">
        <v>0</v>
      </c>
      <c r="B32" s="41">
        <v>0</v>
      </c>
      <c r="C32" s="41">
        <v>0</v>
      </c>
      <c r="D32" s="41">
        <v>0</v>
      </c>
      <c r="E32" s="40">
        <v>0</v>
      </c>
      <c r="G32" s="41">
        <v>0</v>
      </c>
      <c r="H32" s="41">
        <v>0</v>
      </c>
      <c r="I32" s="41">
        <v>0</v>
      </c>
      <c r="J32" s="41">
        <v>0</v>
      </c>
      <c r="K32" s="40">
        <v>0</v>
      </c>
    </row>
    <row r="33" spans="1:11" x14ac:dyDescent="0.25">
      <c r="A33" s="41">
        <v>0</v>
      </c>
      <c r="B33" s="41">
        <v>0</v>
      </c>
      <c r="C33" s="41">
        <v>0</v>
      </c>
      <c r="D33" s="41">
        <v>0</v>
      </c>
      <c r="E33" s="40">
        <v>0</v>
      </c>
      <c r="G33" s="41">
        <v>0</v>
      </c>
      <c r="H33" s="41">
        <v>0</v>
      </c>
      <c r="I33" s="41">
        <v>0</v>
      </c>
      <c r="J33" s="41">
        <v>0</v>
      </c>
      <c r="K33" s="40">
        <v>0</v>
      </c>
    </row>
    <row r="34" spans="1:11" x14ac:dyDescent="0.25">
      <c r="A34" s="41">
        <v>0</v>
      </c>
      <c r="B34" s="41">
        <v>0</v>
      </c>
      <c r="C34" s="41">
        <v>0</v>
      </c>
      <c r="D34" s="41">
        <v>0</v>
      </c>
      <c r="E34" s="40">
        <v>0</v>
      </c>
      <c r="G34" s="41">
        <v>0</v>
      </c>
      <c r="H34" s="41">
        <v>0</v>
      </c>
      <c r="I34" s="41">
        <v>0</v>
      </c>
      <c r="J34" s="41">
        <v>0</v>
      </c>
      <c r="K34" s="40">
        <v>0</v>
      </c>
    </row>
    <row r="35" spans="1:11" x14ac:dyDescent="0.25">
      <c r="A35" s="41">
        <v>0</v>
      </c>
      <c r="B35" s="41">
        <v>0</v>
      </c>
      <c r="C35" s="41">
        <v>0</v>
      </c>
      <c r="D35" s="41">
        <v>0</v>
      </c>
      <c r="E35" s="40">
        <v>0</v>
      </c>
      <c r="G35" s="41">
        <v>0</v>
      </c>
      <c r="H35" s="41">
        <v>0</v>
      </c>
      <c r="I35" s="41">
        <v>0</v>
      </c>
      <c r="J35" s="41">
        <v>0</v>
      </c>
      <c r="K35" s="40">
        <v>0</v>
      </c>
    </row>
    <row r="36" spans="1:11" x14ac:dyDescent="0.25">
      <c r="A36" s="41">
        <v>0</v>
      </c>
      <c r="B36" s="41">
        <v>0</v>
      </c>
      <c r="C36" s="41">
        <v>0</v>
      </c>
      <c r="D36" s="41">
        <v>0</v>
      </c>
      <c r="E36" s="40">
        <v>0</v>
      </c>
      <c r="G36" s="41">
        <v>0</v>
      </c>
      <c r="H36" s="41">
        <v>0</v>
      </c>
      <c r="I36" s="41">
        <v>0</v>
      </c>
      <c r="J36" s="41">
        <v>0</v>
      </c>
      <c r="K36" s="40">
        <v>0</v>
      </c>
    </row>
    <row r="37" spans="1:11" x14ac:dyDescent="0.25">
      <c r="A37" s="41">
        <v>0</v>
      </c>
      <c r="B37" s="41">
        <v>0</v>
      </c>
      <c r="C37" s="41">
        <v>0</v>
      </c>
      <c r="D37" s="41">
        <v>0</v>
      </c>
      <c r="E37" s="40">
        <v>0</v>
      </c>
      <c r="G37" s="41">
        <v>0</v>
      </c>
      <c r="H37" s="41">
        <v>0</v>
      </c>
      <c r="I37" s="41">
        <v>0</v>
      </c>
      <c r="J37" s="41">
        <v>0</v>
      </c>
      <c r="K37" s="40">
        <v>0</v>
      </c>
    </row>
    <row r="38" spans="1:11" x14ac:dyDescent="0.25">
      <c r="A38" s="41">
        <v>0</v>
      </c>
      <c r="B38" s="41">
        <v>0</v>
      </c>
      <c r="C38" s="41">
        <v>0</v>
      </c>
      <c r="D38" s="41">
        <v>0</v>
      </c>
      <c r="E38" s="40">
        <v>0</v>
      </c>
      <c r="G38" s="41">
        <v>0</v>
      </c>
      <c r="H38" s="41">
        <v>0</v>
      </c>
      <c r="I38" s="41">
        <v>0</v>
      </c>
      <c r="J38" s="41">
        <v>0</v>
      </c>
      <c r="K38" s="40">
        <v>0</v>
      </c>
    </row>
    <row r="39" spans="1:11" x14ac:dyDescent="0.25">
      <c r="A39" s="41">
        <v>0</v>
      </c>
      <c r="B39" s="41">
        <v>0</v>
      </c>
      <c r="C39" s="41">
        <v>0</v>
      </c>
      <c r="D39" s="41">
        <v>0</v>
      </c>
      <c r="E39" s="40">
        <v>0</v>
      </c>
      <c r="G39" s="41">
        <v>0</v>
      </c>
      <c r="H39" s="41">
        <v>0</v>
      </c>
      <c r="I39" s="41">
        <v>0</v>
      </c>
      <c r="J39" s="41">
        <v>0</v>
      </c>
      <c r="K39" s="40">
        <v>0</v>
      </c>
    </row>
    <row r="40" spans="1:11" x14ac:dyDescent="0.25">
      <c r="A40" s="41">
        <v>0</v>
      </c>
      <c r="B40" s="41">
        <v>0</v>
      </c>
      <c r="C40" s="41">
        <v>0</v>
      </c>
      <c r="D40" s="41">
        <v>0</v>
      </c>
      <c r="E40" s="40">
        <v>0</v>
      </c>
      <c r="G40" s="41">
        <v>0</v>
      </c>
      <c r="H40" s="41">
        <v>0</v>
      </c>
      <c r="I40" s="41">
        <v>0</v>
      </c>
      <c r="J40" s="41">
        <v>0</v>
      </c>
      <c r="K40" s="40">
        <v>0</v>
      </c>
    </row>
    <row r="41" spans="1:11" x14ac:dyDescent="0.25">
      <c r="A41" s="41">
        <v>0</v>
      </c>
      <c r="B41" s="41">
        <v>0</v>
      </c>
      <c r="C41" s="41">
        <v>0</v>
      </c>
      <c r="D41" s="41">
        <v>0</v>
      </c>
      <c r="E41" s="40">
        <v>0</v>
      </c>
      <c r="G41" s="41">
        <v>0</v>
      </c>
      <c r="H41" s="41">
        <v>0</v>
      </c>
      <c r="I41" s="41">
        <v>0</v>
      </c>
      <c r="J41" s="41">
        <v>0</v>
      </c>
      <c r="K41" s="40">
        <v>0</v>
      </c>
    </row>
    <row r="42" spans="1:11" x14ac:dyDescent="0.25">
      <c r="A42" s="41">
        <v>0</v>
      </c>
      <c r="B42" s="41">
        <v>0</v>
      </c>
      <c r="C42" s="41">
        <v>0</v>
      </c>
      <c r="D42" s="41">
        <v>0</v>
      </c>
      <c r="E42" s="40">
        <v>0</v>
      </c>
      <c r="G42" s="41">
        <v>0</v>
      </c>
      <c r="H42" s="41">
        <v>0</v>
      </c>
      <c r="I42" s="41">
        <v>0</v>
      </c>
      <c r="J42" s="41">
        <v>0</v>
      </c>
      <c r="K42" s="40">
        <v>0</v>
      </c>
    </row>
    <row r="43" spans="1:11" x14ac:dyDescent="0.25">
      <c r="A43" s="41">
        <v>0</v>
      </c>
      <c r="B43" s="41">
        <v>0</v>
      </c>
      <c r="C43" s="41">
        <v>0</v>
      </c>
      <c r="D43" s="41">
        <v>0</v>
      </c>
      <c r="E43" s="40">
        <v>0</v>
      </c>
      <c r="G43" s="41">
        <v>0</v>
      </c>
      <c r="H43" s="41">
        <v>0</v>
      </c>
      <c r="I43" s="41">
        <v>0</v>
      </c>
      <c r="J43" s="41">
        <v>0</v>
      </c>
      <c r="K43" s="40">
        <v>0</v>
      </c>
    </row>
    <row r="44" spans="1:11" x14ac:dyDescent="0.25">
      <c r="A44" s="41">
        <v>0</v>
      </c>
      <c r="B44" s="41">
        <v>0</v>
      </c>
      <c r="C44" s="41">
        <v>0</v>
      </c>
      <c r="D44" s="41">
        <v>0</v>
      </c>
      <c r="E44" s="40">
        <v>0</v>
      </c>
      <c r="G44" s="41">
        <v>0</v>
      </c>
      <c r="H44" s="41">
        <v>0</v>
      </c>
      <c r="I44" s="41">
        <v>0</v>
      </c>
      <c r="J44" s="41">
        <v>0</v>
      </c>
      <c r="K44" s="40">
        <v>0</v>
      </c>
    </row>
    <row r="45" spans="1:11" x14ac:dyDescent="0.25">
      <c r="A45" s="41">
        <v>0</v>
      </c>
      <c r="B45" s="41">
        <v>0</v>
      </c>
      <c r="C45" s="41">
        <v>0</v>
      </c>
      <c r="D45" s="41">
        <v>0</v>
      </c>
      <c r="E45" s="40">
        <v>0</v>
      </c>
      <c r="G45" s="41">
        <v>0</v>
      </c>
      <c r="H45" s="41">
        <v>0</v>
      </c>
      <c r="I45" s="41">
        <v>0</v>
      </c>
      <c r="J45" s="41">
        <v>0</v>
      </c>
      <c r="K45" s="40">
        <v>0</v>
      </c>
    </row>
    <row r="46" spans="1:11" x14ac:dyDescent="0.25">
      <c r="A46" s="41">
        <v>0</v>
      </c>
      <c r="B46" s="41">
        <v>0</v>
      </c>
      <c r="C46" s="41">
        <v>0</v>
      </c>
      <c r="D46" s="41">
        <v>0</v>
      </c>
      <c r="E46" s="40">
        <v>0</v>
      </c>
      <c r="G46" s="41">
        <v>0</v>
      </c>
      <c r="H46" s="41">
        <v>0</v>
      </c>
      <c r="I46" s="41">
        <v>0</v>
      </c>
      <c r="J46" s="41">
        <v>0</v>
      </c>
      <c r="K46" s="40">
        <v>0</v>
      </c>
    </row>
    <row r="47" spans="1:11" x14ac:dyDescent="0.25">
      <c r="A47" s="41">
        <v>0</v>
      </c>
      <c r="B47" s="41">
        <v>0</v>
      </c>
      <c r="C47" s="41">
        <v>0</v>
      </c>
      <c r="D47" s="41">
        <v>0</v>
      </c>
      <c r="E47" s="40">
        <v>0</v>
      </c>
      <c r="G47" s="41">
        <v>0</v>
      </c>
      <c r="H47" s="41">
        <v>0</v>
      </c>
      <c r="I47" s="41">
        <v>0</v>
      </c>
      <c r="J47" s="41">
        <v>0</v>
      </c>
      <c r="K47" s="40">
        <v>0</v>
      </c>
    </row>
    <row r="48" spans="1:11" x14ac:dyDescent="0.25">
      <c r="A48" s="41">
        <v>0</v>
      </c>
      <c r="B48" s="41">
        <v>0</v>
      </c>
      <c r="C48" s="41">
        <v>0</v>
      </c>
      <c r="D48" s="41">
        <v>0</v>
      </c>
      <c r="E48" s="40">
        <v>0</v>
      </c>
      <c r="G48" s="41">
        <v>0</v>
      </c>
      <c r="H48" s="41">
        <v>0</v>
      </c>
      <c r="I48" s="41">
        <v>0</v>
      </c>
      <c r="J48" s="41">
        <v>0</v>
      </c>
      <c r="K48" s="40">
        <v>0</v>
      </c>
    </row>
    <row r="49" spans="1:11" x14ac:dyDescent="0.25">
      <c r="A49" s="41">
        <v>0</v>
      </c>
      <c r="B49" s="41">
        <v>0</v>
      </c>
      <c r="C49" s="41">
        <v>0</v>
      </c>
      <c r="D49" s="41">
        <v>0</v>
      </c>
      <c r="E49" s="40">
        <v>0</v>
      </c>
      <c r="G49" s="41">
        <v>0</v>
      </c>
      <c r="H49" s="41">
        <v>0</v>
      </c>
      <c r="I49" s="41">
        <v>0</v>
      </c>
      <c r="J49" s="41">
        <v>0</v>
      </c>
      <c r="K49" s="40">
        <v>0</v>
      </c>
    </row>
    <row r="50" spans="1:11" x14ac:dyDescent="0.25">
      <c r="A50" s="41">
        <v>0</v>
      </c>
      <c r="B50" s="41">
        <v>0</v>
      </c>
      <c r="C50" s="41">
        <v>0</v>
      </c>
      <c r="D50" s="41">
        <v>0</v>
      </c>
      <c r="E50" s="40">
        <v>0</v>
      </c>
      <c r="G50" s="41">
        <v>0</v>
      </c>
      <c r="H50" s="41">
        <v>0</v>
      </c>
      <c r="I50" s="41">
        <v>0</v>
      </c>
      <c r="J50" s="41">
        <v>0</v>
      </c>
      <c r="K50" s="40">
        <v>0</v>
      </c>
    </row>
    <row r="51" spans="1:11" x14ac:dyDescent="0.25">
      <c r="A51" s="41">
        <v>0</v>
      </c>
      <c r="B51" s="41">
        <v>0</v>
      </c>
      <c r="C51" s="41">
        <v>0</v>
      </c>
      <c r="D51" s="41">
        <v>0</v>
      </c>
      <c r="E51" s="40">
        <v>0</v>
      </c>
      <c r="G51" s="41">
        <v>0</v>
      </c>
      <c r="H51" s="41">
        <v>0</v>
      </c>
      <c r="I51" s="41">
        <v>0</v>
      </c>
      <c r="J51" s="41">
        <v>0</v>
      </c>
      <c r="K51" s="40">
        <v>0</v>
      </c>
    </row>
    <row r="52" spans="1:11" x14ac:dyDescent="0.25">
      <c r="A52" s="41">
        <v>0</v>
      </c>
      <c r="B52" s="41">
        <v>0</v>
      </c>
      <c r="C52" s="41">
        <v>0</v>
      </c>
      <c r="D52" s="41">
        <v>0</v>
      </c>
      <c r="E52" s="40">
        <v>0</v>
      </c>
      <c r="G52" s="41">
        <v>0</v>
      </c>
      <c r="H52" s="41">
        <v>0</v>
      </c>
      <c r="I52" s="41">
        <v>0</v>
      </c>
      <c r="J52" s="41">
        <v>0</v>
      </c>
      <c r="K52" s="40">
        <v>0</v>
      </c>
    </row>
    <row r="53" spans="1:11" x14ac:dyDescent="0.25">
      <c r="A53" s="41">
        <v>0</v>
      </c>
      <c r="B53" s="41">
        <v>0</v>
      </c>
      <c r="C53" s="41">
        <v>0</v>
      </c>
      <c r="D53" s="41">
        <v>0</v>
      </c>
      <c r="E53" s="40">
        <v>0</v>
      </c>
      <c r="G53" s="41">
        <v>0</v>
      </c>
      <c r="H53" s="41">
        <v>0</v>
      </c>
      <c r="I53" s="41">
        <v>0</v>
      </c>
      <c r="J53" s="41">
        <v>0</v>
      </c>
      <c r="K53" s="40">
        <v>0</v>
      </c>
    </row>
    <row r="54" spans="1:11" x14ac:dyDescent="0.25">
      <c r="A54" s="41">
        <v>0</v>
      </c>
      <c r="B54" s="41">
        <v>0</v>
      </c>
      <c r="C54" s="41">
        <v>0</v>
      </c>
      <c r="D54" s="41">
        <v>0</v>
      </c>
      <c r="E54" s="40">
        <v>0</v>
      </c>
      <c r="G54" s="41">
        <v>0</v>
      </c>
      <c r="H54" s="41">
        <v>0</v>
      </c>
      <c r="I54" s="41">
        <v>0</v>
      </c>
      <c r="J54" s="41">
        <v>0</v>
      </c>
      <c r="K54" s="40">
        <v>0</v>
      </c>
    </row>
    <row r="55" spans="1:11" x14ac:dyDescent="0.25">
      <c r="A55" s="41">
        <v>0</v>
      </c>
      <c r="B55" s="41">
        <v>0</v>
      </c>
      <c r="C55" s="41">
        <v>0</v>
      </c>
      <c r="D55" s="41">
        <v>0</v>
      </c>
      <c r="E55" s="40">
        <v>0</v>
      </c>
      <c r="G55" s="41">
        <v>0</v>
      </c>
      <c r="H55" s="41">
        <v>0</v>
      </c>
      <c r="I55" s="41">
        <v>0</v>
      </c>
      <c r="J55" s="41">
        <v>0</v>
      </c>
      <c r="K55" s="40">
        <v>0</v>
      </c>
    </row>
    <row r="56" spans="1:11" x14ac:dyDescent="0.25">
      <c r="A56" s="41">
        <v>0</v>
      </c>
      <c r="B56" s="41">
        <v>0</v>
      </c>
      <c r="C56" s="41">
        <v>0</v>
      </c>
      <c r="D56" s="41">
        <v>0</v>
      </c>
      <c r="E56" s="40">
        <v>0</v>
      </c>
      <c r="G56" s="41">
        <v>0</v>
      </c>
      <c r="H56" s="41">
        <v>0</v>
      </c>
      <c r="I56" s="41">
        <v>0</v>
      </c>
      <c r="J56" s="41">
        <v>0</v>
      </c>
      <c r="K56" s="40">
        <v>0</v>
      </c>
    </row>
    <row r="57" spans="1:11" x14ac:dyDescent="0.25">
      <c r="A57" s="41">
        <v>0</v>
      </c>
      <c r="B57" s="41">
        <v>0</v>
      </c>
      <c r="C57" s="41">
        <v>0</v>
      </c>
      <c r="D57" s="41">
        <v>0</v>
      </c>
      <c r="E57" s="40">
        <v>0</v>
      </c>
      <c r="G57" s="41">
        <v>0</v>
      </c>
      <c r="H57" s="41">
        <v>0</v>
      </c>
      <c r="I57" s="41">
        <v>0</v>
      </c>
      <c r="J57" s="41">
        <v>0</v>
      </c>
      <c r="K57" s="40">
        <v>0</v>
      </c>
    </row>
    <row r="58" spans="1:11" x14ac:dyDescent="0.25">
      <c r="A58" s="41">
        <v>0</v>
      </c>
      <c r="B58" s="41">
        <v>0</v>
      </c>
      <c r="C58" s="41">
        <v>0</v>
      </c>
      <c r="D58" s="41">
        <v>0</v>
      </c>
      <c r="E58" s="40">
        <v>0</v>
      </c>
      <c r="G58" s="41">
        <v>0</v>
      </c>
      <c r="H58" s="41">
        <v>0</v>
      </c>
      <c r="I58" s="41">
        <v>0</v>
      </c>
      <c r="J58" s="41">
        <v>0</v>
      </c>
      <c r="K58" s="40">
        <v>0</v>
      </c>
    </row>
    <row r="59" spans="1:11" x14ac:dyDescent="0.25">
      <c r="A59" s="41">
        <v>0</v>
      </c>
      <c r="B59" s="41">
        <v>0</v>
      </c>
      <c r="C59" s="41">
        <v>0</v>
      </c>
      <c r="D59" s="41">
        <v>0</v>
      </c>
      <c r="E59" s="40">
        <v>0</v>
      </c>
      <c r="G59" s="41">
        <v>0</v>
      </c>
      <c r="H59" s="41">
        <v>0</v>
      </c>
      <c r="I59" s="41">
        <v>0</v>
      </c>
      <c r="J59" s="41">
        <v>0</v>
      </c>
      <c r="K59" s="40">
        <v>0</v>
      </c>
    </row>
    <row r="60" spans="1:11" x14ac:dyDescent="0.25">
      <c r="A60" s="41">
        <v>0</v>
      </c>
      <c r="B60" s="41">
        <v>0</v>
      </c>
      <c r="C60" s="41">
        <v>0</v>
      </c>
      <c r="D60" s="41">
        <v>0</v>
      </c>
      <c r="E60" s="40">
        <v>0</v>
      </c>
      <c r="G60" s="41">
        <v>0</v>
      </c>
      <c r="H60" s="41">
        <v>0</v>
      </c>
      <c r="I60" s="41">
        <v>0</v>
      </c>
      <c r="J60" s="41">
        <v>0</v>
      </c>
      <c r="K60" s="40">
        <v>0</v>
      </c>
    </row>
    <row r="61" spans="1:11" x14ac:dyDescent="0.25">
      <c r="A61" s="41">
        <v>0</v>
      </c>
      <c r="B61" s="41">
        <v>0</v>
      </c>
      <c r="C61" s="41">
        <v>0</v>
      </c>
      <c r="D61" s="41">
        <v>0</v>
      </c>
      <c r="E61" s="40">
        <v>0</v>
      </c>
      <c r="G61" s="41">
        <v>0</v>
      </c>
      <c r="H61" s="41">
        <v>0</v>
      </c>
      <c r="I61" s="41">
        <v>0</v>
      </c>
      <c r="J61" s="41">
        <v>0</v>
      </c>
      <c r="K61" s="40">
        <v>0</v>
      </c>
    </row>
    <row r="62" spans="1:11" x14ac:dyDescent="0.25">
      <c r="A62" s="41">
        <v>0</v>
      </c>
      <c r="B62" s="41">
        <v>0</v>
      </c>
      <c r="C62" s="41">
        <v>0</v>
      </c>
      <c r="D62" s="41">
        <v>0</v>
      </c>
      <c r="E62" s="40">
        <v>0</v>
      </c>
      <c r="G62" s="41">
        <v>0</v>
      </c>
      <c r="H62" s="41">
        <v>0</v>
      </c>
      <c r="I62" s="41">
        <v>0</v>
      </c>
      <c r="J62" s="41">
        <v>0</v>
      </c>
      <c r="K62" s="40">
        <v>0</v>
      </c>
    </row>
    <row r="63" spans="1:11" x14ac:dyDescent="0.25">
      <c r="A63" s="41">
        <v>0</v>
      </c>
      <c r="B63" s="41">
        <v>0</v>
      </c>
      <c r="C63" s="41">
        <v>0</v>
      </c>
      <c r="D63" s="41">
        <v>0</v>
      </c>
      <c r="E63" s="40">
        <v>0</v>
      </c>
      <c r="G63" s="41">
        <v>0</v>
      </c>
      <c r="H63" s="41">
        <v>0</v>
      </c>
      <c r="I63" s="41">
        <v>0</v>
      </c>
      <c r="J63" s="41">
        <v>0</v>
      </c>
      <c r="K63" s="40">
        <v>0</v>
      </c>
    </row>
    <row r="64" spans="1:11" x14ac:dyDescent="0.25">
      <c r="A64" s="41">
        <v>0</v>
      </c>
      <c r="B64" s="41">
        <v>0</v>
      </c>
      <c r="C64" s="41">
        <v>0</v>
      </c>
      <c r="D64" s="41">
        <v>0</v>
      </c>
      <c r="E64" s="40">
        <v>0</v>
      </c>
      <c r="G64" s="41">
        <v>0</v>
      </c>
      <c r="H64" s="41">
        <v>0</v>
      </c>
      <c r="I64" s="41">
        <v>0</v>
      </c>
      <c r="J64" s="41">
        <v>0</v>
      </c>
      <c r="K64" s="40">
        <v>0</v>
      </c>
    </row>
    <row r="65" spans="1:11" x14ac:dyDescent="0.25">
      <c r="A65" s="41">
        <v>0</v>
      </c>
      <c r="B65" s="41">
        <v>0</v>
      </c>
      <c r="C65" s="41">
        <v>0</v>
      </c>
      <c r="D65" s="41">
        <v>0</v>
      </c>
      <c r="E65" s="40">
        <v>0</v>
      </c>
      <c r="G65" s="41">
        <v>0</v>
      </c>
      <c r="H65" s="41">
        <v>0</v>
      </c>
      <c r="I65" s="41">
        <v>0</v>
      </c>
      <c r="J65" s="41">
        <v>0</v>
      </c>
      <c r="K65" s="40">
        <v>0</v>
      </c>
    </row>
    <row r="66" spans="1:11" x14ac:dyDescent="0.25">
      <c r="A66" s="41">
        <v>0</v>
      </c>
      <c r="B66" s="41">
        <v>0</v>
      </c>
      <c r="C66" s="41">
        <v>0</v>
      </c>
      <c r="D66" s="41">
        <v>0</v>
      </c>
      <c r="E66" s="40">
        <v>0</v>
      </c>
      <c r="G66" s="41">
        <v>0</v>
      </c>
      <c r="H66" s="41">
        <v>0</v>
      </c>
      <c r="I66" s="41">
        <v>0</v>
      </c>
      <c r="J66" s="41">
        <v>0</v>
      </c>
      <c r="K66" s="40">
        <v>0</v>
      </c>
    </row>
    <row r="67" spans="1:11" x14ac:dyDescent="0.25">
      <c r="A67" s="41">
        <v>0</v>
      </c>
      <c r="B67" s="41">
        <v>0</v>
      </c>
      <c r="C67" s="41">
        <v>0</v>
      </c>
      <c r="D67" s="41">
        <v>0</v>
      </c>
      <c r="E67" s="40">
        <v>0</v>
      </c>
      <c r="G67" s="41">
        <v>0</v>
      </c>
      <c r="H67" s="41">
        <v>0</v>
      </c>
      <c r="I67" s="41">
        <v>0</v>
      </c>
      <c r="J67" s="41">
        <v>0</v>
      </c>
      <c r="K67" s="40">
        <v>0</v>
      </c>
    </row>
    <row r="68" spans="1:11" x14ac:dyDescent="0.25">
      <c r="A68" s="41">
        <v>0</v>
      </c>
      <c r="B68" s="41">
        <v>0</v>
      </c>
      <c r="C68" s="41">
        <v>0</v>
      </c>
      <c r="D68" s="41">
        <v>0</v>
      </c>
      <c r="E68" s="40">
        <v>0</v>
      </c>
      <c r="G68" s="41">
        <v>0</v>
      </c>
      <c r="H68" s="41">
        <v>0</v>
      </c>
      <c r="I68" s="41">
        <v>0</v>
      </c>
      <c r="J68" s="41">
        <v>0</v>
      </c>
      <c r="K68" s="40">
        <v>0</v>
      </c>
    </row>
    <row r="69" spans="1:11" x14ac:dyDescent="0.25">
      <c r="A69" s="41">
        <v>0</v>
      </c>
      <c r="B69" s="41">
        <v>0</v>
      </c>
      <c r="C69" s="41">
        <v>0</v>
      </c>
      <c r="D69" s="41">
        <v>0</v>
      </c>
      <c r="E69" s="40">
        <v>0</v>
      </c>
      <c r="G69" s="41">
        <v>0</v>
      </c>
      <c r="H69" s="41">
        <v>0</v>
      </c>
      <c r="I69" s="41">
        <v>0</v>
      </c>
      <c r="J69" s="41">
        <v>0</v>
      </c>
      <c r="K69" s="40">
        <v>0</v>
      </c>
    </row>
    <row r="70" spans="1:11" x14ac:dyDescent="0.25">
      <c r="A70" s="41">
        <v>0</v>
      </c>
      <c r="B70" s="41">
        <v>0</v>
      </c>
      <c r="C70" s="41">
        <v>0</v>
      </c>
      <c r="D70" s="41">
        <v>0</v>
      </c>
      <c r="E70" s="40">
        <v>0</v>
      </c>
      <c r="G70" s="41">
        <v>0</v>
      </c>
      <c r="H70" s="41">
        <v>0</v>
      </c>
      <c r="I70" s="41">
        <v>0</v>
      </c>
      <c r="J70" s="41">
        <v>0</v>
      </c>
      <c r="K70" s="40">
        <v>0</v>
      </c>
    </row>
    <row r="71" spans="1:11" x14ac:dyDescent="0.25">
      <c r="A71" s="41">
        <v>0</v>
      </c>
      <c r="B71" s="41">
        <v>0</v>
      </c>
      <c r="C71" s="41">
        <v>0</v>
      </c>
      <c r="D71" s="41">
        <v>0</v>
      </c>
      <c r="E71" s="40">
        <v>0</v>
      </c>
      <c r="G71" s="41">
        <v>0</v>
      </c>
      <c r="H71" s="41">
        <v>0</v>
      </c>
      <c r="I71" s="41">
        <v>0</v>
      </c>
      <c r="J71" s="41">
        <v>0</v>
      </c>
      <c r="K71" s="40">
        <v>0</v>
      </c>
    </row>
    <row r="72" spans="1:11" x14ac:dyDescent="0.25">
      <c r="A72" s="41">
        <v>0</v>
      </c>
      <c r="B72" s="41">
        <v>0</v>
      </c>
      <c r="C72" s="41">
        <v>0</v>
      </c>
      <c r="D72" s="41">
        <v>0</v>
      </c>
      <c r="E72" s="40">
        <v>0</v>
      </c>
      <c r="G72" s="41">
        <v>0</v>
      </c>
      <c r="H72" s="41">
        <v>0</v>
      </c>
      <c r="I72" s="41">
        <v>0</v>
      </c>
      <c r="J72" s="41">
        <v>0</v>
      </c>
      <c r="K72" s="40">
        <v>0</v>
      </c>
    </row>
    <row r="73" spans="1:11" x14ac:dyDescent="0.25">
      <c r="A73" s="41">
        <v>0</v>
      </c>
      <c r="B73" s="41">
        <v>0</v>
      </c>
      <c r="C73" s="41">
        <v>0</v>
      </c>
      <c r="D73" s="41">
        <v>0</v>
      </c>
      <c r="E73" s="40">
        <v>0</v>
      </c>
      <c r="G73" s="41">
        <v>0</v>
      </c>
      <c r="H73" s="41">
        <v>0</v>
      </c>
      <c r="I73" s="41">
        <v>0</v>
      </c>
      <c r="J73" s="41">
        <v>0</v>
      </c>
      <c r="K73" s="40">
        <v>0</v>
      </c>
    </row>
    <row r="74" spans="1:11" x14ac:dyDescent="0.25">
      <c r="A74" s="41">
        <v>0</v>
      </c>
      <c r="B74" s="41">
        <v>0</v>
      </c>
      <c r="C74" s="41">
        <v>0</v>
      </c>
      <c r="D74" s="41">
        <v>0</v>
      </c>
      <c r="E74" s="40">
        <v>0</v>
      </c>
      <c r="G74" s="41">
        <v>0</v>
      </c>
      <c r="H74" s="41">
        <v>0</v>
      </c>
      <c r="I74" s="41">
        <v>0</v>
      </c>
      <c r="J74" s="41">
        <v>0</v>
      </c>
      <c r="K74" s="40">
        <v>0</v>
      </c>
    </row>
    <row r="75" spans="1:11" x14ac:dyDescent="0.25">
      <c r="A75" s="41">
        <v>0</v>
      </c>
      <c r="B75" s="41">
        <v>0</v>
      </c>
      <c r="C75" s="41">
        <v>0</v>
      </c>
      <c r="D75" s="41">
        <v>0</v>
      </c>
      <c r="E75" s="40">
        <v>0</v>
      </c>
      <c r="G75" s="41">
        <v>0</v>
      </c>
      <c r="H75" s="41">
        <v>0</v>
      </c>
      <c r="I75" s="41">
        <v>0</v>
      </c>
      <c r="J75" s="41">
        <v>0</v>
      </c>
      <c r="K75" s="40">
        <v>0</v>
      </c>
    </row>
    <row r="76" spans="1:11" x14ac:dyDescent="0.25">
      <c r="A76" s="41">
        <v>0</v>
      </c>
      <c r="B76" s="41">
        <v>0</v>
      </c>
      <c r="C76" s="41">
        <v>0</v>
      </c>
      <c r="D76" s="41">
        <v>0</v>
      </c>
      <c r="E76" s="40">
        <v>0</v>
      </c>
      <c r="G76" s="41">
        <v>0</v>
      </c>
      <c r="H76" s="41">
        <v>0</v>
      </c>
      <c r="I76" s="41">
        <v>0</v>
      </c>
      <c r="J76" s="41">
        <v>0</v>
      </c>
      <c r="K76" s="40">
        <v>0</v>
      </c>
    </row>
    <row r="77" spans="1:11" x14ac:dyDescent="0.25">
      <c r="A77" s="41">
        <v>0</v>
      </c>
      <c r="B77" s="41">
        <v>0</v>
      </c>
      <c r="C77" s="41">
        <v>0</v>
      </c>
      <c r="D77" s="41">
        <v>0</v>
      </c>
      <c r="E77" s="40">
        <v>0</v>
      </c>
      <c r="G77" s="41">
        <v>0</v>
      </c>
      <c r="H77" s="41">
        <v>0</v>
      </c>
      <c r="I77" s="41">
        <v>0</v>
      </c>
      <c r="J77" s="41">
        <v>0</v>
      </c>
      <c r="K77" s="40">
        <v>0</v>
      </c>
    </row>
    <row r="78" spans="1:11" x14ac:dyDescent="0.25">
      <c r="A78" s="41">
        <v>0</v>
      </c>
      <c r="B78" s="41">
        <v>0</v>
      </c>
      <c r="C78" s="41">
        <v>0</v>
      </c>
      <c r="D78" s="41">
        <v>0</v>
      </c>
      <c r="E78" s="40">
        <v>0</v>
      </c>
      <c r="G78" s="41">
        <v>0</v>
      </c>
      <c r="H78" s="41">
        <v>0</v>
      </c>
      <c r="I78" s="41">
        <v>0</v>
      </c>
      <c r="J78" s="41">
        <v>0</v>
      </c>
      <c r="K78" s="40">
        <v>0</v>
      </c>
    </row>
    <row r="79" spans="1:11" x14ac:dyDescent="0.25">
      <c r="A79" s="41">
        <v>0</v>
      </c>
      <c r="B79" s="41">
        <v>0</v>
      </c>
      <c r="C79" s="41">
        <v>0</v>
      </c>
      <c r="D79" s="41">
        <v>0</v>
      </c>
      <c r="E79" s="40">
        <v>0</v>
      </c>
      <c r="G79" s="41">
        <v>0</v>
      </c>
      <c r="H79" s="41">
        <v>0</v>
      </c>
      <c r="I79" s="41">
        <v>0</v>
      </c>
      <c r="J79" s="41">
        <v>0</v>
      </c>
      <c r="K79" s="40">
        <v>0</v>
      </c>
    </row>
    <row r="80" spans="1:11" x14ac:dyDescent="0.25">
      <c r="A80" s="41">
        <v>0</v>
      </c>
      <c r="B80" s="41">
        <v>0</v>
      </c>
      <c r="C80" s="41">
        <v>0</v>
      </c>
      <c r="D80" s="41">
        <v>0</v>
      </c>
      <c r="E80" s="40">
        <v>0</v>
      </c>
      <c r="G80" s="41">
        <v>0</v>
      </c>
      <c r="H80" s="41">
        <v>0</v>
      </c>
      <c r="I80" s="41">
        <v>0</v>
      </c>
      <c r="J80" s="41">
        <v>0</v>
      </c>
      <c r="K80" s="40">
        <v>0</v>
      </c>
    </row>
    <row r="81" spans="1:11" x14ac:dyDescent="0.25">
      <c r="A81" s="41">
        <v>0</v>
      </c>
      <c r="B81" s="41">
        <v>0</v>
      </c>
      <c r="C81" s="41">
        <v>0</v>
      </c>
      <c r="D81" s="41">
        <v>0</v>
      </c>
      <c r="E81" s="40">
        <v>0</v>
      </c>
      <c r="G81" s="41">
        <v>0</v>
      </c>
      <c r="H81" s="41">
        <v>0</v>
      </c>
      <c r="I81" s="41">
        <v>0</v>
      </c>
      <c r="J81" s="41">
        <v>0</v>
      </c>
      <c r="K81" s="40">
        <v>0</v>
      </c>
    </row>
    <row r="82" spans="1:11" x14ac:dyDescent="0.25">
      <c r="A82" s="41">
        <v>0</v>
      </c>
      <c r="B82" s="41">
        <v>0</v>
      </c>
      <c r="C82" s="41">
        <v>0</v>
      </c>
      <c r="D82" s="41">
        <v>0</v>
      </c>
      <c r="E82" s="40">
        <v>0</v>
      </c>
      <c r="G82" s="41">
        <v>0</v>
      </c>
      <c r="H82" s="41">
        <v>0</v>
      </c>
      <c r="I82" s="41">
        <v>0</v>
      </c>
      <c r="J82" s="41">
        <v>0</v>
      </c>
      <c r="K82" s="40">
        <v>0</v>
      </c>
    </row>
    <row r="83" spans="1:11" x14ac:dyDescent="0.25">
      <c r="A83" s="41">
        <v>0</v>
      </c>
      <c r="B83" s="41">
        <v>0</v>
      </c>
      <c r="C83" s="41">
        <v>0</v>
      </c>
      <c r="D83" s="41">
        <v>0</v>
      </c>
      <c r="E83" s="40">
        <v>0</v>
      </c>
      <c r="G83" s="41">
        <v>0</v>
      </c>
      <c r="H83" s="41">
        <v>0</v>
      </c>
      <c r="I83" s="41">
        <v>0</v>
      </c>
      <c r="J83" s="41">
        <v>0</v>
      </c>
      <c r="K83" s="40">
        <v>0</v>
      </c>
    </row>
    <row r="84" spans="1:11" x14ac:dyDescent="0.25">
      <c r="A84" s="41">
        <v>0</v>
      </c>
      <c r="B84" s="41">
        <v>0</v>
      </c>
      <c r="C84" s="41">
        <v>0</v>
      </c>
      <c r="D84" s="41">
        <v>0</v>
      </c>
      <c r="E84" s="40">
        <v>0</v>
      </c>
      <c r="G84" s="41">
        <v>0</v>
      </c>
      <c r="H84" s="41">
        <v>0</v>
      </c>
      <c r="I84" s="41">
        <v>0</v>
      </c>
      <c r="J84" s="41">
        <v>0</v>
      </c>
      <c r="K84" s="40">
        <v>0</v>
      </c>
    </row>
    <row r="85" spans="1:11" x14ac:dyDescent="0.25">
      <c r="A85" s="41">
        <v>0</v>
      </c>
      <c r="B85" s="41">
        <v>0</v>
      </c>
      <c r="C85" s="41">
        <v>0</v>
      </c>
      <c r="D85" s="41">
        <v>0</v>
      </c>
      <c r="E85" s="40">
        <v>0</v>
      </c>
      <c r="G85" s="41">
        <v>0</v>
      </c>
      <c r="H85" s="41">
        <v>0</v>
      </c>
      <c r="I85" s="41">
        <v>0</v>
      </c>
      <c r="J85" s="41">
        <v>0</v>
      </c>
      <c r="K85" s="40">
        <v>0</v>
      </c>
    </row>
    <row r="86" spans="1:11" x14ac:dyDescent="0.25">
      <c r="A86" s="41">
        <v>0</v>
      </c>
      <c r="B86" s="41">
        <v>0</v>
      </c>
      <c r="C86" s="41">
        <v>0</v>
      </c>
      <c r="D86" s="41">
        <v>0</v>
      </c>
      <c r="E86" s="40">
        <v>0</v>
      </c>
      <c r="G86" s="41">
        <v>0</v>
      </c>
      <c r="H86" s="41">
        <v>0</v>
      </c>
      <c r="I86" s="41">
        <v>0</v>
      </c>
      <c r="J86" s="41">
        <v>0</v>
      </c>
      <c r="K86" s="40">
        <v>0</v>
      </c>
    </row>
    <row r="87" spans="1:11" x14ac:dyDescent="0.25">
      <c r="A87" s="41">
        <v>0</v>
      </c>
      <c r="B87" s="41">
        <v>0</v>
      </c>
      <c r="C87" s="41">
        <v>0</v>
      </c>
      <c r="D87" s="41">
        <v>0</v>
      </c>
      <c r="E87" s="40">
        <v>0</v>
      </c>
      <c r="G87" s="41">
        <v>0</v>
      </c>
      <c r="H87" s="41">
        <v>0</v>
      </c>
      <c r="I87" s="41">
        <v>0</v>
      </c>
      <c r="J87" s="41">
        <v>0</v>
      </c>
      <c r="K87" s="40">
        <v>0</v>
      </c>
    </row>
    <row r="88" spans="1:11" x14ac:dyDescent="0.25">
      <c r="A88" s="41">
        <v>0</v>
      </c>
      <c r="B88" s="41">
        <v>0</v>
      </c>
      <c r="C88" s="41">
        <v>0</v>
      </c>
      <c r="D88" s="41">
        <v>0</v>
      </c>
      <c r="E88" s="40">
        <v>0</v>
      </c>
      <c r="G88" s="41">
        <v>0</v>
      </c>
      <c r="H88" s="41">
        <v>0</v>
      </c>
      <c r="I88" s="41">
        <v>0</v>
      </c>
      <c r="J88" s="41">
        <v>0</v>
      </c>
      <c r="K88" s="40">
        <v>0</v>
      </c>
    </row>
    <row r="89" spans="1:11" x14ac:dyDescent="0.25">
      <c r="A89" s="41">
        <v>0</v>
      </c>
      <c r="B89" s="41">
        <v>0</v>
      </c>
      <c r="C89" s="41">
        <v>0</v>
      </c>
      <c r="D89" s="41">
        <v>0</v>
      </c>
      <c r="E89" s="40">
        <v>0</v>
      </c>
      <c r="G89" s="41">
        <v>0</v>
      </c>
      <c r="H89" s="41">
        <v>0</v>
      </c>
      <c r="I89" s="41">
        <v>0</v>
      </c>
      <c r="J89" s="41">
        <v>0</v>
      </c>
      <c r="K89" s="40">
        <v>0</v>
      </c>
    </row>
    <row r="90" spans="1:11" x14ac:dyDescent="0.25">
      <c r="A90" s="41">
        <v>0</v>
      </c>
      <c r="B90" s="41">
        <v>0</v>
      </c>
      <c r="C90" s="41">
        <v>0</v>
      </c>
      <c r="D90" s="41">
        <v>0</v>
      </c>
      <c r="E90" s="40">
        <v>0</v>
      </c>
      <c r="G90" s="41">
        <v>0</v>
      </c>
      <c r="H90" s="41">
        <v>0</v>
      </c>
      <c r="I90" s="41">
        <v>0</v>
      </c>
      <c r="J90" s="41">
        <v>0</v>
      </c>
      <c r="K90" s="40">
        <v>0</v>
      </c>
    </row>
    <row r="91" spans="1:11" x14ac:dyDescent="0.25">
      <c r="A91" s="41">
        <v>0</v>
      </c>
      <c r="B91" s="41">
        <v>0</v>
      </c>
      <c r="C91" s="41">
        <v>0</v>
      </c>
      <c r="D91" s="41">
        <v>0</v>
      </c>
      <c r="E91" s="40">
        <v>0</v>
      </c>
      <c r="G91" s="41">
        <v>0</v>
      </c>
      <c r="H91" s="41">
        <v>0</v>
      </c>
      <c r="I91" s="41">
        <v>0</v>
      </c>
      <c r="J91" s="41">
        <v>0</v>
      </c>
      <c r="K91" s="40">
        <v>0</v>
      </c>
    </row>
    <row r="92" spans="1:11" x14ac:dyDescent="0.25">
      <c r="A92" s="41">
        <v>0</v>
      </c>
      <c r="B92" s="41">
        <v>0</v>
      </c>
      <c r="C92" s="41">
        <v>0</v>
      </c>
      <c r="D92" s="41">
        <v>0</v>
      </c>
      <c r="E92" s="40">
        <v>0</v>
      </c>
      <c r="G92" s="41">
        <v>0</v>
      </c>
      <c r="H92" s="41">
        <v>0</v>
      </c>
      <c r="I92" s="41">
        <v>0</v>
      </c>
      <c r="J92" s="41">
        <v>0</v>
      </c>
      <c r="K92" s="40">
        <v>0</v>
      </c>
    </row>
    <row r="93" spans="1:11" x14ac:dyDescent="0.25">
      <c r="A93" s="41">
        <v>0</v>
      </c>
      <c r="B93" s="41">
        <v>0</v>
      </c>
      <c r="C93" s="41">
        <v>0</v>
      </c>
      <c r="D93" s="41">
        <v>0</v>
      </c>
      <c r="E93" s="40">
        <v>0</v>
      </c>
      <c r="G93" s="41">
        <v>0</v>
      </c>
      <c r="H93" s="41">
        <v>0</v>
      </c>
      <c r="I93" s="41">
        <v>0</v>
      </c>
      <c r="J93" s="41">
        <v>0</v>
      </c>
      <c r="K93" s="40">
        <v>0</v>
      </c>
    </row>
    <row r="94" spans="1:11" x14ac:dyDescent="0.25">
      <c r="A94" s="41">
        <v>0</v>
      </c>
      <c r="B94" s="41">
        <v>0</v>
      </c>
      <c r="C94" s="41">
        <v>0</v>
      </c>
      <c r="D94" s="41">
        <v>0</v>
      </c>
      <c r="E94" s="40">
        <v>0</v>
      </c>
      <c r="G94" s="41">
        <v>0</v>
      </c>
      <c r="H94" s="41">
        <v>0</v>
      </c>
      <c r="I94" s="41">
        <v>0</v>
      </c>
      <c r="J94" s="41">
        <v>0</v>
      </c>
      <c r="K94" s="40">
        <v>0</v>
      </c>
    </row>
    <row r="95" spans="1:11" x14ac:dyDescent="0.25">
      <c r="A95" s="41">
        <v>0</v>
      </c>
      <c r="B95" s="41">
        <v>0</v>
      </c>
      <c r="C95" s="41">
        <v>0</v>
      </c>
      <c r="D95" s="41">
        <v>0</v>
      </c>
      <c r="E95" s="40">
        <v>0</v>
      </c>
      <c r="G95" s="41">
        <v>0</v>
      </c>
      <c r="H95" s="41">
        <v>0</v>
      </c>
      <c r="I95" s="41">
        <v>0</v>
      </c>
      <c r="J95" s="41">
        <v>0</v>
      </c>
      <c r="K95" s="40">
        <v>0</v>
      </c>
    </row>
    <row r="96" spans="1:11" x14ac:dyDescent="0.25">
      <c r="A96" s="41">
        <v>0</v>
      </c>
      <c r="B96" s="41">
        <v>0</v>
      </c>
      <c r="C96" s="41">
        <v>0</v>
      </c>
      <c r="D96" s="41">
        <v>0</v>
      </c>
      <c r="E96" s="40">
        <v>0</v>
      </c>
      <c r="G96" s="41">
        <v>0</v>
      </c>
      <c r="H96" s="41">
        <v>0</v>
      </c>
      <c r="I96" s="41">
        <v>0</v>
      </c>
      <c r="J96" s="41">
        <v>0</v>
      </c>
      <c r="K96" s="40">
        <v>0</v>
      </c>
    </row>
    <row r="97" spans="1:11" x14ac:dyDescent="0.25">
      <c r="A97" s="41">
        <v>0</v>
      </c>
      <c r="B97" s="41">
        <v>0</v>
      </c>
      <c r="C97" s="41">
        <v>0</v>
      </c>
      <c r="D97" s="41">
        <v>0</v>
      </c>
      <c r="E97" s="40">
        <v>0</v>
      </c>
      <c r="G97" s="41">
        <v>0</v>
      </c>
      <c r="H97" s="41">
        <v>0</v>
      </c>
      <c r="I97" s="41">
        <v>0</v>
      </c>
      <c r="J97" s="41">
        <v>0</v>
      </c>
      <c r="K97" s="40">
        <v>0</v>
      </c>
    </row>
    <row r="98" spans="1:11" x14ac:dyDescent="0.25">
      <c r="A98" s="41">
        <v>0</v>
      </c>
      <c r="B98" s="41">
        <v>0</v>
      </c>
      <c r="C98" s="41">
        <v>0</v>
      </c>
      <c r="D98" s="41">
        <v>0</v>
      </c>
      <c r="E98" s="40">
        <v>0</v>
      </c>
      <c r="G98" s="41">
        <v>0</v>
      </c>
      <c r="H98" s="41">
        <v>0</v>
      </c>
      <c r="I98" s="41">
        <v>0</v>
      </c>
      <c r="J98" s="41">
        <v>0</v>
      </c>
      <c r="K98" s="40">
        <v>0</v>
      </c>
    </row>
    <row r="99" spans="1:11" x14ac:dyDescent="0.25">
      <c r="A99" s="41">
        <v>0</v>
      </c>
      <c r="B99" s="41">
        <v>0</v>
      </c>
      <c r="C99" s="41">
        <v>0</v>
      </c>
      <c r="D99" s="41">
        <v>0</v>
      </c>
      <c r="E99" s="40">
        <v>0</v>
      </c>
      <c r="G99" s="41">
        <v>0</v>
      </c>
      <c r="H99" s="41">
        <v>0</v>
      </c>
      <c r="I99" s="41">
        <v>0</v>
      </c>
      <c r="J99" s="41">
        <v>0</v>
      </c>
      <c r="K99" s="40">
        <v>0</v>
      </c>
    </row>
    <row r="100" spans="1:11" x14ac:dyDescent="0.25">
      <c r="A100" s="41">
        <v>0</v>
      </c>
      <c r="B100" s="41">
        <v>0</v>
      </c>
      <c r="C100" s="41">
        <v>0</v>
      </c>
      <c r="D100" s="41">
        <v>0</v>
      </c>
      <c r="E100" s="40">
        <v>0</v>
      </c>
      <c r="G100" s="41">
        <v>0</v>
      </c>
      <c r="H100" s="41">
        <v>0</v>
      </c>
      <c r="I100" s="41">
        <v>0</v>
      </c>
      <c r="J100" s="41">
        <v>0</v>
      </c>
      <c r="K100" s="40">
        <v>0</v>
      </c>
    </row>
    <row r="101" spans="1:11" x14ac:dyDescent="0.25">
      <c r="A101" s="41">
        <v>0</v>
      </c>
      <c r="B101" s="41">
        <v>0</v>
      </c>
      <c r="C101" s="41">
        <v>0</v>
      </c>
      <c r="D101" s="41">
        <v>0</v>
      </c>
      <c r="E101" s="40">
        <v>0</v>
      </c>
      <c r="G101" s="41">
        <v>0</v>
      </c>
      <c r="H101" s="41">
        <v>0</v>
      </c>
      <c r="I101" s="41">
        <v>0</v>
      </c>
      <c r="J101" s="41">
        <v>0</v>
      </c>
      <c r="K101" s="40">
        <v>0</v>
      </c>
    </row>
    <row r="102" spans="1:11" x14ac:dyDescent="0.25">
      <c r="A102" s="41">
        <v>0</v>
      </c>
      <c r="B102" s="41">
        <v>0</v>
      </c>
      <c r="C102" s="41">
        <v>0</v>
      </c>
      <c r="D102" s="41">
        <v>0</v>
      </c>
      <c r="E102" s="40">
        <v>0</v>
      </c>
      <c r="G102" s="41">
        <v>0</v>
      </c>
      <c r="H102" s="41">
        <v>0</v>
      </c>
      <c r="I102" s="41">
        <v>0</v>
      </c>
      <c r="J102" s="41">
        <v>0</v>
      </c>
      <c r="K102" s="40">
        <v>0</v>
      </c>
    </row>
    <row r="103" spans="1:11" x14ac:dyDescent="0.25">
      <c r="A103" s="41">
        <v>0</v>
      </c>
      <c r="B103" s="41">
        <v>0</v>
      </c>
      <c r="C103" s="41">
        <v>0</v>
      </c>
      <c r="D103" s="41">
        <v>0</v>
      </c>
      <c r="E103" s="40">
        <v>0</v>
      </c>
      <c r="G103" s="41">
        <v>0</v>
      </c>
      <c r="H103" s="41">
        <v>0</v>
      </c>
      <c r="I103" s="41">
        <v>0</v>
      </c>
      <c r="J103" s="41">
        <v>0</v>
      </c>
      <c r="K103" s="40">
        <v>0</v>
      </c>
    </row>
    <row r="104" spans="1:11" x14ac:dyDescent="0.25">
      <c r="A104" s="41">
        <v>0</v>
      </c>
      <c r="B104" s="41">
        <v>0</v>
      </c>
      <c r="C104" s="41">
        <v>0</v>
      </c>
      <c r="D104" s="41">
        <v>0</v>
      </c>
      <c r="E104" s="40">
        <v>0</v>
      </c>
      <c r="G104" s="41">
        <v>0</v>
      </c>
      <c r="H104" s="41">
        <v>0</v>
      </c>
      <c r="I104" s="41">
        <v>0</v>
      </c>
      <c r="J104" s="41">
        <v>0</v>
      </c>
      <c r="K104" s="40">
        <v>0</v>
      </c>
    </row>
    <row r="105" spans="1:11" x14ac:dyDescent="0.25">
      <c r="A105" s="41">
        <v>0</v>
      </c>
      <c r="B105" s="41">
        <v>0</v>
      </c>
      <c r="C105" s="41">
        <v>0</v>
      </c>
      <c r="D105" s="41">
        <v>0</v>
      </c>
      <c r="E105" s="40">
        <v>0</v>
      </c>
      <c r="G105" s="41">
        <v>0</v>
      </c>
      <c r="H105" s="41">
        <v>0</v>
      </c>
      <c r="I105" s="41">
        <v>0</v>
      </c>
      <c r="J105" s="41">
        <v>0</v>
      </c>
      <c r="K105" s="40">
        <v>0</v>
      </c>
    </row>
    <row r="106" spans="1:11" x14ac:dyDescent="0.25">
      <c r="A106" s="41">
        <v>0</v>
      </c>
      <c r="B106" s="41">
        <v>0</v>
      </c>
      <c r="C106" s="41">
        <v>0</v>
      </c>
      <c r="D106" s="41">
        <v>0</v>
      </c>
      <c r="E106" s="40">
        <v>0</v>
      </c>
      <c r="G106" s="41">
        <v>0</v>
      </c>
      <c r="H106" s="41">
        <v>0</v>
      </c>
      <c r="I106" s="41">
        <v>0</v>
      </c>
      <c r="J106" s="41">
        <v>0</v>
      </c>
      <c r="K106" s="40">
        <v>0</v>
      </c>
    </row>
    <row r="107" spans="1:11" x14ac:dyDescent="0.25">
      <c r="A107" s="41">
        <v>0</v>
      </c>
      <c r="B107" s="41">
        <v>0</v>
      </c>
      <c r="C107" s="41">
        <v>0</v>
      </c>
      <c r="D107" s="41">
        <v>0</v>
      </c>
      <c r="E107" s="40">
        <v>0</v>
      </c>
      <c r="G107" s="41">
        <v>0</v>
      </c>
      <c r="H107" s="41">
        <v>0</v>
      </c>
      <c r="I107" s="41">
        <v>0</v>
      </c>
      <c r="J107" s="41">
        <v>0</v>
      </c>
      <c r="K107" s="40">
        <v>0</v>
      </c>
    </row>
    <row r="108" spans="1:11" x14ac:dyDescent="0.25">
      <c r="A108" s="41">
        <v>0</v>
      </c>
      <c r="B108" s="41">
        <v>0</v>
      </c>
      <c r="C108" s="41">
        <v>0</v>
      </c>
      <c r="D108" s="41">
        <v>0</v>
      </c>
      <c r="E108" s="40">
        <v>0</v>
      </c>
      <c r="G108" s="41">
        <v>0</v>
      </c>
      <c r="H108" s="41">
        <v>0</v>
      </c>
      <c r="I108" s="41">
        <v>0</v>
      </c>
      <c r="J108" s="41">
        <v>0</v>
      </c>
      <c r="K108" s="40">
        <v>0</v>
      </c>
    </row>
    <row r="109" spans="1:11" x14ac:dyDescent="0.25">
      <c r="A109" s="41">
        <v>0</v>
      </c>
      <c r="B109" s="41">
        <v>0</v>
      </c>
      <c r="C109" s="41">
        <v>0</v>
      </c>
      <c r="D109" s="41">
        <v>0</v>
      </c>
      <c r="E109" s="40">
        <v>0</v>
      </c>
      <c r="G109" s="41">
        <v>0</v>
      </c>
      <c r="H109" s="41">
        <v>0</v>
      </c>
      <c r="I109" s="41">
        <v>0</v>
      </c>
      <c r="J109" s="41">
        <v>0</v>
      </c>
      <c r="K109" s="40">
        <v>0</v>
      </c>
    </row>
    <row r="110" spans="1:11" x14ac:dyDescent="0.25">
      <c r="A110" s="41">
        <v>0</v>
      </c>
      <c r="B110" s="41">
        <v>0</v>
      </c>
      <c r="C110" s="41">
        <v>0</v>
      </c>
      <c r="D110" s="41">
        <v>0</v>
      </c>
      <c r="E110" s="40">
        <v>0</v>
      </c>
      <c r="G110" s="41">
        <v>0</v>
      </c>
      <c r="H110" s="41">
        <v>0</v>
      </c>
      <c r="I110" s="41">
        <v>0</v>
      </c>
      <c r="J110" s="41">
        <v>0</v>
      </c>
      <c r="K110" s="40">
        <v>0</v>
      </c>
    </row>
    <row r="111" spans="1:11" x14ac:dyDescent="0.25">
      <c r="A111" s="41">
        <v>0</v>
      </c>
      <c r="B111" s="41">
        <v>0</v>
      </c>
      <c r="C111" s="41">
        <v>0</v>
      </c>
      <c r="D111" s="41">
        <v>0</v>
      </c>
      <c r="E111" s="40">
        <v>0</v>
      </c>
      <c r="G111" s="41">
        <v>0</v>
      </c>
      <c r="H111" s="41">
        <v>0</v>
      </c>
      <c r="I111" s="41">
        <v>0</v>
      </c>
      <c r="J111" s="41">
        <v>0</v>
      </c>
      <c r="K111" s="40">
        <v>0</v>
      </c>
    </row>
    <row r="112" spans="1:11" x14ac:dyDescent="0.25">
      <c r="A112" s="41">
        <v>0</v>
      </c>
      <c r="B112" s="41">
        <v>0</v>
      </c>
      <c r="C112" s="41">
        <v>0</v>
      </c>
      <c r="D112" s="41">
        <v>0</v>
      </c>
      <c r="E112" s="40">
        <v>0</v>
      </c>
      <c r="G112" s="41">
        <v>0</v>
      </c>
      <c r="H112" s="41">
        <v>0</v>
      </c>
      <c r="I112" s="41">
        <v>0</v>
      </c>
      <c r="J112" s="41">
        <v>0</v>
      </c>
      <c r="K112" s="40">
        <v>0</v>
      </c>
    </row>
    <row r="113" spans="1:11" x14ac:dyDescent="0.25">
      <c r="A113" s="41">
        <v>0</v>
      </c>
      <c r="B113" s="41">
        <v>0</v>
      </c>
      <c r="C113" s="41">
        <v>0</v>
      </c>
      <c r="D113" s="41">
        <v>0</v>
      </c>
      <c r="E113" s="40">
        <v>0</v>
      </c>
      <c r="G113" s="41">
        <v>0</v>
      </c>
      <c r="H113" s="41">
        <v>0</v>
      </c>
      <c r="I113" s="41">
        <v>0</v>
      </c>
      <c r="J113" s="41">
        <v>0</v>
      </c>
      <c r="K113" s="40">
        <v>0</v>
      </c>
    </row>
    <row r="114" spans="1:11" x14ac:dyDescent="0.25">
      <c r="A114" s="41">
        <v>0</v>
      </c>
      <c r="B114" s="41">
        <v>0</v>
      </c>
      <c r="C114" s="41">
        <v>0</v>
      </c>
      <c r="D114" s="41">
        <v>0</v>
      </c>
      <c r="E114" s="40">
        <v>0</v>
      </c>
      <c r="G114" s="41">
        <v>0</v>
      </c>
      <c r="H114" s="41">
        <v>0</v>
      </c>
      <c r="I114" s="41">
        <v>0</v>
      </c>
      <c r="J114" s="41">
        <v>0</v>
      </c>
      <c r="K114" s="40">
        <v>0</v>
      </c>
    </row>
    <row r="115" spans="1:11" x14ac:dyDescent="0.25">
      <c r="A115" s="41">
        <v>0</v>
      </c>
      <c r="B115" s="41">
        <v>0</v>
      </c>
      <c r="C115" s="41">
        <v>0</v>
      </c>
      <c r="D115" s="41">
        <v>0</v>
      </c>
      <c r="E115" s="40">
        <v>0</v>
      </c>
      <c r="G115" s="41">
        <v>0</v>
      </c>
      <c r="H115" s="41">
        <v>0</v>
      </c>
      <c r="I115" s="41">
        <v>0</v>
      </c>
      <c r="J115" s="41">
        <v>0</v>
      </c>
      <c r="K115" s="40">
        <v>0</v>
      </c>
    </row>
    <row r="116" spans="1:11" x14ac:dyDescent="0.25">
      <c r="A116" s="41">
        <v>0</v>
      </c>
      <c r="B116" s="41">
        <v>0</v>
      </c>
      <c r="C116" s="41">
        <v>0</v>
      </c>
      <c r="D116" s="41">
        <v>0</v>
      </c>
      <c r="E116" s="40">
        <v>0</v>
      </c>
      <c r="G116" s="41">
        <v>0</v>
      </c>
      <c r="H116" s="41">
        <v>0</v>
      </c>
      <c r="I116" s="41">
        <v>0</v>
      </c>
      <c r="J116" s="41">
        <v>0</v>
      </c>
      <c r="K116" s="40">
        <v>0</v>
      </c>
    </row>
    <row r="117" spans="1:11" x14ac:dyDescent="0.25">
      <c r="A117" s="41">
        <v>0</v>
      </c>
      <c r="B117" s="41">
        <v>0</v>
      </c>
      <c r="C117" s="41">
        <v>0</v>
      </c>
      <c r="D117" s="41">
        <v>0</v>
      </c>
      <c r="E117" s="40">
        <v>0</v>
      </c>
      <c r="G117" s="41">
        <v>0</v>
      </c>
      <c r="H117" s="41">
        <v>0</v>
      </c>
      <c r="I117" s="41">
        <v>0</v>
      </c>
      <c r="J117" s="41">
        <v>0</v>
      </c>
      <c r="K117" s="40">
        <v>0</v>
      </c>
    </row>
    <row r="118" spans="1:11" x14ac:dyDescent="0.25">
      <c r="A118" s="41">
        <v>0</v>
      </c>
      <c r="B118" s="41">
        <v>0</v>
      </c>
      <c r="C118" s="41">
        <v>0</v>
      </c>
      <c r="D118" s="41">
        <v>0</v>
      </c>
      <c r="E118" s="40">
        <v>0</v>
      </c>
      <c r="G118" s="41">
        <v>0</v>
      </c>
      <c r="H118" s="41">
        <v>0</v>
      </c>
      <c r="I118" s="41">
        <v>0</v>
      </c>
      <c r="J118" s="41">
        <v>0</v>
      </c>
      <c r="K118" s="40">
        <v>0</v>
      </c>
    </row>
    <row r="119" spans="1:11" x14ac:dyDescent="0.25">
      <c r="A119" s="41">
        <v>0</v>
      </c>
      <c r="B119" s="41">
        <v>0</v>
      </c>
      <c r="C119" s="41">
        <v>0</v>
      </c>
      <c r="D119" s="41">
        <v>0</v>
      </c>
      <c r="E119" s="40">
        <v>0</v>
      </c>
      <c r="G119" s="41">
        <v>0</v>
      </c>
      <c r="H119" s="41">
        <v>0</v>
      </c>
      <c r="I119" s="41">
        <v>0</v>
      </c>
      <c r="J119" s="41">
        <v>0</v>
      </c>
      <c r="K119" s="40">
        <v>0</v>
      </c>
    </row>
    <row r="120" spans="1:11" x14ac:dyDescent="0.25">
      <c r="A120" s="41">
        <v>0</v>
      </c>
      <c r="B120" s="41">
        <v>0</v>
      </c>
      <c r="C120" s="41">
        <v>0</v>
      </c>
      <c r="D120" s="41">
        <v>0</v>
      </c>
      <c r="E120" s="40">
        <v>0</v>
      </c>
      <c r="G120" s="41">
        <v>0</v>
      </c>
      <c r="H120" s="41">
        <v>0</v>
      </c>
      <c r="I120" s="41">
        <v>0</v>
      </c>
      <c r="J120" s="41">
        <v>0</v>
      </c>
      <c r="K120" s="40">
        <v>0</v>
      </c>
    </row>
    <row r="121" spans="1:11" x14ac:dyDescent="0.25">
      <c r="A121" s="41">
        <v>0</v>
      </c>
      <c r="B121" s="41">
        <v>0</v>
      </c>
      <c r="C121" s="41">
        <v>0</v>
      </c>
      <c r="D121" s="41">
        <v>0</v>
      </c>
      <c r="E121" s="40">
        <v>0</v>
      </c>
      <c r="G121" s="41">
        <v>0</v>
      </c>
      <c r="H121" s="41">
        <v>0</v>
      </c>
      <c r="I121" s="41">
        <v>0</v>
      </c>
      <c r="J121" s="41">
        <v>0</v>
      </c>
      <c r="K121" s="40">
        <v>0</v>
      </c>
    </row>
    <row r="122" spans="1:11" x14ac:dyDescent="0.25">
      <c r="A122" s="41">
        <v>0</v>
      </c>
      <c r="B122" s="41">
        <v>0</v>
      </c>
      <c r="C122" s="41">
        <v>0</v>
      </c>
      <c r="D122" s="41">
        <v>0</v>
      </c>
      <c r="E122" s="40">
        <v>0</v>
      </c>
      <c r="G122" s="41">
        <v>0</v>
      </c>
      <c r="H122" s="41">
        <v>0</v>
      </c>
      <c r="I122" s="41">
        <v>0</v>
      </c>
      <c r="J122" s="41">
        <v>0</v>
      </c>
      <c r="K122" s="40">
        <v>0</v>
      </c>
    </row>
    <row r="123" spans="1:11" x14ac:dyDescent="0.25">
      <c r="A123" s="41">
        <v>0</v>
      </c>
      <c r="B123" s="41">
        <v>0</v>
      </c>
      <c r="C123" s="41">
        <v>0</v>
      </c>
      <c r="D123" s="41">
        <v>0</v>
      </c>
      <c r="E123" s="40">
        <v>0</v>
      </c>
      <c r="G123" s="41">
        <v>0</v>
      </c>
      <c r="H123" s="41">
        <v>0</v>
      </c>
      <c r="I123" s="41">
        <v>0</v>
      </c>
      <c r="J123" s="41">
        <v>0</v>
      </c>
      <c r="K123" s="40">
        <v>0</v>
      </c>
    </row>
    <row r="124" spans="1:11" x14ac:dyDescent="0.25">
      <c r="A124" s="41">
        <v>0</v>
      </c>
      <c r="B124" s="41">
        <v>0</v>
      </c>
      <c r="C124" s="41">
        <v>0</v>
      </c>
      <c r="D124" s="41">
        <v>0</v>
      </c>
      <c r="E124" s="40">
        <v>0</v>
      </c>
      <c r="G124" s="41">
        <v>0</v>
      </c>
      <c r="H124" s="41">
        <v>0</v>
      </c>
      <c r="I124" s="41">
        <v>0</v>
      </c>
      <c r="J124" s="41">
        <v>0</v>
      </c>
      <c r="K124" s="40">
        <v>0</v>
      </c>
    </row>
    <row r="125" spans="1:11" x14ac:dyDescent="0.25">
      <c r="A125" s="41">
        <v>0</v>
      </c>
      <c r="B125" s="41">
        <v>0</v>
      </c>
      <c r="C125" s="41">
        <v>0</v>
      </c>
      <c r="D125" s="41">
        <v>0</v>
      </c>
      <c r="E125" s="40">
        <v>0</v>
      </c>
      <c r="G125" s="41">
        <v>0</v>
      </c>
      <c r="H125" s="41">
        <v>0</v>
      </c>
      <c r="I125" s="41">
        <v>0</v>
      </c>
      <c r="J125" s="41">
        <v>0</v>
      </c>
      <c r="K125" s="40">
        <v>0</v>
      </c>
    </row>
    <row r="126" spans="1:11" x14ac:dyDescent="0.25">
      <c r="A126" s="41">
        <v>0</v>
      </c>
      <c r="B126" s="41">
        <v>0</v>
      </c>
      <c r="C126" s="41">
        <v>0</v>
      </c>
      <c r="D126" s="41">
        <v>0</v>
      </c>
      <c r="E126" s="40">
        <v>0</v>
      </c>
      <c r="G126" s="41">
        <v>0</v>
      </c>
      <c r="H126" s="41">
        <v>0</v>
      </c>
      <c r="I126" s="41">
        <v>0</v>
      </c>
      <c r="J126" s="41">
        <v>0</v>
      </c>
      <c r="K126" s="40">
        <v>0</v>
      </c>
    </row>
    <row r="127" spans="1:11" x14ac:dyDescent="0.25">
      <c r="A127" s="41">
        <v>0</v>
      </c>
      <c r="B127" s="41">
        <v>0</v>
      </c>
      <c r="C127" s="41">
        <v>0</v>
      </c>
      <c r="D127" s="41">
        <v>0</v>
      </c>
      <c r="E127" s="40">
        <v>0</v>
      </c>
      <c r="G127" s="41">
        <v>0</v>
      </c>
      <c r="H127" s="41">
        <v>0</v>
      </c>
      <c r="I127" s="41">
        <v>0</v>
      </c>
      <c r="J127" s="41">
        <v>0</v>
      </c>
      <c r="K127" s="40">
        <v>0</v>
      </c>
    </row>
    <row r="128" spans="1:11" x14ac:dyDescent="0.25">
      <c r="A128" s="41">
        <v>0</v>
      </c>
      <c r="B128" s="41">
        <v>0</v>
      </c>
      <c r="C128" s="41">
        <v>0</v>
      </c>
      <c r="D128" s="41">
        <v>0</v>
      </c>
      <c r="E128" s="40">
        <v>0</v>
      </c>
      <c r="G128" s="41">
        <v>0</v>
      </c>
      <c r="H128" s="41">
        <v>0</v>
      </c>
      <c r="I128" s="41">
        <v>0</v>
      </c>
      <c r="J128" s="41">
        <v>0</v>
      </c>
      <c r="K128" s="40">
        <v>0</v>
      </c>
    </row>
    <row r="129" spans="1:11" x14ac:dyDescent="0.25">
      <c r="A129" s="41">
        <v>0</v>
      </c>
      <c r="B129" s="41">
        <v>0</v>
      </c>
      <c r="C129" s="41">
        <v>0</v>
      </c>
      <c r="D129" s="41">
        <v>0</v>
      </c>
      <c r="E129" s="40">
        <v>0</v>
      </c>
      <c r="G129" s="41">
        <v>0</v>
      </c>
      <c r="H129" s="41">
        <v>0</v>
      </c>
      <c r="I129" s="41">
        <v>0</v>
      </c>
      <c r="J129" s="41">
        <v>0</v>
      </c>
      <c r="K129" s="40">
        <v>0</v>
      </c>
    </row>
    <row r="130" spans="1:11" x14ac:dyDescent="0.25">
      <c r="A130" s="41">
        <v>0</v>
      </c>
      <c r="B130" s="41">
        <v>0</v>
      </c>
      <c r="C130" s="41">
        <v>0</v>
      </c>
      <c r="D130" s="41">
        <v>0</v>
      </c>
      <c r="E130" s="40">
        <v>0</v>
      </c>
      <c r="G130" s="41">
        <v>0</v>
      </c>
      <c r="H130" s="41">
        <v>0</v>
      </c>
      <c r="I130" s="41">
        <v>0</v>
      </c>
      <c r="J130" s="41">
        <v>0</v>
      </c>
      <c r="K130" s="40">
        <v>0</v>
      </c>
    </row>
    <row r="131" spans="1:11" x14ac:dyDescent="0.25">
      <c r="A131" s="41">
        <v>0</v>
      </c>
      <c r="B131" s="41">
        <v>0</v>
      </c>
      <c r="C131" s="41">
        <v>0</v>
      </c>
      <c r="D131" s="41">
        <v>0</v>
      </c>
      <c r="E131" s="40">
        <v>0</v>
      </c>
      <c r="G131" s="41">
        <v>0</v>
      </c>
      <c r="H131" s="41">
        <v>0</v>
      </c>
      <c r="I131" s="41">
        <v>0</v>
      </c>
      <c r="J131" s="41">
        <v>0</v>
      </c>
      <c r="K131" s="40">
        <v>0</v>
      </c>
    </row>
    <row r="132" spans="1:11" x14ac:dyDescent="0.25">
      <c r="A132" s="41">
        <v>0</v>
      </c>
      <c r="B132" s="41">
        <v>0</v>
      </c>
      <c r="C132" s="41">
        <v>0</v>
      </c>
      <c r="D132" s="41">
        <v>0</v>
      </c>
      <c r="E132" s="40">
        <v>0</v>
      </c>
      <c r="G132" s="41">
        <v>0</v>
      </c>
      <c r="H132" s="41">
        <v>0</v>
      </c>
      <c r="I132" s="41">
        <v>0</v>
      </c>
      <c r="J132" s="41">
        <v>0</v>
      </c>
      <c r="K132" s="40">
        <v>0</v>
      </c>
    </row>
    <row r="133" spans="1:11" x14ac:dyDescent="0.25">
      <c r="A133" s="41">
        <v>0</v>
      </c>
      <c r="B133" s="41">
        <v>0</v>
      </c>
      <c r="C133" s="41">
        <v>0</v>
      </c>
      <c r="D133" s="41">
        <v>0</v>
      </c>
      <c r="E133" s="40">
        <v>0</v>
      </c>
      <c r="G133" s="41">
        <v>0</v>
      </c>
      <c r="H133" s="41">
        <v>0</v>
      </c>
      <c r="I133" s="41">
        <v>0</v>
      </c>
      <c r="J133" s="41">
        <v>0</v>
      </c>
      <c r="K133" s="40">
        <v>0</v>
      </c>
    </row>
    <row r="134" spans="1:11" x14ac:dyDescent="0.25">
      <c r="A134" s="41">
        <v>0</v>
      </c>
      <c r="B134" s="41">
        <v>0</v>
      </c>
      <c r="C134" s="41">
        <v>0</v>
      </c>
      <c r="D134" s="41">
        <v>0</v>
      </c>
      <c r="E134" s="40">
        <v>0</v>
      </c>
      <c r="G134" s="41">
        <v>0</v>
      </c>
      <c r="H134" s="41">
        <v>0</v>
      </c>
      <c r="I134" s="41">
        <v>0</v>
      </c>
      <c r="J134" s="41">
        <v>0</v>
      </c>
      <c r="K134" s="40">
        <v>0</v>
      </c>
    </row>
    <row r="135" spans="1:11" x14ac:dyDescent="0.25">
      <c r="A135" s="41">
        <v>0</v>
      </c>
      <c r="B135" s="41">
        <v>0</v>
      </c>
      <c r="C135" s="41">
        <v>0</v>
      </c>
      <c r="D135" s="41">
        <v>0</v>
      </c>
      <c r="E135" s="40">
        <v>0</v>
      </c>
      <c r="G135" s="41">
        <v>0</v>
      </c>
      <c r="H135" s="41">
        <v>0</v>
      </c>
      <c r="I135" s="41">
        <v>0</v>
      </c>
      <c r="J135" s="41">
        <v>0</v>
      </c>
      <c r="K135" s="40">
        <v>0</v>
      </c>
    </row>
    <row r="136" spans="1:11" x14ac:dyDescent="0.25">
      <c r="A136" s="41">
        <v>0</v>
      </c>
      <c r="B136" s="41">
        <v>0</v>
      </c>
      <c r="C136" s="41">
        <v>0</v>
      </c>
      <c r="D136" s="41">
        <v>0</v>
      </c>
      <c r="E136" s="40">
        <v>0</v>
      </c>
      <c r="G136" s="41">
        <v>0</v>
      </c>
      <c r="H136" s="41">
        <v>0</v>
      </c>
      <c r="I136" s="41">
        <v>0</v>
      </c>
      <c r="J136" s="41">
        <v>0</v>
      </c>
      <c r="K136" s="40">
        <v>0</v>
      </c>
    </row>
    <row r="137" spans="1:11" x14ac:dyDescent="0.25">
      <c r="A137" s="41">
        <v>0</v>
      </c>
      <c r="B137" s="41">
        <v>0</v>
      </c>
      <c r="C137" s="41">
        <v>0</v>
      </c>
      <c r="D137" s="41">
        <v>0</v>
      </c>
      <c r="E137" s="40">
        <v>0</v>
      </c>
      <c r="G137" s="41">
        <v>0</v>
      </c>
      <c r="H137" s="41">
        <v>0</v>
      </c>
      <c r="I137" s="41">
        <v>0</v>
      </c>
      <c r="J137" s="41">
        <v>0</v>
      </c>
      <c r="K137" s="40">
        <v>0</v>
      </c>
    </row>
    <row r="138" spans="1:11" x14ac:dyDescent="0.25">
      <c r="A138" s="41">
        <v>0</v>
      </c>
      <c r="B138" s="41">
        <v>0</v>
      </c>
      <c r="C138" s="41">
        <v>0</v>
      </c>
      <c r="D138" s="41">
        <v>0</v>
      </c>
      <c r="E138" s="40">
        <v>0</v>
      </c>
      <c r="G138" s="41">
        <v>0</v>
      </c>
      <c r="H138" s="41">
        <v>0</v>
      </c>
      <c r="I138" s="41">
        <v>0</v>
      </c>
      <c r="J138" s="41">
        <v>0</v>
      </c>
      <c r="K138" s="40">
        <v>0</v>
      </c>
    </row>
    <row r="139" spans="1:11" x14ac:dyDescent="0.25">
      <c r="A139" s="41">
        <v>0</v>
      </c>
      <c r="B139" s="41">
        <v>0</v>
      </c>
      <c r="C139" s="41">
        <v>0</v>
      </c>
      <c r="D139" s="41">
        <v>0</v>
      </c>
      <c r="E139" s="40">
        <v>0</v>
      </c>
      <c r="G139" s="41">
        <v>0</v>
      </c>
      <c r="H139" s="41">
        <v>0</v>
      </c>
      <c r="I139" s="41">
        <v>0</v>
      </c>
      <c r="J139" s="41">
        <v>0</v>
      </c>
      <c r="K139" s="40">
        <v>0</v>
      </c>
    </row>
    <row r="140" spans="1:11" x14ac:dyDescent="0.25">
      <c r="A140" s="41">
        <v>0</v>
      </c>
      <c r="B140" s="41">
        <v>0</v>
      </c>
      <c r="C140" s="41">
        <v>0</v>
      </c>
      <c r="D140" s="41">
        <v>0</v>
      </c>
      <c r="E140" s="40">
        <v>0</v>
      </c>
      <c r="G140" s="41">
        <v>0</v>
      </c>
      <c r="H140" s="41">
        <v>0</v>
      </c>
      <c r="I140" s="41">
        <v>0</v>
      </c>
      <c r="J140" s="41">
        <v>0</v>
      </c>
      <c r="K140" s="40">
        <v>0</v>
      </c>
    </row>
    <row r="141" spans="1:11" x14ac:dyDescent="0.25">
      <c r="A141" s="41">
        <v>0</v>
      </c>
      <c r="B141" s="41">
        <v>0</v>
      </c>
      <c r="C141" s="41">
        <v>0</v>
      </c>
      <c r="D141" s="41">
        <v>0</v>
      </c>
      <c r="E141" s="40">
        <v>0</v>
      </c>
      <c r="G141" s="41">
        <v>0</v>
      </c>
      <c r="H141" s="41">
        <v>0</v>
      </c>
      <c r="I141" s="41">
        <v>0</v>
      </c>
      <c r="J141" s="41">
        <v>0</v>
      </c>
      <c r="K141" s="40">
        <v>0</v>
      </c>
    </row>
    <row r="142" spans="1:11" x14ac:dyDescent="0.25">
      <c r="A142" s="41">
        <v>0</v>
      </c>
      <c r="B142" s="41">
        <v>0</v>
      </c>
      <c r="C142" s="41">
        <v>0</v>
      </c>
      <c r="D142" s="41">
        <v>0</v>
      </c>
      <c r="E142" s="40">
        <v>0</v>
      </c>
      <c r="G142" s="41">
        <v>0</v>
      </c>
      <c r="H142" s="41">
        <v>0</v>
      </c>
      <c r="I142" s="41">
        <v>0</v>
      </c>
      <c r="J142" s="41">
        <v>0</v>
      </c>
      <c r="K142" s="40">
        <v>0</v>
      </c>
    </row>
    <row r="143" spans="1:11" x14ac:dyDescent="0.25">
      <c r="A143" s="41">
        <v>0</v>
      </c>
      <c r="B143" s="41">
        <v>0</v>
      </c>
      <c r="C143" s="41">
        <v>0</v>
      </c>
      <c r="D143" s="41">
        <v>0</v>
      </c>
      <c r="E143" s="40">
        <v>0</v>
      </c>
      <c r="G143" s="41">
        <v>0</v>
      </c>
      <c r="H143" s="41">
        <v>0</v>
      </c>
      <c r="I143" s="41">
        <v>0</v>
      </c>
      <c r="J143" s="41">
        <v>0</v>
      </c>
      <c r="K143" s="40">
        <v>0</v>
      </c>
    </row>
    <row r="144" spans="1:11" x14ac:dyDescent="0.25">
      <c r="A144" s="41">
        <v>0</v>
      </c>
      <c r="B144" s="41">
        <v>0</v>
      </c>
      <c r="C144" s="41">
        <v>0</v>
      </c>
      <c r="D144" s="41">
        <v>0</v>
      </c>
      <c r="E144" s="40">
        <v>0</v>
      </c>
      <c r="G144" s="41">
        <v>0</v>
      </c>
      <c r="H144" s="41">
        <v>0</v>
      </c>
      <c r="I144" s="41">
        <v>0</v>
      </c>
      <c r="J144" s="41">
        <v>0</v>
      </c>
      <c r="K144" s="40">
        <v>0</v>
      </c>
    </row>
    <row r="145" spans="1:11" x14ac:dyDescent="0.25">
      <c r="A145" s="41">
        <v>0</v>
      </c>
      <c r="B145" s="41">
        <v>0</v>
      </c>
      <c r="C145" s="41">
        <v>0</v>
      </c>
      <c r="D145" s="41">
        <v>0</v>
      </c>
      <c r="E145" s="40">
        <v>0</v>
      </c>
      <c r="G145" s="41">
        <v>0</v>
      </c>
      <c r="H145" s="41">
        <v>0</v>
      </c>
      <c r="I145" s="41">
        <v>0</v>
      </c>
      <c r="J145" s="41">
        <v>0</v>
      </c>
      <c r="K145" s="40">
        <v>0</v>
      </c>
    </row>
    <row r="146" spans="1:11" x14ac:dyDescent="0.25">
      <c r="A146" s="41">
        <v>0</v>
      </c>
      <c r="B146" s="41">
        <v>0</v>
      </c>
      <c r="C146" s="41">
        <v>0</v>
      </c>
      <c r="D146" s="41">
        <v>0</v>
      </c>
      <c r="E146" s="40">
        <v>0</v>
      </c>
      <c r="G146" s="41">
        <v>0</v>
      </c>
      <c r="H146" s="41">
        <v>0</v>
      </c>
      <c r="I146" s="41">
        <v>0</v>
      </c>
      <c r="J146" s="41">
        <v>0</v>
      </c>
      <c r="K146" s="40">
        <v>0</v>
      </c>
    </row>
    <row r="147" spans="1:11" x14ac:dyDescent="0.25">
      <c r="A147" s="41">
        <v>0</v>
      </c>
      <c r="B147" s="41">
        <v>0</v>
      </c>
      <c r="C147" s="41">
        <v>0</v>
      </c>
      <c r="D147" s="41">
        <v>0</v>
      </c>
      <c r="E147" s="40">
        <v>0</v>
      </c>
      <c r="G147" s="41">
        <v>0</v>
      </c>
      <c r="H147" s="41">
        <v>0</v>
      </c>
      <c r="I147" s="41">
        <v>0</v>
      </c>
      <c r="J147" s="41">
        <v>0</v>
      </c>
      <c r="K147" s="40">
        <v>0</v>
      </c>
    </row>
    <row r="148" spans="1:11" x14ac:dyDescent="0.25">
      <c r="A148" s="41">
        <v>0</v>
      </c>
      <c r="B148" s="41">
        <v>0</v>
      </c>
      <c r="C148" s="41">
        <v>0</v>
      </c>
      <c r="D148" s="41">
        <v>0</v>
      </c>
      <c r="E148" s="40">
        <v>0</v>
      </c>
      <c r="G148" s="41">
        <v>0</v>
      </c>
      <c r="H148" s="41">
        <v>0</v>
      </c>
      <c r="I148" s="41">
        <v>0</v>
      </c>
      <c r="J148" s="41">
        <v>0</v>
      </c>
      <c r="K148" s="40">
        <v>0</v>
      </c>
    </row>
    <row r="149" spans="1:11" x14ac:dyDescent="0.25">
      <c r="A149" s="41">
        <v>0</v>
      </c>
      <c r="B149" s="41">
        <v>0</v>
      </c>
      <c r="C149" s="41">
        <v>0</v>
      </c>
      <c r="D149" s="41">
        <v>0</v>
      </c>
      <c r="E149" s="40">
        <v>0</v>
      </c>
      <c r="G149" s="41">
        <v>0</v>
      </c>
      <c r="H149" s="41">
        <v>0</v>
      </c>
      <c r="I149" s="41">
        <v>0</v>
      </c>
      <c r="J149" s="41">
        <v>0</v>
      </c>
      <c r="K149" s="40">
        <v>0</v>
      </c>
    </row>
    <row r="150" spans="1:11" x14ac:dyDescent="0.25">
      <c r="A150" s="41">
        <v>0</v>
      </c>
      <c r="B150" s="41">
        <v>0</v>
      </c>
      <c r="C150" s="41">
        <v>0</v>
      </c>
      <c r="D150" s="41">
        <v>0</v>
      </c>
      <c r="E150" s="40">
        <v>0</v>
      </c>
      <c r="G150" s="41">
        <v>0</v>
      </c>
      <c r="H150" s="41">
        <v>0</v>
      </c>
      <c r="I150" s="41">
        <v>0</v>
      </c>
      <c r="J150" s="41">
        <v>0</v>
      </c>
      <c r="K150" s="40">
        <v>0</v>
      </c>
    </row>
    <row r="151" spans="1:11" x14ac:dyDescent="0.25">
      <c r="A151" s="41">
        <v>0</v>
      </c>
      <c r="B151" s="41">
        <v>0</v>
      </c>
      <c r="C151" s="41">
        <v>0</v>
      </c>
      <c r="D151" s="41">
        <v>0</v>
      </c>
      <c r="E151" s="40">
        <v>0</v>
      </c>
      <c r="G151" s="41">
        <v>0</v>
      </c>
      <c r="H151" s="41">
        <v>0</v>
      </c>
      <c r="I151" s="41">
        <v>0</v>
      </c>
      <c r="J151" s="41">
        <v>0</v>
      </c>
      <c r="K151" s="40">
        <v>0</v>
      </c>
    </row>
    <row r="152" spans="1:11" x14ac:dyDescent="0.25">
      <c r="A152" s="41">
        <v>0</v>
      </c>
      <c r="B152" s="41">
        <v>0</v>
      </c>
      <c r="C152" s="41">
        <v>0</v>
      </c>
      <c r="D152" s="41">
        <v>0</v>
      </c>
      <c r="E152" s="40">
        <v>0</v>
      </c>
      <c r="G152" s="41">
        <v>0</v>
      </c>
      <c r="H152" s="41">
        <v>0</v>
      </c>
      <c r="I152" s="41">
        <v>0</v>
      </c>
      <c r="J152" s="41">
        <v>0</v>
      </c>
      <c r="K152" s="40">
        <v>0</v>
      </c>
    </row>
    <row r="153" spans="1:11" x14ac:dyDescent="0.25">
      <c r="A153" s="41">
        <v>0</v>
      </c>
      <c r="B153" s="41">
        <v>0</v>
      </c>
      <c r="C153" s="41">
        <v>0</v>
      </c>
      <c r="D153" s="41">
        <v>0</v>
      </c>
      <c r="E153" s="40">
        <v>0</v>
      </c>
      <c r="G153" s="41">
        <v>0</v>
      </c>
      <c r="H153" s="41">
        <v>0</v>
      </c>
      <c r="I153" s="41">
        <v>0</v>
      </c>
      <c r="J153" s="41">
        <v>0</v>
      </c>
      <c r="K153" s="40">
        <v>0</v>
      </c>
    </row>
    <row r="154" spans="1:11" x14ac:dyDescent="0.25">
      <c r="A154" s="41">
        <v>0</v>
      </c>
      <c r="B154" s="41">
        <v>0</v>
      </c>
      <c r="C154" s="41">
        <v>0</v>
      </c>
      <c r="D154" s="41">
        <v>0</v>
      </c>
      <c r="E154" s="40">
        <v>0</v>
      </c>
      <c r="G154" s="41">
        <v>0</v>
      </c>
      <c r="H154" s="41">
        <v>0</v>
      </c>
      <c r="I154" s="41">
        <v>0</v>
      </c>
      <c r="J154" s="41">
        <v>0</v>
      </c>
      <c r="K154" s="40">
        <v>0</v>
      </c>
    </row>
    <row r="155" spans="1:11" x14ac:dyDescent="0.25">
      <c r="A155" s="41">
        <v>0</v>
      </c>
      <c r="B155" s="41">
        <v>0</v>
      </c>
      <c r="C155" s="41">
        <v>0</v>
      </c>
      <c r="D155" s="41">
        <v>0</v>
      </c>
      <c r="E155" s="40">
        <v>0</v>
      </c>
      <c r="G155" s="41">
        <v>0</v>
      </c>
      <c r="H155" s="41">
        <v>0</v>
      </c>
      <c r="I155" s="41">
        <v>0</v>
      </c>
      <c r="J155" s="41">
        <v>0</v>
      </c>
      <c r="K155" s="40">
        <v>0</v>
      </c>
    </row>
    <row r="156" spans="1:11" x14ac:dyDescent="0.25">
      <c r="A156" s="41">
        <v>0</v>
      </c>
      <c r="B156" s="41">
        <v>0</v>
      </c>
      <c r="C156" s="41">
        <v>0</v>
      </c>
      <c r="D156" s="41">
        <v>0</v>
      </c>
      <c r="E156" s="40">
        <v>0</v>
      </c>
      <c r="G156" s="41">
        <v>0</v>
      </c>
      <c r="H156" s="41">
        <v>0</v>
      </c>
      <c r="I156" s="41">
        <v>0</v>
      </c>
      <c r="J156" s="41">
        <v>0</v>
      </c>
      <c r="K156" s="40">
        <v>0</v>
      </c>
    </row>
    <row r="157" spans="1:11" x14ac:dyDescent="0.25">
      <c r="A157" s="41">
        <v>0</v>
      </c>
      <c r="B157" s="41">
        <v>0</v>
      </c>
      <c r="C157" s="41">
        <v>0</v>
      </c>
      <c r="D157" s="41">
        <v>0</v>
      </c>
      <c r="E157" s="40">
        <v>0</v>
      </c>
      <c r="G157" s="41">
        <v>0</v>
      </c>
      <c r="H157" s="41">
        <v>0</v>
      </c>
      <c r="I157" s="41">
        <v>0</v>
      </c>
      <c r="J157" s="41">
        <v>0</v>
      </c>
      <c r="K157" s="40">
        <v>0</v>
      </c>
    </row>
    <row r="158" spans="1:11" x14ac:dyDescent="0.25">
      <c r="A158" s="41">
        <v>0</v>
      </c>
      <c r="B158" s="41">
        <v>0</v>
      </c>
      <c r="C158" s="41">
        <v>0</v>
      </c>
      <c r="D158" s="41">
        <v>0</v>
      </c>
      <c r="E158" s="40">
        <v>0</v>
      </c>
      <c r="G158" s="41">
        <v>0</v>
      </c>
      <c r="H158" s="41">
        <v>0</v>
      </c>
      <c r="I158" s="41">
        <v>0</v>
      </c>
      <c r="J158" s="41">
        <v>0</v>
      </c>
      <c r="K158" s="40">
        <v>0</v>
      </c>
    </row>
    <row r="159" spans="1:11" x14ac:dyDescent="0.25">
      <c r="A159" s="41">
        <v>0</v>
      </c>
      <c r="B159" s="41">
        <v>0</v>
      </c>
      <c r="C159" s="41">
        <v>0</v>
      </c>
      <c r="D159" s="41">
        <v>0</v>
      </c>
      <c r="E159" s="40">
        <v>0</v>
      </c>
      <c r="G159" s="41">
        <v>0</v>
      </c>
      <c r="H159" s="41">
        <v>0</v>
      </c>
      <c r="I159" s="41">
        <v>0</v>
      </c>
      <c r="J159" s="41">
        <v>0</v>
      </c>
      <c r="K159" s="40">
        <v>0</v>
      </c>
    </row>
    <row r="160" spans="1:11" x14ac:dyDescent="0.25">
      <c r="A160" s="41">
        <v>0</v>
      </c>
      <c r="B160" s="41">
        <v>0</v>
      </c>
      <c r="C160" s="41">
        <v>0</v>
      </c>
      <c r="D160" s="41">
        <v>0</v>
      </c>
      <c r="E160" s="40">
        <v>0</v>
      </c>
      <c r="G160" s="41">
        <v>0</v>
      </c>
      <c r="H160" s="41">
        <v>0</v>
      </c>
      <c r="I160" s="41">
        <v>0</v>
      </c>
      <c r="J160" s="41">
        <v>0</v>
      </c>
      <c r="K160" s="40">
        <v>0</v>
      </c>
    </row>
    <row r="161" spans="1:11" x14ac:dyDescent="0.25">
      <c r="A161" s="41">
        <v>0</v>
      </c>
      <c r="B161" s="41">
        <v>0</v>
      </c>
      <c r="C161" s="41">
        <v>0</v>
      </c>
      <c r="D161" s="41">
        <v>0</v>
      </c>
      <c r="E161" s="40">
        <v>0</v>
      </c>
      <c r="G161" s="41">
        <v>0</v>
      </c>
      <c r="H161" s="41">
        <v>0</v>
      </c>
      <c r="I161" s="41">
        <v>0</v>
      </c>
      <c r="J161" s="41">
        <v>0</v>
      </c>
      <c r="K161" s="40">
        <v>0</v>
      </c>
    </row>
    <row r="162" spans="1:11" x14ac:dyDescent="0.25">
      <c r="A162" s="41">
        <v>0</v>
      </c>
      <c r="B162" s="41">
        <v>0</v>
      </c>
      <c r="C162" s="41">
        <v>0</v>
      </c>
      <c r="D162" s="41">
        <v>0</v>
      </c>
      <c r="E162" s="40">
        <v>0</v>
      </c>
      <c r="G162" s="41">
        <v>0</v>
      </c>
      <c r="H162" s="41">
        <v>0</v>
      </c>
      <c r="I162" s="41">
        <v>0</v>
      </c>
      <c r="J162" s="41">
        <v>0</v>
      </c>
      <c r="K162" s="40">
        <v>0</v>
      </c>
    </row>
    <row r="163" spans="1:11" x14ac:dyDescent="0.25">
      <c r="A163" s="41">
        <v>0</v>
      </c>
      <c r="B163" s="41">
        <v>0</v>
      </c>
      <c r="C163" s="41">
        <v>0</v>
      </c>
      <c r="D163" s="41">
        <v>0</v>
      </c>
      <c r="E163" s="40">
        <v>0</v>
      </c>
      <c r="G163" s="41">
        <v>0</v>
      </c>
      <c r="H163" s="41">
        <v>0</v>
      </c>
      <c r="I163" s="41">
        <v>0</v>
      </c>
      <c r="J163" s="41">
        <v>0</v>
      </c>
      <c r="K163" s="40">
        <v>0</v>
      </c>
    </row>
    <row r="164" spans="1:11" x14ac:dyDescent="0.25">
      <c r="A164" s="41">
        <v>0</v>
      </c>
      <c r="B164" s="41">
        <v>0</v>
      </c>
      <c r="C164" s="41">
        <v>0</v>
      </c>
      <c r="D164" s="41">
        <v>0</v>
      </c>
      <c r="E164" s="40">
        <v>0</v>
      </c>
      <c r="G164" s="41">
        <v>0</v>
      </c>
      <c r="H164" s="41">
        <v>0</v>
      </c>
      <c r="I164" s="41">
        <v>0</v>
      </c>
      <c r="J164" s="41">
        <v>0</v>
      </c>
      <c r="K164" s="40">
        <v>0</v>
      </c>
    </row>
    <row r="165" spans="1:11" x14ac:dyDescent="0.25">
      <c r="A165" s="41">
        <v>0</v>
      </c>
      <c r="B165" s="41">
        <v>0</v>
      </c>
      <c r="C165" s="41">
        <v>0</v>
      </c>
      <c r="D165" s="41">
        <v>0</v>
      </c>
      <c r="E165" s="40">
        <v>0</v>
      </c>
      <c r="G165" s="41">
        <v>0</v>
      </c>
      <c r="H165" s="41">
        <v>0</v>
      </c>
      <c r="I165" s="41">
        <v>0</v>
      </c>
      <c r="J165" s="41">
        <v>0</v>
      </c>
      <c r="K165" s="40">
        <v>0</v>
      </c>
    </row>
    <row r="166" spans="1:11" x14ac:dyDescent="0.25">
      <c r="A166" s="41">
        <v>0</v>
      </c>
      <c r="B166" s="41">
        <v>0</v>
      </c>
      <c r="C166" s="41">
        <v>0</v>
      </c>
      <c r="D166" s="41">
        <v>0</v>
      </c>
      <c r="E166" s="40">
        <v>0</v>
      </c>
      <c r="G166" s="41">
        <v>0</v>
      </c>
      <c r="H166" s="41">
        <v>0</v>
      </c>
      <c r="I166" s="41">
        <v>0</v>
      </c>
      <c r="J166" s="41">
        <v>0</v>
      </c>
      <c r="K166" s="40">
        <v>0</v>
      </c>
    </row>
    <row r="167" spans="1:11" x14ac:dyDescent="0.25">
      <c r="A167" s="41">
        <v>0</v>
      </c>
      <c r="B167" s="41">
        <v>0</v>
      </c>
      <c r="C167" s="41">
        <v>0</v>
      </c>
      <c r="D167" s="41">
        <v>0</v>
      </c>
      <c r="E167" s="40">
        <v>0</v>
      </c>
      <c r="G167" s="41">
        <v>0</v>
      </c>
      <c r="H167" s="41">
        <v>0</v>
      </c>
      <c r="I167" s="41">
        <v>0</v>
      </c>
      <c r="J167" s="41">
        <v>0</v>
      </c>
      <c r="K167" s="40">
        <v>0</v>
      </c>
    </row>
    <row r="168" spans="1:11" x14ac:dyDescent="0.25">
      <c r="A168" s="41">
        <v>0</v>
      </c>
      <c r="B168" s="41">
        <v>0</v>
      </c>
      <c r="C168" s="41">
        <v>0</v>
      </c>
      <c r="D168" s="41">
        <v>0</v>
      </c>
      <c r="E168" s="40">
        <v>0</v>
      </c>
      <c r="G168" s="41">
        <v>0</v>
      </c>
      <c r="H168" s="41">
        <v>0</v>
      </c>
      <c r="I168" s="41">
        <v>0</v>
      </c>
      <c r="J168" s="41">
        <v>0</v>
      </c>
      <c r="K168" s="40">
        <v>0</v>
      </c>
    </row>
    <row r="169" spans="1:11" x14ac:dyDescent="0.25">
      <c r="A169" s="41">
        <v>0</v>
      </c>
      <c r="B169" s="41">
        <v>0</v>
      </c>
      <c r="C169" s="41">
        <v>0</v>
      </c>
      <c r="D169" s="41">
        <v>0</v>
      </c>
      <c r="E169" s="40">
        <v>0</v>
      </c>
      <c r="G169" s="41">
        <v>0</v>
      </c>
      <c r="H169" s="41">
        <v>0</v>
      </c>
      <c r="I169" s="41">
        <v>0</v>
      </c>
      <c r="J169" s="41">
        <v>0</v>
      </c>
      <c r="K169" s="40">
        <v>0</v>
      </c>
    </row>
    <row r="170" spans="1:11" x14ac:dyDescent="0.25">
      <c r="A170" s="41">
        <v>0</v>
      </c>
      <c r="B170" s="41">
        <v>0</v>
      </c>
      <c r="C170" s="41">
        <v>0</v>
      </c>
      <c r="D170" s="41">
        <v>0</v>
      </c>
      <c r="E170" s="40">
        <v>0</v>
      </c>
      <c r="G170" s="41">
        <v>0</v>
      </c>
      <c r="H170" s="41">
        <v>0</v>
      </c>
      <c r="I170" s="41">
        <v>0</v>
      </c>
      <c r="J170" s="41">
        <v>0</v>
      </c>
      <c r="K170" s="40">
        <v>0</v>
      </c>
    </row>
    <row r="171" spans="1:11" x14ac:dyDescent="0.25">
      <c r="A171" s="41">
        <v>0</v>
      </c>
      <c r="B171" s="41">
        <v>0</v>
      </c>
      <c r="C171" s="41">
        <v>0</v>
      </c>
      <c r="D171" s="41">
        <v>0</v>
      </c>
      <c r="E171" s="40">
        <v>0</v>
      </c>
      <c r="G171" s="41">
        <v>0</v>
      </c>
      <c r="H171" s="41">
        <v>0</v>
      </c>
      <c r="I171" s="41">
        <v>0</v>
      </c>
      <c r="J171" s="41">
        <v>0</v>
      </c>
      <c r="K171" s="40">
        <v>0</v>
      </c>
    </row>
    <row r="172" spans="1:11" x14ac:dyDescent="0.25">
      <c r="A172" s="41">
        <v>0</v>
      </c>
      <c r="B172" s="41">
        <v>0</v>
      </c>
      <c r="C172" s="41">
        <v>0</v>
      </c>
      <c r="D172" s="41">
        <v>0</v>
      </c>
      <c r="E172" s="40">
        <v>0</v>
      </c>
      <c r="G172" s="41">
        <v>0</v>
      </c>
      <c r="H172" s="41">
        <v>0</v>
      </c>
      <c r="I172" s="41">
        <v>0</v>
      </c>
      <c r="J172" s="41">
        <v>0</v>
      </c>
      <c r="K172" s="40">
        <v>0</v>
      </c>
    </row>
    <row r="173" spans="1:11" x14ac:dyDescent="0.25">
      <c r="A173" s="41">
        <v>0</v>
      </c>
      <c r="B173" s="41">
        <v>0</v>
      </c>
      <c r="C173" s="41">
        <v>0</v>
      </c>
      <c r="D173" s="41">
        <v>0</v>
      </c>
      <c r="E173" s="40">
        <v>0</v>
      </c>
      <c r="G173" s="41">
        <v>0</v>
      </c>
      <c r="H173" s="41">
        <v>0</v>
      </c>
      <c r="I173" s="41">
        <v>0</v>
      </c>
      <c r="J173" s="41">
        <v>0</v>
      </c>
      <c r="K173" s="40">
        <v>0</v>
      </c>
    </row>
    <row r="174" spans="1:11" x14ac:dyDescent="0.25">
      <c r="A174" s="41">
        <v>0</v>
      </c>
      <c r="B174" s="41">
        <v>0</v>
      </c>
      <c r="C174" s="41">
        <v>0</v>
      </c>
      <c r="D174" s="41">
        <v>0</v>
      </c>
      <c r="E174" s="40">
        <v>0</v>
      </c>
      <c r="G174" s="41">
        <v>0</v>
      </c>
      <c r="H174" s="41">
        <v>0</v>
      </c>
      <c r="I174" s="41">
        <v>0</v>
      </c>
      <c r="J174" s="41">
        <v>0</v>
      </c>
      <c r="K174" s="40">
        <v>0</v>
      </c>
    </row>
    <row r="175" spans="1:11" x14ac:dyDescent="0.25">
      <c r="A175" s="41">
        <v>0</v>
      </c>
      <c r="B175" s="41">
        <v>0</v>
      </c>
      <c r="C175" s="41">
        <v>0</v>
      </c>
      <c r="D175" s="41">
        <v>0</v>
      </c>
      <c r="E175" s="40">
        <v>0</v>
      </c>
      <c r="G175" s="41">
        <v>0</v>
      </c>
      <c r="H175" s="41">
        <v>0</v>
      </c>
      <c r="I175" s="41">
        <v>0</v>
      </c>
      <c r="J175" s="41">
        <v>0</v>
      </c>
      <c r="K175" s="40">
        <v>0</v>
      </c>
    </row>
    <row r="176" spans="1:11" x14ac:dyDescent="0.25">
      <c r="A176" s="41">
        <v>0</v>
      </c>
      <c r="B176" s="41">
        <v>0</v>
      </c>
      <c r="C176" s="41">
        <v>0</v>
      </c>
      <c r="D176" s="41">
        <v>0</v>
      </c>
      <c r="E176" s="40">
        <v>0</v>
      </c>
      <c r="G176" s="41">
        <v>0</v>
      </c>
      <c r="H176" s="41">
        <v>0</v>
      </c>
      <c r="I176" s="41">
        <v>0</v>
      </c>
      <c r="J176" s="41">
        <v>0</v>
      </c>
      <c r="K176" s="40">
        <v>0</v>
      </c>
    </row>
    <row r="177" spans="1:11" x14ac:dyDescent="0.25">
      <c r="A177" s="41">
        <v>0</v>
      </c>
      <c r="B177" s="41">
        <v>0</v>
      </c>
      <c r="C177" s="41">
        <v>0</v>
      </c>
      <c r="D177" s="41">
        <v>0</v>
      </c>
      <c r="E177" s="40">
        <v>0</v>
      </c>
      <c r="G177" s="41">
        <v>0</v>
      </c>
      <c r="H177" s="41">
        <v>0</v>
      </c>
      <c r="I177" s="41">
        <v>0</v>
      </c>
      <c r="J177" s="41">
        <v>0</v>
      </c>
      <c r="K177" s="40">
        <v>0</v>
      </c>
    </row>
    <row r="178" spans="1:11" x14ac:dyDescent="0.25">
      <c r="A178" s="41">
        <v>0</v>
      </c>
      <c r="B178" s="41">
        <v>0</v>
      </c>
      <c r="C178" s="41">
        <v>0</v>
      </c>
      <c r="D178" s="41">
        <v>0</v>
      </c>
      <c r="E178" s="40">
        <v>0</v>
      </c>
      <c r="G178" s="41">
        <v>0</v>
      </c>
      <c r="H178" s="41">
        <v>0</v>
      </c>
      <c r="I178" s="41">
        <v>0</v>
      </c>
      <c r="J178" s="41">
        <v>0</v>
      </c>
      <c r="K178" s="40">
        <v>0</v>
      </c>
    </row>
    <row r="179" spans="1:11" x14ac:dyDescent="0.25">
      <c r="A179" s="41">
        <v>0</v>
      </c>
      <c r="B179" s="41">
        <v>0</v>
      </c>
      <c r="C179" s="41">
        <v>0</v>
      </c>
      <c r="D179" s="41">
        <v>0</v>
      </c>
      <c r="E179" s="40">
        <v>0</v>
      </c>
      <c r="G179" s="41">
        <v>0</v>
      </c>
      <c r="H179" s="41">
        <v>0</v>
      </c>
      <c r="I179" s="41">
        <v>0</v>
      </c>
      <c r="J179" s="41">
        <v>0</v>
      </c>
      <c r="K179" s="40">
        <v>0</v>
      </c>
    </row>
    <row r="180" spans="1:11" x14ac:dyDescent="0.25">
      <c r="A180" s="41">
        <v>0</v>
      </c>
      <c r="B180" s="41">
        <v>0</v>
      </c>
      <c r="C180" s="41">
        <v>0</v>
      </c>
      <c r="D180" s="41">
        <v>0</v>
      </c>
      <c r="E180" s="40">
        <v>0</v>
      </c>
      <c r="G180" s="41">
        <v>0</v>
      </c>
      <c r="H180" s="41">
        <v>0</v>
      </c>
      <c r="I180" s="41">
        <v>0</v>
      </c>
      <c r="J180" s="41">
        <v>0</v>
      </c>
      <c r="K180" s="40">
        <v>0</v>
      </c>
    </row>
    <row r="181" spans="1:11" x14ac:dyDescent="0.25">
      <c r="A181" s="41">
        <v>0</v>
      </c>
      <c r="B181" s="41">
        <v>0</v>
      </c>
      <c r="C181" s="41">
        <v>0</v>
      </c>
      <c r="D181" s="41">
        <v>0</v>
      </c>
      <c r="E181" s="40">
        <v>0</v>
      </c>
      <c r="G181" s="41">
        <v>0</v>
      </c>
      <c r="H181" s="41">
        <v>0</v>
      </c>
      <c r="I181" s="41">
        <v>0</v>
      </c>
      <c r="J181" s="41">
        <v>0</v>
      </c>
      <c r="K181" s="40">
        <v>0</v>
      </c>
    </row>
    <row r="182" spans="1:11" x14ac:dyDescent="0.25">
      <c r="A182" s="41">
        <v>0</v>
      </c>
      <c r="B182" s="41">
        <v>0</v>
      </c>
      <c r="C182" s="41">
        <v>0</v>
      </c>
      <c r="D182" s="41">
        <v>0</v>
      </c>
      <c r="E182" s="40">
        <v>0</v>
      </c>
      <c r="G182" s="41">
        <v>0</v>
      </c>
      <c r="H182" s="41">
        <v>0</v>
      </c>
      <c r="I182" s="41">
        <v>0</v>
      </c>
      <c r="J182" s="41">
        <v>0</v>
      </c>
      <c r="K182" s="40">
        <v>0</v>
      </c>
    </row>
    <row r="183" spans="1:11" x14ac:dyDescent="0.25">
      <c r="A183" s="41">
        <v>0</v>
      </c>
      <c r="B183" s="41">
        <v>0</v>
      </c>
      <c r="C183" s="41">
        <v>0</v>
      </c>
      <c r="D183" s="41">
        <v>0</v>
      </c>
      <c r="E183" s="40">
        <v>0</v>
      </c>
      <c r="G183" s="41">
        <v>0</v>
      </c>
      <c r="H183" s="41">
        <v>0</v>
      </c>
      <c r="I183" s="41">
        <v>0</v>
      </c>
      <c r="J183" s="41">
        <v>0</v>
      </c>
      <c r="K183" s="40">
        <v>0</v>
      </c>
    </row>
    <row r="184" spans="1:11" x14ac:dyDescent="0.25">
      <c r="A184" s="41">
        <v>0</v>
      </c>
      <c r="B184" s="41">
        <v>0</v>
      </c>
      <c r="C184" s="41">
        <v>0</v>
      </c>
      <c r="D184" s="41">
        <v>0</v>
      </c>
      <c r="E184" s="40">
        <v>0</v>
      </c>
      <c r="G184" s="41">
        <v>0</v>
      </c>
      <c r="H184" s="41">
        <v>0</v>
      </c>
      <c r="I184" s="41">
        <v>0</v>
      </c>
      <c r="J184" s="41">
        <v>0</v>
      </c>
      <c r="K184" s="40">
        <v>0</v>
      </c>
    </row>
    <row r="185" spans="1:11" x14ac:dyDescent="0.25">
      <c r="A185" s="41">
        <v>0</v>
      </c>
      <c r="B185" s="41">
        <v>0</v>
      </c>
      <c r="C185" s="41">
        <v>0</v>
      </c>
      <c r="D185" s="41">
        <v>0</v>
      </c>
      <c r="E185" s="40">
        <v>0</v>
      </c>
      <c r="G185" s="41">
        <v>0</v>
      </c>
      <c r="H185" s="41">
        <v>0</v>
      </c>
      <c r="I185" s="41">
        <v>0</v>
      </c>
      <c r="J185" s="41">
        <v>0</v>
      </c>
      <c r="K185" s="40">
        <v>0</v>
      </c>
    </row>
    <row r="186" spans="1:11" x14ac:dyDescent="0.25">
      <c r="A186" s="41">
        <v>0</v>
      </c>
      <c r="B186" s="41">
        <v>0</v>
      </c>
      <c r="C186" s="41">
        <v>0</v>
      </c>
      <c r="D186" s="41">
        <v>0</v>
      </c>
      <c r="E186" s="40">
        <v>0</v>
      </c>
      <c r="G186" s="41">
        <v>0</v>
      </c>
      <c r="H186" s="41">
        <v>0</v>
      </c>
      <c r="I186" s="41">
        <v>0</v>
      </c>
      <c r="J186" s="41">
        <v>0</v>
      </c>
      <c r="K186" s="40">
        <v>0</v>
      </c>
    </row>
    <row r="187" spans="1:11" x14ac:dyDescent="0.25">
      <c r="A187" s="41">
        <v>0</v>
      </c>
      <c r="B187" s="41">
        <v>0</v>
      </c>
      <c r="C187" s="41">
        <v>0</v>
      </c>
      <c r="D187" s="41">
        <v>0</v>
      </c>
      <c r="E187" s="40">
        <v>0</v>
      </c>
      <c r="G187" s="41">
        <v>0</v>
      </c>
      <c r="H187" s="41">
        <v>0</v>
      </c>
      <c r="I187" s="41">
        <v>0</v>
      </c>
      <c r="J187" s="41">
        <v>0</v>
      </c>
      <c r="K187" s="40">
        <v>0</v>
      </c>
    </row>
    <row r="188" spans="1:11" x14ac:dyDescent="0.25">
      <c r="A188" s="41">
        <v>0</v>
      </c>
      <c r="B188" s="41">
        <v>0</v>
      </c>
      <c r="C188" s="41">
        <v>0</v>
      </c>
      <c r="D188" s="41">
        <v>0</v>
      </c>
      <c r="E188" s="40">
        <v>0</v>
      </c>
      <c r="G188" s="41">
        <v>0</v>
      </c>
      <c r="H188" s="41">
        <v>0</v>
      </c>
      <c r="I188" s="41">
        <v>0</v>
      </c>
      <c r="J188" s="41">
        <v>0</v>
      </c>
      <c r="K188" s="40">
        <v>0</v>
      </c>
    </row>
    <row r="189" spans="1:11" x14ac:dyDescent="0.25">
      <c r="A189" s="41">
        <v>0</v>
      </c>
      <c r="B189" s="41">
        <v>0</v>
      </c>
      <c r="C189" s="41">
        <v>0</v>
      </c>
      <c r="D189" s="41">
        <v>0</v>
      </c>
      <c r="E189" s="40">
        <v>0</v>
      </c>
      <c r="G189" s="41">
        <v>0</v>
      </c>
      <c r="H189" s="41">
        <v>0</v>
      </c>
      <c r="I189" s="41">
        <v>0</v>
      </c>
      <c r="J189" s="41">
        <v>0</v>
      </c>
      <c r="K189" s="40">
        <v>0</v>
      </c>
    </row>
    <row r="190" spans="1:11" x14ac:dyDescent="0.25">
      <c r="A190" s="41">
        <v>0</v>
      </c>
      <c r="B190" s="41">
        <v>0</v>
      </c>
      <c r="C190" s="41">
        <v>0</v>
      </c>
      <c r="D190" s="41">
        <v>0</v>
      </c>
      <c r="E190" s="40">
        <v>0</v>
      </c>
      <c r="G190" s="41">
        <v>0</v>
      </c>
      <c r="H190" s="41">
        <v>0</v>
      </c>
      <c r="I190" s="41">
        <v>0</v>
      </c>
      <c r="J190" s="41">
        <v>0</v>
      </c>
      <c r="K190" s="40">
        <v>0</v>
      </c>
    </row>
    <row r="191" spans="1:11" x14ac:dyDescent="0.25">
      <c r="A191" s="41">
        <v>0</v>
      </c>
      <c r="B191" s="41">
        <v>0</v>
      </c>
      <c r="C191" s="41">
        <v>0</v>
      </c>
      <c r="D191" s="41">
        <v>0</v>
      </c>
      <c r="E191" s="40">
        <v>0</v>
      </c>
      <c r="G191" s="41">
        <v>0</v>
      </c>
      <c r="H191" s="41">
        <v>0</v>
      </c>
      <c r="I191" s="41">
        <v>0</v>
      </c>
      <c r="J191" s="41">
        <v>0</v>
      </c>
      <c r="K191" s="40">
        <v>0</v>
      </c>
    </row>
    <row r="192" spans="1:11" x14ac:dyDescent="0.25">
      <c r="A192" s="41">
        <v>0</v>
      </c>
      <c r="B192" s="41">
        <v>0</v>
      </c>
      <c r="C192" s="41">
        <v>0</v>
      </c>
      <c r="D192" s="41">
        <v>0</v>
      </c>
      <c r="E192" s="40">
        <v>0</v>
      </c>
      <c r="G192" s="41">
        <v>0</v>
      </c>
      <c r="H192" s="41">
        <v>0</v>
      </c>
      <c r="I192" s="41">
        <v>0</v>
      </c>
      <c r="J192" s="41">
        <v>0</v>
      </c>
      <c r="K192" s="40">
        <v>0</v>
      </c>
    </row>
    <row r="193" spans="1:11" x14ac:dyDescent="0.25">
      <c r="A193" s="41">
        <v>0</v>
      </c>
      <c r="B193" s="41">
        <v>0</v>
      </c>
      <c r="C193" s="41">
        <v>0</v>
      </c>
      <c r="D193" s="41">
        <v>0</v>
      </c>
      <c r="E193" s="40">
        <v>0</v>
      </c>
      <c r="G193" s="41">
        <v>0</v>
      </c>
      <c r="H193" s="41">
        <v>0</v>
      </c>
      <c r="I193" s="41">
        <v>0</v>
      </c>
      <c r="J193" s="41">
        <v>0</v>
      </c>
      <c r="K193" s="40">
        <v>0</v>
      </c>
    </row>
    <row r="194" spans="1:11" x14ac:dyDescent="0.25">
      <c r="A194" s="41">
        <v>0</v>
      </c>
      <c r="B194" s="41">
        <v>0</v>
      </c>
      <c r="C194" s="41">
        <v>0</v>
      </c>
      <c r="D194" s="41">
        <v>0</v>
      </c>
      <c r="E194" s="40">
        <v>0</v>
      </c>
      <c r="G194" s="41">
        <v>0</v>
      </c>
      <c r="H194" s="41">
        <v>0</v>
      </c>
      <c r="I194" s="41">
        <v>0</v>
      </c>
      <c r="J194" s="41">
        <v>0</v>
      </c>
      <c r="K194" s="40">
        <v>0</v>
      </c>
    </row>
    <row r="195" spans="1:11" x14ac:dyDescent="0.25">
      <c r="A195" s="41">
        <v>0</v>
      </c>
      <c r="B195" s="41">
        <v>0</v>
      </c>
      <c r="C195" s="41">
        <v>0</v>
      </c>
      <c r="D195" s="41">
        <v>0</v>
      </c>
      <c r="E195" s="40">
        <v>0</v>
      </c>
      <c r="G195" s="41">
        <v>0</v>
      </c>
      <c r="H195" s="41">
        <v>0</v>
      </c>
      <c r="I195" s="41">
        <v>0</v>
      </c>
      <c r="J195" s="41">
        <v>0</v>
      </c>
      <c r="K195" s="40">
        <v>0</v>
      </c>
    </row>
    <row r="196" spans="1:11" x14ac:dyDescent="0.25">
      <c r="A196" s="41">
        <v>0</v>
      </c>
      <c r="B196" s="41">
        <v>0</v>
      </c>
      <c r="C196" s="41">
        <v>0</v>
      </c>
      <c r="D196" s="41">
        <v>0</v>
      </c>
      <c r="E196" s="40">
        <v>0</v>
      </c>
      <c r="G196" s="41">
        <v>0</v>
      </c>
      <c r="H196" s="41">
        <v>0</v>
      </c>
      <c r="I196" s="41">
        <v>0</v>
      </c>
      <c r="J196" s="41">
        <v>0</v>
      </c>
      <c r="K196" s="40">
        <v>0</v>
      </c>
    </row>
    <row r="197" spans="1:11" x14ac:dyDescent="0.25">
      <c r="A197" s="41">
        <v>0</v>
      </c>
      <c r="B197" s="41">
        <v>0</v>
      </c>
      <c r="C197" s="41">
        <v>0</v>
      </c>
      <c r="D197" s="41">
        <v>0</v>
      </c>
      <c r="E197" s="40">
        <v>0</v>
      </c>
      <c r="G197" s="41">
        <v>0</v>
      </c>
      <c r="H197" s="41">
        <v>0</v>
      </c>
      <c r="I197" s="41">
        <v>0</v>
      </c>
      <c r="J197" s="41">
        <v>0</v>
      </c>
      <c r="K197" s="40">
        <v>0</v>
      </c>
    </row>
    <row r="198" spans="1:11" x14ac:dyDescent="0.25">
      <c r="A198" s="41">
        <v>0</v>
      </c>
      <c r="B198" s="41">
        <v>0</v>
      </c>
      <c r="C198" s="41">
        <v>0</v>
      </c>
      <c r="D198" s="41">
        <v>0</v>
      </c>
      <c r="E198" s="40">
        <v>0</v>
      </c>
      <c r="G198" s="41">
        <v>0</v>
      </c>
      <c r="H198" s="41">
        <v>0</v>
      </c>
      <c r="I198" s="41">
        <v>0</v>
      </c>
      <c r="J198" s="41">
        <v>0</v>
      </c>
      <c r="K198" s="40">
        <v>0</v>
      </c>
    </row>
    <row r="199" spans="1:11" x14ac:dyDescent="0.25">
      <c r="A199" s="41">
        <v>0</v>
      </c>
      <c r="B199" s="41">
        <v>0</v>
      </c>
      <c r="C199" s="41">
        <v>0</v>
      </c>
      <c r="D199" s="41">
        <v>0</v>
      </c>
      <c r="E199" s="40">
        <v>0</v>
      </c>
      <c r="G199" s="41">
        <v>0</v>
      </c>
      <c r="H199" s="41">
        <v>0</v>
      </c>
      <c r="I199" s="41">
        <v>0</v>
      </c>
      <c r="J199" s="41">
        <v>0</v>
      </c>
      <c r="K199" s="40">
        <v>0</v>
      </c>
    </row>
    <row r="200" spans="1:11" x14ac:dyDescent="0.25">
      <c r="A200" s="41">
        <v>0</v>
      </c>
      <c r="B200" s="41">
        <v>0</v>
      </c>
      <c r="C200" s="41">
        <v>0</v>
      </c>
      <c r="D200" s="41">
        <v>0</v>
      </c>
      <c r="E200" s="40">
        <v>0</v>
      </c>
      <c r="G200" s="41">
        <v>0</v>
      </c>
      <c r="H200" s="41">
        <v>0</v>
      </c>
      <c r="I200" s="41">
        <v>0</v>
      </c>
      <c r="J200" s="41">
        <v>0</v>
      </c>
      <c r="K200" s="40">
        <v>0</v>
      </c>
    </row>
    <row r="201" spans="1:11" x14ac:dyDescent="0.25">
      <c r="A201" s="41">
        <v>0</v>
      </c>
      <c r="B201" s="41">
        <v>0</v>
      </c>
      <c r="C201" s="41">
        <v>0</v>
      </c>
      <c r="D201" s="41">
        <v>0</v>
      </c>
      <c r="E201" s="40">
        <v>0</v>
      </c>
      <c r="G201" s="41">
        <v>0</v>
      </c>
      <c r="H201" s="41">
        <v>0</v>
      </c>
      <c r="I201" s="41">
        <v>0</v>
      </c>
      <c r="J201" s="41">
        <v>0</v>
      </c>
      <c r="K201" s="40">
        <v>0</v>
      </c>
    </row>
    <row r="202" spans="1:11" x14ac:dyDescent="0.25">
      <c r="A202" s="41">
        <v>0</v>
      </c>
      <c r="B202" s="41">
        <v>0</v>
      </c>
      <c r="C202" s="41">
        <v>0</v>
      </c>
      <c r="D202" s="41">
        <v>0</v>
      </c>
      <c r="E202" s="40">
        <v>0</v>
      </c>
      <c r="G202" s="41">
        <v>0</v>
      </c>
      <c r="H202" s="41">
        <v>0</v>
      </c>
      <c r="I202" s="41">
        <v>0</v>
      </c>
      <c r="J202" s="41">
        <v>0</v>
      </c>
      <c r="K202" s="40">
        <v>0</v>
      </c>
    </row>
    <row r="203" spans="1:11" x14ac:dyDescent="0.25">
      <c r="A203" s="41">
        <v>0</v>
      </c>
      <c r="B203" s="41">
        <v>0</v>
      </c>
      <c r="C203" s="41">
        <v>0</v>
      </c>
      <c r="D203" s="41">
        <v>0</v>
      </c>
      <c r="E203" s="40">
        <v>0</v>
      </c>
      <c r="G203" s="41">
        <v>0</v>
      </c>
      <c r="H203" s="41">
        <v>0</v>
      </c>
      <c r="I203" s="41">
        <v>0</v>
      </c>
      <c r="J203" s="41">
        <v>0</v>
      </c>
      <c r="K203" s="40">
        <v>0</v>
      </c>
    </row>
    <row r="204" spans="1:11" x14ac:dyDescent="0.25">
      <c r="A204" s="41">
        <v>0</v>
      </c>
      <c r="B204" s="41">
        <v>0</v>
      </c>
      <c r="C204" s="41">
        <v>0</v>
      </c>
      <c r="D204" s="41">
        <v>0</v>
      </c>
      <c r="E204" s="40">
        <v>0</v>
      </c>
      <c r="G204" s="41">
        <v>0</v>
      </c>
      <c r="H204" s="41">
        <v>0</v>
      </c>
      <c r="I204" s="41">
        <v>0</v>
      </c>
      <c r="J204" s="41">
        <v>0</v>
      </c>
      <c r="K204" s="40">
        <v>0</v>
      </c>
    </row>
    <row r="205" spans="1:11" x14ac:dyDescent="0.25">
      <c r="A205" s="41">
        <v>0</v>
      </c>
      <c r="B205" s="41">
        <v>0</v>
      </c>
      <c r="C205" s="41">
        <v>0</v>
      </c>
      <c r="D205" s="41">
        <v>0</v>
      </c>
      <c r="E205" s="40">
        <v>0</v>
      </c>
      <c r="G205" s="41">
        <v>0</v>
      </c>
      <c r="H205" s="41">
        <v>0</v>
      </c>
      <c r="I205" s="41">
        <v>0</v>
      </c>
      <c r="J205" s="41">
        <v>0</v>
      </c>
      <c r="K205" s="40">
        <v>0</v>
      </c>
    </row>
    <row r="206" spans="1:11" x14ac:dyDescent="0.25">
      <c r="A206" s="41">
        <v>0</v>
      </c>
      <c r="B206" s="41">
        <v>0</v>
      </c>
      <c r="C206" s="41">
        <v>0</v>
      </c>
      <c r="D206" s="41">
        <v>0</v>
      </c>
      <c r="E206" s="40">
        <v>0</v>
      </c>
      <c r="G206" s="41">
        <v>0</v>
      </c>
      <c r="H206" s="41">
        <v>0</v>
      </c>
      <c r="I206" s="41">
        <v>0</v>
      </c>
      <c r="J206" s="41">
        <v>0</v>
      </c>
      <c r="K206" s="40">
        <v>0</v>
      </c>
    </row>
    <row r="207" spans="1:11" x14ac:dyDescent="0.25">
      <c r="A207" s="41">
        <v>0</v>
      </c>
      <c r="B207" s="41">
        <v>0</v>
      </c>
      <c r="C207" s="41">
        <v>0</v>
      </c>
      <c r="D207" s="41">
        <v>0</v>
      </c>
      <c r="E207" s="40">
        <v>0</v>
      </c>
      <c r="G207" s="41">
        <v>0</v>
      </c>
      <c r="H207" s="41">
        <v>0</v>
      </c>
      <c r="I207" s="41">
        <v>0</v>
      </c>
      <c r="J207" s="41">
        <v>0</v>
      </c>
      <c r="K207" s="40">
        <v>0</v>
      </c>
    </row>
    <row r="208" spans="1:11" x14ac:dyDescent="0.25">
      <c r="A208" s="41">
        <v>0</v>
      </c>
      <c r="B208" s="41">
        <v>0</v>
      </c>
      <c r="C208" s="41">
        <v>0</v>
      </c>
      <c r="D208" s="41">
        <v>0</v>
      </c>
      <c r="E208" s="40">
        <v>0</v>
      </c>
      <c r="G208" s="41">
        <v>0</v>
      </c>
      <c r="H208" s="41">
        <v>0</v>
      </c>
      <c r="I208" s="41">
        <v>0</v>
      </c>
      <c r="J208" s="41">
        <v>0</v>
      </c>
      <c r="K208" s="40">
        <v>0</v>
      </c>
    </row>
    <row r="209" spans="1:11" x14ac:dyDescent="0.25">
      <c r="A209" s="41">
        <v>0</v>
      </c>
      <c r="B209" s="41">
        <v>0</v>
      </c>
      <c r="C209" s="41">
        <v>0</v>
      </c>
      <c r="D209" s="41">
        <v>0</v>
      </c>
      <c r="E209" s="40">
        <v>0</v>
      </c>
      <c r="G209" s="41">
        <v>0</v>
      </c>
      <c r="H209" s="41">
        <v>0</v>
      </c>
      <c r="I209" s="41">
        <v>0</v>
      </c>
      <c r="J209" s="41">
        <v>0</v>
      </c>
      <c r="K209" s="40">
        <v>0</v>
      </c>
    </row>
    <row r="210" spans="1:11" x14ac:dyDescent="0.25">
      <c r="A210" s="41">
        <v>0</v>
      </c>
      <c r="B210" s="41">
        <v>0</v>
      </c>
      <c r="C210" s="41">
        <v>0</v>
      </c>
      <c r="D210" s="41">
        <v>0</v>
      </c>
      <c r="E210" s="40">
        <v>0</v>
      </c>
      <c r="G210" s="41">
        <v>0</v>
      </c>
      <c r="H210" s="41">
        <v>0</v>
      </c>
      <c r="I210" s="41">
        <v>0</v>
      </c>
      <c r="J210" s="41">
        <v>0</v>
      </c>
      <c r="K210" s="40">
        <v>0</v>
      </c>
    </row>
    <row r="211" spans="1:11" x14ac:dyDescent="0.25">
      <c r="A211" s="41">
        <v>0</v>
      </c>
      <c r="B211" s="41">
        <v>0</v>
      </c>
      <c r="C211" s="41">
        <v>0</v>
      </c>
      <c r="D211" s="41">
        <v>0</v>
      </c>
      <c r="E211" s="40">
        <v>0</v>
      </c>
      <c r="G211" s="41">
        <v>0</v>
      </c>
      <c r="H211" s="41">
        <v>0</v>
      </c>
      <c r="I211" s="41">
        <v>0</v>
      </c>
      <c r="J211" s="41">
        <v>0</v>
      </c>
      <c r="K211" s="40">
        <v>0</v>
      </c>
    </row>
    <row r="212" spans="1:11" x14ac:dyDescent="0.25">
      <c r="A212" s="41">
        <v>0</v>
      </c>
      <c r="B212" s="41">
        <v>0</v>
      </c>
      <c r="C212" s="41">
        <v>0</v>
      </c>
      <c r="D212" s="41">
        <v>0</v>
      </c>
      <c r="E212" s="40">
        <v>0</v>
      </c>
      <c r="G212" s="41">
        <v>0</v>
      </c>
      <c r="H212" s="41">
        <v>0</v>
      </c>
      <c r="I212" s="41">
        <v>0</v>
      </c>
      <c r="J212" s="41">
        <v>0</v>
      </c>
      <c r="K212" s="40">
        <v>0</v>
      </c>
    </row>
    <row r="213" spans="1:11" x14ac:dyDescent="0.25">
      <c r="A213" s="41">
        <v>0</v>
      </c>
      <c r="B213" s="41">
        <v>0</v>
      </c>
      <c r="C213" s="41">
        <v>0</v>
      </c>
      <c r="D213" s="41">
        <v>0</v>
      </c>
      <c r="E213" s="40">
        <v>0</v>
      </c>
      <c r="G213" s="41">
        <v>0</v>
      </c>
      <c r="H213" s="41">
        <v>0</v>
      </c>
      <c r="I213" s="41">
        <v>0</v>
      </c>
      <c r="J213" s="41">
        <v>0</v>
      </c>
      <c r="K213" s="40">
        <v>0</v>
      </c>
    </row>
    <row r="214" spans="1:11" x14ac:dyDescent="0.25">
      <c r="A214" s="41">
        <v>0</v>
      </c>
      <c r="B214" s="41">
        <v>0</v>
      </c>
      <c r="C214" s="41">
        <v>0</v>
      </c>
      <c r="D214" s="41">
        <v>0</v>
      </c>
      <c r="E214" s="40">
        <v>0</v>
      </c>
      <c r="G214" s="41">
        <v>0</v>
      </c>
      <c r="H214" s="41">
        <v>0</v>
      </c>
      <c r="I214" s="41">
        <v>0</v>
      </c>
      <c r="J214" s="41">
        <v>0</v>
      </c>
      <c r="K214" s="40">
        <v>0</v>
      </c>
    </row>
    <row r="215" spans="1:11" x14ac:dyDescent="0.25">
      <c r="A215" s="41">
        <v>0</v>
      </c>
      <c r="B215" s="41">
        <v>0</v>
      </c>
      <c r="C215" s="41">
        <v>0</v>
      </c>
      <c r="D215" s="41">
        <v>0</v>
      </c>
      <c r="E215" s="40">
        <v>0</v>
      </c>
      <c r="G215" s="41">
        <v>0</v>
      </c>
      <c r="H215" s="41">
        <v>0</v>
      </c>
      <c r="I215" s="41">
        <v>0</v>
      </c>
      <c r="J215" s="41">
        <v>0</v>
      </c>
      <c r="K215" s="40">
        <v>0</v>
      </c>
    </row>
    <row r="216" spans="1:11" x14ac:dyDescent="0.25">
      <c r="A216" s="41">
        <v>0</v>
      </c>
      <c r="B216" s="41">
        <v>0</v>
      </c>
      <c r="C216" s="41">
        <v>0</v>
      </c>
      <c r="D216" s="41">
        <v>0</v>
      </c>
      <c r="E216" s="40">
        <v>0</v>
      </c>
      <c r="G216" s="41">
        <v>0</v>
      </c>
      <c r="H216" s="41">
        <v>0</v>
      </c>
      <c r="I216" s="41">
        <v>0</v>
      </c>
      <c r="J216" s="41">
        <v>0</v>
      </c>
      <c r="K216" s="40">
        <v>0</v>
      </c>
    </row>
    <row r="217" spans="1:11" x14ac:dyDescent="0.25">
      <c r="A217" s="41">
        <v>0</v>
      </c>
      <c r="B217" s="41">
        <v>0</v>
      </c>
      <c r="C217" s="41">
        <v>0</v>
      </c>
      <c r="D217" s="41">
        <v>0</v>
      </c>
      <c r="E217" s="40">
        <v>0</v>
      </c>
      <c r="G217" s="41">
        <v>0</v>
      </c>
      <c r="H217" s="41">
        <v>0</v>
      </c>
      <c r="I217" s="41">
        <v>0</v>
      </c>
      <c r="J217" s="41">
        <v>0</v>
      </c>
      <c r="K217" s="40">
        <v>0</v>
      </c>
    </row>
    <row r="218" spans="1:11" x14ac:dyDescent="0.25">
      <c r="A218" s="41">
        <v>0</v>
      </c>
      <c r="B218" s="41">
        <v>0</v>
      </c>
      <c r="C218" s="41">
        <v>0</v>
      </c>
      <c r="D218" s="41">
        <v>0</v>
      </c>
      <c r="E218" s="40">
        <v>0</v>
      </c>
      <c r="G218" s="41">
        <v>0</v>
      </c>
      <c r="H218" s="41">
        <v>0</v>
      </c>
      <c r="I218" s="41">
        <v>0</v>
      </c>
      <c r="J218" s="41">
        <v>0</v>
      </c>
      <c r="K218" s="40">
        <v>0</v>
      </c>
    </row>
    <row r="219" spans="1:11" x14ac:dyDescent="0.25">
      <c r="A219" s="41">
        <v>0</v>
      </c>
      <c r="B219" s="41">
        <v>0</v>
      </c>
      <c r="C219" s="41">
        <v>0</v>
      </c>
      <c r="D219" s="41">
        <v>0</v>
      </c>
      <c r="E219" s="40">
        <v>0</v>
      </c>
      <c r="G219" s="41">
        <v>0</v>
      </c>
      <c r="H219" s="41">
        <v>0</v>
      </c>
      <c r="I219" s="41">
        <v>0</v>
      </c>
      <c r="J219" s="41">
        <v>0</v>
      </c>
      <c r="K219" s="40">
        <v>0</v>
      </c>
    </row>
    <row r="220" spans="1:11" x14ac:dyDescent="0.25">
      <c r="A220" s="41">
        <v>0</v>
      </c>
      <c r="B220" s="41">
        <v>0</v>
      </c>
      <c r="C220" s="41">
        <v>0</v>
      </c>
      <c r="D220" s="41">
        <v>0</v>
      </c>
      <c r="E220" s="40">
        <v>0</v>
      </c>
      <c r="G220" s="41">
        <v>0</v>
      </c>
      <c r="H220" s="41">
        <v>0</v>
      </c>
      <c r="I220" s="41">
        <v>0</v>
      </c>
      <c r="J220" s="41">
        <v>0</v>
      </c>
      <c r="K220" s="40">
        <v>0</v>
      </c>
    </row>
    <row r="221" spans="1:11" x14ac:dyDescent="0.25">
      <c r="A221" s="41">
        <v>0</v>
      </c>
      <c r="B221" s="41">
        <v>0</v>
      </c>
      <c r="C221" s="41">
        <v>0</v>
      </c>
      <c r="D221" s="41">
        <v>0</v>
      </c>
      <c r="E221" s="40">
        <v>0</v>
      </c>
      <c r="G221" s="41">
        <v>0</v>
      </c>
      <c r="H221" s="41">
        <v>0</v>
      </c>
      <c r="I221" s="41">
        <v>0</v>
      </c>
      <c r="J221" s="41">
        <v>0</v>
      </c>
      <c r="K221" s="40">
        <v>0</v>
      </c>
    </row>
    <row r="222" spans="1:11" x14ac:dyDescent="0.25">
      <c r="A222" s="41">
        <v>0</v>
      </c>
      <c r="B222" s="41">
        <v>0</v>
      </c>
      <c r="C222" s="41">
        <v>0</v>
      </c>
      <c r="D222" s="41">
        <v>0</v>
      </c>
      <c r="E222" s="40">
        <v>0</v>
      </c>
      <c r="G222" s="41">
        <v>0</v>
      </c>
      <c r="H222" s="41">
        <v>0</v>
      </c>
      <c r="I222" s="41">
        <v>0</v>
      </c>
      <c r="J222" s="41">
        <v>0</v>
      </c>
      <c r="K222" s="40">
        <v>0</v>
      </c>
    </row>
    <row r="223" spans="1:11" x14ac:dyDescent="0.25">
      <c r="A223" s="41">
        <v>0</v>
      </c>
      <c r="B223" s="41">
        <v>0</v>
      </c>
      <c r="C223" s="41">
        <v>0</v>
      </c>
      <c r="D223" s="41">
        <v>0</v>
      </c>
      <c r="E223" s="40">
        <v>0</v>
      </c>
      <c r="G223" s="41">
        <v>0</v>
      </c>
      <c r="H223" s="41">
        <v>0</v>
      </c>
      <c r="I223" s="41">
        <v>0</v>
      </c>
      <c r="J223" s="41">
        <v>0</v>
      </c>
      <c r="K223" s="40">
        <v>0</v>
      </c>
    </row>
    <row r="224" spans="1:11" x14ac:dyDescent="0.25">
      <c r="A224" s="41">
        <v>0</v>
      </c>
      <c r="B224" s="41">
        <v>0</v>
      </c>
      <c r="C224" s="41">
        <v>0</v>
      </c>
      <c r="D224" s="41">
        <v>0</v>
      </c>
      <c r="E224" s="40">
        <v>0</v>
      </c>
      <c r="G224" s="41">
        <v>0</v>
      </c>
      <c r="H224" s="41">
        <v>0</v>
      </c>
      <c r="I224" s="41">
        <v>0</v>
      </c>
      <c r="J224" s="41">
        <v>0</v>
      </c>
      <c r="K224" s="40">
        <v>0</v>
      </c>
    </row>
    <row r="225" spans="1:11" x14ac:dyDescent="0.25">
      <c r="A225" s="41">
        <v>0</v>
      </c>
      <c r="B225" s="41">
        <v>0</v>
      </c>
      <c r="C225" s="41">
        <v>0</v>
      </c>
      <c r="D225" s="41">
        <v>0</v>
      </c>
      <c r="E225" s="40">
        <v>0</v>
      </c>
      <c r="G225" s="41">
        <v>0</v>
      </c>
      <c r="H225" s="41">
        <v>0</v>
      </c>
      <c r="I225" s="41">
        <v>0</v>
      </c>
      <c r="J225" s="41">
        <v>0</v>
      </c>
      <c r="K225" s="40">
        <v>0</v>
      </c>
    </row>
    <row r="226" spans="1:11" x14ac:dyDescent="0.25">
      <c r="A226" s="41">
        <v>0</v>
      </c>
      <c r="B226" s="41">
        <v>0</v>
      </c>
      <c r="C226" s="41">
        <v>0</v>
      </c>
      <c r="D226" s="41">
        <v>0</v>
      </c>
      <c r="E226" s="40">
        <v>0</v>
      </c>
      <c r="G226" s="41">
        <v>0</v>
      </c>
      <c r="H226" s="41">
        <v>0</v>
      </c>
      <c r="I226" s="41">
        <v>0</v>
      </c>
      <c r="J226" s="41">
        <v>0</v>
      </c>
      <c r="K226" s="40">
        <v>0</v>
      </c>
    </row>
    <row r="227" spans="1:11" x14ac:dyDescent="0.25">
      <c r="A227" s="41">
        <v>0</v>
      </c>
      <c r="B227" s="41">
        <v>0</v>
      </c>
      <c r="C227" s="41">
        <v>0</v>
      </c>
      <c r="D227" s="41">
        <v>0</v>
      </c>
      <c r="E227" s="40">
        <v>0</v>
      </c>
      <c r="G227" s="41">
        <v>0</v>
      </c>
      <c r="H227" s="41">
        <v>0</v>
      </c>
      <c r="I227" s="41">
        <v>0</v>
      </c>
      <c r="J227" s="41">
        <v>0</v>
      </c>
      <c r="K227" s="40">
        <v>0</v>
      </c>
    </row>
    <row r="228" spans="1:11" x14ac:dyDescent="0.25">
      <c r="A228" s="41">
        <v>0</v>
      </c>
      <c r="B228" s="41">
        <v>0</v>
      </c>
      <c r="C228" s="41">
        <v>0</v>
      </c>
      <c r="D228" s="41">
        <v>0</v>
      </c>
      <c r="E228" s="40">
        <v>0</v>
      </c>
      <c r="G228" s="41">
        <v>0</v>
      </c>
      <c r="H228" s="41">
        <v>0</v>
      </c>
      <c r="I228" s="41">
        <v>0</v>
      </c>
      <c r="J228" s="41">
        <v>0</v>
      </c>
      <c r="K228" s="40">
        <v>0</v>
      </c>
    </row>
    <row r="229" spans="1:11" x14ac:dyDescent="0.25">
      <c r="A229" s="41">
        <v>0</v>
      </c>
      <c r="B229" s="41">
        <v>0</v>
      </c>
      <c r="C229" s="41">
        <v>0</v>
      </c>
      <c r="D229" s="41">
        <v>0</v>
      </c>
      <c r="E229" s="40">
        <v>0</v>
      </c>
      <c r="G229" s="41">
        <v>0</v>
      </c>
      <c r="H229" s="41">
        <v>0</v>
      </c>
      <c r="I229" s="41">
        <v>0</v>
      </c>
      <c r="J229" s="41">
        <v>0</v>
      </c>
      <c r="K229" s="40">
        <v>0</v>
      </c>
    </row>
    <row r="230" spans="1:11" x14ac:dyDescent="0.25">
      <c r="A230" s="41">
        <v>0</v>
      </c>
      <c r="B230" s="41">
        <v>0</v>
      </c>
      <c r="C230" s="41">
        <v>0</v>
      </c>
      <c r="D230" s="41">
        <v>0</v>
      </c>
      <c r="E230" s="40">
        <v>0</v>
      </c>
      <c r="G230" s="41">
        <v>0</v>
      </c>
      <c r="H230" s="41">
        <v>0</v>
      </c>
      <c r="I230" s="41">
        <v>0</v>
      </c>
      <c r="J230" s="41">
        <v>0</v>
      </c>
      <c r="K230" s="40">
        <v>0</v>
      </c>
    </row>
    <row r="231" spans="1:11" x14ac:dyDescent="0.25">
      <c r="A231" s="41">
        <v>0</v>
      </c>
      <c r="B231" s="41">
        <v>0</v>
      </c>
      <c r="C231" s="41">
        <v>0</v>
      </c>
      <c r="D231" s="41">
        <v>0</v>
      </c>
      <c r="E231" s="40">
        <v>0</v>
      </c>
      <c r="G231" s="41">
        <v>0</v>
      </c>
      <c r="H231" s="41">
        <v>0</v>
      </c>
      <c r="I231" s="41">
        <v>0</v>
      </c>
      <c r="J231" s="41">
        <v>0</v>
      </c>
      <c r="K231" s="40">
        <v>0</v>
      </c>
    </row>
    <row r="232" spans="1:11" x14ac:dyDescent="0.25">
      <c r="A232" s="41">
        <v>0</v>
      </c>
      <c r="B232" s="41">
        <v>0</v>
      </c>
      <c r="C232" s="41">
        <v>0</v>
      </c>
      <c r="D232" s="41">
        <v>0</v>
      </c>
      <c r="E232" s="40">
        <v>0</v>
      </c>
      <c r="G232" s="41">
        <v>0</v>
      </c>
      <c r="H232" s="41">
        <v>0</v>
      </c>
      <c r="I232" s="41">
        <v>0</v>
      </c>
      <c r="J232" s="41">
        <v>0</v>
      </c>
      <c r="K232" s="40">
        <v>0</v>
      </c>
    </row>
    <row r="233" spans="1:11" x14ac:dyDescent="0.25">
      <c r="A233" s="41">
        <v>0</v>
      </c>
      <c r="B233" s="41">
        <v>0</v>
      </c>
      <c r="C233" s="41">
        <v>0</v>
      </c>
      <c r="D233" s="41">
        <v>0</v>
      </c>
      <c r="E233" s="40">
        <v>0</v>
      </c>
      <c r="G233" s="41">
        <v>0</v>
      </c>
      <c r="H233" s="41">
        <v>0</v>
      </c>
      <c r="I233" s="41">
        <v>0</v>
      </c>
      <c r="J233" s="41">
        <v>0</v>
      </c>
      <c r="K233" s="40">
        <v>0</v>
      </c>
    </row>
    <row r="234" spans="1:11" x14ac:dyDescent="0.25">
      <c r="A234" s="41">
        <v>0</v>
      </c>
      <c r="B234" s="41">
        <v>0</v>
      </c>
      <c r="C234" s="41">
        <v>0</v>
      </c>
      <c r="D234" s="41">
        <v>0</v>
      </c>
      <c r="E234" s="40">
        <v>0</v>
      </c>
      <c r="G234" s="41">
        <v>0</v>
      </c>
      <c r="H234" s="41">
        <v>0</v>
      </c>
      <c r="I234" s="41">
        <v>0</v>
      </c>
      <c r="J234" s="41">
        <v>0</v>
      </c>
      <c r="K234" s="40">
        <v>0</v>
      </c>
    </row>
    <row r="235" spans="1:11" x14ac:dyDescent="0.25">
      <c r="A235" s="41">
        <v>0</v>
      </c>
      <c r="B235" s="41">
        <v>0</v>
      </c>
      <c r="C235" s="41">
        <v>0</v>
      </c>
      <c r="D235" s="41">
        <v>0</v>
      </c>
      <c r="E235" s="40">
        <v>0</v>
      </c>
      <c r="G235" s="41">
        <v>0</v>
      </c>
      <c r="H235" s="41">
        <v>0</v>
      </c>
      <c r="I235" s="41">
        <v>0</v>
      </c>
      <c r="J235" s="41">
        <v>0</v>
      </c>
      <c r="K235" s="40">
        <v>0</v>
      </c>
    </row>
    <row r="236" spans="1:11" x14ac:dyDescent="0.25">
      <c r="A236" s="41">
        <v>0</v>
      </c>
      <c r="B236" s="41">
        <v>0</v>
      </c>
      <c r="C236" s="41">
        <v>0</v>
      </c>
      <c r="D236" s="41">
        <v>0</v>
      </c>
      <c r="E236" s="40">
        <v>0</v>
      </c>
      <c r="G236" s="41">
        <v>0</v>
      </c>
      <c r="H236" s="41">
        <v>0</v>
      </c>
      <c r="I236" s="41">
        <v>0</v>
      </c>
      <c r="J236" s="41">
        <v>0</v>
      </c>
      <c r="K236" s="40">
        <v>0</v>
      </c>
    </row>
    <row r="237" spans="1:11" x14ac:dyDescent="0.25">
      <c r="A237" s="41">
        <v>0</v>
      </c>
      <c r="B237" s="41">
        <v>0</v>
      </c>
      <c r="C237" s="41">
        <v>0</v>
      </c>
      <c r="D237" s="41">
        <v>0</v>
      </c>
      <c r="E237" s="40">
        <v>0</v>
      </c>
      <c r="G237" s="41">
        <v>0</v>
      </c>
      <c r="H237" s="41">
        <v>0</v>
      </c>
      <c r="I237" s="41">
        <v>0</v>
      </c>
      <c r="J237" s="41">
        <v>0</v>
      </c>
      <c r="K237" s="40">
        <v>0</v>
      </c>
    </row>
    <row r="238" spans="1:11" x14ac:dyDescent="0.25">
      <c r="A238" s="41">
        <v>0</v>
      </c>
      <c r="B238" s="41">
        <v>0</v>
      </c>
      <c r="C238" s="41">
        <v>0</v>
      </c>
      <c r="D238" s="41">
        <v>0</v>
      </c>
      <c r="E238" s="40">
        <v>0</v>
      </c>
      <c r="G238" s="41">
        <v>0</v>
      </c>
      <c r="H238" s="41">
        <v>0</v>
      </c>
      <c r="I238" s="41">
        <v>0</v>
      </c>
      <c r="J238" s="41">
        <v>0</v>
      </c>
      <c r="K238" s="40">
        <v>0</v>
      </c>
    </row>
    <row r="239" spans="1:11" x14ac:dyDescent="0.25">
      <c r="A239" s="41">
        <v>0</v>
      </c>
      <c r="B239" s="41">
        <v>0</v>
      </c>
      <c r="C239" s="41">
        <v>0</v>
      </c>
      <c r="D239" s="41">
        <v>0</v>
      </c>
      <c r="E239" s="40">
        <v>0</v>
      </c>
      <c r="G239" s="41">
        <v>0</v>
      </c>
      <c r="H239" s="41">
        <v>0</v>
      </c>
      <c r="I239" s="41">
        <v>0</v>
      </c>
      <c r="J239" s="41">
        <v>0</v>
      </c>
      <c r="K239" s="40">
        <v>0</v>
      </c>
    </row>
    <row r="240" spans="1:11" x14ac:dyDescent="0.25">
      <c r="A240" s="41">
        <v>0</v>
      </c>
      <c r="B240" s="41">
        <v>0</v>
      </c>
      <c r="C240" s="41">
        <v>0</v>
      </c>
      <c r="D240" s="41">
        <v>0</v>
      </c>
      <c r="E240" s="40">
        <v>0</v>
      </c>
      <c r="G240" s="41">
        <v>0</v>
      </c>
      <c r="H240" s="41">
        <v>0</v>
      </c>
      <c r="I240" s="41">
        <v>0</v>
      </c>
      <c r="J240" s="41">
        <v>0</v>
      </c>
      <c r="K240" s="40">
        <v>0</v>
      </c>
    </row>
    <row r="241" spans="1:11" x14ac:dyDescent="0.25">
      <c r="A241" s="41">
        <v>0</v>
      </c>
      <c r="B241" s="41">
        <v>0</v>
      </c>
      <c r="C241" s="41">
        <v>0</v>
      </c>
      <c r="D241" s="41">
        <v>0</v>
      </c>
      <c r="E241" s="40">
        <v>0</v>
      </c>
      <c r="G241" s="41">
        <v>0</v>
      </c>
      <c r="H241" s="41">
        <v>0</v>
      </c>
      <c r="I241" s="41">
        <v>0</v>
      </c>
      <c r="J241" s="41">
        <v>0</v>
      </c>
      <c r="K241" s="40">
        <v>0</v>
      </c>
    </row>
    <row r="242" spans="1:11" x14ac:dyDescent="0.25">
      <c r="A242" s="41">
        <v>0</v>
      </c>
      <c r="B242" s="41">
        <v>0</v>
      </c>
      <c r="C242" s="41">
        <v>0</v>
      </c>
      <c r="D242" s="41">
        <v>0</v>
      </c>
      <c r="E242" s="40">
        <v>0</v>
      </c>
      <c r="G242" s="41">
        <v>0</v>
      </c>
      <c r="H242" s="41">
        <v>0</v>
      </c>
      <c r="I242" s="41">
        <v>0</v>
      </c>
      <c r="J242" s="41">
        <v>0</v>
      </c>
      <c r="K242" s="40">
        <v>0</v>
      </c>
    </row>
    <row r="243" spans="1:11" x14ac:dyDescent="0.25">
      <c r="A243" s="41">
        <v>0</v>
      </c>
      <c r="B243" s="41">
        <v>0</v>
      </c>
      <c r="C243" s="41">
        <v>0</v>
      </c>
      <c r="D243" s="41">
        <v>0</v>
      </c>
      <c r="E243" s="40">
        <v>0</v>
      </c>
      <c r="G243" s="41">
        <v>0</v>
      </c>
      <c r="H243" s="41">
        <v>0</v>
      </c>
      <c r="I243" s="41">
        <v>0</v>
      </c>
      <c r="J243" s="41">
        <v>0</v>
      </c>
      <c r="K243" s="40">
        <v>0</v>
      </c>
    </row>
    <row r="244" spans="1:11" x14ac:dyDescent="0.25">
      <c r="A244" s="41">
        <v>0</v>
      </c>
      <c r="B244" s="41">
        <v>0</v>
      </c>
      <c r="C244" s="41">
        <v>0</v>
      </c>
      <c r="D244" s="41">
        <v>0</v>
      </c>
      <c r="E244" s="40">
        <v>0</v>
      </c>
      <c r="G244" s="41">
        <v>0</v>
      </c>
      <c r="H244" s="41">
        <v>0</v>
      </c>
      <c r="I244" s="41">
        <v>0</v>
      </c>
      <c r="J244" s="41">
        <v>0</v>
      </c>
      <c r="K244" s="40">
        <v>0</v>
      </c>
    </row>
    <row r="245" spans="1:11" x14ac:dyDescent="0.25">
      <c r="A245" s="41">
        <v>0</v>
      </c>
      <c r="B245" s="41">
        <v>0</v>
      </c>
      <c r="C245" s="41">
        <v>0</v>
      </c>
      <c r="D245" s="41">
        <v>0</v>
      </c>
      <c r="E245" s="40">
        <v>0</v>
      </c>
      <c r="G245" s="41">
        <v>0</v>
      </c>
      <c r="H245" s="41">
        <v>0</v>
      </c>
      <c r="I245" s="41">
        <v>0</v>
      </c>
      <c r="J245" s="41">
        <v>0</v>
      </c>
      <c r="K245" s="40">
        <v>0</v>
      </c>
    </row>
    <row r="246" spans="1:11" x14ac:dyDescent="0.25">
      <c r="A246" s="41">
        <v>0</v>
      </c>
      <c r="B246" s="41">
        <v>0</v>
      </c>
      <c r="C246" s="41">
        <v>0</v>
      </c>
      <c r="D246" s="41">
        <v>0</v>
      </c>
      <c r="E246" s="40">
        <v>0</v>
      </c>
      <c r="G246" s="41">
        <v>0</v>
      </c>
      <c r="H246" s="41">
        <v>0</v>
      </c>
      <c r="I246" s="41">
        <v>0</v>
      </c>
      <c r="J246" s="41">
        <v>0</v>
      </c>
      <c r="K246" s="40">
        <v>0</v>
      </c>
    </row>
    <row r="247" spans="1:11" x14ac:dyDescent="0.25">
      <c r="A247" s="41">
        <v>0</v>
      </c>
      <c r="B247" s="41">
        <v>0</v>
      </c>
      <c r="C247" s="41">
        <v>0</v>
      </c>
      <c r="D247" s="41">
        <v>0</v>
      </c>
      <c r="E247" s="40">
        <v>0</v>
      </c>
      <c r="G247" s="41">
        <v>0</v>
      </c>
      <c r="H247" s="41">
        <v>0</v>
      </c>
      <c r="I247" s="41">
        <v>0</v>
      </c>
      <c r="J247" s="41">
        <v>0</v>
      </c>
      <c r="K247" s="40">
        <v>0</v>
      </c>
    </row>
    <row r="248" spans="1:11" x14ac:dyDescent="0.25">
      <c r="A248" s="41">
        <v>0</v>
      </c>
      <c r="B248" s="41">
        <v>0</v>
      </c>
      <c r="C248" s="41">
        <v>0</v>
      </c>
      <c r="D248" s="41">
        <v>0</v>
      </c>
      <c r="E248" s="40">
        <v>0</v>
      </c>
      <c r="G248" s="41">
        <v>0</v>
      </c>
      <c r="H248" s="41">
        <v>0</v>
      </c>
      <c r="I248" s="41">
        <v>0</v>
      </c>
      <c r="J248" s="41">
        <v>0</v>
      </c>
      <c r="K248" s="40">
        <v>0</v>
      </c>
    </row>
    <row r="249" spans="1:11" x14ac:dyDescent="0.25">
      <c r="A249" s="41">
        <v>0</v>
      </c>
      <c r="B249" s="41">
        <v>0</v>
      </c>
      <c r="C249" s="41">
        <v>0</v>
      </c>
      <c r="D249" s="41">
        <v>0</v>
      </c>
      <c r="E249" s="40">
        <v>0</v>
      </c>
      <c r="G249" s="41">
        <v>0</v>
      </c>
      <c r="H249" s="41">
        <v>0</v>
      </c>
      <c r="I249" s="41">
        <v>0</v>
      </c>
      <c r="J249" s="41">
        <v>0</v>
      </c>
      <c r="K249" s="40">
        <v>0</v>
      </c>
    </row>
    <row r="250" spans="1:11" x14ac:dyDescent="0.25">
      <c r="A250" s="41">
        <v>0</v>
      </c>
      <c r="B250" s="41">
        <v>0</v>
      </c>
      <c r="C250" s="41">
        <v>0</v>
      </c>
      <c r="D250" s="41">
        <v>0</v>
      </c>
      <c r="E250" s="40">
        <v>0</v>
      </c>
      <c r="G250" s="41">
        <v>0</v>
      </c>
      <c r="H250" s="41">
        <v>0</v>
      </c>
      <c r="I250" s="41">
        <v>0</v>
      </c>
      <c r="J250" s="41">
        <v>0</v>
      </c>
      <c r="K250" s="40">
        <v>0</v>
      </c>
    </row>
    <row r="251" spans="1:11" x14ac:dyDescent="0.25">
      <c r="A251" s="41">
        <v>0</v>
      </c>
      <c r="B251" s="41">
        <v>0</v>
      </c>
      <c r="C251" s="41">
        <v>0</v>
      </c>
      <c r="D251" s="41">
        <v>0</v>
      </c>
      <c r="E251" s="40">
        <v>0</v>
      </c>
      <c r="G251" s="41">
        <v>0</v>
      </c>
      <c r="H251" s="41">
        <v>0</v>
      </c>
      <c r="I251" s="41">
        <v>0</v>
      </c>
      <c r="J251" s="41">
        <v>0</v>
      </c>
      <c r="K251" s="40">
        <v>0</v>
      </c>
    </row>
    <row r="252" spans="1:11" x14ac:dyDescent="0.25">
      <c r="A252" s="41">
        <v>0</v>
      </c>
      <c r="B252" s="41">
        <v>0</v>
      </c>
      <c r="C252" s="41">
        <v>0</v>
      </c>
      <c r="D252" s="41">
        <v>0</v>
      </c>
      <c r="E252" s="40">
        <v>0</v>
      </c>
      <c r="G252" s="41">
        <v>0</v>
      </c>
      <c r="H252" s="41">
        <v>0</v>
      </c>
      <c r="I252" s="41">
        <v>0</v>
      </c>
      <c r="J252" s="41">
        <v>0</v>
      </c>
      <c r="K252" s="40">
        <v>0</v>
      </c>
    </row>
    <row r="253" spans="1:11" x14ac:dyDescent="0.25">
      <c r="A253" s="41">
        <v>0</v>
      </c>
      <c r="B253" s="41">
        <v>0</v>
      </c>
      <c r="C253" s="41">
        <v>0</v>
      </c>
      <c r="D253" s="41">
        <v>0</v>
      </c>
      <c r="E253" s="40">
        <v>0</v>
      </c>
      <c r="G253" s="41">
        <v>0</v>
      </c>
      <c r="H253" s="41">
        <v>0</v>
      </c>
      <c r="I253" s="41">
        <v>0</v>
      </c>
      <c r="J253" s="41">
        <v>0</v>
      </c>
      <c r="K253" s="40">
        <v>0</v>
      </c>
    </row>
    <row r="254" spans="1:11" x14ac:dyDescent="0.25">
      <c r="A254" s="41">
        <v>0</v>
      </c>
      <c r="B254" s="41">
        <v>0</v>
      </c>
      <c r="C254" s="41">
        <v>0</v>
      </c>
      <c r="D254" s="41">
        <v>0</v>
      </c>
      <c r="E254" s="40">
        <v>0</v>
      </c>
      <c r="G254" s="41">
        <v>0</v>
      </c>
      <c r="H254" s="41">
        <v>0</v>
      </c>
      <c r="I254" s="41">
        <v>0</v>
      </c>
      <c r="J254" s="41">
        <v>0</v>
      </c>
      <c r="K254" s="40">
        <v>0</v>
      </c>
    </row>
    <row r="255" spans="1:11" x14ac:dyDescent="0.25">
      <c r="A255" s="41">
        <v>0</v>
      </c>
      <c r="B255" s="41">
        <v>0</v>
      </c>
      <c r="C255" s="41">
        <v>0</v>
      </c>
      <c r="D255" s="41">
        <v>0</v>
      </c>
      <c r="E255" s="40">
        <v>0</v>
      </c>
      <c r="G255" s="41">
        <v>0</v>
      </c>
      <c r="H255" s="41">
        <v>0</v>
      </c>
      <c r="I255" s="41">
        <v>0</v>
      </c>
      <c r="J255" s="41">
        <v>0</v>
      </c>
      <c r="K255" s="40">
        <v>0</v>
      </c>
    </row>
    <row r="256" spans="1:11" x14ac:dyDescent="0.25">
      <c r="A256" s="41">
        <v>0</v>
      </c>
      <c r="B256" s="41">
        <v>0</v>
      </c>
      <c r="C256" s="41">
        <v>0</v>
      </c>
      <c r="D256" s="41">
        <v>0</v>
      </c>
      <c r="E256" s="40">
        <v>0</v>
      </c>
      <c r="G256" s="41">
        <v>0</v>
      </c>
      <c r="H256" s="41">
        <v>0</v>
      </c>
      <c r="I256" s="41">
        <v>0</v>
      </c>
      <c r="J256" s="41">
        <v>0</v>
      </c>
      <c r="K256" s="40">
        <v>0</v>
      </c>
    </row>
    <row r="257" spans="1:11" x14ac:dyDescent="0.25">
      <c r="A257" s="41">
        <v>0</v>
      </c>
      <c r="B257" s="41">
        <v>0</v>
      </c>
      <c r="C257" s="41">
        <v>0</v>
      </c>
      <c r="D257" s="41">
        <v>0</v>
      </c>
      <c r="E257" s="40">
        <v>0</v>
      </c>
      <c r="G257" s="41">
        <v>0</v>
      </c>
      <c r="H257" s="41">
        <v>0</v>
      </c>
      <c r="I257" s="41">
        <v>0</v>
      </c>
      <c r="J257" s="41">
        <v>0</v>
      </c>
      <c r="K257" s="40">
        <v>0</v>
      </c>
    </row>
    <row r="258" spans="1:11" x14ac:dyDescent="0.25">
      <c r="A258" s="41">
        <v>0</v>
      </c>
      <c r="B258" s="41">
        <v>0</v>
      </c>
      <c r="C258" s="41">
        <v>0</v>
      </c>
      <c r="D258" s="41">
        <v>0</v>
      </c>
      <c r="E258" s="40">
        <v>0</v>
      </c>
      <c r="G258" s="41">
        <v>0</v>
      </c>
      <c r="H258" s="41">
        <v>0</v>
      </c>
      <c r="I258" s="41">
        <v>0</v>
      </c>
      <c r="J258" s="41">
        <v>0</v>
      </c>
      <c r="K258" s="40">
        <v>0</v>
      </c>
    </row>
    <row r="259" spans="1:11" x14ac:dyDescent="0.25">
      <c r="A259" s="41">
        <v>0</v>
      </c>
      <c r="B259" s="41">
        <v>0</v>
      </c>
      <c r="C259" s="41">
        <v>0</v>
      </c>
      <c r="D259" s="41">
        <v>0</v>
      </c>
      <c r="E259" s="40">
        <v>0</v>
      </c>
      <c r="G259" s="41">
        <v>0</v>
      </c>
      <c r="H259" s="41">
        <v>0</v>
      </c>
      <c r="I259" s="41">
        <v>0</v>
      </c>
      <c r="J259" s="41">
        <v>0</v>
      </c>
      <c r="K259" s="40">
        <v>0</v>
      </c>
    </row>
    <row r="260" spans="1:11" x14ac:dyDescent="0.25">
      <c r="A260" s="41">
        <v>0</v>
      </c>
      <c r="B260" s="41">
        <v>0</v>
      </c>
      <c r="C260" s="41">
        <v>0</v>
      </c>
      <c r="D260" s="41">
        <v>0</v>
      </c>
      <c r="E260" s="40">
        <v>0</v>
      </c>
      <c r="G260" s="41">
        <v>0</v>
      </c>
      <c r="H260" s="41">
        <v>0</v>
      </c>
      <c r="I260" s="41">
        <v>0</v>
      </c>
      <c r="J260" s="41">
        <v>0</v>
      </c>
      <c r="K260" s="40">
        <v>0</v>
      </c>
    </row>
    <row r="261" spans="1:11" x14ac:dyDescent="0.25">
      <c r="A261" s="41">
        <v>0</v>
      </c>
      <c r="B261" s="41">
        <v>0</v>
      </c>
      <c r="C261" s="41">
        <v>0</v>
      </c>
      <c r="D261" s="41">
        <v>0</v>
      </c>
      <c r="E261" s="40">
        <v>0</v>
      </c>
      <c r="G261" s="41">
        <v>0</v>
      </c>
      <c r="H261" s="41">
        <v>0</v>
      </c>
      <c r="I261" s="41">
        <v>0</v>
      </c>
      <c r="J261" s="41">
        <v>0</v>
      </c>
      <c r="K261" s="40">
        <v>0</v>
      </c>
    </row>
    <row r="262" spans="1:11" x14ac:dyDescent="0.25">
      <c r="A262" s="41">
        <v>0</v>
      </c>
      <c r="B262" s="41">
        <v>0</v>
      </c>
      <c r="C262" s="41">
        <v>0</v>
      </c>
      <c r="D262" s="41">
        <v>0</v>
      </c>
      <c r="E262" s="40">
        <v>0</v>
      </c>
      <c r="G262" s="41">
        <v>0</v>
      </c>
      <c r="H262" s="41">
        <v>0</v>
      </c>
      <c r="I262" s="41">
        <v>0</v>
      </c>
      <c r="J262" s="41">
        <v>0</v>
      </c>
      <c r="K262" s="40">
        <v>0</v>
      </c>
    </row>
    <row r="263" spans="1:11" x14ac:dyDescent="0.25">
      <c r="A263" s="41">
        <v>0</v>
      </c>
      <c r="B263" s="41">
        <v>0</v>
      </c>
      <c r="C263" s="41">
        <v>0</v>
      </c>
      <c r="D263" s="41">
        <v>0</v>
      </c>
      <c r="E263" s="40">
        <v>0</v>
      </c>
      <c r="G263" s="41">
        <v>0</v>
      </c>
      <c r="H263" s="41">
        <v>0</v>
      </c>
      <c r="I263" s="41">
        <v>0</v>
      </c>
      <c r="J263" s="41">
        <v>0</v>
      </c>
      <c r="K263" s="40">
        <v>0</v>
      </c>
    </row>
    <row r="264" spans="1:11" x14ac:dyDescent="0.25">
      <c r="A264" s="41">
        <v>0</v>
      </c>
      <c r="B264" s="41">
        <v>0</v>
      </c>
      <c r="C264" s="41">
        <v>0</v>
      </c>
      <c r="D264" s="41">
        <v>0</v>
      </c>
      <c r="E264" s="40">
        <v>0</v>
      </c>
      <c r="G264" s="41">
        <v>0</v>
      </c>
      <c r="H264" s="41">
        <v>0</v>
      </c>
      <c r="I264" s="41">
        <v>0</v>
      </c>
      <c r="J264" s="41">
        <v>0</v>
      </c>
      <c r="K264" s="40">
        <v>0</v>
      </c>
    </row>
    <row r="265" spans="1:11" x14ac:dyDescent="0.25">
      <c r="A265" s="41">
        <v>0</v>
      </c>
      <c r="B265" s="41">
        <v>0</v>
      </c>
      <c r="C265" s="41">
        <v>0</v>
      </c>
      <c r="D265" s="41">
        <v>0</v>
      </c>
      <c r="E265" s="40">
        <v>0</v>
      </c>
      <c r="G265" s="41">
        <v>0</v>
      </c>
      <c r="H265" s="41">
        <v>0</v>
      </c>
      <c r="I265" s="41">
        <v>0</v>
      </c>
      <c r="J265" s="41">
        <v>0</v>
      </c>
      <c r="K265" s="40">
        <v>0</v>
      </c>
    </row>
    <row r="266" spans="1:11" x14ac:dyDescent="0.25">
      <c r="A266" s="41">
        <v>0</v>
      </c>
      <c r="B266" s="41">
        <v>0</v>
      </c>
      <c r="C266" s="41">
        <v>0</v>
      </c>
      <c r="D266" s="41">
        <v>0</v>
      </c>
      <c r="E266" s="40">
        <v>0</v>
      </c>
      <c r="G266" s="41">
        <v>0</v>
      </c>
      <c r="H266" s="41">
        <v>0</v>
      </c>
      <c r="I266" s="41">
        <v>0</v>
      </c>
      <c r="J266" s="41">
        <v>0</v>
      </c>
      <c r="K266" s="40">
        <v>0</v>
      </c>
    </row>
    <row r="267" spans="1:11" x14ac:dyDescent="0.25">
      <c r="A267" s="41">
        <v>0</v>
      </c>
      <c r="B267" s="41">
        <v>0</v>
      </c>
      <c r="C267" s="41">
        <v>0</v>
      </c>
      <c r="D267" s="41">
        <v>0</v>
      </c>
      <c r="E267" s="40">
        <v>0</v>
      </c>
      <c r="G267" s="41">
        <v>0</v>
      </c>
      <c r="H267" s="41">
        <v>0</v>
      </c>
      <c r="I267" s="41">
        <v>0</v>
      </c>
      <c r="J267" s="41">
        <v>0</v>
      </c>
      <c r="K267" s="40">
        <v>0</v>
      </c>
    </row>
    <row r="268" spans="1:11" x14ac:dyDescent="0.25">
      <c r="A268" s="41">
        <v>0</v>
      </c>
      <c r="B268" s="41">
        <v>0</v>
      </c>
      <c r="C268" s="41">
        <v>0</v>
      </c>
      <c r="D268" s="41">
        <v>0</v>
      </c>
      <c r="E268" s="40">
        <v>0</v>
      </c>
      <c r="G268" s="41">
        <v>0</v>
      </c>
      <c r="H268" s="41">
        <v>0</v>
      </c>
      <c r="I268" s="41">
        <v>0</v>
      </c>
      <c r="J268" s="41">
        <v>0</v>
      </c>
      <c r="K268" s="40">
        <v>0</v>
      </c>
    </row>
    <row r="269" spans="1:11" x14ac:dyDescent="0.25">
      <c r="A269" s="41">
        <v>0</v>
      </c>
      <c r="B269" s="41">
        <v>0</v>
      </c>
      <c r="C269" s="41">
        <v>0</v>
      </c>
      <c r="D269" s="41">
        <v>0</v>
      </c>
      <c r="E269" s="40">
        <v>0</v>
      </c>
      <c r="G269" s="41">
        <v>0</v>
      </c>
      <c r="H269" s="41">
        <v>0</v>
      </c>
      <c r="I269" s="41">
        <v>0</v>
      </c>
      <c r="J269" s="41">
        <v>0</v>
      </c>
      <c r="K269" s="40">
        <v>0</v>
      </c>
    </row>
    <row r="270" spans="1:11" x14ac:dyDescent="0.25">
      <c r="A270" s="41">
        <v>0</v>
      </c>
      <c r="B270" s="41">
        <v>0</v>
      </c>
      <c r="C270" s="41">
        <v>0</v>
      </c>
      <c r="D270" s="41">
        <v>0</v>
      </c>
      <c r="E270" s="40">
        <v>0</v>
      </c>
      <c r="G270" s="41">
        <v>0</v>
      </c>
      <c r="H270" s="41">
        <v>0</v>
      </c>
      <c r="I270" s="41">
        <v>0</v>
      </c>
      <c r="J270" s="41">
        <v>0</v>
      </c>
      <c r="K270" s="40">
        <v>0</v>
      </c>
    </row>
    <row r="271" spans="1:11" x14ac:dyDescent="0.25">
      <c r="A271" s="41">
        <v>0</v>
      </c>
      <c r="B271" s="41">
        <v>0</v>
      </c>
      <c r="C271" s="41">
        <v>0</v>
      </c>
      <c r="D271" s="41">
        <v>0</v>
      </c>
      <c r="E271" s="40">
        <v>0</v>
      </c>
      <c r="G271" s="41">
        <v>0</v>
      </c>
      <c r="H271" s="41">
        <v>0</v>
      </c>
      <c r="I271" s="41">
        <v>0</v>
      </c>
      <c r="J271" s="41">
        <v>0</v>
      </c>
      <c r="K271" s="40">
        <v>0</v>
      </c>
    </row>
    <row r="272" spans="1:11" x14ac:dyDescent="0.25">
      <c r="A272" s="41">
        <v>0</v>
      </c>
      <c r="B272" s="41">
        <v>0</v>
      </c>
      <c r="C272" s="41">
        <v>0</v>
      </c>
      <c r="D272" s="41">
        <v>0</v>
      </c>
      <c r="E272" s="40">
        <v>0</v>
      </c>
      <c r="G272" s="41">
        <v>0</v>
      </c>
      <c r="H272" s="41">
        <v>0</v>
      </c>
      <c r="I272" s="41">
        <v>0</v>
      </c>
      <c r="J272" s="41">
        <v>0</v>
      </c>
      <c r="K272" s="40">
        <v>0</v>
      </c>
    </row>
    <row r="273" spans="1:11" x14ac:dyDescent="0.25">
      <c r="A273" s="41">
        <v>0</v>
      </c>
      <c r="B273" s="41">
        <v>0</v>
      </c>
      <c r="C273" s="41">
        <v>0</v>
      </c>
      <c r="D273" s="41">
        <v>0</v>
      </c>
      <c r="E273" s="40">
        <v>0</v>
      </c>
      <c r="G273" s="41">
        <v>0</v>
      </c>
      <c r="H273" s="41">
        <v>0</v>
      </c>
      <c r="I273" s="41">
        <v>0</v>
      </c>
      <c r="J273" s="41">
        <v>0</v>
      </c>
      <c r="K273" s="40">
        <v>0</v>
      </c>
    </row>
    <row r="274" spans="1:11" x14ac:dyDescent="0.25">
      <c r="A274" s="41">
        <v>0</v>
      </c>
      <c r="B274" s="41">
        <v>0</v>
      </c>
      <c r="C274" s="41">
        <v>0</v>
      </c>
      <c r="D274" s="41">
        <v>0</v>
      </c>
      <c r="E274" s="40">
        <v>0</v>
      </c>
      <c r="G274" s="41">
        <v>0</v>
      </c>
      <c r="H274" s="41">
        <v>0</v>
      </c>
      <c r="I274" s="41">
        <v>0</v>
      </c>
      <c r="J274" s="41">
        <v>0</v>
      </c>
      <c r="K274" s="40">
        <v>0</v>
      </c>
    </row>
    <row r="275" spans="1:11" x14ac:dyDescent="0.25">
      <c r="A275" s="41">
        <v>0</v>
      </c>
      <c r="B275" s="41">
        <v>0</v>
      </c>
      <c r="C275" s="41">
        <v>0</v>
      </c>
      <c r="D275" s="41">
        <v>0</v>
      </c>
      <c r="E275" s="40">
        <v>0</v>
      </c>
      <c r="G275" s="41">
        <v>0</v>
      </c>
      <c r="H275" s="41">
        <v>0</v>
      </c>
      <c r="I275" s="41">
        <v>0</v>
      </c>
      <c r="J275" s="41">
        <v>0</v>
      </c>
      <c r="K275" s="40">
        <v>0</v>
      </c>
    </row>
    <row r="276" spans="1:11" x14ac:dyDescent="0.25">
      <c r="A276" s="41">
        <v>0</v>
      </c>
      <c r="B276" s="41">
        <v>0</v>
      </c>
      <c r="C276" s="41">
        <v>0</v>
      </c>
      <c r="D276" s="41">
        <v>0</v>
      </c>
      <c r="E276" s="40">
        <v>0</v>
      </c>
      <c r="G276" s="41">
        <v>0</v>
      </c>
      <c r="H276" s="41">
        <v>0</v>
      </c>
      <c r="I276" s="41">
        <v>0</v>
      </c>
      <c r="J276" s="41">
        <v>0</v>
      </c>
      <c r="K276" s="40">
        <v>0</v>
      </c>
    </row>
    <row r="277" spans="1:11" x14ac:dyDescent="0.25">
      <c r="A277" s="41">
        <v>0</v>
      </c>
      <c r="B277" s="41">
        <v>0</v>
      </c>
      <c r="C277" s="41">
        <v>0</v>
      </c>
      <c r="D277" s="41">
        <v>0</v>
      </c>
      <c r="E277" s="40">
        <v>0</v>
      </c>
      <c r="G277" s="41">
        <v>0</v>
      </c>
      <c r="H277" s="41">
        <v>0</v>
      </c>
      <c r="I277" s="41">
        <v>0</v>
      </c>
      <c r="J277" s="41">
        <v>0</v>
      </c>
      <c r="K277" s="40">
        <v>0</v>
      </c>
    </row>
    <row r="278" spans="1:11" x14ac:dyDescent="0.25">
      <c r="A278" s="41">
        <v>0</v>
      </c>
      <c r="B278" s="41">
        <v>0</v>
      </c>
      <c r="C278" s="41">
        <v>0</v>
      </c>
      <c r="D278" s="41">
        <v>0</v>
      </c>
      <c r="E278" s="40">
        <v>0</v>
      </c>
      <c r="G278" s="41">
        <v>0</v>
      </c>
      <c r="H278" s="41">
        <v>0</v>
      </c>
      <c r="I278" s="41">
        <v>0</v>
      </c>
      <c r="J278" s="41">
        <v>0</v>
      </c>
      <c r="K278" s="40">
        <v>0</v>
      </c>
    </row>
    <row r="279" spans="1:11" x14ac:dyDescent="0.25">
      <c r="A279" s="41">
        <v>0</v>
      </c>
      <c r="B279" s="41">
        <v>0</v>
      </c>
      <c r="C279" s="41">
        <v>0</v>
      </c>
      <c r="D279" s="41">
        <v>0</v>
      </c>
      <c r="E279" s="40">
        <v>0</v>
      </c>
      <c r="G279" s="41">
        <v>0</v>
      </c>
      <c r="H279" s="41">
        <v>0</v>
      </c>
      <c r="I279" s="41">
        <v>0</v>
      </c>
      <c r="J279" s="41">
        <v>0</v>
      </c>
      <c r="K279" s="40">
        <v>0</v>
      </c>
    </row>
    <row r="280" spans="1:11" x14ac:dyDescent="0.25">
      <c r="A280" s="41">
        <v>0</v>
      </c>
      <c r="B280" s="41">
        <v>0</v>
      </c>
      <c r="C280" s="41">
        <v>0</v>
      </c>
      <c r="D280" s="41">
        <v>0</v>
      </c>
      <c r="E280" s="40">
        <v>0</v>
      </c>
      <c r="G280" s="41">
        <v>0</v>
      </c>
      <c r="H280" s="41">
        <v>0</v>
      </c>
      <c r="I280" s="41">
        <v>0</v>
      </c>
      <c r="J280" s="41">
        <v>0</v>
      </c>
      <c r="K280" s="40">
        <v>0</v>
      </c>
    </row>
    <row r="281" spans="1:11" x14ac:dyDescent="0.25">
      <c r="A281" s="41">
        <v>0</v>
      </c>
      <c r="B281" s="41">
        <v>0</v>
      </c>
      <c r="C281" s="41">
        <v>0</v>
      </c>
      <c r="D281" s="41">
        <v>0</v>
      </c>
      <c r="E281" s="40">
        <v>0</v>
      </c>
      <c r="G281" s="41">
        <v>0</v>
      </c>
      <c r="H281" s="41">
        <v>0</v>
      </c>
      <c r="I281" s="41">
        <v>0</v>
      </c>
      <c r="J281" s="41">
        <v>0</v>
      </c>
      <c r="K281" s="40">
        <v>0</v>
      </c>
    </row>
    <row r="282" spans="1:11" x14ac:dyDescent="0.25">
      <c r="A282" s="41">
        <v>0</v>
      </c>
      <c r="B282" s="41">
        <v>0</v>
      </c>
      <c r="C282" s="41">
        <v>0</v>
      </c>
      <c r="D282" s="41">
        <v>0</v>
      </c>
      <c r="E282" s="40">
        <v>0</v>
      </c>
      <c r="G282" s="41">
        <v>0</v>
      </c>
      <c r="H282" s="41">
        <v>0</v>
      </c>
      <c r="I282" s="41">
        <v>0</v>
      </c>
      <c r="J282" s="41">
        <v>0</v>
      </c>
      <c r="K282" s="40">
        <v>0</v>
      </c>
    </row>
    <row r="283" spans="1:11" x14ac:dyDescent="0.25">
      <c r="A283" s="41">
        <v>0</v>
      </c>
      <c r="B283" s="41">
        <v>0</v>
      </c>
      <c r="C283" s="41">
        <v>0</v>
      </c>
      <c r="D283" s="41">
        <v>0</v>
      </c>
      <c r="E283" s="40">
        <v>0</v>
      </c>
      <c r="G283" s="41">
        <v>0</v>
      </c>
      <c r="H283" s="41">
        <v>0</v>
      </c>
      <c r="I283" s="41">
        <v>0</v>
      </c>
      <c r="J283" s="41">
        <v>0</v>
      </c>
      <c r="K283" s="40">
        <v>0</v>
      </c>
    </row>
    <row r="284" spans="1:11" x14ac:dyDescent="0.25">
      <c r="A284" s="41">
        <v>0</v>
      </c>
      <c r="B284" s="41">
        <v>0</v>
      </c>
      <c r="C284" s="41">
        <v>0</v>
      </c>
      <c r="D284" s="41">
        <v>0</v>
      </c>
      <c r="E284" s="40">
        <v>0</v>
      </c>
      <c r="G284" s="41">
        <v>0</v>
      </c>
      <c r="H284" s="41">
        <v>0</v>
      </c>
      <c r="I284" s="41">
        <v>0</v>
      </c>
      <c r="J284" s="41">
        <v>0</v>
      </c>
      <c r="K284" s="40">
        <v>0</v>
      </c>
    </row>
    <row r="285" spans="1:11" x14ac:dyDescent="0.25">
      <c r="A285" s="41">
        <v>0</v>
      </c>
      <c r="B285" s="41">
        <v>0</v>
      </c>
      <c r="C285" s="41">
        <v>0</v>
      </c>
      <c r="D285" s="41">
        <v>0</v>
      </c>
      <c r="E285" s="40">
        <v>0</v>
      </c>
      <c r="G285" s="41">
        <v>0</v>
      </c>
      <c r="H285" s="41">
        <v>0</v>
      </c>
      <c r="I285" s="41">
        <v>0</v>
      </c>
      <c r="J285" s="41">
        <v>0</v>
      </c>
      <c r="K285" s="40">
        <v>0</v>
      </c>
    </row>
    <row r="286" spans="1:11" x14ac:dyDescent="0.25">
      <c r="A286" s="41">
        <v>0</v>
      </c>
      <c r="B286" s="41">
        <v>0</v>
      </c>
      <c r="C286" s="41">
        <v>0</v>
      </c>
      <c r="D286" s="41">
        <v>0</v>
      </c>
      <c r="E286" s="40">
        <v>0</v>
      </c>
      <c r="G286" s="41">
        <v>0</v>
      </c>
      <c r="H286" s="41">
        <v>0</v>
      </c>
      <c r="I286" s="41">
        <v>0</v>
      </c>
      <c r="J286" s="41">
        <v>0</v>
      </c>
      <c r="K286" s="40">
        <v>0</v>
      </c>
    </row>
    <row r="287" spans="1:11" x14ac:dyDescent="0.25">
      <c r="A287" s="41">
        <v>0</v>
      </c>
      <c r="B287" s="41">
        <v>0</v>
      </c>
      <c r="C287" s="41">
        <v>0</v>
      </c>
      <c r="D287" s="41">
        <v>0</v>
      </c>
      <c r="E287" s="40">
        <v>0</v>
      </c>
      <c r="G287" s="41">
        <v>0</v>
      </c>
      <c r="H287" s="41">
        <v>0</v>
      </c>
      <c r="I287" s="41">
        <v>0</v>
      </c>
      <c r="J287" s="41">
        <v>0</v>
      </c>
      <c r="K287" s="40">
        <v>0</v>
      </c>
    </row>
    <row r="288" spans="1:11" x14ac:dyDescent="0.25">
      <c r="A288" s="41">
        <v>0</v>
      </c>
      <c r="B288" s="41">
        <v>0</v>
      </c>
      <c r="C288" s="41">
        <v>0</v>
      </c>
      <c r="D288" s="41">
        <v>0</v>
      </c>
      <c r="E288" s="40">
        <v>0</v>
      </c>
      <c r="G288" s="41">
        <v>0</v>
      </c>
      <c r="H288" s="41">
        <v>0</v>
      </c>
      <c r="I288" s="41">
        <v>0</v>
      </c>
      <c r="J288" s="41">
        <v>0</v>
      </c>
      <c r="K288" s="40">
        <v>0</v>
      </c>
    </row>
    <row r="289" spans="1:11" x14ac:dyDescent="0.25">
      <c r="A289" s="41">
        <v>0</v>
      </c>
      <c r="B289" s="41">
        <v>0</v>
      </c>
      <c r="C289" s="41">
        <v>0</v>
      </c>
      <c r="D289" s="41">
        <v>0</v>
      </c>
      <c r="E289" s="40">
        <v>0</v>
      </c>
      <c r="G289" s="41">
        <v>0</v>
      </c>
      <c r="H289" s="41">
        <v>0</v>
      </c>
      <c r="I289" s="41">
        <v>0</v>
      </c>
      <c r="J289" s="41">
        <v>0</v>
      </c>
      <c r="K289" s="40">
        <v>0</v>
      </c>
    </row>
    <row r="290" spans="1:11" x14ac:dyDescent="0.25">
      <c r="A290" s="41">
        <v>0</v>
      </c>
      <c r="B290" s="41">
        <v>0</v>
      </c>
      <c r="C290" s="41">
        <v>0</v>
      </c>
      <c r="D290" s="41">
        <v>0</v>
      </c>
      <c r="E290" s="40">
        <v>0</v>
      </c>
      <c r="G290" s="41">
        <v>0</v>
      </c>
      <c r="H290" s="41">
        <v>0</v>
      </c>
      <c r="I290" s="41">
        <v>0</v>
      </c>
      <c r="J290" s="41">
        <v>0</v>
      </c>
      <c r="K290" s="40">
        <v>0</v>
      </c>
    </row>
    <row r="291" spans="1:11" x14ac:dyDescent="0.25">
      <c r="A291" s="41">
        <v>0</v>
      </c>
      <c r="B291" s="41">
        <v>0</v>
      </c>
      <c r="C291" s="41">
        <v>0</v>
      </c>
      <c r="D291" s="41">
        <v>0</v>
      </c>
      <c r="E291" s="40">
        <v>0</v>
      </c>
      <c r="G291" s="41">
        <v>0</v>
      </c>
      <c r="H291" s="41">
        <v>0</v>
      </c>
      <c r="I291" s="41">
        <v>0</v>
      </c>
      <c r="J291" s="41">
        <v>0</v>
      </c>
      <c r="K291" s="40">
        <v>0</v>
      </c>
    </row>
    <row r="292" spans="1:11" x14ac:dyDescent="0.25">
      <c r="A292" s="41">
        <v>0</v>
      </c>
      <c r="B292" s="41">
        <v>0</v>
      </c>
      <c r="C292" s="41">
        <v>0</v>
      </c>
      <c r="D292" s="41">
        <v>0</v>
      </c>
      <c r="E292" s="40">
        <v>0</v>
      </c>
      <c r="G292" s="41">
        <v>0</v>
      </c>
      <c r="H292" s="41">
        <v>0</v>
      </c>
      <c r="I292" s="41">
        <v>0</v>
      </c>
      <c r="J292" s="41">
        <v>0</v>
      </c>
      <c r="K292" s="40">
        <v>0</v>
      </c>
    </row>
    <row r="293" spans="1:11" x14ac:dyDescent="0.25">
      <c r="A293" s="41">
        <v>0</v>
      </c>
      <c r="B293" s="41">
        <v>0</v>
      </c>
      <c r="C293" s="41">
        <v>0</v>
      </c>
      <c r="D293" s="41">
        <v>0</v>
      </c>
      <c r="E293" s="40">
        <v>0</v>
      </c>
      <c r="G293" s="41">
        <v>0</v>
      </c>
      <c r="H293" s="41">
        <v>0</v>
      </c>
      <c r="I293" s="41">
        <v>0</v>
      </c>
      <c r="J293" s="41">
        <v>0</v>
      </c>
      <c r="K293" s="40">
        <v>0</v>
      </c>
    </row>
    <row r="294" spans="1:11" x14ac:dyDescent="0.25">
      <c r="A294" s="41">
        <v>0</v>
      </c>
      <c r="B294" s="41">
        <v>0</v>
      </c>
      <c r="C294" s="41">
        <v>0</v>
      </c>
      <c r="D294" s="41">
        <v>0</v>
      </c>
      <c r="E294" s="40">
        <v>0</v>
      </c>
      <c r="G294" s="41">
        <v>0</v>
      </c>
      <c r="H294" s="41">
        <v>0</v>
      </c>
      <c r="I294" s="41">
        <v>0</v>
      </c>
      <c r="J294" s="41">
        <v>0</v>
      </c>
      <c r="K294" s="40">
        <v>0</v>
      </c>
    </row>
    <row r="295" spans="1:11" x14ac:dyDescent="0.25">
      <c r="A295" s="41">
        <v>0</v>
      </c>
      <c r="B295" s="41">
        <v>0</v>
      </c>
      <c r="C295" s="41">
        <v>0</v>
      </c>
      <c r="D295" s="41">
        <v>0</v>
      </c>
      <c r="E295" s="40">
        <v>0</v>
      </c>
      <c r="G295" s="41">
        <v>0</v>
      </c>
      <c r="H295" s="41">
        <v>0</v>
      </c>
      <c r="I295" s="41">
        <v>0</v>
      </c>
      <c r="J295" s="41">
        <v>0</v>
      </c>
      <c r="K295" s="40">
        <v>0</v>
      </c>
    </row>
    <row r="296" spans="1:11" x14ac:dyDescent="0.25">
      <c r="A296" s="41">
        <v>0</v>
      </c>
      <c r="B296" s="41">
        <v>0</v>
      </c>
      <c r="C296" s="41">
        <v>0</v>
      </c>
      <c r="D296" s="41">
        <v>0</v>
      </c>
      <c r="E296" s="40">
        <v>0</v>
      </c>
      <c r="G296" s="41">
        <v>0</v>
      </c>
      <c r="H296" s="41">
        <v>0</v>
      </c>
      <c r="I296" s="41">
        <v>0</v>
      </c>
      <c r="J296" s="41">
        <v>0</v>
      </c>
      <c r="K296" s="40">
        <v>0</v>
      </c>
    </row>
    <row r="297" spans="1:11" x14ac:dyDescent="0.25">
      <c r="A297" s="41">
        <v>0</v>
      </c>
      <c r="B297" s="41">
        <v>0</v>
      </c>
      <c r="C297" s="41">
        <v>0</v>
      </c>
      <c r="D297" s="41">
        <v>0</v>
      </c>
      <c r="E297" s="40">
        <v>0</v>
      </c>
      <c r="G297" s="41">
        <v>0</v>
      </c>
      <c r="H297" s="41">
        <v>0</v>
      </c>
      <c r="I297" s="41">
        <v>0</v>
      </c>
      <c r="J297" s="41">
        <v>0</v>
      </c>
      <c r="K297" s="40">
        <v>0</v>
      </c>
    </row>
    <row r="298" spans="1:11" x14ac:dyDescent="0.25">
      <c r="A298" s="41">
        <v>0</v>
      </c>
      <c r="B298" s="41">
        <v>0</v>
      </c>
      <c r="C298" s="41">
        <v>0</v>
      </c>
      <c r="D298" s="41">
        <v>0</v>
      </c>
      <c r="E298" s="40">
        <v>0</v>
      </c>
      <c r="G298" s="41">
        <v>0</v>
      </c>
      <c r="H298" s="41">
        <v>0</v>
      </c>
      <c r="I298" s="41">
        <v>0</v>
      </c>
      <c r="J298" s="41">
        <v>0</v>
      </c>
      <c r="K298" s="40">
        <v>0</v>
      </c>
    </row>
    <row r="299" spans="1:11" x14ac:dyDescent="0.25">
      <c r="A299" s="41">
        <v>0</v>
      </c>
      <c r="B299" s="41">
        <v>0</v>
      </c>
      <c r="C299" s="41">
        <v>0</v>
      </c>
      <c r="D299" s="41">
        <v>0</v>
      </c>
      <c r="E299" s="40">
        <v>0</v>
      </c>
      <c r="G299" s="41">
        <v>0</v>
      </c>
      <c r="H299" s="41">
        <v>0</v>
      </c>
      <c r="I299" s="41">
        <v>0</v>
      </c>
      <c r="J299" s="41">
        <v>0</v>
      </c>
      <c r="K299" s="40">
        <v>0</v>
      </c>
    </row>
    <row r="300" spans="1:11" x14ac:dyDescent="0.25">
      <c r="A300" s="41">
        <v>0</v>
      </c>
      <c r="B300" s="41">
        <v>0</v>
      </c>
      <c r="C300" s="41">
        <v>0</v>
      </c>
      <c r="D300" s="41">
        <v>0</v>
      </c>
      <c r="E300" s="40">
        <v>0</v>
      </c>
      <c r="G300" s="41">
        <v>0</v>
      </c>
      <c r="H300" s="41">
        <v>0</v>
      </c>
      <c r="I300" s="41">
        <v>0</v>
      </c>
      <c r="J300" s="41">
        <v>0</v>
      </c>
      <c r="K300" s="40">
        <v>0</v>
      </c>
    </row>
    <row r="301" spans="1:11" x14ac:dyDescent="0.25">
      <c r="A301" s="41">
        <v>0</v>
      </c>
      <c r="B301" s="41">
        <v>0</v>
      </c>
      <c r="C301" s="41">
        <v>0</v>
      </c>
      <c r="D301" s="41">
        <v>0</v>
      </c>
      <c r="E301" s="40">
        <v>0</v>
      </c>
      <c r="G301" s="41">
        <v>0</v>
      </c>
      <c r="H301" s="41">
        <v>0</v>
      </c>
      <c r="I301" s="41">
        <v>0</v>
      </c>
      <c r="J301" s="41">
        <v>0</v>
      </c>
      <c r="K301" s="40">
        <v>0</v>
      </c>
    </row>
    <row r="302" spans="1:11" x14ac:dyDescent="0.25">
      <c r="A302" s="41">
        <v>0</v>
      </c>
      <c r="B302" s="41">
        <v>0</v>
      </c>
      <c r="C302" s="41">
        <v>0</v>
      </c>
      <c r="D302" s="41">
        <v>0</v>
      </c>
      <c r="E302" s="40">
        <v>0</v>
      </c>
      <c r="G302" s="41">
        <v>0</v>
      </c>
      <c r="H302" s="41">
        <v>0</v>
      </c>
      <c r="I302" s="41">
        <v>0</v>
      </c>
      <c r="J302" s="41">
        <v>0</v>
      </c>
      <c r="K302" s="40">
        <v>0</v>
      </c>
    </row>
    <row r="303" spans="1:11" x14ac:dyDescent="0.25">
      <c r="A303" s="41">
        <v>0</v>
      </c>
      <c r="B303" s="41">
        <v>0</v>
      </c>
      <c r="C303" s="41">
        <v>0</v>
      </c>
      <c r="D303" s="41">
        <v>0</v>
      </c>
      <c r="E303" s="40">
        <v>0</v>
      </c>
      <c r="G303" s="41">
        <v>0</v>
      </c>
      <c r="H303" s="41">
        <v>0</v>
      </c>
      <c r="I303" s="41">
        <v>0</v>
      </c>
      <c r="J303" s="41">
        <v>0</v>
      </c>
      <c r="K303" s="40">
        <v>0</v>
      </c>
    </row>
    <row r="304" spans="1:11" x14ac:dyDescent="0.25">
      <c r="A304" s="41">
        <v>0</v>
      </c>
      <c r="B304" s="41">
        <v>0</v>
      </c>
      <c r="C304" s="41">
        <v>0</v>
      </c>
      <c r="D304" s="41">
        <v>0</v>
      </c>
      <c r="E304" s="40">
        <v>0</v>
      </c>
      <c r="G304" s="41">
        <v>0</v>
      </c>
      <c r="H304" s="41">
        <v>0</v>
      </c>
      <c r="I304" s="41">
        <v>0</v>
      </c>
      <c r="J304" s="41">
        <v>0</v>
      </c>
      <c r="K304" s="40">
        <v>0</v>
      </c>
    </row>
    <row r="305" spans="1:11" x14ac:dyDescent="0.25">
      <c r="A305" s="41">
        <v>0</v>
      </c>
      <c r="B305" s="41">
        <v>0</v>
      </c>
      <c r="C305" s="41">
        <v>0</v>
      </c>
      <c r="D305" s="41">
        <v>0</v>
      </c>
      <c r="E305" s="40">
        <v>0</v>
      </c>
      <c r="G305" s="41">
        <v>0</v>
      </c>
      <c r="H305" s="41">
        <v>0</v>
      </c>
      <c r="I305" s="41">
        <v>0</v>
      </c>
      <c r="J305" s="41">
        <v>0</v>
      </c>
      <c r="K305" s="40">
        <v>0</v>
      </c>
    </row>
    <row r="306" spans="1:11" x14ac:dyDescent="0.25">
      <c r="A306" s="41">
        <v>0</v>
      </c>
      <c r="B306" s="41">
        <v>0</v>
      </c>
      <c r="C306" s="41">
        <v>0</v>
      </c>
      <c r="D306" s="41">
        <v>0</v>
      </c>
      <c r="E306" s="40">
        <v>0</v>
      </c>
      <c r="G306" s="41">
        <v>0</v>
      </c>
      <c r="H306" s="41">
        <v>0</v>
      </c>
      <c r="I306" s="41">
        <v>0</v>
      </c>
      <c r="J306" s="41">
        <v>0</v>
      </c>
      <c r="K306" s="40">
        <v>0</v>
      </c>
    </row>
    <row r="307" spans="1:11" x14ac:dyDescent="0.25">
      <c r="A307" s="41">
        <v>0</v>
      </c>
      <c r="B307" s="41">
        <v>0</v>
      </c>
      <c r="C307" s="41">
        <v>0</v>
      </c>
      <c r="D307" s="41">
        <v>0</v>
      </c>
      <c r="E307" s="40">
        <v>0</v>
      </c>
      <c r="G307" s="41">
        <v>0</v>
      </c>
      <c r="H307" s="41">
        <v>0</v>
      </c>
      <c r="I307" s="41">
        <v>0</v>
      </c>
      <c r="J307" s="41">
        <v>0</v>
      </c>
      <c r="K307" s="40">
        <v>0</v>
      </c>
    </row>
    <row r="308" spans="1:11" x14ac:dyDescent="0.25">
      <c r="A308" s="41">
        <v>0</v>
      </c>
      <c r="B308" s="41">
        <v>0</v>
      </c>
      <c r="C308" s="41">
        <v>0</v>
      </c>
      <c r="D308" s="41">
        <v>0</v>
      </c>
      <c r="E308" s="40">
        <v>0</v>
      </c>
      <c r="G308" s="41">
        <v>0</v>
      </c>
      <c r="H308" s="41">
        <v>0</v>
      </c>
      <c r="I308" s="41">
        <v>0</v>
      </c>
      <c r="J308" s="41">
        <v>0</v>
      </c>
      <c r="K308" s="40">
        <v>0</v>
      </c>
    </row>
    <row r="309" spans="1:11" x14ac:dyDescent="0.25">
      <c r="A309" s="41">
        <v>0</v>
      </c>
      <c r="B309" s="41">
        <v>0</v>
      </c>
      <c r="C309" s="41">
        <v>0</v>
      </c>
      <c r="D309" s="41">
        <v>0</v>
      </c>
      <c r="E309" s="40">
        <v>0</v>
      </c>
      <c r="G309" s="41">
        <v>0</v>
      </c>
      <c r="H309" s="41">
        <v>0</v>
      </c>
      <c r="I309" s="41">
        <v>0</v>
      </c>
      <c r="J309" s="41">
        <v>0</v>
      </c>
      <c r="K309" s="40">
        <v>0</v>
      </c>
    </row>
    <row r="310" spans="1:11" x14ac:dyDescent="0.25">
      <c r="A310" s="41">
        <v>0</v>
      </c>
      <c r="B310" s="41">
        <v>0</v>
      </c>
      <c r="C310" s="41">
        <v>0</v>
      </c>
      <c r="D310" s="41">
        <v>0</v>
      </c>
      <c r="E310" s="40">
        <v>0</v>
      </c>
      <c r="G310" s="41">
        <v>0</v>
      </c>
      <c r="H310" s="41">
        <v>0</v>
      </c>
      <c r="I310" s="41">
        <v>0</v>
      </c>
      <c r="J310" s="41">
        <v>0</v>
      </c>
      <c r="K310" s="40">
        <v>0</v>
      </c>
    </row>
    <row r="311" spans="1:11" x14ac:dyDescent="0.25">
      <c r="A311" s="41">
        <v>0</v>
      </c>
      <c r="B311" s="41">
        <v>0</v>
      </c>
      <c r="C311" s="41">
        <v>0</v>
      </c>
      <c r="D311" s="41">
        <v>0</v>
      </c>
      <c r="E311" s="40">
        <v>0</v>
      </c>
      <c r="G311" s="41">
        <v>0</v>
      </c>
      <c r="H311" s="41">
        <v>0</v>
      </c>
      <c r="I311" s="41">
        <v>0</v>
      </c>
      <c r="J311" s="41">
        <v>0</v>
      </c>
      <c r="K311" s="40">
        <v>0</v>
      </c>
    </row>
    <row r="312" spans="1:11" x14ac:dyDescent="0.25">
      <c r="A312" s="41">
        <v>0</v>
      </c>
      <c r="B312" s="41">
        <v>0</v>
      </c>
      <c r="C312" s="41">
        <v>0</v>
      </c>
      <c r="D312" s="41">
        <v>0</v>
      </c>
      <c r="E312" s="40">
        <v>0</v>
      </c>
      <c r="G312" s="41">
        <v>0</v>
      </c>
      <c r="H312" s="41">
        <v>0</v>
      </c>
      <c r="I312" s="41">
        <v>0</v>
      </c>
      <c r="J312" s="41">
        <v>0</v>
      </c>
      <c r="K312" s="40">
        <v>0</v>
      </c>
    </row>
    <row r="313" spans="1:11" x14ac:dyDescent="0.25">
      <c r="A313" s="41">
        <v>0</v>
      </c>
      <c r="B313" s="41">
        <v>0</v>
      </c>
      <c r="C313" s="41">
        <v>0</v>
      </c>
      <c r="D313" s="41">
        <v>0</v>
      </c>
      <c r="E313" s="40">
        <v>0</v>
      </c>
      <c r="G313" s="41">
        <v>0</v>
      </c>
      <c r="H313" s="41">
        <v>0</v>
      </c>
      <c r="I313" s="41">
        <v>0</v>
      </c>
      <c r="J313" s="41">
        <v>0</v>
      </c>
      <c r="K313" s="40">
        <v>0</v>
      </c>
    </row>
    <row r="314" spans="1:11" x14ac:dyDescent="0.25">
      <c r="A314" s="41">
        <v>0</v>
      </c>
      <c r="B314" s="41">
        <v>0</v>
      </c>
      <c r="C314" s="41">
        <v>0</v>
      </c>
      <c r="D314" s="41">
        <v>0</v>
      </c>
      <c r="E314" s="40">
        <v>0</v>
      </c>
      <c r="G314" s="41">
        <v>0</v>
      </c>
      <c r="H314" s="41">
        <v>0</v>
      </c>
      <c r="I314" s="41">
        <v>0</v>
      </c>
      <c r="J314" s="41">
        <v>0</v>
      </c>
      <c r="K314" s="40">
        <v>0</v>
      </c>
    </row>
    <row r="315" spans="1:11" x14ac:dyDescent="0.25">
      <c r="A315" s="41">
        <v>0</v>
      </c>
      <c r="B315" s="41">
        <v>0</v>
      </c>
      <c r="C315" s="41">
        <v>0</v>
      </c>
      <c r="D315" s="41">
        <v>0</v>
      </c>
      <c r="E315" s="40">
        <v>0</v>
      </c>
      <c r="G315" s="41">
        <v>0</v>
      </c>
      <c r="H315" s="41">
        <v>0</v>
      </c>
      <c r="I315" s="41">
        <v>0</v>
      </c>
      <c r="J315" s="41">
        <v>0</v>
      </c>
      <c r="K315" s="40">
        <v>0</v>
      </c>
    </row>
    <row r="316" spans="1:11" x14ac:dyDescent="0.25">
      <c r="A316" s="41">
        <v>0</v>
      </c>
      <c r="B316" s="41">
        <v>0</v>
      </c>
      <c r="C316" s="41">
        <v>0</v>
      </c>
      <c r="D316" s="41">
        <v>0</v>
      </c>
      <c r="E316" s="40">
        <v>0</v>
      </c>
      <c r="G316" s="41">
        <v>0</v>
      </c>
      <c r="H316" s="41">
        <v>0</v>
      </c>
      <c r="I316" s="41">
        <v>0</v>
      </c>
      <c r="J316" s="41">
        <v>0</v>
      </c>
      <c r="K316" s="40">
        <v>0</v>
      </c>
    </row>
    <row r="317" spans="1:11" x14ac:dyDescent="0.25">
      <c r="A317" s="41">
        <v>0</v>
      </c>
      <c r="B317" s="41">
        <v>0</v>
      </c>
      <c r="C317" s="41">
        <v>0</v>
      </c>
      <c r="D317" s="41">
        <v>0</v>
      </c>
      <c r="E317" s="40">
        <v>0</v>
      </c>
      <c r="G317" s="41">
        <v>0</v>
      </c>
      <c r="H317" s="41">
        <v>0</v>
      </c>
      <c r="I317" s="41">
        <v>0</v>
      </c>
      <c r="J317" s="41">
        <v>0</v>
      </c>
      <c r="K317" s="40">
        <v>0</v>
      </c>
    </row>
    <row r="318" spans="1:11" x14ac:dyDescent="0.25">
      <c r="A318" s="41">
        <v>0</v>
      </c>
      <c r="B318" s="41">
        <v>0</v>
      </c>
      <c r="C318" s="41">
        <v>0</v>
      </c>
      <c r="D318" s="41">
        <v>0</v>
      </c>
      <c r="E318" s="40">
        <v>0</v>
      </c>
      <c r="G318" s="41">
        <v>0</v>
      </c>
      <c r="H318" s="41">
        <v>0</v>
      </c>
      <c r="I318" s="41">
        <v>0</v>
      </c>
      <c r="J318" s="41">
        <v>0</v>
      </c>
      <c r="K318" s="40">
        <v>0</v>
      </c>
    </row>
    <row r="319" spans="1:11" x14ac:dyDescent="0.25">
      <c r="A319" s="41">
        <v>0</v>
      </c>
      <c r="B319" s="41">
        <v>0</v>
      </c>
      <c r="C319" s="41">
        <v>0</v>
      </c>
      <c r="D319" s="41">
        <v>0</v>
      </c>
      <c r="E319" s="40">
        <v>0</v>
      </c>
      <c r="G319" s="41">
        <v>0</v>
      </c>
      <c r="H319" s="41">
        <v>0</v>
      </c>
      <c r="I319" s="41">
        <v>0</v>
      </c>
      <c r="J319" s="41">
        <v>0</v>
      </c>
      <c r="K319" s="40">
        <v>0</v>
      </c>
    </row>
    <row r="320" spans="1:11" x14ac:dyDescent="0.25">
      <c r="A320" s="41">
        <v>0</v>
      </c>
      <c r="B320" s="41">
        <v>0</v>
      </c>
      <c r="C320" s="41">
        <v>0</v>
      </c>
      <c r="D320" s="41">
        <v>0</v>
      </c>
      <c r="E320" s="40">
        <v>0</v>
      </c>
      <c r="G320" s="41">
        <v>0</v>
      </c>
      <c r="H320" s="41">
        <v>0</v>
      </c>
      <c r="I320" s="41">
        <v>0</v>
      </c>
      <c r="J320" s="41">
        <v>0</v>
      </c>
      <c r="K320" s="40">
        <v>0</v>
      </c>
    </row>
    <row r="321" spans="1:11" x14ac:dyDescent="0.25">
      <c r="A321" s="41">
        <v>0</v>
      </c>
      <c r="B321" s="41">
        <v>0</v>
      </c>
      <c r="C321" s="41">
        <v>0</v>
      </c>
      <c r="D321" s="41">
        <v>0</v>
      </c>
      <c r="E321" s="40">
        <v>0</v>
      </c>
      <c r="G321" s="41">
        <v>0</v>
      </c>
      <c r="H321" s="41">
        <v>0</v>
      </c>
      <c r="I321" s="41">
        <v>0</v>
      </c>
      <c r="J321" s="41">
        <v>0</v>
      </c>
      <c r="K321" s="40">
        <v>0</v>
      </c>
    </row>
    <row r="322" spans="1:11" x14ac:dyDescent="0.25">
      <c r="A322" s="41">
        <v>0</v>
      </c>
      <c r="B322" s="41">
        <v>0</v>
      </c>
      <c r="C322" s="41">
        <v>0</v>
      </c>
      <c r="D322" s="41">
        <v>0</v>
      </c>
      <c r="E322" s="40">
        <v>0</v>
      </c>
      <c r="G322" s="41">
        <v>0</v>
      </c>
      <c r="H322" s="41">
        <v>0</v>
      </c>
      <c r="I322" s="41">
        <v>0</v>
      </c>
      <c r="J322" s="41">
        <v>0</v>
      </c>
      <c r="K322" s="40">
        <v>0</v>
      </c>
    </row>
    <row r="323" spans="1:11" x14ac:dyDescent="0.25">
      <c r="A323" s="41">
        <v>0</v>
      </c>
      <c r="B323" s="41">
        <v>0</v>
      </c>
      <c r="C323" s="41">
        <v>0</v>
      </c>
      <c r="D323" s="41">
        <v>0</v>
      </c>
      <c r="E323" s="40">
        <v>0</v>
      </c>
      <c r="G323" s="41">
        <v>0</v>
      </c>
      <c r="H323" s="41">
        <v>0</v>
      </c>
      <c r="I323" s="41">
        <v>0</v>
      </c>
      <c r="J323" s="41">
        <v>0</v>
      </c>
      <c r="K323" s="40">
        <v>0</v>
      </c>
    </row>
    <row r="324" spans="1:11" x14ac:dyDescent="0.25">
      <c r="A324" s="41">
        <v>0</v>
      </c>
      <c r="B324" s="41">
        <v>0</v>
      </c>
      <c r="C324" s="41">
        <v>0</v>
      </c>
      <c r="D324" s="41">
        <v>0</v>
      </c>
      <c r="E324" s="40">
        <v>0</v>
      </c>
      <c r="G324" s="41">
        <v>0</v>
      </c>
      <c r="H324" s="41">
        <v>0</v>
      </c>
      <c r="I324" s="41">
        <v>0</v>
      </c>
      <c r="J324" s="41">
        <v>0</v>
      </c>
      <c r="K324" s="40">
        <v>0</v>
      </c>
    </row>
    <row r="325" spans="1:11" x14ac:dyDescent="0.25">
      <c r="A325" s="41">
        <v>0</v>
      </c>
      <c r="B325" s="41">
        <v>0</v>
      </c>
      <c r="C325" s="41">
        <v>0</v>
      </c>
      <c r="D325" s="41">
        <v>0</v>
      </c>
      <c r="E325" s="40">
        <v>0</v>
      </c>
      <c r="G325" s="41">
        <v>0</v>
      </c>
      <c r="H325" s="41">
        <v>0</v>
      </c>
      <c r="I325" s="41">
        <v>0</v>
      </c>
      <c r="J325" s="41">
        <v>0</v>
      </c>
      <c r="K325" s="40">
        <v>0</v>
      </c>
    </row>
    <row r="326" spans="1:11" x14ac:dyDescent="0.25">
      <c r="A326" s="41">
        <v>0</v>
      </c>
      <c r="B326" s="41">
        <v>0</v>
      </c>
      <c r="C326" s="41">
        <v>0</v>
      </c>
      <c r="D326" s="41">
        <v>0</v>
      </c>
      <c r="E326" s="40">
        <v>0</v>
      </c>
      <c r="G326" s="41">
        <v>0</v>
      </c>
      <c r="H326" s="41">
        <v>0</v>
      </c>
      <c r="I326" s="41">
        <v>0</v>
      </c>
      <c r="J326" s="41">
        <v>0</v>
      </c>
      <c r="K326" s="40">
        <v>0</v>
      </c>
    </row>
    <row r="327" spans="1:11" x14ac:dyDescent="0.25">
      <c r="A327" s="41">
        <v>0</v>
      </c>
      <c r="B327" s="41">
        <v>0</v>
      </c>
      <c r="C327" s="41">
        <v>0</v>
      </c>
      <c r="D327" s="41">
        <v>0</v>
      </c>
      <c r="E327" s="40">
        <v>0</v>
      </c>
      <c r="G327" s="41">
        <v>0</v>
      </c>
      <c r="H327" s="41">
        <v>0</v>
      </c>
      <c r="I327" s="41">
        <v>0</v>
      </c>
      <c r="J327" s="41">
        <v>0</v>
      </c>
      <c r="K327" s="40">
        <v>0</v>
      </c>
    </row>
    <row r="328" spans="1:11" x14ac:dyDescent="0.25">
      <c r="A328" s="41">
        <v>0</v>
      </c>
      <c r="B328" s="41">
        <v>0</v>
      </c>
      <c r="C328" s="41">
        <v>0</v>
      </c>
      <c r="D328" s="41">
        <v>0</v>
      </c>
      <c r="E328" s="40">
        <v>0</v>
      </c>
      <c r="G328" s="41">
        <v>0</v>
      </c>
      <c r="H328" s="41">
        <v>0</v>
      </c>
      <c r="I328" s="41">
        <v>0</v>
      </c>
      <c r="J328" s="41">
        <v>0</v>
      </c>
      <c r="K328" s="40">
        <v>0</v>
      </c>
    </row>
    <row r="329" spans="1:11" x14ac:dyDescent="0.25">
      <c r="A329" s="41">
        <v>0</v>
      </c>
      <c r="B329" s="41">
        <v>0</v>
      </c>
      <c r="C329" s="41">
        <v>0</v>
      </c>
      <c r="D329" s="41">
        <v>0</v>
      </c>
      <c r="E329" s="40">
        <v>0</v>
      </c>
      <c r="G329" s="41">
        <v>0</v>
      </c>
      <c r="H329" s="41">
        <v>0</v>
      </c>
      <c r="I329" s="41">
        <v>0</v>
      </c>
      <c r="J329" s="41">
        <v>0</v>
      </c>
      <c r="K329" s="40">
        <v>0</v>
      </c>
    </row>
    <row r="330" spans="1:11" x14ac:dyDescent="0.25">
      <c r="A330" s="41">
        <v>0</v>
      </c>
      <c r="B330" s="41">
        <v>0</v>
      </c>
      <c r="C330" s="41">
        <v>0</v>
      </c>
      <c r="D330" s="41">
        <v>0</v>
      </c>
      <c r="E330" s="40">
        <v>0</v>
      </c>
      <c r="G330" s="41">
        <v>0</v>
      </c>
      <c r="H330" s="41">
        <v>0</v>
      </c>
      <c r="I330" s="41">
        <v>0</v>
      </c>
      <c r="J330" s="41">
        <v>0</v>
      </c>
      <c r="K330" s="40">
        <v>0</v>
      </c>
    </row>
    <row r="331" spans="1:11" x14ac:dyDescent="0.25">
      <c r="A331" s="41">
        <v>0</v>
      </c>
      <c r="B331" s="41">
        <v>0</v>
      </c>
      <c r="C331" s="41">
        <v>0</v>
      </c>
      <c r="D331" s="41">
        <v>0</v>
      </c>
      <c r="E331" s="40">
        <v>0</v>
      </c>
      <c r="G331" s="41">
        <v>0</v>
      </c>
      <c r="H331" s="41">
        <v>0</v>
      </c>
      <c r="I331" s="41">
        <v>0</v>
      </c>
      <c r="J331" s="41">
        <v>0</v>
      </c>
      <c r="K331" s="40">
        <v>0</v>
      </c>
    </row>
    <row r="332" spans="1:11" x14ac:dyDescent="0.25">
      <c r="A332" s="41">
        <v>0</v>
      </c>
      <c r="B332" s="41">
        <v>0</v>
      </c>
      <c r="C332" s="41">
        <v>0</v>
      </c>
      <c r="D332" s="41">
        <v>0</v>
      </c>
      <c r="E332" s="40">
        <v>0</v>
      </c>
      <c r="G332" s="41">
        <v>0</v>
      </c>
      <c r="H332" s="41">
        <v>0</v>
      </c>
      <c r="I332" s="41">
        <v>0</v>
      </c>
      <c r="J332" s="41">
        <v>0</v>
      </c>
      <c r="K332" s="40">
        <v>0</v>
      </c>
    </row>
    <row r="333" spans="1:11" x14ac:dyDescent="0.25">
      <c r="A333" s="41">
        <v>0</v>
      </c>
      <c r="B333" s="41">
        <v>0</v>
      </c>
      <c r="C333" s="41">
        <v>0</v>
      </c>
      <c r="D333" s="41">
        <v>0</v>
      </c>
      <c r="E333" s="40">
        <v>0</v>
      </c>
      <c r="G333" s="41">
        <v>0</v>
      </c>
      <c r="H333" s="41">
        <v>0</v>
      </c>
      <c r="I333" s="41">
        <v>0</v>
      </c>
      <c r="J333" s="41">
        <v>0</v>
      </c>
      <c r="K333" s="40">
        <v>0</v>
      </c>
    </row>
    <row r="334" spans="1:11" x14ac:dyDescent="0.25">
      <c r="A334" s="41">
        <v>0</v>
      </c>
      <c r="B334" s="41">
        <v>0</v>
      </c>
      <c r="C334" s="41">
        <v>0</v>
      </c>
      <c r="D334" s="41">
        <v>0</v>
      </c>
      <c r="E334" s="40">
        <v>0</v>
      </c>
      <c r="G334" s="41">
        <v>0</v>
      </c>
      <c r="H334" s="41">
        <v>0</v>
      </c>
      <c r="I334" s="41">
        <v>0</v>
      </c>
      <c r="J334" s="41">
        <v>0</v>
      </c>
      <c r="K334" s="40">
        <v>0</v>
      </c>
    </row>
    <row r="335" spans="1:11" x14ac:dyDescent="0.25">
      <c r="A335" s="41">
        <v>0</v>
      </c>
      <c r="B335" s="41">
        <v>0</v>
      </c>
      <c r="C335" s="41">
        <v>0</v>
      </c>
      <c r="D335" s="41">
        <v>0</v>
      </c>
      <c r="E335" s="40">
        <v>0</v>
      </c>
      <c r="G335" s="41">
        <v>0</v>
      </c>
      <c r="H335" s="41">
        <v>0</v>
      </c>
      <c r="I335" s="41">
        <v>0</v>
      </c>
      <c r="J335" s="41">
        <v>0</v>
      </c>
      <c r="K335" s="40">
        <v>0</v>
      </c>
    </row>
    <row r="336" spans="1:11" x14ac:dyDescent="0.25">
      <c r="A336" s="41">
        <v>0</v>
      </c>
      <c r="B336" s="41">
        <v>0</v>
      </c>
      <c r="C336" s="41">
        <v>0</v>
      </c>
      <c r="D336" s="41">
        <v>0</v>
      </c>
      <c r="E336" s="40">
        <v>0</v>
      </c>
      <c r="G336" s="41">
        <v>0</v>
      </c>
      <c r="H336" s="41">
        <v>0</v>
      </c>
      <c r="I336" s="41">
        <v>0</v>
      </c>
      <c r="J336" s="41">
        <v>0</v>
      </c>
      <c r="K336" s="40">
        <v>0</v>
      </c>
    </row>
    <row r="337" spans="1:11" x14ac:dyDescent="0.25">
      <c r="A337" s="41">
        <v>0</v>
      </c>
      <c r="B337" s="41">
        <v>0</v>
      </c>
      <c r="C337" s="41">
        <v>0</v>
      </c>
      <c r="D337" s="41">
        <v>0</v>
      </c>
      <c r="E337" s="40">
        <v>0</v>
      </c>
      <c r="G337" s="41">
        <v>0</v>
      </c>
      <c r="H337" s="41">
        <v>0</v>
      </c>
      <c r="I337" s="41">
        <v>0</v>
      </c>
      <c r="J337" s="41">
        <v>0</v>
      </c>
      <c r="K337" s="40">
        <v>0</v>
      </c>
    </row>
    <row r="338" spans="1:11" x14ac:dyDescent="0.25">
      <c r="A338" s="41">
        <v>0</v>
      </c>
      <c r="B338" s="41">
        <v>0</v>
      </c>
      <c r="C338" s="41">
        <v>0</v>
      </c>
      <c r="D338" s="41">
        <v>0</v>
      </c>
      <c r="E338" s="40">
        <v>0</v>
      </c>
      <c r="G338" s="41">
        <v>0</v>
      </c>
      <c r="H338" s="41">
        <v>0</v>
      </c>
      <c r="I338" s="41">
        <v>0</v>
      </c>
      <c r="J338" s="41">
        <v>0</v>
      </c>
      <c r="K338" s="40">
        <v>0</v>
      </c>
    </row>
    <row r="339" spans="1:11" x14ac:dyDescent="0.25">
      <c r="A339" s="41">
        <v>0</v>
      </c>
      <c r="B339" s="41">
        <v>0</v>
      </c>
      <c r="C339" s="41">
        <v>0</v>
      </c>
      <c r="D339" s="41">
        <v>0</v>
      </c>
      <c r="E339" s="40">
        <v>0</v>
      </c>
      <c r="G339" s="41">
        <v>0</v>
      </c>
      <c r="H339" s="41">
        <v>0</v>
      </c>
      <c r="I339" s="41">
        <v>0</v>
      </c>
      <c r="J339" s="41">
        <v>0</v>
      </c>
      <c r="K339" s="40">
        <v>0</v>
      </c>
    </row>
    <row r="340" spans="1:11" x14ac:dyDescent="0.25">
      <c r="A340" s="41">
        <v>0</v>
      </c>
      <c r="B340" s="41">
        <v>0</v>
      </c>
      <c r="C340" s="41">
        <v>0</v>
      </c>
      <c r="D340" s="41">
        <v>0</v>
      </c>
      <c r="E340" s="40">
        <v>0</v>
      </c>
      <c r="G340" s="41">
        <v>0</v>
      </c>
      <c r="H340" s="41">
        <v>0</v>
      </c>
      <c r="I340" s="41">
        <v>0</v>
      </c>
      <c r="J340" s="41">
        <v>0</v>
      </c>
      <c r="K340" s="40">
        <v>0</v>
      </c>
    </row>
    <row r="341" spans="1:11" x14ac:dyDescent="0.25">
      <c r="A341" s="41">
        <v>0</v>
      </c>
      <c r="B341" s="41">
        <v>0</v>
      </c>
      <c r="C341" s="41">
        <v>0</v>
      </c>
      <c r="D341" s="41">
        <v>0</v>
      </c>
      <c r="E341" s="40">
        <v>0</v>
      </c>
      <c r="G341" s="41">
        <v>0</v>
      </c>
      <c r="H341" s="41">
        <v>0</v>
      </c>
      <c r="I341" s="41">
        <v>0</v>
      </c>
      <c r="J341" s="41">
        <v>0</v>
      </c>
      <c r="K341" s="40">
        <v>0</v>
      </c>
    </row>
    <row r="342" spans="1:11" x14ac:dyDescent="0.25">
      <c r="A342" s="41">
        <v>0</v>
      </c>
      <c r="B342" s="41">
        <v>0</v>
      </c>
      <c r="C342" s="41">
        <v>0</v>
      </c>
      <c r="D342" s="41">
        <v>0</v>
      </c>
      <c r="E342" s="40">
        <v>0</v>
      </c>
      <c r="G342" s="41">
        <v>0</v>
      </c>
      <c r="H342" s="41">
        <v>0</v>
      </c>
      <c r="I342" s="41">
        <v>0</v>
      </c>
      <c r="J342" s="41">
        <v>0</v>
      </c>
      <c r="K342" s="40">
        <v>0</v>
      </c>
    </row>
    <row r="343" spans="1:11" x14ac:dyDescent="0.25">
      <c r="A343" s="41">
        <v>0</v>
      </c>
      <c r="B343" s="41">
        <v>0</v>
      </c>
      <c r="C343" s="41">
        <v>0</v>
      </c>
      <c r="D343" s="41">
        <v>0</v>
      </c>
      <c r="E343" s="40">
        <v>0</v>
      </c>
      <c r="G343" s="41">
        <v>0</v>
      </c>
      <c r="H343" s="41">
        <v>0</v>
      </c>
      <c r="I343" s="41">
        <v>0</v>
      </c>
      <c r="J343" s="41">
        <v>0</v>
      </c>
      <c r="K343" s="40">
        <v>0</v>
      </c>
    </row>
    <row r="344" spans="1:11" x14ac:dyDescent="0.25">
      <c r="A344" s="41">
        <v>0</v>
      </c>
      <c r="B344" s="41">
        <v>0</v>
      </c>
      <c r="C344" s="41">
        <v>0</v>
      </c>
      <c r="D344" s="41">
        <v>0</v>
      </c>
      <c r="E344" s="40">
        <v>0</v>
      </c>
      <c r="G344" s="41">
        <v>0</v>
      </c>
      <c r="H344" s="41">
        <v>0</v>
      </c>
      <c r="I344" s="41">
        <v>0</v>
      </c>
      <c r="J344" s="41">
        <v>0</v>
      </c>
      <c r="K344" s="40">
        <v>0</v>
      </c>
    </row>
    <row r="345" spans="1:11" x14ac:dyDescent="0.25">
      <c r="A345" s="41">
        <v>0</v>
      </c>
      <c r="B345" s="41">
        <v>0</v>
      </c>
      <c r="C345" s="41">
        <v>0</v>
      </c>
      <c r="D345" s="41">
        <v>0</v>
      </c>
      <c r="E345" s="40">
        <v>0</v>
      </c>
      <c r="G345" s="41">
        <v>0</v>
      </c>
      <c r="H345" s="41">
        <v>0</v>
      </c>
      <c r="I345" s="41">
        <v>0</v>
      </c>
      <c r="J345" s="41">
        <v>0</v>
      </c>
      <c r="K345" s="40">
        <v>0</v>
      </c>
    </row>
    <row r="346" spans="1:11" x14ac:dyDescent="0.25">
      <c r="A346" s="41">
        <v>0</v>
      </c>
      <c r="B346" s="41">
        <v>0</v>
      </c>
      <c r="C346" s="41">
        <v>0</v>
      </c>
      <c r="D346" s="41">
        <v>0</v>
      </c>
      <c r="E346" s="40">
        <v>0</v>
      </c>
      <c r="G346" s="41">
        <v>0</v>
      </c>
      <c r="H346" s="41">
        <v>0</v>
      </c>
      <c r="I346" s="41">
        <v>0</v>
      </c>
      <c r="J346" s="41">
        <v>0</v>
      </c>
      <c r="K346" s="40">
        <v>0</v>
      </c>
    </row>
    <row r="347" spans="1:11" x14ac:dyDescent="0.25">
      <c r="A347" s="41">
        <v>0</v>
      </c>
      <c r="B347" s="41">
        <v>0</v>
      </c>
      <c r="C347" s="41">
        <v>0</v>
      </c>
      <c r="D347" s="41">
        <v>0</v>
      </c>
      <c r="E347" s="40">
        <v>0</v>
      </c>
      <c r="G347" s="41">
        <v>0</v>
      </c>
      <c r="H347" s="41">
        <v>0</v>
      </c>
      <c r="I347" s="41">
        <v>0</v>
      </c>
      <c r="J347" s="41">
        <v>0</v>
      </c>
      <c r="K347" s="40">
        <v>0</v>
      </c>
    </row>
    <row r="348" spans="1:11" x14ac:dyDescent="0.25">
      <c r="A348" s="41">
        <v>0</v>
      </c>
      <c r="B348" s="41">
        <v>0</v>
      </c>
      <c r="C348" s="41">
        <v>0</v>
      </c>
      <c r="D348" s="41">
        <v>0</v>
      </c>
      <c r="E348" s="40">
        <v>0</v>
      </c>
      <c r="G348" s="41">
        <v>0</v>
      </c>
      <c r="H348" s="41">
        <v>0</v>
      </c>
      <c r="I348" s="41">
        <v>0</v>
      </c>
      <c r="J348" s="41">
        <v>0</v>
      </c>
      <c r="K348" s="40">
        <v>0</v>
      </c>
    </row>
    <row r="349" spans="1:11" x14ac:dyDescent="0.25">
      <c r="A349" s="41">
        <v>0</v>
      </c>
      <c r="B349" s="41">
        <v>0</v>
      </c>
      <c r="C349" s="41">
        <v>0</v>
      </c>
      <c r="D349" s="41">
        <v>0</v>
      </c>
      <c r="E349" s="40">
        <v>0</v>
      </c>
      <c r="G349" s="41">
        <v>0</v>
      </c>
      <c r="H349" s="41">
        <v>0</v>
      </c>
      <c r="I349" s="41">
        <v>0</v>
      </c>
      <c r="J349" s="41">
        <v>0</v>
      </c>
      <c r="K349" s="40">
        <v>0</v>
      </c>
    </row>
    <row r="350" spans="1:11" x14ac:dyDescent="0.25">
      <c r="A350" s="41">
        <v>0</v>
      </c>
      <c r="B350" s="41">
        <v>0</v>
      </c>
      <c r="C350" s="41">
        <v>0</v>
      </c>
      <c r="D350" s="41">
        <v>0</v>
      </c>
      <c r="E350" s="40">
        <v>0</v>
      </c>
      <c r="G350" s="41">
        <v>0</v>
      </c>
      <c r="H350" s="41">
        <v>0</v>
      </c>
      <c r="I350" s="41">
        <v>0</v>
      </c>
      <c r="J350" s="41">
        <v>0</v>
      </c>
      <c r="K350" s="40">
        <v>0</v>
      </c>
    </row>
    <row r="351" spans="1:11" x14ac:dyDescent="0.25">
      <c r="A351" s="41">
        <v>0</v>
      </c>
      <c r="B351" s="41">
        <v>0</v>
      </c>
      <c r="C351" s="41">
        <v>0</v>
      </c>
      <c r="D351" s="41">
        <v>0</v>
      </c>
      <c r="E351" s="40">
        <v>0</v>
      </c>
      <c r="G351" s="41">
        <v>0</v>
      </c>
      <c r="H351" s="41">
        <v>0</v>
      </c>
      <c r="I351" s="41">
        <v>0</v>
      </c>
      <c r="J351" s="41">
        <v>0</v>
      </c>
      <c r="K351" s="40">
        <v>0</v>
      </c>
    </row>
    <row r="352" spans="1:11" x14ac:dyDescent="0.25">
      <c r="A352" s="41">
        <v>0</v>
      </c>
      <c r="B352" s="41">
        <v>0</v>
      </c>
      <c r="C352" s="41">
        <v>0</v>
      </c>
      <c r="D352" s="41">
        <v>0</v>
      </c>
      <c r="E352" s="40">
        <v>0</v>
      </c>
      <c r="G352" s="41">
        <v>0</v>
      </c>
      <c r="H352" s="41">
        <v>0</v>
      </c>
      <c r="I352" s="41">
        <v>0</v>
      </c>
      <c r="J352" s="41">
        <v>0</v>
      </c>
      <c r="K352" s="40">
        <v>0</v>
      </c>
    </row>
    <row r="353" spans="1:11" x14ac:dyDescent="0.25">
      <c r="A353" s="41">
        <v>0</v>
      </c>
      <c r="B353" s="41">
        <v>0</v>
      </c>
      <c r="C353" s="41">
        <v>0</v>
      </c>
      <c r="D353" s="41">
        <v>0</v>
      </c>
      <c r="E353" s="40">
        <v>0</v>
      </c>
      <c r="G353" s="41">
        <v>0</v>
      </c>
      <c r="H353" s="41">
        <v>0</v>
      </c>
      <c r="I353" s="41">
        <v>0</v>
      </c>
      <c r="J353" s="41">
        <v>0</v>
      </c>
      <c r="K353" s="40">
        <v>0</v>
      </c>
    </row>
    <row r="354" spans="1:11" x14ac:dyDescent="0.25">
      <c r="A354" s="41">
        <v>0</v>
      </c>
      <c r="B354" s="41">
        <v>0</v>
      </c>
      <c r="C354" s="41">
        <v>0</v>
      </c>
      <c r="D354" s="41">
        <v>0</v>
      </c>
      <c r="E354" s="40">
        <v>0</v>
      </c>
      <c r="G354" s="41">
        <v>0</v>
      </c>
      <c r="H354" s="41">
        <v>0</v>
      </c>
      <c r="I354" s="41">
        <v>0</v>
      </c>
      <c r="J354" s="41">
        <v>0</v>
      </c>
      <c r="K354" s="40">
        <v>0</v>
      </c>
    </row>
    <row r="355" spans="1:11" x14ac:dyDescent="0.25">
      <c r="A355" s="41">
        <v>0</v>
      </c>
      <c r="B355" s="41">
        <v>0</v>
      </c>
      <c r="C355" s="41">
        <v>0</v>
      </c>
      <c r="D355" s="41">
        <v>0</v>
      </c>
      <c r="E355" s="40">
        <v>0</v>
      </c>
      <c r="G355" s="41">
        <v>0</v>
      </c>
      <c r="H355" s="41">
        <v>0</v>
      </c>
      <c r="I355" s="41">
        <v>0</v>
      </c>
      <c r="J355" s="41">
        <v>0</v>
      </c>
      <c r="K355" s="40">
        <v>0</v>
      </c>
    </row>
    <row r="356" spans="1:11" x14ac:dyDescent="0.25">
      <c r="A356" s="41">
        <v>0</v>
      </c>
      <c r="B356" s="41">
        <v>0</v>
      </c>
      <c r="C356" s="41">
        <v>0</v>
      </c>
      <c r="D356" s="41">
        <v>0</v>
      </c>
      <c r="E356" s="40">
        <v>0</v>
      </c>
      <c r="G356" s="41">
        <v>0</v>
      </c>
      <c r="H356" s="41">
        <v>0</v>
      </c>
      <c r="I356" s="41">
        <v>0</v>
      </c>
      <c r="J356" s="41">
        <v>0</v>
      </c>
      <c r="K356" s="40">
        <v>0</v>
      </c>
    </row>
    <row r="357" spans="1:11" x14ac:dyDescent="0.25">
      <c r="A357" s="41">
        <v>0</v>
      </c>
      <c r="B357" s="41">
        <v>0</v>
      </c>
      <c r="C357" s="41">
        <v>0</v>
      </c>
      <c r="D357" s="41">
        <v>0</v>
      </c>
      <c r="E357" s="40">
        <v>0</v>
      </c>
      <c r="G357" s="41">
        <v>0</v>
      </c>
      <c r="H357" s="41">
        <v>0</v>
      </c>
      <c r="I357" s="41">
        <v>0</v>
      </c>
      <c r="J357" s="41">
        <v>0</v>
      </c>
      <c r="K357" s="40">
        <v>0</v>
      </c>
    </row>
    <row r="358" spans="1:11" x14ac:dyDescent="0.25">
      <c r="A358" s="41">
        <v>0</v>
      </c>
      <c r="B358" s="41">
        <v>0</v>
      </c>
      <c r="C358" s="41">
        <v>0</v>
      </c>
      <c r="D358" s="41">
        <v>0</v>
      </c>
      <c r="E358" s="40">
        <v>0</v>
      </c>
      <c r="G358" s="41">
        <v>0</v>
      </c>
      <c r="H358" s="41">
        <v>0</v>
      </c>
      <c r="I358" s="41">
        <v>0</v>
      </c>
      <c r="J358" s="41">
        <v>0</v>
      </c>
      <c r="K358" s="40">
        <v>0</v>
      </c>
    </row>
    <row r="359" spans="1:11" x14ac:dyDescent="0.25">
      <c r="A359" s="41">
        <v>0</v>
      </c>
      <c r="B359" s="41">
        <v>0</v>
      </c>
      <c r="C359" s="41">
        <v>0</v>
      </c>
      <c r="D359" s="41">
        <v>0</v>
      </c>
      <c r="E359" s="40">
        <v>0</v>
      </c>
      <c r="G359" s="41">
        <v>0</v>
      </c>
      <c r="H359" s="41">
        <v>0</v>
      </c>
      <c r="I359" s="41">
        <v>0</v>
      </c>
      <c r="J359" s="41">
        <v>0</v>
      </c>
      <c r="K359" s="40">
        <v>0</v>
      </c>
    </row>
    <row r="360" spans="1:11" x14ac:dyDescent="0.25">
      <c r="A360" s="41">
        <v>0</v>
      </c>
      <c r="B360" s="41">
        <v>0</v>
      </c>
      <c r="C360" s="41">
        <v>0</v>
      </c>
      <c r="D360" s="41">
        <v>0</v>
      </c>
      <c r="E360" s="40">
        <v>0</v>
      </c>
      <c r="G360" s="41">
        <v>0</v>
      </c>
      <c r="H360" s="41">
        <v>0</v>
      </c>
      <c r="I360" s="41">
        <v>0</v>
      </c>
      <c r="J360" s="41">
        <v>0</v>
      </c>
      <c r="K360" s="40">
        <v>0</v>
      </c>
    </row>
    <row r="361" spans="1:11" x14ac:dyDescent="0.25">
      <c r="A361" s="41">
        <v>0</v>
      </c>
      <c r="B361" s="41">
        <v>0</v>
      </c>
      <c r="C361" s="41">
        <v>0</v>
      </c>
      <c r="D361" s="41">
        <v>0</v>
      </c>
      <c r="E361" s="40">
        <v>0</v>
      </c>
      <c r="G361" s="41">
        <v>0</v>
      </c>
      <c r="H361" s="41">
        <v>0</v>
      </c>
      <c r="I361" s="41">
        <v>0</v>
      </c>
      <c r="J361" s="41">
        <v>0</v>
      </c>
      <c r="K361" s="40">
        <v>0</v>
      </c>
    </row>
    <row r="362" spans="1:11" x14ac:dyDescent="0.25">
      <c r="A362" s="41">
        <v>0</v>
      </c>
      <c r="B362" s="41">
        <v>0</v>
      </c>
      <c r="C362" s="41">
        <v>0</v>
      </c>
      <c r="D362" s="41">
        <v>0</v>
      </c>
      <c r="E362" s="40">
        <v>0</v>
      </c>
      <c r="G362" s="41">
        <v>0</v>
      </c>
      <c r="H362" s="41">
        <v>0</v>
      </c>
      <c r="I362" s="41">
        <v>0</v>
      </c>
      <c r="J362" s="41">
        <v>0</v>
      </c>
      <c r="K362" s="40">
        <v>0</v>
      </c>
    </row>
    <row r="363" spans="1:11" x14ac:dyDescent="0.25">
      <c r="A363" s="41">
        <v>0</v>
      </c>
      <c r="B363" s="41">
        <v>0</v>
      </c>
      <c r="C363" s="41">
        <v>0</v>
      </c>
      <c r="D363" s="41">
        <v>0</v>
      </c>
      <c r="E363" s="40">
        <v>0</v>
      </c>
      <c r="G363" s="41">
        <v>0</v>
      </c>
      <c r="H363" s="41">
        <v>0</v>
      </c>
      <c r="I363" s="41">
        <v>0</v>
      </c>
      <c r="J363" s="41">
        <v>0</v>
      </c>
      <c r="K363" s="40">
        <v>0</v>
      </c>
    </row>
    <row r="364" spans="1:11" x14ac:dyDescent="0.25">
      <c r="A364" s="41">
        <v>0</v>
      </c>
      <c r="B364" s="41">
        <v>0</v>
      </c>
      <c r="C364" s="41">
        <v>0</v>
      </c>
      <c r="D364" s="41">
        <v>0</v>
      </c>
      <c r="E364" s="40">
        <v>0</v>
      </c>
      <c r="G364" s="41">
        <v>0</v>
      </c>
      <c r="H364" s="41">
        <v>0</v>
      </c>
      <c r="I364" s="41">
        <v>0</v>
      </c>
      <c r="J364" s="41">
        <v>0</v>
      </c>
      <c r="K364" s="40">
        <v>0</v>
      </c>
    </row>
    <row r="365" spans="1:11" x14ac:dyDescent="0.25">
      <c r="A365" s="41">
        <v>0</v>
      </c>
      <c r="B365" s="41">
        <v>0</v>
      </c>
      <c r="C365" s="41">
        <v>0</v>
      </c>
      <c r="D365" s="41">
        <v>0</v>
      </c>
      <c r="E365" s="40">
        <v>0</v>
      </c>
      <c r="G365" s="41">
        <v>0</v>
      </c>
      <c r="H365" s="41">
        <v>0</v>
      </c>
      <c r="I365" s="41">
        <v>0</v>
      </c>
      <c r="J365" s="41">
        <v>0</v>
      </c>
      <c r="K365" s="40">
        <v>0</v>
      </c>
    </row>
    <row r="366" spans="1:11" x14ac:dyDescent="0.25">
      <c r="A366" s="41">
        <v>0</v>
      </c>
      <c r="B366" s="41">
        <v>0</v>
      </c>
      <c r="C366" s="41">
        <v>0</v>
      </c>
      <c r="D366" s="41">
        <v>0</v>
      </c>
      <c r="E366" s="40">
        <v>0</v>
      </c>
      <c r="G366" s="41">
        <v>0</v>
      </c>
      <c r="H366" s="41">
        <v>0</v>
      </c>
      <c r="I366" s="41">
        <v>0</v>
      </c>
      <c r="J366" s="41">
        <v>0</v>
      </c>
      <c r="K366" s="40">
        <v>0</v>
      </c>
    </row>
    <row r="367" spans="1:11" x14ac:dyDescent="0.25">
      <c r="A367" s="41">
        <v>0</v>
      </c>
      <c r="B367" s="41">
        <v>0</v>
      </c>
      <c r="C367" s="41">
        <v>0</v>
      </c>
      <c r="D367" s="41">
        <v>0</v>
      </c>
      <c r="E367" s="40">
        <v>0</v>
      </c>
      <c r="G367" s="41">
        <v>0</v>
      </c>
      <c r="H367" s="41">
        <v>0</v>
      </c>
      <c r="I367" s="41">
        <v>0</v>
      </c>
      <c r="J367" s="41">
        <v>0</v>
      </c>
      <c r="K367" s="40">
        <v>0</v>
      </c>
    </row>
    <row r="368" spans="1:11" x14ac:dyDescent="0.25">
      <c r="A368" s="41">
        <v>0</v>
      </c>
      <c r="B368" s="41">
        <v>0</v>
      </c>
      <c r="C368" s="41">
        <v>0</v>
      </c>
      <c r="D368" s="41">
        <v>0</v>
      </c>
      <c r="E368" s="40">
        <v>0</v>
      </c>
      <c r="G368" s="41">
        <v>0</v>
      </c>
      <c r="H368" s="41">
        <v>0</v>
      </c>
      <c r="I368" s="41">
        <v>0</v>
      </c>
      <c r="J368" s="41">
        <v>0</v>
      </c>
      <c r="K368" s="40">
        <v>0</v>
      </c>
    </row>
    <row r="369" spans="1:11" x14ac:dyDescent="0.25">
      <c r="A369" s="41">
        <v>0</v>
      </c>
      <c r="B369" s="41">
        <v>0</v>
      </c>
      <c r="C369" s="41">
        <v>0</v>
      </c>
      <c r="D369" s="41">
        <v>0</v>
      </c>
      <c r="E369" s="40">
        <v>0</v>
      </c>
      <c r="G369" s="41">
        <v>0</v>
      </c>
      <c r="H369" s="41">
        <v>0</v>
      </c>
      <c r="I369" s="41">
        <v>0</v>
      </c>
      <c r="J369" s="41">
        <v>0</v>
      </c>
      <c r="K369" s="40">
        <v>0</v>
      </c>
    </row>
    <row r="370" spans="1:11" x14ac:dyDescent="0.25">
      <c r="A370" s="41">
        <v>0</v>
      </c>
      <c r="B370" s="41">
        <v>0</v>
      </c>
      <c r="C370" s="41">
        <v>0</v>
      </c>
      <c r="D370" s="41">
        <v>0</v>
      </c>
      <c r="E370" s="40">
        <v>0</v>
      </c>
      <c r="G370" s="41">
        <v>0</v>
      </c>
      <c r="H370" s="41">
        <v>0</v>
      </c>
      <c r="I370" s="41">
        <v>0</v>
      </c>
      <c r="J370" s="41">
        <v>0</v>
      </c>
      <c r="K370" s="40">
        <v>0</v>
      </c>
    </row>
    <row r="371" spans="1:11" x14ac:dyDescent="0.25">
      <c r="A371" s="41">
        <v>0</v>
      </c>
      <c r="B371" s="41">
        <v>0</v>
      </c>
      <c r="C371" s="41">
        <v>0</v>
      </c>
      <c r="D371" s="41">
        <v>0</v>
      </c>
      <c r="E371" s="40">
        <v>0</v>
      </c>
      <c r="G371" s="41">
        <v>0</v>
      </c>
      <c r="H371" s="41">
        <v>0</v>
      </c>
      <c r="I371" s="41">
        <v>0</v>
      </c>
      <c r="J371" s="41">
        <v>0</v>
      </c>
      <c r="K371" s="40">
        <v>0</v>
      </c>
    </row>
    <row r="372" spans="1:11" x14ac:dyDescent="0.25">
      <c r="A372" s="41">
        <v>0</v>
      </c>
      <c r="B372" s="41">
        <v>0</v>
      </c>
      <c r="C372" s="41">
        <v>0</v>
      </c>
      <c r="D372" s="41">
        <v>0</v>
      </c>
      <c r="E372" s="40">
        <v>0</v>
      </c>
      <c r="G372" s="41">
        <v>0</v>
      </c>
      <c r="H372" s="41">
        <v>0</v>
      </c>
      <c r="I372" s="41">
        <v>0</v>
      </c>
      <c r="J372" s="41">
        <v>0</v>
      </c>
      <c r="K372" s="40">
        <v>0</v>
      </c>
    </row>
    <row r="373" spans="1:11" x14ac:dyDescent="0.25">
      <c r="A373" s="41">
        <v>0</v>
      </c>
      <c r="B373" s="41">
        <v>0</v>
      </c>
      <c r="C373" s="41">
        <v>0</v>
      </c>
      <c r="D373" s="41">
        <v>0</v>
      </c>
      <c r="E373" s="40">
        <v>0</v>
      </c>
      <c r="G373" s="41">
        <v>0</v>
      </c>
      <c r="H373" s="41">
        <v>0</v>
      </c>
      <c r="I373" s="41">
        <v>0</v>
      </c>
      <c r="J373" s="41">
        <v>0</v>
      </c>
      <c r="K373" s="40">
        <v>0</v>
      </c>
    </row>
    <row r="374" spans="1:11" x14ac:dyDescent="0.25">
      <c r="A374" s="41">
        <v>0</v>
      </c>
      <c r="B374" s="41">
        <v>0</v>
      </c>
      <c r="C374" s="41">
        <v>0</v>
      </c>
      <c r="D374" s="41">
        <v>0</v>
      </c>
      <c r="E374" s="40">
        <v>0</v>
      </c>
      <c r="G374" s="41">
        <v>0</v>
      </c>
      <c r="H374" s="41">
        <v>0</v>
      </c>
      <c r="I374" s="41">
        <v>0</v>
      </c>
      <c r="J374" s="41">
        <v>0</v>
      </c>
      <c r="K374" s="40">
        <v>0</v>
      </c>
    </row>
    <row r="375" spans="1:11" x14ac:dyDescent="0.25">
      <c r="A375" s="41">
        <v>0</v>
      </c>
      <c r="B375" s="41">
        <v>0</v>
      </c>
      <c r="C375" s="41">
        <v>0</v>
      </c>
      <c r="D375" s="41">
        <v>0</v>
      </c>
      <c r="E375" s="40">
        <v>0</v>
      </c>
      <c r="G375" s="41">
        <v>0</v>
      </c>
      <c r="H375" s="41">
        <v>0</v>
      </c>
      <c r="I375" s="41">
        <v>0</v>
      </c>
      <c r="J375" s="41">
        <v>0</v>
      </c>
      <c r="K375" s="40">
        <v>0</v>
      </c>
    </row>
    <row r="376" spans="1:11" x14ac:dyDescent="0.25">
      <c r="A376" s="41">
        <v>0</v>
      </c>
      <c r="B376" s="41">
        <v>0</v>
      </c>
      <c r="C376" s="41">
        <v>0</v>
      </c>
      <c r="D376" s="41">
        <v>0</v>
      </c>
      <c r="E376" s="40">
        <v>0</v>
      </c>
      <c r="G376" s="41">
        <v>0</v>
      </c>
      <c r="H376" s="41">
        <v>0</v>
      </c>
      <c r="I376" s="41">
        <v>0</v>
      </c>
      <c r="J376" s="41">
        <v>0</v>
      </c>
      <c r="K376" s="40">
        <v>0</v>
      </c>
    </row>
    <row r="377" spans="1:11" x14ac:dyDescent="0.25">
      <c r="A377" s="41">
        <v>0</v>
      </c>
      <c r="B377" s="41">
        <v>0</v>
      </c>
      <c r="C377" s="41">
        <v>0</v>
      </c>
      <c r="D377" s="41">
        <v>0</v>
      </c>
      <c r="E377" s="40">
        <v>0</v>
      </c>
      <c r="G377" s="41">
        <v>0</v>
      </c>
      <c r="H377" s="41">
        <v>0</v>
      </c>
      <c r="I377" s="41">
        <v>0</v>
      </c>
      <c r="J377" s="41">
        <v>0</v>
      </c>
      <c r="K377" s="40">
        <v>0</v>
      </c>
    </row>
    <row r="378" spans="1:11" x14ac:dyDescent="0.25">
      <c r="A378" s="41">
        <v>0</v>
      </c>
      <c r="B378" s="41">
        <v>0</v>
      </c>
      <c r="C378" s="41">
        <v>0</v>
      </c>
      <c r="D378" s="41">
        <v>0</v>
      </c>
      <c r="E378" s="40">
        <v>0</v>
      </c>
      <c r="G378" s="41">
        <v>0</v>
      </c>
      <c r="H378" s="41">
        <v>0</v>
      </c>
      <c r="I378" s="41">
        <v>0</v>
      </c>
      <c r="J378" s="41">
        <v>0</v>
      </c>
      <c r="K378" s="40">
        <v>0</v>
      </c>
    </row>
    <row r="379" spans="1:11" x14ac:dyDescent="0.25">
      <c r="A379" s="41">
        <v>0</v>
      </c>
      <c r="B379" s="41">
        <v>0</v>
      </c>
      <c r="C379" s="41">
        <v>0</v>
      </c>
      <c r="D379" s="41">
        <v>0</v>
      </c>
      <c r="E379" s="40">
        <v>0</v>
      </c>
      <c r="G379" s="41">
        <v>0</v>
      </c>
      <c r="H379" s="41">
        <v>0</v>
      </c>
      <c r="I379" s="41">
        <v>0</v>
      </c>
      <c r="J379" s="41">
        <v>0</v>
      </c>
      <c r="K379" s="40">
        <v>0</v>
      </c>
    </row>
    <row r="380" spans="1:11" x14ac:dyDescent="0.25">
      <c r="A380" s="41">
        <v>0</v>
      </c>
      <c r="B380" s="41">
        <v>0</v>
      </c>
      <c r="C380" s="41">
        <v>0</v>
      </c>
      <c r="D380" s="41">
        <v>0</v>
      </c>
      <c r="E380" s="40">
        <v>0</v>
      </c>
      <c r="G380" s="41">
        <v>0</v>
      </c>
      <c r="H380" s="41">
        <v>0</v>
      </c>
      <c r="I380" s="41">
        <v>0</v>
      </c>
      <c r="J380" s="41">
        <v>0</v>
      </c>
      <c r="K380" s="40">
        <v>0</v>
      </c>
    </row>
    <row r="381" spans="1:11" x14ac:dyDescent="0.25">
      <c r="A381" s="41">
        <v>0</v>
      </c>
      <c r="B381" s="41">
        <v>0</v>
      </c>
      <c r="C381" s="41">
        <v>0</v>
      </c>
      <c r="D381" s="41">
        <v>0</v>
      </c>
      <c r="E381" s="40">
        <v>0</v>
      </c>
      <c r="G381" s="41">
        <v>0</v>
      </c>
      <c r="H381" s="41">
        <v>0</v>
      </c>
      <c r="I381" s="41">
        <v>0</v>
      </c>
      <c r="J381" s="41">
        <v>0</v>
      </c>
      <c r="K381" s="40">
        <v>0</v>
      </c>
    </row>
    <row r="382" spans="1:11" x14ac:dyDescent="0.25">
      <c r="A382" s="41">
        <v>0</v>
      </c>
      <c r="B382" s="41">
        <v>0</v>
      </c>
      <c r="C382" s="41">
        <v>0</v>
      </c>
      <c r="D382" s="41">
        <v>0</v>
      </c>
      <c r="E382" s="40">
        <v>0</v>
      </c>
      <c r="G382" s="41">
        <v>0</v>
      </c>
      <c r="H382" s="41">
        <v>0</v>
      </c>
      <c r="I382" s="41">
        <v>0</v>
      </c>
      <c r="J382" s="41">
        <v>0</v>
      </c>
      <c r="K382" s="40">
        <v>0</v>
      </c>
    </row>
    <row r="383" spans="1:11" x14ac:dyDescent="0.25">
      <c r="A383" s="41">
        <v>0</v>
      </c>
      <c r="B383" s="41">
        <v>0</v>
      </c>
      <c r="C383" s="41">
        <v>0</v>
      </c>
      <c r="D383" s="41">
        <v>0</v>
      </c>
      <c r="E383" s="40">
        <v>0</v>
      </c>
      <c r="G383" s="41">
        <v>0</v>
      </c>
      <c r="H383" s="41">
        <v>0</v>
      </c>
      <c r="I383" s="41">
        <v>0</v>
      </c>
      <c r="J383" s="41">
        <v>0</v>
      </c>
      <c r="K383" s="40">
        <v>0</v>
      </c>
    </row>
    <row r="384" spans="1:11" x14ac:dyDescent="0.25">
      <c r="A384" s="41">
        <v>0</v>
      </c>
      <c r="B384" s="41">
        <v>0</v>
      </c>
      <c r="C384" s="41">
        <v>0</v>
      </c>
      <c r="D384" s="41">
        <v>0</v>
      </c>
      <c r="E384" s="40">
        <v>0</v>
      </c>
      <c r="G384" s="41">
        <v>0</v>
      </c>
      <c r="H384" s="41">
        <v>0</v>
      </c>
      <c r="I384" s="41">
        <v>0</v>
      </c>
      <c r="J384" s="41">
        <v>0</v>
      </c>
      <c r="K384" s="40">
        <v>0</v>
      </c>
    </row>
    <row r="385" spans="1:11" x14ac:dyDescent="0.25">
      <c r="A385" s="41">
        <v>0</v>
      </c>
      <c r="B385" s="41">
        <v>0</v>
      </c>
      <c r="C385" s="41">
        <v>0</v>
      </c>
      <c r="D385" s="41">
        <v>0</v>
      </c>
      <c r="E385" s="40">
        <v>0</v>
      </c>
      <c r="G385" s="41">
        <v>0</v>
      </c>
      <c r="H385" s="41">
        <v>0</v>
      </c>
      <c r="I385" s="41">
        <v>0</v>
      </c>
      <c r="J385" s="41">
        <v>0</v>
      </c>
      <c r="K385" s="40">
        <v>0</v>
      </c>
    </row>
    <row r="386" spans="1:11" x14ac:dyDescent="0.25">
      <c r="A386" s="41">
        <v>0</v>
      </c>
      <c r="B386" s="41">
        <v>0</v>
      </c>
      <c r="C386" s="41">
        <v>0</v>
      </c>
      <c r="D386" s="41">
        <v>0</v>
      </c>
      <c r="E386" s="40">
        <v>0</v>
      </c>
      <c r="G386" s="41">
        <v>0</v>
      </c>
      <c r="H386" s="41">
        <v>0</v>
      </c>
      <c r="I386" s="41">
        <v>0</v>
      </c>
      <c r="J386" s="41">
        <v>0</v>
      </c>
      <c r="K386" s="40">
        <v>0</v>
      </c>
    </row>
    <row r="387" spans="1:11" x14ac:dyDescent="0.25">
      <c r="A387" s="41">
        <v>0</v>
      </c>
      <c r="B387" s="41">
        <v>0</v>
      </c>
      <c r="C387" s="41">
        <v>0</v>
      </c>
      <c r="D387" s="41">
        <v>0</v>
      </c>
      <c r="E387" s="40">
        <v>0</v>
      </c>
      <c r="G387" s="41">
        <v>0</v>
      </c>
      <c r="H387" s="41">
        <v>0</v>
      </c>
      <c r="I387" s="41">
        <v>0</v>
      </c>
      <c r="J387" s="41">
        <v>0</v>
      </c>
      <c r="K387" s="40">
        <v>0</v>
      </c>
    </row>
    <row r="388" spans="1:11" x14ac:dyDescent="0.25">
      <c r="A388" s="41">
        <v>0</v>
      </c>
      <c r="B388" s="41">
        <v>0</v>
      </c>
      <c r="C388" s="41">
        <v>0</v>
      </c>
      <c r="D388" s="41">
        <v>0</v>
      </c>
      <c r="E388" s="40">
        <v>0</v>
      </c>
      <c r="G388" s="41">
        <v>0</v>
      </c>
      <c r="H388" s="41">
        <v>0</v>
      </c>
      <c r="I388" s="41">
        <v>0</v>
      </c>
      <c r="J388" s="41">
        <v>0</v>
      </c>
      <c r="K388" s="40">
        <v>0</v>
      </c>
    </row>
    <row r="389" spans="1:11" x14ac:dyDescent="0.25">
      <c r="A389" s="41">
        <v>0</v>
      </c>
      <c r="B389" s="41">
        <v>0</v>
      </c>
      <c r="C389" s="41">
        <v>0</v>
      </c>
      <c r="D389" s="41">
        <v>0</v>
      </c>
      <c r="E389" s="40">
        <v>0</v>
      </c>
      <c r="G389" s="41">
        <v>0</v>
      </c>
      <c r="H389" s="41">
        <v>0</v>
      </c>
      <c r="I389" s="41">
        <v>0</v>
      </c>
      <c r="J389" s="41">
        <v>0</v>
      </c>
      <c r="K389" s="40">
        <v>0</v>
      </c>
    </row>
    <row r="390" spans="1:11" x14ac:dyDescent="0.25">
      <c r="A390" s="41">
        <v>0</v>
      </c>
      <c r="B390" s="41">
        <v>0</v>
      </c>
      <c r="C390" s="41">
        <v>0</v>
      </c>
      <c r="D390" s="41">
        <v>0</v>
      </c>
      <c r="E390" s="40">
        <v>0</v>
      </c>
      <c r="G390" s="41">
        <v>0</v>
      </c>
      <c r="H390" s="41">
        <v>0</v>
      </c>
      <c r="I390" s="41">
        <v>0</v>
      </c>
      <c r="J390" s="41">
        <v>0</v>
      </c>
      <c r="K390" s="40">
        <v>0</v>
      </c>
    </row>
    <row r="391" spans="1:11" x14ac:dyDescent="0.25">
      <c r="A391" s="41">
        <v>0</v>
      </c>
      <c r="B391" s="41">
        <v>0</v>
      </c>
      <c r="C391" s="41">
        <v>0</v>
      </c>
      <c r="D391" s="41">
        <v>0</v>
      </c>
      <c r="E391" s="40">
        <v>0</v>
      </c>
      <c r="G391" s="41">
        <v>0</v>
      </c>
      <c r="H391" s="41">
        <v>0</v>
      </c>
      <c r="I391" s="41">
        <v>0</v>
      </c>
      <c r="J391" s="41">
        <v>0</v>
      </c>
      <c r="K391" s="40">
        <v>0</v>
      </c>
    </row>
    <row r="392" spans="1:11" x14ac:dyDescent="0.25">
      <c r="A392" s="41">
        <v>0</v>
      </c>
      <c r="B392" s="41">
        <v>0</v>
      </c>
      <c r="C392" s="41">
        <v>0</v>
      </c>
      <c r="D392" s="41">
        <v>0</v>
      </c>
      <c r="E392" s="40">
        <v>0</v>
      </c>
      <c r="G392" s="41">
        <v>0</v>
      </c>
      <c r="H392" s="41">
        <v>0</v>
      </c>
      <c r="I392" s="41">
        <v>0</v>
      </c>
      <c r="J392" s="41">
        <v>0</v>
      </c>
      <c r="K392" s="40">
        <v>0</v>
      </c>
    </row>
    <row r="393" spans="1:11" x14ac:dyDescent="0.25">
      <c r="A393" s="41">
        <v>0</v>
      </c>
      <c r="B393" s="41">
        <v>0</v>
      </c>
      <c r="C393" s="41">
        <v>0</v>
      </c>
      <c r="D393" s="41">
        <v>0</v>
      </c>
      <c r="E393" s="40">
        <v>0</v>
      </c>
      <c r="G393" s="41">
        <v>0</v>
      </c>
      <c r="H393" s="41">
        <v>0</v>
      </c>
      <c r="I393" s="41">
        <v>0</v>
      </c>
      <c r="J393" s="41">
        <v>0</v>
      </c>
      <c r="K393" s="40">
        <v>0</v>
      </c>
    </row>
    <row r="394" spans="1:11" x14ac:dyDescent="0.25">
      <c r="A394" s="41">
        <v>0</v>
      </c>
      <c r="B394" s="41">
        <v>0</v>
      </c>
      <c r="C394" s="41">
        <v>0</v>
      </c>
      <c r="D394" s="41">
        <v>0</v>
      </c>
      <c r="E394" s="40">
        <v>0</v>
      </c>
      <c r="G394" s="41">
        <v>0</v>
      </c>
      <c r="H394" s="41">
        <v>0</v>
      </c>
      <c r="I394" s="41">
        <v>0</v>
      </c>
      <c r="J394" s="41">
        <v>0</v>
      </c>
      <c r="K394" s="40">
        <v>0</v>
      </c>
    </row>
    <row r="395" spans="1:11" x14ac:dyDescent="0.25">
      <c r="A395" s="41">
        <v>0</v>
      </c>
      <c r="B395" s="41">
        <v>0</v>
      </c>
      <c r="C395" s="41">
        <v>0</v>
      </c>
      <c r="D395" s="41">
        <v>0</v>
      </c>
      <c r="E395" s="40">
        <v>0</v>
      </c>
      <c r="G395" s="41">
        <v>0</v>
      </c>
      <c r="H395" s="41">
        <v>0</v>
      </c>
      <c r="I395" s="41">
        <v>0</v>
      </c>
      <c r="J395" s="41">
        <v>0</v>
      </c>
      <c r="K395" s="40">
        <v>0</v>
      </c>
    </row>
    <row r="396" spans="1:11" x14ac:dyDescent="0.25">
      <c r="A396" s="41">
        <v>0</v>
      </c>
      <c r="B396" s="41">
        <v>0</v>
      </c>
      <c r="C396" s="41">
        <v>0</v>
      </c>
      <c r="D396" s="41">
        <v>0</v>
      </c>
      <c r="E396" s="40">
        <v>0</v>
      </c>
      <c r="G396" s="41">
        <v>0</v>
      </c>
      <c r="H396" s="41">
        <v>0</v>
      </c>
      <c r="I396" s="41">
        <v>0</v>
      </c>
      <c r="J396" s="41">
        <v>0</v>
      </c>
      <c r="K396" s="40">
        <v>0</v>
      </c>
    </row>
    <row r="397" spans="1:11" x14ac:dyDescent="0.25">
      <c r="A397" s="41">
        <v>0</v>
      </c>
      <c r="B397" s="41">
        <v>0</v>
      </c>
      <c r="C397" s="41">
        <v>0</v>
      </c>
      <c r="D397" s="41">
        <v>0</v>
      </c>
      <c r="E397" s="40">
        <v>0</v>
      </c>
      <c r="G397" s="41">
        <v>0</v>
      </c>
      <c r="H397" s="41">
        <v>0</v>
      </c>
      <c r="I397" s="41">
        <v>0</v>
      </c>
      <c r="J397" s="41">
        <v>0</v>
      </c>
      <c r="K397" s="40">
        <v>0</v>
      </c>
    </row>
    <row r="398" spans="1:11" x14ac:dyDescent="0.25">
      <c r="A398" s="41">
        <v>0</v>
      </c>
      <c r="B398" s="41">
        <v>0</v>
      </c>
      <c r="C398" s="41">
        <v>0</v>
      </c>
      <c r="D398" s="41">
        <v>0</v>
      </c>
      <c r="E398" s="40">
        <v>0</v>
      </c>
      <c r="G398" s="41">
        <v>0</v>
      </c>
      <c r="H398" s="41">
        <v>0</v>
      </c>
      <c r="I398" s="41">
        <v>0</v>
      </c>
      <c r="J398" s="41">
        <v>0</v>
      </c>
      <c r="K398" s="40">
        <v>0</v>
      </c>
    </row>
    <row r="399" spans="1:11" x14ac:dyDescent="0.25">
      <c r="A399" s="41">
        <v>0</v>
      </c>
      <c r="B399" s="41">
        <v>0</v>
      </c>
      <c r="C399" s="41">
        <v>0</v>
      </c>
      <c r="D399" s="41">
        <v>0</v>
      </c>
      <c r="E399" s="40">
        <v>0</v>
      </c>
      <c r="G399" s="41">
        <v>0</v>
      </c>
      <c r="H399" s="41">
        <v>0</v>
      </c>
      <c r="I399" s="41">
        <v>0</v>
      </c>
      <c r="J399" s="41">
        <v>0</v>
      </c>
      <c r="K399" s="40">
        <v>0</v>
      </c>
    </row>
    <row r="400" spans="1:11" x14ac:dyDescent="0.25">
      <c r="A400" s="41">
        <v>0</v>
      </c>
      <c r="B400" s="41">
        <v>0</v>
      </c>
      <c r="C400" s="41">
        <v>0</v>
      </c>
      <c r="D400" s="41">
        <v>0</v>
      </c>
      <c r="E400" s="40">
        <v>0</v>
      </c>
      <c r="G400" s="41">
        <v>0</v>
      </c>
      <c r="H400" s="41">
        <v>0</v>
      </c>
      <c r="I400" s="41">
        <v>0</v>
      </c>
      <c r="J400" s="41">
        <v>0</v>
      </c>
      <c r="K400" s="40">
        <v>0</v>
      </c>
    </row>
    <row r="401" spans="1:11" x14ac:dyDescent="0.25">
      <c r="A401" s="41">
        <v>0</v>
      </c>
      <c r="B401" s="41">
        <v>0</v>
      </c>
      <c r="C401" s="41">
        <v>0</v>
      </c>
      <c r="D401" s="41">
        <v>0</v>
      </c>
      <c r="E401" s="40">
        <v>0</v>
      </c>
      <c r="G401" s="41">
        <v>0</v>
      </c>
      <c r="H401" s="41">
        <v>0</v>
      </c>
      <c r="I401" s="41">
        <v>0</v>
      </c>
      <c r="J401" s="41">
        <v>0</v>
      </c>
      <c r="K401" s="40">
        <v>0</v>
      </c>
    </row>
    <row r="402" spans="1:11" x14ac:dyDescent="0.25">
      <c r="A402" s="41">
        <v>0</v>
      </c>
      <c r="B402" s="41">
        <v>0</v>
      </c>
      <c r="C402" s="41">
        <v>0</v>
      </c>
      <c r="D402" s="41">
        <v>0</v>
      </c>
      <c r="E402" s="40">
        <v>0</v>
      </c>
      <c r="G402" s="41">
        <v>0</v>
      </c>
      <c r="H402" s="41">
        <v>0</v>
      </c>
      <c r="I402" s="41">
        <v>0</v>
      </c>
      <c r="J402" s="41">
        <v>0</v>
      </c>
      <c r="K402" s="40">
        <v>0</v>
      </c>
    </row>
    <row r="403" spans="1:11" x14ac:dyDescent="0.25">
      <c r="A403" s="41">
        <v>0</v>
      </c>
      <c r="B403" s="41">
        <v>0</v>
      </c>
      <c r="C403" s="41">
        <v>0</v>
      </c>
      <c r="D403" s="41">
        <v>0</v>
      </c>
      <c r="E403" s="40">
        <v>0</v>
      </c>
      <c r="G403" s="41">
        <v>0</v>
      </c>
      <c r="H403" s="41">
        <v>0</v>
      </c>
      <c r="I403" s="41">
        <v>0</v>
      </c>
      <c r="J403" s="41">
        <v>0</v>
      </c>
      <c r="K403" s="40">
        <v>0</v>
      </c>
    </row>
    <row r="404" spans="1:11" x14ac:dyDescent="0.25">
      <c r="A404" s="41">
        <v>0</v>
      </c>
      <c r="B404" s="41">
        <v>0</v>
      </c>
      <c r="C404" s="41">
        <v>0</v>
      </c>
      <c r="D404" s="41">
        <v>0</v>
      </c>
      <c r="E404" s="40">
        <v>0</v>
      </c>
      <c r="G404" s="41">
        <v>0</v>
      </c>
      <c r="H404" s="41">
        <v>0</v>
      </c>
      <c r="I404" s="41">
        <v>0</v>
      </c>
      <c r="J404" s="41">
        <v>0</v>
      </c>
      <c r="K404" s="40">
        <v>0</v>
      </c>
    </row>
  </sheetData>
  <mergeCells count="2">
    <mergeCell ref="A1:E1"/>
    <mergeCell ref="G1:K1"/>
  </mergeCells>
  <conditionalFormatting sqref="K4:K27 E4:E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5554-E4D6-48C0-A54F-6954A9E43964}">
  <dimension ref="A1:AO308"/>
  <sheetViews>
    <sheetView zoomScale="115" zoomScaleNormal="115" workbookViewId="0">
      <selection activeCell="O3" sqref="O3:Z51"/>
    </sheetView>
  </sheetViews>
  <sheetFormatPr defaultRowHeight="15" x14ac:dyDescent="0.25"/>
  <cols>
    <col min="1" max="4" width="9.140625" style="41"/>
    <col min="5" max="5" width="9.140625" style="40"/>
    <col min="7" max="10" width="9.140625" style="41"/>
    <col min="11" max="11" width="9.140625" style="40"/>
    <col min="12" max="18" width="9.140625" style="41"/>
    <col min="19" max="19" width="9.140625" style="65"/>
    <col min="20" max="24" width="9.140625" style="41"/>
    <col min="25" max="25" width="9.140625" style="40"/>
    <col min="26" max="26" width="9.140625" style="2"/>
    <col min="34" max="34" width="9.140625" style="40"/>
    <col min="41" max="41" width="9.140625" style="41"/>
  </cols>
  <sheetData>
    <row r="1" spans="1:26" x14ac:dyDescent="0.25">
      <c r="A1" s="86" t="s">
        <v>188</v>
      </c>
      <c r="B1" s="86"/>
      <c r="C1" s="86"/>
      <c r="D1" s="86"/>
      <c r="E1" s="86"/>
      <c r="G1" s="86" t="s">
        <v>176</v>
      </c>
      <c r="H1" s="86"/>
      <c r="I1" s="86"/>
      <c r="J1" s="86"/>
      <c r="K1" s="86"/>
    </row>
    <row r="2" spans="1:26" x14ac:dyDescent="0.25">
      <c r="A2" s="60">
        <f>INDEX(A4:A500,MATCH(MAX(E4:E500),E4:E500,0))</f>
        <v>19392</v>
      </c>
      <c r="B2" s="60">
        <f>INDEX(B4:B500,MATCH(MAX(E4:E500),E4:E500,0))</f>
        <v>192</v>
      </c>
      <c r="C2" s="60">
        <f>INDEX(C4:C500,MATCH(MAX(E4:E500),E4:E500,0))</f>
        <v>2</v>
      </c>
      <c r="D2" s="60">
        <f>INDEX(D4:D500,MATCH(MAX(E4:E500),E4:E500,0))</f>
        <v>4</v>
      </c>
      <c r="E2" s="67">
        <f>MAX(E4:E500)</f>
        <v>2.1006999999999998</v>
      </c>
      <c r="G2" s="60">
        <f>INDEX(G4:G500,MATCH(MAX(K4:K500),K4:K500,0))</f>
        <v>19264</v>
      </c>
      <c r="H2" s="60">
        <f>INDEX(H4:H500,MATCH(MAX(K4:K500),K4:K500,0))</f>
        <v>224</v>
      </c>
      <c r="I2" s="60">
        <f>INDEX(I4:I500,MATCH(MAX(K4:K500),K4:K500,0))</f>
        <v>1</v>
      </c>
      <c r="J2" s="60">
        <f>INDEX(J4:J500,MATCH(MAX(K4:K500),K4:K500,0))</f>
        <v>8</v>
      </c>
      <c r="K2" s="67">
        <f>MAX(K4:K500)</f>
        <v>2.3454000000000002</v>
      </c>
    </row>
    <row r="3" spans="1:26" x14ac:dyDescent="0.25">
      <c r="A3" s="60" t="s">
        <v>2</v>
      </c>
      <c r="B3" s="60" t="s">
        <v>3</v>
      </c>
      <c r="C3" s="60" t="s">
        <v>4</v>
      </c>
      <c r="D3" s="60" t="s">
        <v>5</v>
      </c>
      <c r="E3" s="50" t="s">
        <v>175</v>
      </c>
      <c r="G3" s="60" t="s">
        <v>2</v>
      </c>
      <c r="H3" s="60" t="s">
        <v>3</v>
      </c>
      <c r="I3" s="60" t="s">
        <v>4</v>
      </c>
      <c r="J3" s="60" t="s">
        <v>5</v>
      </c>
      <c r="K3" s="50" t="s">
        <v>175</v>
      </c>
      <c r="N3" s="41" t="s">
        <v>2</v>
      </c>
      <c r="O3" s="41" t="s">
        <v>191</v>
      </c>
      <c r="P3" s="41" t="s">
        <v>3</v>
      </c>
      <c r="Q3" s="41" t="s">
        <v>4</v>
      </c>
      <c r="R3" s="41" t="s">
        <v>5</v>
      </c>
      <c r="S3" s="65" t="s">
        <v>175</v>
      </c>
      <c r="U3" s="41" t="s">
        <v>2</v>
      </c>
      <c r="V3" s="41" t="s">
        <v>191</v>
      </c>
      <c r="W3" s="41" t="s">
        <v>3</v>
      </c>
      <c r="X3" s="41" t="s">
        <v>4</v>
      </c>
      <c r="Y3" s="40" t="s">
        <v>5</v>
      </c>
      <c r="Z3" s="2" t="s">
        <v>175</v>
      </c>
    </row>
    <row r="4" spans="1:26" x14ac:dyDescent="0.25">
      <c r="A4" s="41" cm="1">
        <f t="array" ref="A4:E308">_xlfn.CHOOSECOLS(_xlfn._xlws.FILTER('4 node, params, RAW'!A4:W500,'4 node, params, RAW'!A4:A500=0),3,4,5,6,23)</f>
        <v>18368</v>
      </c>
      <c r="B4" s="41">
        <v>32</v>
      </c>
      <c r="C4" s="41">
        <v>1</v>
      </c>
      <c r="D4" s="41">
        <v>8</v>
      </c>
      <c r="E4" s="40">
        <v>1.9202600000000001</v>
      </c>
      <c r="G4" s="41" cm="1">
        <f t="array" ref="G4:K308">_xlfn.CHOOSECOLS(_xlfn._xlws.FILTER('4 node, params, RAW'!Y4:AU500,'4 node, params, RAW'!Y4:Y500=0),3,4,5,6,23)</f>
        <v>18368</v>
      </c>
      <c r="H4" s="41">
        <v>32</v>
      </c>
      <c r="I4" s="41">
        <v>1</v>
      </c>
      <c r="J4" s="41">
        <v>8</v>
      </c>
      <c r="K4" s="40">
        <v>2.069</v>
      </c>
      <c r="N4" s="41">
        <v>18368</v>
      </c>
      <c r="O4" s="41">
        <f t="shared" ref="O4:O51" si="0">IF(ABS(N4-18368)&lt;ABS(N4-19456),IF(ABS(N4-18368)&lt;ABS(N4-20544),18368,20544),IF(ABS(N4-19456)&lt;ABS(N4-20544),19456,20544))</f>
        <v>18368</v>
      </c>
      <c r="P4" s="41">
        <v>32</v>
      </c>
      <c r="Q4" s="41">
        <v>1</v>
      </c>
      <c r="R4" s="41">
        <v>8</v>
      </c>
      <c r="S4" s="65">
        <v>1.9202600000000001</v>
      </c>
      <c r="U4" s="41">
        <v>18368</v>
      </c>
      <c r="V4" s="41">
        <f t="shared" ref="V4:V51" si="1">IF(ABS(U4-18368)&lt;ABS(U4-19456),IF(ABS(U4-18368)&lt;ABS(U4-20544),18368,20544),IF(ABS(U4-19456)&lt;ABS(U4-20544),19456,20544))</f>
        <v>18368</v>
      </c>
      <c r="W4" s="41">
        <v>32</v>
      </c>
      <c r="X4" s="41">
        <v>1</v>
      </c>
      <c r="Y4" s="40">
        <v>8</v>
      </c>
      <c r="Z4" s="2">
        <v>2.069</v>
      </c>
    </row>
    <row r="5" spans="1:26" x14ac:dyDescent="0.25">
      <c r="A5" s="41">
        <v>19456</v>
      </c>
      <c r="B5" s="41">
        <v>32</v>
      </c>
      <c r="C5" s="41">
        <v>1</v>
      </c>
      <c r="D5" s="41">
        <v>8</v>
      </c>
      <c r="E5" s="40">
        <v>1.87564</v>
      </c>
      <c r="G5" s="41">
        <v>19456</v>
      </c>
      <c r="H5" s="41">
        <v>32</v>
      </c>
      <c r="I5" s="41">
        <v>1</v>
      </c>
      <c r="J5" s="41">
        <v>8</v>
      </c>
      <c r="K5" s="40">
        <v>2.0891000000000002</v>
      </c>
      <c r="N5" s="41">
        <v>18368</v>
      </c>
      <c r="O5" s="41">
        <f t="shared" si="0"/>
        <v>18368</v>
      </c>
      <c r="P5" s="41">
        <v>64</v>
      </c>
      <c r="Q5" s="41">
        <v>1</v>
      </c>
      <c r="R5" s="41">
        <v>8</v>
      </c>
      <c r="S5" s="65">
        <v>1.9486599999999998</v>
      </c>
      <c r="U5" s="41">
        <v>18368</v>
      </c>
      <c r="V5" s="41">
        <f t="shared" si="1"/>
        <v>18368</v>
      </c>
      <c r="W5" s="41">
        <v>64</v>
      </c>
      <c r="X5" s="41">
        <v>1</v>
      </c>
      <c r="Y5" s="40">
        <v>8</v>
      </c>
      <c r="Z5" s="2">
        <v>2.2087600000000003</v>
      </c>
    </row>
    <row r="6" spans="1:26" x14ac:dyDescent="0.25">
      <c r="A6" s="41">
        <v>20544</v>
      </c>
      <c r="B6" s="41">
        <v>32</v>
      </c>
      <c r="C6" s="41">
        <v>1</v>
      </c>
      <c r="D6" s="41">
        <v>8</v>
      </c>
      <c r="E6" s="40">
        <v>1.9690199999999998</v>
      </c>
      <c r="G6" s="41">
        <v>20544</v>
      </c>
      <c r="H6" s="41">
        <v>32</v>
      </c>
      <c r="I6" s="41">
        <v>1</v>
      </c>
      <c r="J6" s="41">
        <v>8</v>
      </c>
      <c r="K6" s="40">
        <v>2.12486</v>
      </c>
      <c r="N6" s="41">
        <v>18336</v>
      </c>
      <c r="O6" s="41">
        <f t="shared" si="0"/>
        <v>18368</v>
      </c>
      <c r="P6" s="41">
        <v>96</v>
      </c>
      <c r="Q6" s="41">
        <v>1</v>
      </c>
      <c r="R6" s="41">
        <v>8</v>
      </c>
      <c r="S6" s="65">
        <v>2.0628000000000002</v>
      </c>
      <c r="U6" s="41">
        <v>18336</v>
      </c>
      <c r="V6" s="41">
        <f t="shared" si="1"/>
        <v>18368</v>
      </c>
      <c r="W6" s="41">
        <v>96</v>
      </c>
      <c r="X6" s="41">
        <v>1</v>
      </c>
      <c r="Y6" s="40">
        <v>8</v>
      </c>
      <c r="Z6" s="2">
        <v>2.2627600000000001</v>
      </c>
    </row>
    <row r="7" spans="1:26" x14ac:dyDescent="0.25">
      <c r="A7" s="41">
        <v>18368</v>
      </c>
      <c r="B7" s="41">
        <v>32</v>
      </c>
      <c r="C7" s="41">
        <v>2</v>
      </c>
      <c r="D7" s="41">
        <v>4</v>
      </c>
      <c r="E7" s="40">
        <v>1.97662</v>
      </c>
      <c r="G7" s="41">
        <v>18368</v>
      </c>
      <c r="H7" s="41">
        <v>32</v>
      </c>
      <c r="I7" s="41">
        <v>2</v>
      </c>
      <c r="J7" s="41">
        <v>4</v>
      </c>
      <c r="K7" s="40">
        <v>2.0491199999999998</v>
      </c>
      <c r="N7" s="41">
        <v>18304</v>
      </c>
      <c r="O7" s="41">
        <f t="shared" si="0"/>
        <v>18368</v>
      </c>
      <c r="P7" s="41">
        <v>128</v>
      </c>
      <c r="Q7" s="41">
        <v>1</v>
      </c>
      <c r="R7" s="41">
        <v>8</v>
      </c>
      <c r="S7" s="65">
        <v>1.98472</v>
      </c>
      <c r="U7" s="41">
        <v>18304</v>
      </c>
      <c r="V7" s="41">
        <f t="shared" si="1"/>
        <v>18368</v>
      </c>
      <c r="W7" s="41">
        <v>128</v>
      </c>
      <c r="X7" s="41">
        <v>1</v>
      </c>
      <c r="Y7" s="40">
        <v>8</v>
      </c>
      <c r="Z7" s="2">
        <v>2.2298400000000003</v>
      </c>
    </row>
    <row r="8" spans="1:26" x14ac:dyDescent="0.25">
      <c r="A8" s="41">
        <v>19456</v>
      </c>
      <c r="B8" s="41">
        <v>32</v>
      </c>
      <c r="C8" s="41">
        <v>2</v>
      </c>
      <c r="D8" s="41">
        <v>4</v>
      </c>
      <c r="E8" s="40">
        <v>1.96984</v>
      </c>
      <c r="G8" s="41">
        <v>19456</v>
      </c>
      <c r="H8" s="41">
        <v>32</v>
      </c>
      <c r="I8" s="41">
        <v>2</v>
      </c>
      <c r="J8" s="41">
        <v>4</v>
      </c>
      <c r="K8" s="40">
        <v>2.07586</v>
      </c>
      <c r="N8" s="41">
        <v>18240</v>
      </c>
      <c r="O8" s="41">
        <f t="shared" si="0"/>
        <v>18368</v>
      </c>
      <c r="P8" s="41">
        <v>160</v>
      </c>
      <c r="Q8" s="41">
        <v>1</v>
      </c>
      <c r="R8" s="41">
        <v>8</v>
      </c>
      <c r="S8" s="65">
        <v>2.03484</v>
      </c>
      <c r="U8" s="41">
        <v>18240</v>
      </c>
      <c r="V8" s="41">
        <f t="shared" si="1"/>
        <v>18368</v>
      </c>
      <c r="W8" s="41">
        <v>160</v>
      </c>
      <c r="X8" s="41">
        <v>1</v>
      </c>
      <c r="Y8" s="40">
        <v>8</v>
      </c>
      <c r="Z8" s="2">
        <v>2.26884</v>
      </c>
    </row>
    <row r="9" spans="1:26" x14ac:dyDescent="0.25">
      <c r="A9" s="41">
        <v>20544</v>
      </c>
      <c r="B9" s="41">
        <v>32</v>
      </c>
      <c r="C9" s="41">
        <v>2</v>
      </c>
      <c r="D9" s="41">
        <v>4</v>
      </c>
      <c r="E9" s="40">
        <v>1.9772400000000001</v>
      </c>
      <c r="G9" s="41">
        <v>20544</v>
      </c>
      <c r="H9" s="41">
        <v>32</v>
      </c>
      <c r="I9" s="41">
        <v>2</v>
      </c>
      <c r="J9" s="41">
        <v>4</v>
      </c>
      <c r="K9" s="40">
        <v>2.1103200000000002</v>
      </c>
      <c r="N9" s="41">
        <v>18240</v>
      </c>
      <c r="O9" s="41">
        <f t="shared" si="0"/>
        <v>18368</v>
      </c>
      <c r="P9" s="41">
        <v>192</v>
      </c>
      <c r="Q9" s="41">
        <v>1</v>
      </c>
      <c r="R9" s="41">
        <v>8</v>
      </c>
      <c r="S9" s="65">
        <v>2.0467000000000004</v>
      </c>
      <c r="U9" s="41">
        <v>18240</v>
      </c>
      <c r="V9" s="41">
        <f t="shared" si="1"/>
        <v>18368</v>
      </c>
      <c r="W9" s="41">
        <v>192</v>
      </c>
      <c r="X9" s="41">
        <v>1</v>
      </c>
      <c r="Y9" s="40">
        <v>8</v>
      </c>
      <c r="Z9" s="2">
        <v>2.2977799999999999</v>
      </c>
    </row>
    <row r="10" spans="1:26" x14ac:dyDescent="0.25">
      <c r="A10" s="41">
        <v>18368</v>
      </c>
      <c r="B10" s="41">
        <v>64</v>
      </c>
      <c r="C10" s="41">
        <v>1</v>
      </c>
      <c r="D10" s="41">
        <v>8</v>
      </c>
      <c r="E10" s="40">
        <v>1.9486599999999998</v>
      </c>
      <c r="G10" s="41">
        <v>18368</v>
      </c>
      <c r="H10" s="41">
        <v>64</v>
      </c>
      <c r="I10" s="41">
        <v>1</v>
      </c>
      <c r="J10" s="41">
        <v>8</v>
      </c>
      <c r="K10" s="40">
        <v>2.2087600000000003</v>
      </c>
      <c r="N10" s="41">
        <v>18368</v>
      </c>
      <c r="O10" s="41">
        <f t="shared" si="0"/>
        <v>18368</v>
      </c>
      <c r="P10" s="41">
        <v>224</v>
      </c>
      <c r="Q10" s="41">
        <v>1</v>
      </c>
      <c r="R10" s="41">
        <v>8</v>
      </c>
      <c r="S10" s="65">
        <v>2.0196999999999998</v>
      </c>
      <c r="U10" s="41">
        <v>18368</v>
      </c>
      <c r="V10" s="41">
        <f t="shared" si="1"/>
        <v>18368</v>
      </c>
      <c r="W10" s="41">
        <v>224</v>
      </c>
      <c r="X10" s="41">
        <v>1</v>
      </c>
      <c r="Y10" s="40">
        <v>8</v>
      </c>
      <c r="Z10" s="2">
        <v>2.3356599999999998</v>
      </c>
    </row>
    <row r="11" spans="1:26" x14ac:dyDescent="0.25">
      <c r="A11" s="41">
        <v>19456</v>
      </c>
      <c r="B11" s="41">
        <v>64</v>
      </c>
      <c r="C11" s="41">
        <v>1</v>
      </c>
      <c r="D11" s="41">
        <v>8</v>
      </c>
      <c r="E11" s="40">
        <v>1.9695799999999999</v>
      </c>
      <c r="G11" s="41">
        <v>19456</v>
      </c>
      <c r="H11" s="41">
        <v>64</v>
      </c>
      <c r="I11" s="41">
        <v>1</v>
      </c>
      <c r="J11" s="41">
        <v>8</v>
      </c>
      <c r="K11" s="40">
        <v>2.25814</v>
      </c>
      <c r="N11" s="41">
        <v>18176</v>
      </c>
      <c r="O11" s="41">
        <f t="shared" si="0"/>
        <v>18368</v>
      </c>
      <c r="P11" s="41">
        <v>256</v>
      </c>
      <c r="Q11" s="41">
        <v>1</v>
      </c>
      <c r="R11" s="41">
        <v>8</v>
      </c>
      <c r="S11" s="65">
        <v>2.0209999999999999</v>
      </c>
      <c r="U11" s="41">
        <v>18176</v>
      </c>
      <c r="V11" s="41">
        <f t="shared" si="1"/>
        <v>18368</v>
      </c>
      <c r="W11" s="41">
        <v>256</v>
      </c>
      <c r="X11" s="41">
        <v>1</v>
      </c>
      <c r="Y11" s="40">
        <v>8</v>
      </c>
      <c r="Z11" s="2">
        <v>2.2600199999999999</v>
      </c>
    </row>
    <row r="12" spans="1:26" x14ac:dyDescent="0.25">
      <c r="A12" s="41">
        <v>20544</v>
      </c>
      <c r="B12" s="41">
        <v>64</v>
      </c>
      <c r="C12" s="41">
        <v>1</v>
      </c>
      <c r="D12" s="41">
        <v>8</v>
      </c>
      <c r="E12" s="40">
        <v>1.98838</v>
      </c>
      <c r="G12" s="41">
        <v>20544</v>
      </c>
      <c r="H12" s="41">
        <v>64</v>
      </c>
      <c r="I12" s="41">
        <v>1</v>
      </c>
      <c r="J12" s="41">
        <v>8</v>
      </c>
      <c r="K12" s="40">
        <v>2.2742799999999996</v>
      </c>
      <c r="N12" s="41">
        <v>19456</v>
      </c>
      <c r="O12" s="41">
        <f t="shared" si="0"/>
        <v>19456</v>
      </c>
      <c r="P12" s="41">
        <v>32</v>
      </c>
      <c r="Q12" s="41">
        <v>1</v>
      </c>
      <c r="R12" s="41">
        <v>8</v>
      </c>
      <c r="S12" s="65">
        <v>1.87564</v>
      </c>
      <c r="U12" s="41">
        <v>19456</v>
      </c>
      <c r="V12" s="41">
        <f t="shared" si="1"/>
        <v>19456</v>
      </c>
      <c r="W12" s="41">
        <v>32</v>
      </c>
      <c r="X12" s="41">
        <v>1</v>
      </c>
      <c r="Y12" s="40">
        <v>8</v>
      </c>
      <c r="Z12" s="2">
        <v>2.0891000000000002</v>
      </c>
    </row>
    <row r="13" spans="1:26" x14ac:dyDescent="0.25">
      <c r="A13" s="41">
        <v>18368</v>
      </c>
      <c r="B13" s="41">
        <v>64</v>
      </c>
      <c r="C13" s="41">
        <v>2</v>
      </c>
      <c r="D13" s="41">
        <v>4</v>
      </c>
      <c r="E13" s="40">
        <v>2.00482</v>
      </c>
      <c r="G13" s="41">
        <v>18368</v>
      </c>
      <c r="H13" s="41">
        <v>64</v>
      </c>
      <c r="I13" s="41">
        <v>2</v>
      </c>
      <c r="J13" s="41">
        <v>4</v>
      </c>
      <c r="K13" s="40">
        <v>2.1818400000000002</v>
      </c>
      <c r="N13" s="41">
        <v>19456</v>
      </c>
      <c r="O13" s="41">
        <f t="shared" si="0"/>
        <v>19456</v>
      </c>
      <c r="P13" s="41">
        <v>64</v>
      </c>
      <c r="Q13" s="41">
        <v>1</v>
      </c>
      <c r="R13" s="41">
        <v>8</v>
      </c>
      <c r="S13" s="65">
        <v>1.9695799999999999</v>
      </c>
      <c r="U13" s="41">
        <v>19456</v>
      </c>
      <c r="V13" s="41">
        <f t="shared" si="1"/>
        <v>19456</v>
      </c>
      <c r="W13" s="41">
        <v>64</v>
      </c>
      <c r="X13" s="41">
        <v>1</v>
      </c>
      <c r="Y13" s="40">
        <v>8</v>
      </c>
      <c r="Z13" s="2">
        <v>2.25814</v>
      </c>
    </row>
    <row r="14" spans="1:26" x14ac:dyDescent="0.25">
      <c r="A14" s="41">
        <v>19456</v>
      </c>
      <c r="B14" s="41">
        <v>64</v>
      </c>
      <c r="C14" s="41">
        <v>2</v>
      </c>
      <c r="D14" s="41">
        <v>4</v>
      </c>
      <c r="E14" s="40">
        <v>1.9548400000000001</v>
      </c>
      <c r="G14" s="41">
        <v>19456</v>
      </c>
      <c r="H14" s="41">
        <v>64</v>
      </c>
      <c r="I14" s="41">
        <v>2</v>
      </c>
      <c r="J14" s="41">
        <v>4</v>
      </c>
      <c r="K14" s="40">
        <v>2.2509199999999998</v>
      </c>
      <c r="N14" s="41">
        <v>19392</v>
      </c>
      <c r="O14" s="41">
        <f t="shared" si="0"/>
        <v>19456</v>
      </c>
      <c r="P14" s="41">
        <v>96</v>
      </c>
      <c r="Q14" s="41">
        <v>1</v>
      </c>
      <c r="R14" s="41">
        <v>8</v>
      </c>
      <c r="S14" s="65">
        <v>2.0867000000000004</v>
      </c>
      <c r="U14" s="41">
        <v>19392</v>
      </c>
      <c r="V14" s="41">
        <f t="shared" si="1"/>
        <v>19456</v>
      </c>
      <c r="W14" s="41">
        <v>96</v>
      </c>
      <c r="X14" s="41">
        <v>1</v>
      </c>
      <c r="Y14" s="40">
        <v>8</v>
      </c>
      <c r="Z14" s="2">
        <v>2.2834599999999998</v>
      </c>
    </row>
    <row r="15" spans="1:26" x14ac:dyDescent="0.25">
      <c r="A15" s="41">
        <v>20544</v>
      </c>
      <c r="B15" s="41">
        <v>64</v>
      </c>
      <c r="C15" s="41">
        <v>2</v>
      </c>
      <c r="D15" s="41">
        <v>4</v>
      </c>
      <c r="E15" s="40">
        <v>1.5726600000000002</v>
      </c>
      <c r="G15" s="41">
        <v>20544</v>
      </c>
      <c r="H15" s="41">
        <v>64</v>
      </c>
      <c r="I15" s="41">
        <v>2</v>
      </c>
      <c r="J15" s="41">
        <v>4</v>
      </c>
      <c r="K15" s="40">
        <v>2.23576</v>
      </c>
      <c r="N15" s="41">
        <v>19456</v>
      </c>
      <c r="O15" s="41">
        <f t="shared" si="0"/>
        <v>19456</v>
      </c>
      <c r="P15" s="41">
        <v>128</v>
      </c>
      <c r="Q15" s="41">
        <v>1</v>
      </c>
      <c r="R15" s="41">
        <v>8</v>
      </c>
      <c r="S15" s="65">
        <v>1.9929199999999998</v>
      </c>
      <c r="U15" s="41">
        <v>19456</v>
      </c>
      <c r="V15" s="41">
        <f t="shared" si="1"/>
        <v>19456</v>
      </c>
      <c r="W15" s="41">
        <v>128</v>
      </c>
      <c r="X15" s="41">
        <v>1</v>
      </c>
      <c r="Y15" s="40">
        <v>8</v>
      </c>
      <c r="Z15" s="2">
        <v>2.2664</v>
      </c>
    </row>
    <row r="16" spans="1:26" x14ac:dyDescent="0.25">
      <c r="A16" s="41">
        <v>18336</v>
      </c>
      <c r="B16" s="41">
        <v>96</v>
      </c>
      <c r="C16" s="41">
        <v>1</v>
      </c>
      <c r="D16" s="41">
        <v>8</v>
      </c>
      <c r="E16" s="40">
        <v>2.0628000000000002</v>
      </c>
      <c r="G16" s="41">
        <v>18336</v>
      </c>
      <c r="H16" s="41">
        <v>96</v>
      </c>
      <c r="I16" s="41">
        <v>1</v>
      </c>
      <c r="J16" s="41">
        <v>8</v>
      </c>
      <c r="K16" s="40">
        <v>2.2627600000000001</v>
      </c>
      <c r="N16" s="41">
        <v>19360</v>
      </c>
      <c r="O16" s="41">
        <f t="shared" si="0"/>
        <v>19456</v>
      </c>
      <c r="P16" s="41">
        <v>160</v>
      </c>
      <c r="Q16" s="41">
        <v>1</v>
      </c>
      <c r="R16" s="41">
        <v>8</v>
      </c>
      <c r="S16" s="65">
        <v>2.0561600000000007</v>
      </c>
      <c r="U16" s="41">
        <v>19360</v>
      </c>
      <c r="V16" s="41">
        <f t="shared" si="1"/>
        <v>19456</v>
      </c>
      <c r="W16" s="41">
        <v>160</v>
      </c>
      <c r="X16" s="41">
        <v>1</v>
      </c>
      <c r="Y16" s="40">
        <v>8</v>
      </c>
      <c r="Z16" s="2">
        <v>2.3001999999999998</v>
      </c>
    </row>
    <row r="17" spans="1:26" x14ac:dyDescent="0.25">
      <c r="A17" s="41">
        <v>19392</v>
      </c>
      <c r="B17" s="41">
        <v>96</v>
      </c>
      <c r="C17" s="41">
        <v>1</v>
      </c>
      <c r="D17" s="41">
        <v>8</v>
      </c>
      <c r="E17" s="40">
        <v>2.0867000000000004</v>
      </c>
      <c r="G17" s="41">
        <v>19392</v>
      </c>
      <c r="H17" s="41">
        <v>96</v>
      </c>
      <c r="I17" s="41">
        <v>1</v>
      </c>
      <c r="J17" s="41">
        <v>8</v>
      </c>
      <c r="K17" s="40">
        <v>2.2834599999999998</v>
      </c>
      <c r="N17" s="41">
        <v>19392</v>
      </c>
      <c r="O17" s="41">
        <f t="shared" si="0"/>
        <v>19456</v>
      </c>
      <c r="P17" s="41">
        <v>192</v>
      </c>
      <c r="Q17" s="41">
        <v>1</v>
      </c>
      <c r="R17" s="41">
        <v>8</v>
      </c>
      <c r="S17" s="65">
        <v>2.0668599999999997</v>
      </c>
      <c r="U17" s="41">
        <v>19392</v>
      </c>
      <c r="V17" s="41">
        <f t="shared" si="1"/>
        <v>19456</v>
      </c>
      <c r="W17" s="41">
        <v>192</v>
      </c>
      <c r="X17" s="41">
        <v>1</v>
      </c>
      <c r="Y17" s="40">
        <v>8</v>
      </c>
      <c r="Z17" s="2">
        <v>2.3142400000000003</v>
      </c>
    </row>
    <row r="18" spans="1:26" x14ac:dyDescent="0.25">
      <c r="A18" s="41">
        <v>20544</v>
      </c>
      <c r="B18" s="41">
        <v>96</v>
      </c>
      <c r="C18" s="41">
        <v>1</v>
      </c>
      <c r="D18" s="41">
        <v>8</v>
      </c>
      <c r="E18" s="40">
        <v>2.0710000000000002</v>
      </c>
      <c r="G18" s="41">
        <v>20544</v>
      </c>
      <c r="H18" s="41">
        <v>96</v>
      </c>
      <c r="I18" s="41">
        <v>1</v>
      </c>
      <c r="J18" s="41">
        <v>8</v>
      </c>
      <c r="K18" s="40">
        <v>2.30742</v>
      </c>
      <c r="N18" s="41">
        <v>19264</v>
      </c>
      <c r="O18" s="41">
        <f t="shared" si="0"/>
        <v>19456</v>
      </c>
      <c r="P18" s="41">
        <v>224</v>
      </c>
      <c r="Q18" s="41">
        <v>1</v>
      </c>
      <c r="R18" s="41">
        <v>8</v>
      </c>
      <c r="S18" s="65">
        <v>2.0819199999999998</v>
      </c>
      <c r="U18" s="41">
        <v>19264</v>
      </c>
      <c r="V18" s="41">
        <f t="shared" si="1"/>
        <v>19456</v>
      </c>
      <c r="W18" s="41">
        <v>224</v>
      </c>
      <c r="X18" s="41">
        <v>1</v>
      </c>
      <c r="Y18" s="40">
        <v>8</v>
      </c>
      <c r="Z18" s="2">
        <v>2.3454000000000002</v>
      </c>
    </row>
    <row r="19" spans="1:26" x14ac:dyDescent="0.25">
      <c r="A19" s="41">
        <v>18336</v>
      </c>
      <c r="B19" s="41">
        <v>96</v>
      </c>
      <c r="C19" s="41">
        <v>2</v>
      </c>
      <c r="D19" s="41">
        <v>4</v>
      </c>
      <c r="E19" s="40">
        <v>2.0272600000000001</v>
      </c>
      <c r="G19" s="41">
        <v>18336</v>
      </c>
      <c r="H19" s="41">
        <v>96</v>
      </c>
      <c r="I19" s="41">
        <v>2</v>
      </c>
      <c r="J19" s="41">
        <v>4</v>
      </c>
      <c r="K19" s="40">
        <v>2.19706</v>
      </c>
      <c r="N19" s="41">
        <v>19456</v>
      </c>
      <c r="O19" s="41">
        <f t="shared" si="0"/>
        <v>19456</v>
      </c>
      <c r="P19" s="41">
        <v>256</v>
      </c>
      <c r="Q19" s="41">
        <v>1</v>
      </c>
      <c r="R19" s="41">
        <v>8</v>
      </c>
      <c r="S19" s="65">
        <v>1.9952400000000001</v>
      </c>
      <c r="U19" s="41">
        <v>19456</v>
      </c>
      <c r="V19" s="41">
        <f t="shared" si="1"/>
        <v>19456</v>
      </c>
      <c r="W19" s="41">
        <v>256</v>
      </c>
      <c r="X19" s="41">
        <v>1</v>
      </c>
      <c r="Y19" s="40">
        <v>8</v>
      </c>
      <c r="Z19" s="2">
        <v>2.3167</v>
      </c>
    </row>
    <row r="20" spans="1:26" x14ac:dyDescent="0.25">
      <c r="A20" s="41">
        <v>19392</v>
      </c>
      <c r="B20" s="41">
        <v>96</v>
      </c>
      <c r="C20" s="41">
        <v>2</v>
      </c>
      <c r="D20" s="41">
        <v>4</v>
      </c>
      <c r="E20" s="40">
        <v>2.0773600000000001</v>
      </c>
      <c r="G20" s="41">
        <v>19392</v>
      </c>
      <c r="H20" s="41">
        <v>96</v>
      </c>
      <c r="I20" s="41">
        <v>2</v>
      </c>
      <c r="J20" s="41">
        <v>4</v>
      </c>
      <c r="K20" s="40">
        <v>2.2492200000000002</v>
      </c>
      <c r="N20" s="41">
        <v>20544</v>
      </c>
      <c r="O20" s="41">
        <f t="shared" si="0"/>
        <v>20544</v>
      </c>
      <c r="P20" s="41">
        <v>32</v>
      </c>
      <c r="Q20" s="41">
        <v>1</v>
      </c>
      <c r="R20" s="41">
        <v>8</v>
      </c>
      <c r="S20" s="65">
        <v>1.9690199999999998</v>
      </c>
      <c r="U20" s="41">
        <v>20544</v>
      </c>
      <c r="V20" s="41">
        <f t="shared" si="1"/>
        <v>20544</v>
      </c>
      <c r="W20" s="41">
        <v>32</v>
      </c>
      <c r="X20" s="41">
        <v>1</v>
      </c>
      <c r="Y20" s="40">
        <v>8</v>
      </c>
      <c r="Z20" s="2">
        <v>2.12486</v>
      </c>
    </row>
    <row r="21" spans="1:26" x14ac:dyDescent="0.25">
      <c r="A21" s="41">
        <v>20544</v>
      </c>
      <c r="B21" s="41">
        <v>96</v>
      </c>
      <c r="C21" s="41">
        <v>2</v>
      </c>
      <c r="D21" s="41">
        <v>4</v>
      </c>
      <c r="E21" s="40">
        <v>2.0569800000000003</v>
      </c>
      <c r="G21" s="41">
        <v>20544</v>
      </c>
      <c r="H21" s="41">
        <v>96</v>
      </c>
      <c r="I21" s="41">
        <v>2</v>
      </c>
      <c r="J21" s="41">
        <v>4</v>
      </c>
      <c r="K21" s="40">
        <v>2.2382199999999997</v>
      </c>
      <c r="N21" s="41">
        <v>20544</v>
      </c>
      <c r="O21" s="41">
        <f t="shared" si="0"/>
        <v>20544</v>
      </c>
      <c r="P21" s="41">
        <v>64</v>
      </c>
      <c r="Q21" s="41">
        <v>1</v>
      </c>
      <c r="R21" s="41">
        <v>8</v>
      </c>
      <c r="S21" s="65">
        <v>1.98838</v>
      </c>
      <c r="U21" s="41">
        <v>20544</v>
      </c>
      <c r="V21" s="41">
        <f t="shared" si="1"/>
        <v>20544</v>
      </c>
      <c r="W21" s="41">
        <v>64</v>
      </c>
      <c r="X21" s="41">
        <v>1</v>
      </c>
      <c r="Y21" s="40">
        <v>8</v>
      </c>
      <c r="Z21" s="2">
        <v>2.2742799999999996</v>
      </c>
    </row>
    <row r="22" spans="1:26" x14ac:dyDescent="0.25">
      <c r="A22" s="41">
        <v>18304</v>
      </c>
      <c r="B22" s="41">
        <v>128</v>
      </c>
      <c r="C22" s="41">
        <v>1</v>
      </c>
      <c r="D22" s="41">
        <v>8</v>
      </c>
      <c r="E22" s="40">
        <v>1.98472</v>
      </c>
      <c r="G22" s="41">
        <v>18304</v>
      </c>
      <c r="H22" s="41">
        <v>128</v>
      </c>
      <c r="I22" s="41">
        <v>1</v>
      </c>
      <c r="J22" s="41">
        <v>8</v>
      </c>
      <c r="K22" s="40">
        <v>2.2298400000000003</v>
      </c>
      <c r="N22" s="41">
        <v>20544</v>
      </c>
      <c r="O22" s="41">
        <f t="shared" si="0"/>
        <v>20544</v>
      </c>
      <c r="P22" s="41">
        <v>96</v>
      </c>
      <c r="Q22" s="41">
        <v>1</v>
      </c>
      <c r="R22" s="41">
        <v>8</v>
      </c>
      <c r="S22" s="65">
        <v>2.0710000000000002</v>
      </c>
      <c r="U22" s="41">
        <v>20544</v>
      </c>
      <c r="V22" s="41">
        <f t="shared" si="1"/>
        <v>20544</v>
      </c>
      <c r="W22" s="41">
        <v>96</v>
      </c>
      <c r="X22" s="41">
        <v>1</v>
      </c>
      <c r="Y22" s="40">
        <v>8</v>
      </c>
      <c r="Z22" s="2">
        <v>2.30742</v>
      </c>
    </row>
    <row r="23" spans="1:26" x14ac:dyDescent="0.25">
      <c r="A23" s="41">
        <v>19456</v>
      </c>
      <c r="B23" s="41">
        <v>128</v>
      </c>
      <c r="C23" s="41">
        <v>1</v>
      </c>
      <c r="D23" s="41">
        <v>8</v>
      </c>
      <c r="E23" s="40">
        <v>1.9929199999999998</v>
      </c>
      <c r="G23" s="41">
        <v>19456</v>
      </c>
      <c r="H23" s="41">
        <v>128</v>
      </c>
      <c r="I23" s="41">
        <v>1</v>
      </c>
      <c r="J23" s="41">
        <v>8</v>
      </c>
      <c r="K23" s="40">
        <v>2.2664</v>
      </c>
      <c r="N23" s="41">
        <v>20480</v>
      </c>
      <c r="O23" s="41">
        <f t="shared" si="0"/>
        <v>20544</v>
      </c>
      <c r="P23" s="41">
        <v>128</v>
      </c>
      <c r="Q23" s="41">
        <v>1</v>
      </c>
      <c r="R23" s="41">
        <v>8</v>
      </c>
      <c r="S23" s="65">
        <v>1.9901400000000002</v>
      </c>
      <c r="U23" s="41">
        <v>20480</v>
      </c>
      <c r="V23" s="41">
        <f t="shared" si="1"/>
        <v>20544</v>
      </c>
      <c r="W23" s="41">
        <v>128</v>
      </c>
      <c r="X23" s="41">
        <v>1</v>
      </c>
      <c r="Y23" s="40">
        <v>8</v>
      </c>
      <c r="Z23" s="2">
        <v>2.2870599999999999</v>
      </c>
    </row>
    <row r="24" spans="1:26" x14ac:dyDescent="0.25">
      <c r="A24" s="41">
        <v>20480</v>
      </c>
      <c r="B24" s="41">
        <v>128</v>
      </c>
      <c r="C24" s="41">
        <v>1</v>
      </c>
      <c r="D24" s="41">
        <v>8</v>
      </c>
      <c r="E24" s="40">
        <v>1.9901400000000002</v>
      </c>
      <c r="G24" s="41">
        <v>20480</v>
      </c>
      <c r="H24" s="41">
        <v>128</v>
      </c>
      <c r="I24" s="41">
        <v>1</v>
      </c>
      <c r="J24" s="41">
        <v>8</v>
      </c>
      <c r="K24" s="40">
        <v>2.2870599999999999</v>
      </c>
      <c r="N24" s="41">
        <v>20480</v>
      </c>
      <c r="O24" s="41">
        <f t="shared" si="0"/>
        <v>20544</v>
      </c>
      <c r="P24" s="41">
        <v>160</v>
      </c>
      <c r="Q24" s="41">
        <v>1</v>
      </c>
      <c r="R24" s="41">
        <v>8</v>
      </c>
      <c r="S24" s="65">
        <v>1.6211199999999999</v>
      </c>
      <c r="U24" s="41">
        <v>20480</v>
      </c>
      <c r="V24" s="41">
        <f t="shared" si="1"/>
        <v>20544</v>
      </c>
      <c r="W24" s="41">
        <v>160</v>
      </c>
      <c r="X24" s="41">
        <v>1</v>
      </c>
      <c r="Y24" s="40">
        <v>8</v>
      </c>
      <c r="Z24" s="2">
        <v>2.3207800000000001</v>
      </c>
    </row>
    <row r="25" spans="1:26" x14ac:dyDescent="0.25">
      <c r="A25" s="41">
        <v>18304</v>
      </c>
      <c r="B25" s="41">
        <v>128</v>
      </c>
      <c r="C25" s="41">
        <v>2</v>
      </c>
      <c r="D25" s="41">
        <v>4</v>
      </c>
      <c r="E25" s="40">
        <v>1.9839399999999998</v>
      </c>
      <c r="G25" s="41">
        <v>18304</v>
      </c>
      <c r="H25" s="41">
        <v>128</v>
      </c>
      <c r="I25" s="41">
        <v>2</v>
      </c>
      <c r="J25" s="41">
        <v>4</v>
      </c>
      <c r="K25" s="40">
        <v>2.22418</v>
      </c>
      <c r="N25" s="41">
        <v>20544</v>
      </c>
      <c r="O25" s="41">
        <f t="shared" si="0"/>
        <v>20544</v>
      </c>
      <c r="P25" s="41">
        <v>192</v>
      </c>
      <c r="Q25" s="41">
        <v>1</v>
      </c>
      <c r="R25" s="41">
        <v>8</v>
      </c>
      <c r="S25" s="65">
        <v>0</v>
      </c>
      <c r="U25" s="41">
        <v>20544</v>
      </c>
      <c r="V25" s="41">
        <f t="shared" si="1"/>
        <v>20544</v>
      </c>
      <c r="W25" s="41">
        <v>192</v>
      </c>
      <c r="X25" s="41">
        <v>1</v>
      </c>
      <c r="Y25" s="40">
        <v>8</v>
      </c>
      <c r="Z25" s="2">
        <v>0</v>
      </c>
    </row>
    <row r="26" spans="1:26" x14ac:dyDescent="0.25">
      <c r="A26" s="41">
        <v>19456</v>
      </c>
      <c r="B26" s="41">
        <v>128</v>
      </c>
      <c r="C26" s="41">
        <v>2</v>
      </c>
      <c r="D26" s="41">
        <v>4</v>
      </c>
      <c r="E26" s="40">
        <v>1.9913799999999999</v>
      </c>
      <c r="G26" s="41">
        <v>19456</v>
      </c>
      <c r="H26" s="41">
        <v>128</v>
      </c>
      <c r="I26" s="41">
        <v>2</v>
      </c>
      <c r="J26" s="41">
        <v>4</v>
      </c>
      <c r="K26" s="40">
        <v>2.2254399999999999</v>
      </c>
      <c r="N26" s="41">
        <v>20384</v>
      </c>
      <c r="O26" s="41">
        <f t="shared" si="0"/>
        <v>20544</v>
      </c>
      <c r="P26" s="41">
        <v>224</v>
      </c>
      <c r="Q26" s="41">
        <v>1</v>
      </c>
      <c r="R26" s="41">
        <v>8</v>
      </c>
      <c r="S26" s="65">
        <v>0</v>
      </c>
      <c r="U26" s="41">
        <v>20384</v>
      </c>
      <c r="V26" s="41">
        <f t="shared" si="1"/>
        <v>20544</v>
      </c>
      <c r="W26" s="41">
        <v>224</v>
      </c>
      <c r="X26" s="41">
        <v>1</v>
      </c>
      <c r="Y26" s="40">
        <v>8</v>
      </c>
      <c r="Z26" s="2">
        <v>0</v>
      </c>
    </row>
    <row r="27" spans="1:26" x14ac:dyDescent="0.25">
      <c r="A27" s="41">
        <v>20480</v>
      </c>
      <c r="B27" s="41">
        <v>128</v>
      </c>
      <c r="C27" s="41">
        <v>2</v>
      </c>
      <c r="D27" s="41">
        <v>4</v>
      </c>
      <c r="E27" s="40">
        <v>1.98902</v>
      </c>
      <c r="G27" s="41">
        <v>20480</v>
      </c>
      <c r="H27" s="41">
        <v>128</v>
      </c>
      <c r="I27" s="41">
        <v>2</v>
      </c>
      <c r="J27" s="41">
        <v>4</v>
      </c>
      <c r="K27" s="40">
        <v>2.2837400000000003</v>
      </c>
      <c r="N27" s="41">
        <v>20480</v>
      </c>
      <c r="O27" s="41">
        <f t="shared" si="0"/>
        <v>20544</v>
      </c>
      <c r="P27" s="41">
        <v>256</v>
      </c>
      <c r="Q27" s="41">
        <v>1</v>
      </c>
      <c r="R27" s="41">
        <v>8</v>
      </c>
      <c r="S27" s="65">
        <v>0</v>
      </c>
      <c r="U27" s="41">
        <v>20480</v>
      </c>
      <c r="V27" s="41">
        <f t="shared" si="1"/>
        <v>20544</v>
      </c>
      <c r="W27" s="41">
        <v>256</v>
      </c>
      <c r="X27" s="41">
        <v>1</v>
      </c>
      <c r="Y27" s="40">
        <v>8</v>
      </c>
      <c r="Z27" s="2">
        <v>0</v>
      </c>
    </row>
    <row r="28" spans="1:26" x14ac:dyDescent="0.25">
      <c r="A28" s="41">
        <v>18240</v>
      </c>
      <c r="B28" s="41">
        <v>160</v>
      </c>
      <c r="C28" s="41">
        <v>1</v>
      </c>
      <c r="D28" s="41">
        <v>8</v>
      </c>
      <c r="E28" s="40">
        <v>2.03484</v>
      </c>
      <c r="G28" s="41">
        <v>18240</v>
      </c>
      <c r="H28" s="41">
        <v>160</v>
      </c>
      <c r="I28" s="41">
        <v>1</v>
      </c>
      <c r="J28" s="41">
        <v>8</v>
      </c>
      <c r="K28" s="40">
        <v>2.26884</v>
      </c>
      <c r="N28" s="41">
        <v>18368</v>
      </c>
      <c r="O28" s="41">
        <f t="shared" si="0"/>
        <v>18368</v>
      </c>
      <c r="P28" s="41">
        <v>32</v>
      </c>
      <c r="Q28" s="41">
        <v>2</v>
      </c>
      <c r="R28" s="41">
        <v>4</v>
      </c>
      <c r="S28" s="65">
        <v>1.97662</v>
      </c>
      <c r="U28" s="41">
        <v>18368</v>
      </c>
      <c r="V28" s="41">
        <f t="shared" si="1"/>
        <v>18368</v>
      </c>
      <c r="W28" s="41">
        <v>32</v>
      </c>
      <c r="X28" s="41">
        <v>2</v>
      </c>
      <c r="Y28" s="40">
        <v>4</v>
      </c>
      <c r="Z28" s="2">
        <v>2.0491199999999998</v>
      </c>
    </row>
    <row r="29" spans="1:26" x14ac:dyDescent="0.25">
      <c r="A29" s="41">
        <v>19360</v>
      </c>
      <c r="B29" s="41">
        <v>160</v>
      </c>
      <c r="C29" s="41">
        <v>1</v>
      </c>
      <c r="D29" s="41">
        <v>8</v>
      </c>
      <c r="E29" s="40">
        <v>2.0561600000000007</v>
      </c>
      <c r="G29" s="41">
        <v>19360</v>
      </c>
      <c r="H29" s="41">
        <v>160</v>
      </c>
      <c r="I29" s="41">
        <v>1</v>
      </c>
      <c r="J29" s="41">
        <v>8</v>
      </c>
      <c r="K29" s="40">
        <v>2.3001999999999998</v>
      </c>
      <c r="N29" s="41">
        <v>18368</v>
      </c>
      <c r="O29" s="41">
        <f t="shared" si="0"/>
        <v>18368</v>
      </c>
      <c r="P29" s="41">
        <v>64</v>
      </c>
      <c r="Q29" s="41">
        <v>2</v>
      </c>
      <c r="R29" s="41">
        <v>4</v>
      </c>
      <c r="S29" s="65">
        <v>2.00482</v>
      </c>
      <c r="U29" s="41">
        <v>18368</v>
      </c>
      <c r="V29" s="41">
        <f t="shared" si="1"/>
        <v>18368</v>
      </c>
      <c r="W29" s="41">
        <v>64</v>
      </c>
      <c r="X29" s="41">
        <v>2</v>
      </c>
      <c r="Y29" s="40">
        <v>4</v>
      </c>
      <c r="Z29" s="2">
        <v>2.1818400000000002</v>
      </c>
    </row>
    <row r="30" spans="1:26" x14ac:dyDescent="0.25">
      <c r="A30" s="41">
        <v>20480</v>
      </c>
      <c r="B30" s="41">
        <v>160</v>
      </c>
      <c r="C30" s="41">
        <v>1</v>
      </c>
      <c r="D30" s="41">
        <v>8</v>
      </c>
      <c r="E30" s="40">
        <v>1.6211199999999999</v>
      </c>
      <c r="G30" s="41">
        <v>20480</v>
      </c>
      <c r="H30" s="41">
        <v>160</v>
      </c>
      <c r="I30" s="41">
        <v>1</v>
      </c>
      <c r="J30" s="41">
        <v>8</v>
      </c>
      <c r="K30" s="40">
        <v>2.3207800000000001</v>
      </c>
      <c r="N30" s="41">
        <v>18336</v>
      </c>
      <c r="O30" s="41">
        <f t="shared" si="0"/>
        <v>18368</v>
      </c>
      <c r="P30" s="41">
        <v>96</v>
      </c>
      <c r="Q30" s="41">
        <v>2</v>
      </c>
      <c r="R30" s="41">
        <v>4</v>
      </c>
      <c r="S30" s="65">
        <v>2.0272600000000001</v>
      </c>
      <c r="U30" s="41">
        <v>18336</v>
      </c>
      <c r="V30" s="41">
        <f t="shared" si="1"/>
        <v>18368</v>
      </c>
      <c r="W30" s="41">
        <v>96</v>
      </c>
      <c r="X30" s="41">
        <v>2</v>
      </c>
      <c r="Y30" s="40">
        <v>4</v>
      </c>
      <c r="Z30" s="2">
        <v>2.19706</v>
      </c>
    </row>
    <row r="31" spans="1:26" x14ac:dyDescent="0.25">
      <c r="A31" s="41">
        <v>18240</v>
      </c>
      <c r="B31" s="41">
        <v>160</v>
      </c>
      <c r="C31" s="41">
        <v>2</v>
      </c>
      <c r="D31" s="41">
        <v>4</v>
      </c>
      <c r="E31" s="40">
        <v>2.0204400000000002</v>
      </c>
      <c r="G31" s="41">
        <v>18240</v>
      </c>
      <c r="H31" s="41">
        <v>160</v>
      </c>
      <c r="I31" s="41">
        <v>2</v>
      </c>
      <c r="J31" s="41">
        <v>4</v>
      </c>
      <c r="K31" s="40">
        <v>2.1960800000000003</v>
      </c>
      <c r="N31" s="41">
        <v>18304</v>
      </c>
      <c r="O31" s="41">
        <f t="shared" si="0"/>
        <v>18368</v>
      </c>
      <c r="P31" s="41">
        <v>128</v>
      </c>
      <c r="Q31" s="41">
        <v>2</v>
      </c>
      <c r="R31" s="41">
        <v>4</v>
      </c>
      <c r="S31" s="65">
        <v>1.9839399999999998</v>
      </c>
      <c r="U31" s="41">
        <v>18304</v>
      </c>
      <c r="V31" s="41">
        <f t="shared" si="1"/>
        <v>18368</v>
      </c>
      <c r="W31" s="41">
        <v>128</v>
      </c>
      <c r="X31" s="41">
        <v>2</v>
      </c>
      <c r="Y31" s="40">
        <v>4</v>
      </c>
      <c r="Z31" s="2">
        <v>2.22418</v>
      </c>
    </row>
    <row r="32" spans="1:26" x14ac:dyDescent="0.25">
      <c r="A32" s="41">
        <v>19360</v>
      </c>
      <c r="B32" s="41">
        <v>160</v>
      </c>
      <c r="C32" s="41">
        <v>2</v>
      </c>
      <c r="D32" s="41">
        <v>4</v>
      </c>
      <c r="E32" s="40">
        <v>2.0274200000000002</v>
      </c>
      <c r="G32" s="41">
        <v>19360</v>
      </c>
      <c r="H32" s="41">
        <v>160</v>
      </c>
      <c r="I32" s="41">
        <v>2</v>
      </c>
      <c r="J32" s="41">
        <v>4</v>
      </c>
      <c r="K32" s="40">
        <v>2.2397599999999995</v>
      </c>
      <c r="N32" s="41">
        <v>18240</v>
      </c>
      <c r="O32" s="41">
        <f t="shared" si="0"/>
        <v>18368</v>
      </c>
      <c r="P32" s="41">
        <v>160</v>
      </c>
      <c r="Q32" s="41">
        <v>2</v>
      </c>
      <c r="R32" s="41">
        <v>4</v>
      </c>
      <c r="S32" s="65">
        <v>2.0204400000000002</v>
      </c>
      <c r="U32" s="41">
        <v>18240</v>
      </c>
      <c r="V32" s="41">
        <f t="shared" si="1"/>
        <v>18368</v>
      </c>
      <c r="W32" s="41">
        <v>160</v>
      </c>
      <c r="X32" s="41">
        <v>2</v>
      </c>
      <c r="Y32" s="40">
        <v>4</v>
      </c>
      <c r="Z32" s="2">
        <v>2.1960800000000003</v>
      </c>
    </row>
    <row r="33" spans="1:26" x14ac:dyDescent="0.25">
      <c r="A33" s="41">
        <v>20480</v>
      </c>
      <c r="B33" s="41">
        <v>160</v>
      </c>
      <c r="C33" s="41">
        <v>2</v>
      </c>
      <c r="D33" s="41">
        <v>4</v>
      </c>
      <c r="E33" s="40">
        <v>2.0380399999999996</v>
      </c>
      <c r="G33" s="41">
        <v>20480</v>
      </c>
      <c r="H33" s="41">
        <v>160</v>
      </c>
      <c r="I33" s="41">
        <v>2</v>
      </c>
      <c r="J33" s="41">
        <v>4</v>
      </c>
      <c r="K33" s="40">
        <v>2.23468</v>
      </c>
      <c r="N33" s="41">
        <v>18240</v>
      </c>
      <c r="O33" s="41">
        <f t="shared" si="0"/>
        <v>18368</v>
      </c>
      <c r="P33" s="41">
        <v>192</v>
      </c>
      <c r="Q33" s="41">
        <v>2</v>
      </c>
      <c r="R33" s="41">
        <v>4</v>
      </c>
      <c r="S33" s="65">
        <v>2.0130600000000003</v>
      </c>
      <c r="U33" s="41">
        <v>18240</v>
      </c>
      <c r="V33" s="41">
        <f t="shared" si="1"/>
        <v>18368</v>
      </c>
      <c r="W33" s="41">
        <v>192</v>
      </c>
      <c r="X33" s="41">
        <v>2</v>
      </c>
      <c r="Y33" s="40">
        <v>4</v>
      </c>
      <c r="Z33" s="2">
        <v>2.2356199999999999</v>
      </c>
    </row>
    <row r="34" spans="1:26" x14ac:dyDescent="0.25">
      <c r="A34" s="41">
        <v>18240</v>
      </c>
      <c r="B34" s="41">
        <v>192</v>
      </c>
      <c r="C34" s="41">
        <v>1</v>
      </c>
      <c r="D34" s="41">
        <v>8</v>
      </c>
      <c r="E34" s="40">
        <v>2.0467000000000004</v>
      </c>
      <c r="G34" s="41">
        <v>18240</v>
      </c>
      <c r="H34" s="41">
        <v>192</v>
      </c>
      <c r="I34" s="41">
        <v>1</v>
      </c>
      <c r="J34" s="41">
        <v>8</v>
      </c>
      <c r="K34" s="40">
        <v>2.2977799999999999</v>
      </c>
      <c r="N34" s="41">
        <v>18368</v>
      </c>
      <c r="O34" s="41">
        <f t="shared" si="0"/>
        <v>18368</v>
      </c>
      <c r="P34" s="41">
        <v>224</v>
      </c>
      <c r="Q34" s="41">
        <v>2</v>
      </c>
      <c r="R34" s="41">
        <v>4</v>
      </c>
      <c r="S34" s="65">
        <v>2.0421800000000001</v>
      </c>
      <c r="U34" s="41">
        <v>18368</v>
      </c>
      <c r="V34" s="41">
        <f t="shared" si="1"/>
        <v>18368</v>
      </c>
      <c r="W34" s="41">
        <v>224</v>
      </c>
      <c r="X34" s="41">
        <v>2</v>
      </c>
      <c r="Y34" s="40">
        <v>4</v>
      </c>
      <c r="Z34" s="2">
        <v>2.2432600000000003</v>
      </c>
    </row>
    <row r="35" spans="1:26" x14ac:dyDescent="0.25">
      <c r="A35" s="41">
        <v>19392</v>
      </c>
      <c r="B35" s="41">
        <v>192</v>
      </c>
      <c r="C35" s="41">
        <v>1</v>
      </c>
      <c r="D35" s="41">
        <v>8</v>
      </c>
      <c r="E35" s="40">
        <v>2.0668599999999997</v>
      </c>
      <c r="G35" s="41">
        <v>19392</v>
      </c>
      <c r="H35" s="41">
        <v>192</v>
      </c>
      <c r="I35" s="41">
        <v>1</v>
      </c>
      <c r="J35" s="41">
        <v>8</v>
      </c>
      <c r="K35" s="40">
        <v>2.3142400000000003</v>
      </c>
      <c r="N35" s="41">
        <v>18176</v>
      </c>
      <c r="O35" s="41">
        <f t="shared" si="0"/>
        <v>18368</v>
      </c>
      <c r="P35" s="41">
        <v>256</v>
      </c>
      <c r="Q35" s="41">
        <v>2</v>
      </c>
      <c r="R35" s="41">
        <v>4</v>
      </c>
      <c r="S35" s="65">
        <v>1.98298</v>
      </c>
      <c r="U35" s="41">
        <v>18176</v>
      </c>
      <c r="V35" s="41">
        <f t="shared" si="1"/>
        <v>18368</v>
      </c>
      <c r="W35" s="41">
        <v>256</v>
      </c>
      <c r="X35" s="41">
        <v>2</v>
      </c>
      <c r="Y35" s="40">
        <v>4</v>
      </c>
      <c r="Z35" s="2">
        <v>2.1742599999999999</v>
      </c>
    </row>
    <row r="36" spans="1:26" x14ac:dyDescent="0.25">
      <c r="A36" s="41">
        <v>20544</v>
      </c>
      <c r="B36" s="41">
        <v>192</v>
      </c>
      <c r="C36" s="41">
        <v>1</v>
      </c>
      <c r="D36" s="41">
        <v>8</v>
      </c>
      <c r="E36" s="40">
        <v>0</v>
      </c>
      <c r="G36" s="41">
        <v>20544</v>
      </c>
      <c r="H36" s="41">
        <v>192</v>
      </c>
      <c r="I36" s="41">
        <v>1</v>
      </c>
      <c r="J36" s="41">
        <v>8</v>
      </c>
      <c r="K36" s="40">
        <v>0</v>
      </c>
      <c r="N36" s="41">
        <v>19456</v>
      </c>
      <c r="O36" s="41">
        <f t="shared" si="0"/>
        <v>19456</v>
      </c>
      <c r="P36" s="41">
        <v>32</v>
      </c>
      <c r="Q36" s="41">
        <v>2</v>
      </c>
      <c r="R36" s="41">
        <v>4</v>
      </c>
      <c r="S36" s="65">
        <v>1.96984</v>
      </c>
      <c r="U36" s="41">
        <v>19456</v>
      </c>
      <c r="V36" s="41">
        <f t="shared" si="1"/>
        <v>19456</v>
      </c>
      <c r="W36" s="41">
        <v>32</v>
      </c>
      <c r="X36" s="41">
        <v>2</v>
      </c>
      <c r="Y36" s="40">
        <v>4</v>
      </c>
      <c r="Z36" s="2">
        <v>2.07586</v>
      </c>
    </row>
    <row r="37" spans="1:26" x14ac:dyDescent="0.25">
      <c r="A37" s="41">
        <v>18240</v>
      </c>
      <c r="B37" s="41">
        <v>192</v>
      </c>
      <c r="C37" s="41">
        <v>2</v>
      </c>
      <c r="D37" s="41">
        <v>4</v>
      </c>
      <c r="E37" s="40">
        <v>2.0130600000000003</v>
      </c>
      <c r="G37" s="41">
        <v>18240</v>
      </c>
      <c r="H37" s="41">
        <v>192</v>
      </c>
      <c r="I37" s="41">
        <v>2</v>
      </c>
      <c r="J37" s="41">
        <v>4</v>
      </c>
      <c r="K37" s="40">
        <v>2.2356199999999999</v>
      </c>
      <c r="N37" s="41">
        <v>19456</v>
      </c>
      <c r="O37" s="41">
        <f t="shared" si="0"/>
        <v>19456</v>
      </c>
      <c r="P37" s="41">
        <v>64</v>
      </c>
      <c r="Q37" s="41">
        <v>2</v>
      </c>
      <c r="R37" s="41">
        <v>4</v>
      </c>
      <c r="S37" s="65">
        <v>1.9548400000000001</v>
      </c>
      <c r="U37" s="41">
        <v>19456</v>
      </c>
      <c r="V37" s="41">
        <f t="shared" si="1"/>
        <v>19456</v>
      </c>
      <c r="W37" s="41">
        <v>64</v>
      </c>
      <c r="X37" s="41">
        <v>2</v>
      </c>
      <c r="Y37" s="40">
        <v>4</v>
      </c>
      <c r="Z37" s="2">
        <v>2.2509199999999998</v>
      </c>
    </row>
    <row r="38" spans="1:26" x14ac:dyDescent="0.25">
      <c r="A38" s="41">
        <v>19392</v>
      </c>
      <c r="B38" s="41">
        <v>192</v>
      </c>
      <c r="C38" s="41">
        <v>2</v>
      </c>
      <c r="D38" s="41">
        <v>4</v>
      </c>
      <c r="E38" s="40">
        <v>2.1006999999999998</v>
      </c>
      <c r="G38" s="41">
        <v>19392</v>
      </c>
      <c r="H38" s="41">
        <v>192</v>
      </c>
      <c r="I38" s="41">
        <v>2</v>
      </c>
      <c r="J38" s="41">
        <v>4</v>
      </c>
      <c r="K38" s="40">
        <v>2.2215400000000001</v>
      </c>
      <c r="N38" s="41">
        <v>19392</v>
      </c>
      <c r="O38" s="41">
        <f t="shared" si="0"/>
        <v>19456</v>
      </c>
      <c r="P38" s="41">
        <v>96</v>
      </c>
      <c r="Q38" s="41">
        <v>2</v>
      </c>
      <c r="R38" s="41">
        <v>4</v>
      </c>
      <c r="S38" s="65">
        <v>2.0773600000000001</v>
      </c>
      <c r="U38" s="41">
        <v>19392</v>
      </c>
      <c r="V38" s="41">
        <f t="shared" si="1"/>
        <v>19456</v>
      </c>
      <c r="W38" s="41">
        <v>96</v>
      </c>
      <c r="X38" s="41">
        <v>2</v>
      </c>
      <c r="Y38" s="40">
        <v>4</v>
      </c>
      <c r="Z38" s="2">
        <v>2.2492200000000002</v>
      </c>
    </row>
    <row r="39" spans="1:26" x14ac:dyDescent="0.25">
      <c r="A39" s="41">
        <v>20544</v>
      </c>
      <c r="B39" s="41">
        <v>192</v>
      </c>
      <c r="C39" s="41">
        <v>2</v>
      </c>
      <c r="D39" s="41">
        <v>4</v>
      </c>
      <c r="E39" s="40">
        <v>1.9785200000000001</v>
      </c>
      <c r="G39" s="41">
        <v>20544</v>
      </c>
      <c r="H39" s="41">
        <v>192</v>
      </c>
      <c r="I39" s="41">
        <v>2</v>
      </c>
      <c r="J39" s="41">
        <v>4</v>
      </c>
      <c r="K39" s="40">
        <v>2.182175</v>
      </c>
      <c r="N39" s="41">
        <v>19456</v>
      </c>
      <c r="O39" s="41">
        <f t="shared" si="0"/>
        <v>19456</v>
      </c>
      <c r="P39" s="41">
        <v>128</v>
      </c>
      <c r="Q39" s="41">
        <v>2</v>
      </c>
      <c r="R39" s="41">
        <v>4</v>
      </c>
      <c r="S39" s="65">
        <v>1.9913799999999999</v>
      </c>
      <c r="U39" s="41">
        <v>19456</v>
      </c>
      <c r="V39" s="41">
        <f t="shared" si="1"/>
        <v>19456</v>
      </c>
      <c r="W39" s="41">
        <v>128</v>
      </c>
      <c r="X39" s="41">
        <v>2</v>
      </c>
      <c r="Y39" s="40">
        <v>4</v>
      </c>
      <c r="Z39" s="2">
        <v>2.2254399999999999</v>
      </c>
    </row>
    <row r="40" spans="1:26" x14ac:dyDescent="0.25">
      <c r="A40" s="41">
        <v>18368</v>
      </c>
      <c r="B40" s="41">
        <v>224</v>
      </c>
      <c r="C40" s="41">
        <v>1</v>
      </c>
      <c r="D40" s="41">
        <v>8</v>
      </c>
      <c r="E40" s="40">
        <v>2.0196999999999998</v>
      </c>
      <c r="G40" s="41">
        <v>18368</v>
      </c>
      <c r="H40" s="41">
        <v>224</v>
      </c>
      <c r="I40" s="41">
        <v>1</v>
      </c>
      <c r="J40" s="41">
        <v>8</v>
      </c>
      <c r="K40" s="40">
        <v>2.3356599999999998</v>
      </c>
      <c r="N40" s="41">
        <v>19360</v>
      </c>
      <c r="O40" s="41">
        <f t="shared" si="0"/>
        <v>19456</v>
      </c>
      <c r="P40" s="41">
        <v>160</v>
      </c>
      <c r="Q40" s="41">
        <v>2</v>
      </c>
      <c r="R40" s="41">
        <v>4</v>
      </c>
      <c r="S40" s="65">
        <v>2.0274200000000002</v>
      </c>
      <c r="U40" s="41">
        <v>19360</v>
      </c>
      <c r="V40" s="41">
        <f t="shared" si="1"/>
        <v>19456</v>
      </c>
      <c r="W40" s="41">
        <v>160</v>
      </c>
      <c r="X40" s="41">
        <v>2</v>
      </c>
      <c r="Y40" s="40">
        <v>4</v>
      </c>
      <c r="Z40" s="2">
        <v>2.2397599999999995</v>
      </c>
    </row>
    <row r="41" spans="1:26" x14ac:dyDescent="0.25">
      <c r="A41" s="41">
        <v>19264</v>
      </c>
      <c r="B41" s="41">
        <v>224</v>
      </c>
      <c r="C41" s="41">
        <v>1</v>
      </c>
      <c r="D41" s="41">
        <v>8</v>
      </c>
      <c r="E41" s="40">
        <v>2.0819199999999998</v>
      </c>
      <c r="G41" s="41">
        <v>19264</v>
      </c>
      <c r="H41" s="41">
        <v>224</v>
      </c>
      <c r="I41" s="41">
        <v>1</v>
      </c>
      <c r="J41" s="41">
        <v>8</v>
      </c>
      <c r="K41" s="40">
        <v>2.3454000000000002</v>
      </c>
      <c r="N41" s="41">
        <v>19392</v>
      </c>
      <c r="O41" s="41">
        <f t="shared" si="0"/>
        <v>19456</v>
      </c>
      <c r="P41" s="41">
        <v>192</v>
      </c>
      <c r="Q41" s="41">
        <v>2</v>
      </c>
      <c r="R41" s="41">
        <v>4</v>
      </c>
      <c r="S41" s="65">
        <v>2.1006999999999998</v>
      </c>
      <c r="U41" s="41">
        <v>19392</v>
      </c>
      <c r="V41" s="41">
        <f t="shared" si="1"/>
        <v>19456</v>
      </c>
      <c r="W41" s="41">
        <v>192</v>
      </c>
      <c r="X41" s="41">
        <v>2</v>
      </c>
      <c r="Y41" s="40">
        <v>4</v>
      </c>
      <c r="Z41" s="2">
        <v>2.2215400000000001</v>
      </c>
    </row>
    <row r="42" spans="1:26" x14ac:dyDescent="0.25">
      <c r="A42" s="41">
        <v>20384</v>
      </c>
      <c r="B42" s="41">
        <v>224</v>
      </c>
      <c r="C42" s="41">
        <v>1</v>
      </c>
      <c r="D42" s="41">
        <v>8</v>
      </c>
      <c r="E42" s="40">
        <v>0</v>
      </c>
      <c r="G42" s="41">
        <v>20384</v>
      </c>
      <c r="H42" s="41">
        <v>224</v>
      </c>
      <c r="I42" s="41">
        <v>1</v>
      </c>
      <c r="J42" s="41">
        <v>8</v>
      </c>
      <c r="K42" s="40">
        <v>0</v>
      </c>
      <c r="N42" s="41">
        <v>19264</v>
      </c>
      <c r="O42" s="41">
        <f t="shared" si="0"/>
        <v>19456</v>
      </c>
      <c r="P42" s="41">
        <v>224</v>
      </c>
      <c r="Q42" s="41">
        <v>2</v>
      </c>
      <c r="R42" s="41">
        <v>4</v>
      </c>
      <c r="S42" s="65">
        <v>2.0949599999999999</v>
      </c>
      <c r="U42" s="41">
        <v>19264</v>
      </c>
      <c r="V42" s="41">
        <f t="shared" si="1"/>
        <v>19456</v>
      </c>
      <c r="W42" s="41">
        <v>224</v>
      </c>
      <c r="X42" s="41">
        <v>2</v>
      </c>
      <c r="Y42" s="40">
        <v>4</v>
      </c>
      <c r="Z42" s="2">
        <v>2.2704800000000001</v>
      </c>
    </row>
    <row r="43" spans="1:26" x14ac:dyDescent="0.25">
      <c r="A43" s="41">
        <v>18368</v>
      </c>
      <c r="B43" s="41">
        <v>224</v>
      </c>
      <c r="C43" s="41">
        <v>2</v>
      </c>
      <c r="D43" s="41">
        <v>4</v>
      </c>
      <c r="E43" s="40">
        <v>2.0421800000000001</v>
      </c>
      <c r="G43" s="41">
        <v>18368</v>
      </c>
      <c r="H43" s="41">
        <v>224</v>
      </c>
      <c r="I43" s="41">
        <v>2</v>
      </c>
      <c r="J43" s="41">
        <v>4</v>
      </c>
      <c r="K43" s="40">
        <v>2.2432600000000003</v>
      </c>
      <c r="N43" s="41">
        <v>19456</v>
      </c>
      <c r="O43" s="41">
        <f t="shared" si="0"/>
        <v>19456</v>
      </c>
      <c r="P43" s="41">
        <v>256</v>
      </c>
      <c r="Q43" s="41">
        <v>2</v>
      </c>
      <c r="R43" s="41">
        <v>4</v>
      </c>
      <c r="S43" s="65">
        <v>2.0363800000000003</v>
      </c>
      <c r="U43" s="41">
        <v>19456</v>
      </c>
      <c r="V43" s="41">
        <f t="shared" si="1"/>
        <v>19456</v>
      </c>
      <c r="W43" s="41">
        <v>256</v>
      </c>
      <c r="X43" s="41">
        <v>2</v>
      </c>
      <c r="Y43" s="40">
        <v>4</v>
      </c>
      <c r="Z43" s="2">
        <v>2.2493799999999995</v>
      </c>
    </row>
    <row r="44" spans="1:26" x14ac:dyDescent="0.25">
      <c r="A44" s="41">
        <v>19264</v>
      </c>
      <c r="B44" s="41">
        <v>224</v>
      </c>
      <c r="C44" s="41">
        <v>2</v>
      </c>
      <c r="D44" s="41">
        <v>4</v>
      </c>
      <c r="E44" s="40">
        <v>2.0949599999999999</v>
      </c>
      <c r="G44" s="41">
        <v>19264</v>
      </c>
      <c r="H44" s="41">
        <v>224</v>
      </c>
      <c r="I44" s="41">
        <v>2</v>
      </c>
      <c r="J44" s="41">
        <v>4</v>
      </c>
      <c r="K44" s="40">
        <v>2.2704800000000001</v>
      </c>
      <c r="N44" s="41">
        <v>20544</v>
      </c>
      <c r="O44" s="41">
        <f t="shared" si="0"/>
        <v>20544</v>
      </c>
      <c r="P44" s="41">
        <v>32</v>
      </c>
      <c r="Q44" s="41">
        <v>2</v>
      </c>
      <c r="R44" s="41">
        <v>4</v>
      </c>
      <c r="S44" s="65">
        <v>1.9772400000000001</v>
      </c>
      <c r="U44" s="41">
        <v>20544</v>
      </c>
      <c r="V44" s="41">
        <f t="shared" si="1"/>
        <v>20544</v>
      </c>
      <c r="W44" s="41">
        <v>32</v>
      </c>
      <c r="X44" s="41">
        <v>2</v>
      </c>
      <c r="Y44" s="40">
        <v>4</v>
      </c>
      <c r="Z44" s="2">
        <v>2.1103200000000002</v>
      </c>
    </row>
    <row r="45" spans="1:26" x14ac:dyDescent="0.25">
      <c r="A45" s="41">
        <v>20384</v>
      </c>
      <c r="B45" s="41">
        <v>224</v>
      </c>
      <c r="C45" s="41">
        <v>2</v>
      </c>
      <c r="D45" s="41">
        <v>4</v>
      </c>
      <c r="E45" s="40">
        <v>1.6191200000000001</v>
      </c>
      <c r="G45" s="41">
        <v>20384</v>
      </c>
      <c r="H45" s="41">
        <v>224</v>
      </c>
      <c r="I45" s="41">
        <v>2</v>
      </c>
      <c r="J45" s="41">
        <v>4</v>
      </c>
      <c r="K45" s="40">
        <v>2.2532800000000002</v>
      </c>
      <c r="N45" s="41">
        <v>20544</v>
      </c>
      <c r="O45" s="41">
        <f t="shared" si="0"/>
        <v>20544</v>
      </c>
      <c r="P45" s="41">
        <v>64</v>
      </c>
      <c r="Q45" s="41">
        <v>2</v>
      </c>
      <c r="R45" s="41">
        <v>4</v>
      </c>
      <c r="S45" s="65">
        <v>1.5726600000000002</v>
      </c>
      <c r="U45" s="41">
        <v>20544</v>
      </c>
      <c r="V45" s="41">
        <f t="shared" si="1"/>
        <v>20544</v>
      </c>
      <c r="W45" s="41">
        <v>64</v>
      </c>
      <c r="X45" s="41">
        <v>2</v>
      </c>
      <c r="Y45" s="40">
        <v>4</v>
      </c>
      <c r="Z45" s="2">
        <v>2.23576</v>
      </c>
    </row>
    <row r="46" spans="1:26" x14ac:dyDescent="0.25">
      <c r="A46" s="41">
        <v>18176</v>
      </c>
      <c r="B46" s="41">
        <v>256</v>
      </c>
      <c r="C46" s="41">
        <v>1</v>
      </c>
      <c r="D46" s="41">
        <v>8</v>
      </c>
      <c r="E46" s="40">
        <v>2.0209999999999999</v>
      </c>
      <c r="G46" s="41">
        <v>18176</v>
      </c>
      <c r="H46" s="41">
        <v>256</v>
      </c>
      <c r="I46" s="41">
        <v>1</v>
      </c>
      <c r="J46" s="41">
        <v>8</v>
      </c>
      <c r="K46" s="40">
        <v>2.2600199999999999</v>
      </c>
      <c r="N46" s="41">
        <v>20544</v>
      </c>
      <c r="O46" s="41">
        <f t="shared" si="0"/>
        <v>20544</v>
      </c>
      <c r="P46" s="41">
        <v>96</v>
      </c>
      <c r="Q46" s="41">
        <v>2</v>
      </c>
      <c r="R46" s="41">
        <v>4</v>
      </c>
      <c r="S46" s="65">
        <v>2.0569800000000003</v>
      </c>
      <c r="U46" s="41">
        <v>20544</v>
      </c>
      <c r="V46" s="41">
        <f t="shared" si="1"/>
        <v>20544</v>
      </c>
      <c r="W46" s="41">
        <v>96</v>
      </c>
      <c r="X46" s="41">
        <v>2</v>
      </c>
      <c r="Y46" s="40">
        <v>4</v>
      </c>
      <c r="Z46" s="2">
        <v>2.2382199999999997</v>
      </c>
    </row>
    <row r="47" spans="1:26" x14ac:dyDescent="0.25">
      <c r="A47" s="41">
        <v>19456</v>
      </c>
      <c r="B47" s="41">
        <v>256</v>
      </c>
      <c r="C47" s="41">
        <v>1</v>
      </c>
      <c r="D47" s="41">
        <v>8</v>
      </c>
      <c r="E47" s="40">
        <v>1.9952400000000001</v>
      </c>
      <c r="G47" s="41">
        <v>19456</v>
      </c>
      <c r="H47" s="41">
        <v>256</v>
      </c>
      <c r="I47" s="41">
        <v>1</v>
      </c>
      <c r="J47" s="41">
        <v>8</v>
      </c>
      <c r="K47" s="40">
        <v>2.3167</v>
      </c>
      <c r="N47" s="41">
        <v>20480</v>
      </c>
      <c r="O47" s="41">
        <f t="shared" si="0"/>
        <v>20544</v>
      </c>
      <c r="P47" s="41">
        <v>128</v>
      </c>
      <c r="Q47" s="41">
        <v>2</v>
      </c>
      <c r="R47" s="41">
        <v>4</v>
      </c>
      <c r="S47" s="65">
        <v>1.98902</v>
      </c>
      <c r="U47" s="41">
        <v>20480</v>
      </c>
      <c r="V47" s="41">
        <f t="shared" si="1"/>
        <v>20544</v>
      </c>
      <c r="W47" s="41">
        <v>128</v>
      </c>
      <c r="X47" s="41">
        <v>2</v>
      </c>
      <c r="Y47" s="40">
        <v>4</v>
      </c>
      <c r="Z47" s="2">
        <v>2.2837400000000003</v>
      </c>
    </row>
    <row r="48" spans="1:26" x14ac:dyDescent="0.25">
      <c r="A48" s="41">
        <v>20480</v>
      </c>
      <c r="B48" s="41">
        <v>256</v>
      </c>
      <c r="C48" s="41">
        <v>1</v>
      </c>
      <c r="D48" s="41">
        <v>8</v>
      </c>
      <c r="E48" s="40">
        <v>0</v>
      </c>
      <c r="G48" s="41">
        <v>20480</v>
      </c>
      <c r="H48" s="41">
        <v>256</v>
      </c>
      <c r="I48" s="41">
        <v>1</v>
      </c>
      <c r="J48" s="41">
        <v>8</v>
      </c>
      <c r="K48" s="40">
        <v>0</v>
      </c>
      <c r="N48" s="41">
        <v>20480</v>
      </c>
      <c r="O48" s="41">
        <f t="shared" si="0"/>
        <v>20544</v>
      </c>
      <c r="P48" s="41">
        <v>160</v>
      </c>
      <c r="Q48" s="41">
        <v>2</v>
      </c>
      <c r="R48" s="41">
        <v>4</v>
      </c>
      <c r="S48" s="65">
        <v>2.0380399999999996</v>
      </c>
      <c r="U48" s="41">
        <v>20480</v>
      </c>
      <c r="V48" s="41">
        <f t="shared" si="1"/>
        <v>20544</v>
      </c>
      <c r="W48" s="41">
        <v>160</v>
      </c>
      <c r="X48" s="41">
        <v>2</v>
      </c>
      <c r="Y48" s="40">
        <v>4</v>
      </c>
      <c r="Z48" s="2">
        <v>2.23468</v>
      </c>
    </row>
    <row r="49" spans="1:26" x14ac:dyDescent="0.25">
      <c r="A49" s="41">
        <v>18176</v>
      </c>
      <c r="B49" s="41">
        <v>256</v>
      </c>
      <c r="C49" s="41">
        <v>2</v>
      </c>
      <c r="D49" s="41">
        <v>4</v>
      </c>
      <c r="E49" s="40">
        <v>1.98298</v>
      </c>
      <c r="G49" s="41">
        <v>18176</v>
      </c>
      <c r="H49" s="41">
        <v>256</v>
      </c>
      <c r="I49" s="41">
        <v>2</v>
      </c>
      <c r="J49" s="41">
        <v>4</v>
      </c>
      <c r="K49" s="40">
        <v>2.1742599999999999</v>
      </c>
      <c r="N49" s="41">
        <v>20544</v>
      </c>
      <c r="O49" s="41">
        <f t="shared" si="0"/>
        <v>20544</v>
      </c>
      <c r="P49" s="41">
        <v>192</v>
      </c>
      <c r="Q49" s="41">
        <v>2</v>
      </c>
      <c r="R49" s="41">
        <v>4</v>
      </c>
      <c r="S49" s="65">
        <v>1.9785200000000001</v>
      </c>
      <c r="U49" s="41">
        <v>20544</v>
      </c>
      <c r="V49" s="41">
        <f t="shared" si="1"/>
        <v>20544</v>
      </c>
      <c r="W49" s="41">
        <v>192</v>
      </c>
      <c r="X49" s="41">
        <v>2</v>
      </c>
      <c r="Y49" s="40">
        <v>4</v>
      </c>
      <c r="Z49" s="2">
        <v>2.182175</v>
      </c>
    </row>
    <row r="50" spans="1:26" x14ac:dyDescent="0.25">
      <c r="A50" s="41">
        <v>19456</v>
      </c>
      <c r="B50" s="41">
        <v>256</v>
      </c>
      <c r="C50" s="41">
        <v>2</v>
      </c>
      <c r="D50" s="41">
        <v>4</v>
      </c>
      <c r="E50" s="40">
        <v>2.0363800000000003</v>
      </c>
      <c r="G50" s="41">
        <v>19456</v>
      </c>
      <c r="H50" s="41">
        <v>256</v>
      </c>
      <c r="I50" s="41">
        <v>2</v>
      </c>
      <c r="J50" s="41">
        <v>4</v>
      </c>
      <c r="K50" s="40">
        <v>2.2493799999999995</v>
      </c>
      <c r="N50" s="41">
        <v>20384</v>
      </c>
      <c r="O50" s="41">
        <f t="shared" si="0"/>
        <v>20544</v>
      </c>
      <c r="P50" s="41">
        <v>224</v>
      </c>
      <c r="Q50" s="41">
        <v>2</v>
      </c>
      <c r="R50" s="41">
        <v>4</v>
      </c>
      <c r="S50" s="65">
        <v>1.6191200000000001</v>
      </c>
      <c r="U50" s="41">
        <v>20384</v>
      </c>
      <c r="V50" s="41">
        <f t="shared" si="1"/>
        <v>20544</v>
      </c>
      <c r="W50" s="41">
        <v>224</v>
      </c>
      <c r="X50" s="41">
        <v>2</v>
      </c>
      <c r="Y50" s="40">
        <v>4</v>
      </c>
      <c r="Z50" s="2">
        <v>2.2532800000000002</v>
      </c>
    </row>
    <row r="51" spans="1:26" x14ac:dyDescent="0.25">
      <c r="A51" s="41">
        <v>20480</v>
      </c>
      <c r="B51" s="41">
        <v>256</v>
      </c>
      <c r="C51" s="41">
        <v>2</v>
      </c>
      <c r="D51" s="41">
        <v>4</v>
      </c>
      <c r="E51" s="40">
        <v>1.95044</v>
      </c>
      <c r="G51" s="41">
        <v>20480</v>
      </c>
      <c r="H51" s="41">
        <v>256</v>
      </c>
      <c r="I51" s="41">
        <v>2</v>
      </c>
      <c r="J51" s="41">
        <v>4</v>
      </c>
      <c r="K51" s="40">
        <v>2.2409400000000002</v>
      </c>
      <c r="N51" s="41">
        <v>20480</v>
      </c>
      <c r="O51" s="41">
        <f t="shared" si="0"/>
        <v>20544</v>
      </c>
      <c r="P51" s="41">
        <v>256</v>
      </c>
      <c r="Q51" s="41">
        <v>2</v>
      </c>
      <c r="R51" s="41">
        <v>4</v>
      </c>
      <c r="S51" s="65">
        <v>1.95044</v>
      </c>
      <c r="U51" s="41">
        <v>20480</v>
      </c>
      <c r="V51" s="41">
        <f t="shared" si="1"/>
        <v>20544</v>
      </c>
      <c r="W51" s="41">
        <v>256</v>
      </c>
      <c r="X51" s="41">
        <v>2</v>
      </c>
      <c r="Y51" s="40">
        <v>4</v>
      </c>
      <c r="Z51" s="2">
        <v>2.2409400000000002</v>
      </c>
    </row>
    <row r="52" spans="1:26" x14ac:dyDescent="0.25">
      <c r="A52" s="41">
        <v>0</v>
      </c>
      <c r="B52" s="41">
        <v>0</v>
      </c>
      <c r="C52" s="41">
        <v>0</v>
      </c>
      <c r="D52" s="41">
        <v>0</v>
      </c>
      <c r="E52" s="40">
        <v>0</v>
      </c>
      <c r="G52" s="41">
        <v>0</v>
      </c>
      <c r="H52" s="41">
        <v>0</v>
      </c>
      <c r="I52" s="41">
        <v>0</v>
      </c>
      <c r="J52" s="41">
        <v>0</v>
      </c>
      <c r="K52" s="40">
        <v>0</v>
      </c>
    </row>
    <row r="53" spans="1:26" x14ac:dyDescent="0.25">
      <c r="A53" s="41">
        <v>0</v>
      </c>
      <c r="B53" s="41">
        <v>0</v>
      </c>
      <c r="C53" s="41">
        <v>0</v>
      </c>
      <c r="D53" s="41">
        <v>0</v>
      </c>
      <c r="E53" s="40">
        <v>0</v>
      </c>
      <c r="G53" s="41">
        <v>0</v>
      </c>
      <c r="H53" s="41">
        <v>0</v>
      </c>
      <c r="I53" s="41">
        <v>0</v>
      </c>
      <c r="J53" s="41">
        <v>0</v>
      </c>
      <c r="K53" s="40">
        <v>0</v>
      </c>
    </row>
    <row r="54" spans="1:26" x14ac:dyDescent="0.25">
      <c r="A54" s="41">
        <v>0</v>
      </c>
      <c r="B54" s="41">
        <v>0</v>
      </c>
      <c r="C54" s="41">
        <v>0</v>
      </c>
      <c r="D54" s="41">
        <v>0</v>
      </c>
      <c r="E54" s="40">
        <v>0</v>
      </c>
      <c r="G54" s="41">
        <v>0</v>
      </c>
      <c r="H54" s="41">
        <v>0</v>
      </c>
      <c r="I54" s="41">
        <v>0</v>
      </c>
      <c r="J54" s="41">
        <v>0</v>
      </c>
      <c r="K54" s="40">
        <v>0</v>
      </c>
    </row>
    <row r="55" spans="1:26" x14ac:dyDescent="0.25">
      <c r="A55" s="41">
        <v>0</v>
      </c>
      <c r="B55" s="41">
        <v>0</v>
      </c>
      <c r="C55" s="41">
        <v>0</v>
      </c>
      <c r="D55" s="41">
        <v>0</v>
      </c>
      <c r="E55" s="40">
        <v>0</v>
      </c>
      <c r="G55" s="41">
        <v>0</v>
      </c>
      <c r="H55" s="41">
        <v>0</v>
      </c>
      <c r="I55" s="41">
        <v>0</v>
      </c>
      <c r="J55" s="41">
        <v>0</v>
      </c>
      <c r="K55" s="40">
        <v>0</v>
      </c>
    </row>
    <row r="56" spans="1:26" x14ac:dyDescent="0.25">
      <c r="A56" s="41">
        <v>0</v>
      </c>
      <c r="B56" s="41">
        <v>0</v>
      </c>
      <c r="C56" s="41">
        <v>0</v>
      </c>
      <c r="D56" s="41">
        <v>0</v>
      </c>
      <c r="E56" s="40">
        <v>0</v>
      </c>
      <c r="G56" s="41">
        <v>0</v>
      </c>
      <c r="H56" s="41">
        <v>0</v>
      </c>
      <c r="I56" s="41">
        <v>0</v>
      </c>
      <c r="J56" s="41">
        <v>0</v>
      </c>
      <c r="K56" s="40">
        <v>0</v>
      </c>
    </row>
    <row r="57" spans="1:26" x14ac:dyDescent="0.25">
      <c r="A57" s="41">
        <v>0</v>
      </c>
      <c r="B57" s="41">
        <v>0</v>
      </c>
      <c r="C57" s="41">
        <v>0</v>
      </c>
      <c r="D57" s="41">
        <v>0</v>
      </c>
      <c r="E57" s="40">
        <v>0</v>
      </c>
      <c r="G57" s="41">
        <v>0</v>
      </c>
      <c r="H57" s="41">
        <v>0</v>
      </c>
      <c r="I57" s="41">
        <v>0</v>
      </c>
      <c r="J57" s="41">
        <v>0</v>
      </c>
      <c r="K57" s="40">
        <v>0</v>
      </c>
    </row>
    <row r="58" spans="1:26" x14ac:dyDescent="0.25">
      <c r="A58" s="41">
        <v>0</v>
      </c>
      <c r="B58" s="41">
        <v>0</v>
      </c>
      <c r="C58" s="41">
        <v>0</v>
      </c>
      <c r="D58" s="41">
        <v>0</v>
      </c>
      <c r="E58" s="40">
        <v>0</v>
      </c>
      <c r="G58" s="41">
        <v>0</v>
      </c>
      <c r="H58" s="41">
        <v>0</v>
      </c>
      <c r="I58" s="41">
        <v>0</v>
      </c>
      <c r="J58" s="41">
        <v>0</v>
      </c>
      <c r="K58" s="40">
        <v>0</v>
      </c>
    </row>
    <row r="59" spans="1:26" x14ac:dyDescent="0.25">
      <c r="A59" s="41">
        <v>0</v>
      </c>
      <c r="B59" s="41">
        <v>0</v>
      </c>
      <c r="C59" s="41">
        <v>0</v>
      </c>
      <c r="D59" s="41">
        <v>0</v>
      </c>
      <c r="E59" s="40">
        <v>0</v>
      </c>
      <c r="G59" s="41">
        <v>0</v>
      </c>
      <c r="H59" s="41">
        <v>0</v>
      </c>
      <c r="I59" s="41">
        <v>0</v>
      </c>
      <c r="J59" s="41">
        <v>0</v>
      </c>
      <c r="K59" s="40">
        <v>0</v>
      </c>
    </row>
    <row r="60" spans="1:26" x14ac:dyDescent="0.25">
      <c r="A60" s="41">
        <v>0</v>
      </c>
      <c r="B60" s="41">
        <v>0</v>
      </c>
      <c r="C60" s="41">
        <v>0</v>
      </c>
      <c r="D60" s="41">
        <v>0</v>
      </c>
      <c r="E60" s="40">
        <v>0</v>
      </c>
      <c r="G60" s="41">
        <v>0</v>
      </c>
      <c r="H60" s="41">
        <v>0</v>
      </c>
      <c r="I60" s="41">
        <v>0</v>
      </c>
      <c r="J60" s="41">
        <v>0</v>
      </c>
      <c r="K60" s="40">
        <v>0</v>
      </c>
    </row>
    <row r="61" spans="1:26" x14ac:dyDescent="0.25">
      <c r="A61" s="41">
        <v>0</v>
      </c>
      <c r="B61" s="41">
        <v>0</v>
      </c>
      <c r="C61" s="41">
        <v>0</v>
      </c>
      <c r="D61" s="41">
        <v>0</v>
      </c>
      <c r="E61" s="40">
        <v>0</v>
      </c>
      <c r="G61" s="41">
        <v>0</v>
      </c>
      <c r="H61" s="41">
        <v>0</v>
      </c>
      <c r="I61" s="41">
        <v>0</v>
      </c>
      <c r="J61" s="41">
        <v>0</v>
      </c>
      <c r="K61" s="40">
        <v>0</v>
      </c>
    </row>
    <row r="62" spans="1:26" x14ac:dyDescent="0.25">
      <c r="A62" s="41">
        <v>0</v>
      </c>
      <c r="B62" s="41">
        <v>0</v>
      </c>
      <c r="C62" s="41">
        <v>0</v>
      </c>
      <c r="D62" s="41">
        <v>0</v>
      </c>
      <c r="E62" s="40">
        <v>0</v>
      </c>
      <c r="G62" s="41">
        <v>0</v>
      </c>
      <c r="H62" s="41">
        <v>0</v>
      </c>
      <c r="I62" s="41">
        <v>0</v>
      </c>
      <c r="J62" s="41">
        <v>0</v>
      </c>
      <c r="K62" s="40">
        <v>0</v>
      </c>
    </row>
    <row r="63" spans="1:26" x14ac:dyDescent="0.25">
      <c r="A63" s="41">
        <v>0</v>
      </c>
      <c r="B63" s="41">
        <v>0</v>
      </c>
      <c r="C63" s="41">
        <v>0</v>
      </c>
      <c r="D63" s="41">
        <v>0</v>
      </c>
      <c r="E63" s="40">
        <v>0</v>
      </c>
      <c r="G63" s="41">
        <v>0</v>
      </c>
      <c r="H63" s="41">
        <v>0</v>
      </c>
      <c r="I63" s="41">
        <v>0</v>
      </c>
      <c r="J63" s="41">
        <v>0</v>
      </c>
      <c r="K63" s="40">
        <v>0</v>
      </c>
    </row>
    <row r="64" spans="1:26" x14ac:dyDescent="0.25">
      <c r="A64" s="41">
        <v>0</v>
      </c>
      <c r="B64" s="41">
        <v>0</v>
      </c>
      <c r="C64" s="41">
        <v>0</v>
      </c>
      <c r="D64" s="41">
        <v>0</v>
      </c>
      <c r="E64" s="40">
        <v>0</v>
      </c>
      <c r="G64" s="41">
        <v>0</v>
      </c>
      <c r="H64" s="41">
        <v>0</v>
      </c>
      <c r="I64" s="41">
        <v>0</v>
      </c>
      <c r="J64" s="41">
        <v>0</v>
      </c>
      <c r="K64" s="40">
        <v>0</v>
      </c>
    </row>
    <row r="65" spans="1:11" x14ac:dyDescent="0.25">
      <c r="A65" s="41">
        <v>0</v>
      </c>
      <c r="B65" s="41">
        <v>0</v>
      </c>
      <c r="C65" s="41">
        <v>0</v>
      </c>
      <c r="D65" s="41">
        <v>0</v>
      </c>
      <c r="E65" s="40">
        <v>0</v>
      </c>
      <c r="G65" s="41">
        <v>0</v>
      </c>
      <c r="H65" s="41">
        <v>0</v>
      </c>
      <c r="I65" s="41">
        <v>0</v>
      </c>
      <c r="J65" s="41">
        <v>0</v>
      </c>
      <c r="K65" s="40">
        <v>0</v>
      </c>
    </row>
    <row r="66" spans="1:11" x14ac:dyDescent="0.25">
      <c r="A66" s="41">
        <v>0</v>
      </c>
      <c r="B66" s="41">
        <v>0</v>
      </c>
      <c r="C66" s="41">
        <v>0</v>
      </c>
      <c r="D66" s="41">
        <v>0</v>
      </c>
      <c r="E66" s="40">
        <v>0</v>
      </c>
      <c r="G66" s="41">
        <v>0</v>
      </c>
      <c r="H66" s="41">
        <v>0</v>
      </c>
      <c r="I66" s="41">
        <v>0</v>
      </c>
      <c r="J66" s="41">
        <v>0</v>
      </c>
      <c r="K66" s="40">
        <v>0</v>
      </c>
    </row>
    <row r="67" spans="1:11" x14ac:dyDescent="0.25">
      <c r="A67" s="41">
        <v>0</v>
      </c>
      <c r="B67" s="41">
        <v>0</v>
      </c>
      <c r="C67" s="41">
        <v>0</v>
      </c>
      <c r="D67" s="41">
        <v>0</v>
      </c>
      <c r="E67" s="40">
        <v>0</v>
      </c>
      <c r="G67" s="41">
        <v>0</v>
      </c>
      <c r="H67" s="41">
        <v>0</v>
      </c>
      <c r="I67" s="41">
        <v>0</v>
      </c>
      <c r="J67" s="41">
        <v>0</v>
      </c>
      <c r="K67" s="40">
        <v>0</v>
      </c>
    </row>
    <row r="68" spans="1:11" x14ac:dyDescent="0.25">
      <c r="A68" s="41">
        <v>0</v>
      </c>
      <c r="B68" s="41">
        <v>0</v>
      </c>
      <c r="C68" s="41">
        <v>0</v>
      </c>
      <c r="D68" s="41">
        <v>0</v>
      </c>
      <c r="E68" s="40">
        <v>0</v>
      </c>
      <c r="G68" s="41">
        <v>0</v>
      </c>
      <c r="H68" s="41">
        <v>0</v>
      </c>
      <c r="I68" s="41">
        <v>0</v>
      </c>
      <c r="J68" s="41">
        <v>0</v>
      </c>
      <c r="K68" s="40">
        <v>0</v>
      </c>
    </row>
    <row r="69" spans="1:11" x14ac:dyDescent="0.25">
      <c r="A69" s="41">
        <v>0</v>
      </c>
      <c r="B69" s="41">
        <v>0</v>
      </c>
      <c r="C69" s="41">
        <v>0</v>
      </c>
      <c r="D69" s="41">
        <v>0</v>
      </c>
      <c r="E69" s="40">
        <v>0</v>
      </c>
      <c r="G69" s="41">
        <v>0</v>
      </c>
      <c r="H69" s="41">
        <v>0</v>
      </c>
      <c r="I69" s="41">
        <v>0</v>
      </c>
      <c r="J69" s="41">
        <v>0</v>
      </c>
      <c r="K69" s="40">
        <v>0</v>
      </c>
    </row>
    <row r="70" spans="1:11" x14ac:dyDescent="0.25">
      <c r="A70" s="41">
        <v>0</v>
      </c>
      <c r="B70" s="41">
        <v>0</v>
      </c>
      <c r="C70" s="41">
        <v>0</v>
      </c>
      <c r="D70" s="41">
        <v>0</v>
      </c>
      <c r="E70" s="40">
        <v>0</v>
      </c>
      <c r="G70" s="41">
        <v>0</v>
      </c>
      <c r="H70" s="41">
        <v>0</v>
      </c>
      <c r="I70" s="41">
        <v>0</v>
      </c>
      <c r="J70" s="41">
        <v>0</v>
      </c>
      <c r="K70" s="40">
        <v>0</v>
      </c>
    </row>
    <row r="71" spans="1:11" x14ac:dyDescent="0.25">
      <c r="A71" s="41">
        <v>0</v>
      </c>
      <c r="B71" s="41">
        <v>0</v>
      </c>
      <c r="C71" s="41">
        <v>0</v>
      </c>
      <c r="D71" s="41">
        <v>0</v>
      </c>
      <c r="E71" s="40">
        <v>0</v>
      </c>
      <c r="G71" s="41">
        <v>0</v>
      </c>
      <c r="H71" s="41">
        <v>0</v>
      </c>
      <c r="I71" s="41">
        <v>0</v>
      </c>
      <c r="J71" s="41">
        <v>0</v>
      </c>
      <c r="K71" s="40">
        <v>0</v>
      </c>
    </row>
    <row r="72" spans="1:11" x14ac:dyDescent="0.25">
      <c r="A72" s="41">
        <v>0</v>
      </c>
      <c r="B72" s="41">
        <v>0</v>
      </c>
      <c r="C72" s="41">
        <v>0</v>
      </c>
      <c r="D72" s="41">
        <v>0</v>
      </c>
      <c r="E72" s="40">
        <v>0</v>
      </c>
      <c r="G72" s="41">
        <v>0</v>
      </c>
      <c r="H72" s="41">
        <v>0</v>
      </c>
      <c r="I72" s="41">
        <v>0</v>
      </c>
      <c r="J72" s="41">
        <v>0</v>
      </c>
      <c r="K72" s="40">
        <v>0</v>
      </c>
    </row>
    <row r="73" spans="1:11" x14ac:dyDescent="0.25">
      <c r="A73" s="41">
        <v>0</v>
      </c>
      <c r="B73" s="41">
        <v>0</v>
      </c>
      <c r="C73" s="41">
        <v>0</v>
      </c>
      <c r="D73" s="41">
        <v>0</v>
      </c>
      <c r="E73" s="40">
        <v>0</v>
      </c>
      <c r="G73" s="41">
        <v>0</v>
      </c>
      <c r="H73" s="41">
        <v>0</v>
      </c>
      <c r="I73" s="41">
        <v>0</v>
      </c>
      <c r="J73" s="41">
        <v>0</v>
      </c>
      <c r="K73" s="40">
        <v>0</v>
      </c>
    </row>
    <row r="74" spans="1:11" x14ac:dyDescent="0.25">
      <c r="A74" s="41">
        <v>0</v>
      </c>
      <c r="B74" s="41">
        <v>0</v>
      </c>
      <c r="C74" s="41">
        <v>0</v>
      </c>
      <c r="D74" s="41">
        <v>0</v>
      </c>
      <c r="E74" s="40">
        <v>0</v>
      </c>
      <c r="G74" s="41">
        <v>0</v>
      </c>
      <c r="H74" s="41">
        <v>0</v>
      </c>
      <c r="I74" s="41">
        <v>0</v>
      </c>
      <c r="J74" s="41">
        <v>0</v>
      </c>
      <c r="K74" s="40">
        <v>0</v>
      </c>
    </row>
    <row r="75" spans="1:11" x14ac:dyDescent="0.25">
      <c r="A75" s="41">
        <v>0</v>
      </c>
      <c r="B75" s="41">
        <v>0</v>
      </c>
      <c r="C75" s="41">
        <v>0</v>
      </c>
      <c r="D75" s="41">
        <v>0</v>
      </c>
      <c r="E75" s="40">
        <v>0</v>
      </c>
      <c r="G75" s="41">
        <v>0</v>
      </c>
      <c r="H75" s="41">
        <v>0</v>
      </c>
      <c r="I75" s="41">
        <v>0</v>
      </c>
      <c r="J75" s="41">
        <v>0</v>
      </c>
      <c r="K75" s="40">
        <v>0</v>
      </c>
    </row>
    <row r="76" spans="1:11" x14ac:dyDescent="0.25">
      <c r="A76" s="41">
        <v>0</v>
      </c>
      <c r="B76" s="41">
        <v>0</v>
      </c>
      <c r="C76" s="41">
        <v>0</v>
      </c>
      <c r="D76" s="41">
        <v>0</v>
      </c>
      <c r="E76" s="40">
        <v>0</v>
      </c>
      <c r="G76" s="41">
        <v>0</v>
      </c>
      <c r="H76" s="41">
        <v>0</v>
      </c>
      <c r="I76" s="41">
        <v>0</v>
      </c>
      <c r="J76" s="41">
        <v>0</v>
      </c>
      <c r="K76" s="40">
        <v>0</v>
      </c>
    </row>
    <row r="77" spans="1:11" x14ac:dyDescent="0.25">
      <c r="A77" s="41">
        <v>0</v>
      </c>
      <c r="B77" s="41">
        <v>0</v>
      </c>
      <c r="C77" s="41">
        <v>0</v>
      </c>
      <c r="D77" s="41">
        <v>0</v>
      </c>
      <c r="E77" s="40">
        <v>0</v>
      </c>
      <c r="G77" s="41">
        <v>0</v>
      </c>
      <c r="H77" s="41">
        <v>0</v>
      </c>
      <c r="I77" s="41">
        <v>0</v>
      </c>
      <c r="J77" s="41">
        <v>0</v>
      </c>
      <c r="K77" s="40">
        <v>0</v>
      </c>
    </row>
    <row r="78" spans="1:11" x14ac:dyDescent="0.25">
      <c r="A78" s="41">
        <v>0</v>
      </c>
      <c r="B78" s="41">
        <v>0</v>
      </c>
      <c r="C78" s="41">
        <v>0</v>
      </c>
      <c r="D78" s="41">
        <v>0</v>
      </c>
      <c r="E78" s="40">
        <v>0</v>
      </c>
      <c r="G78" s="41">
        <v>0</v>
      </c>
      <c r="H78" s="41">
        <v>0</v>
      </c>
      <c r="I78" s="41">
        <v>0</v>
      </c>
      <c r="J78" s="41">
        <v>0</v>
      </c>
      <c r="K78" s="40">
        <v>0</v>
      </c>
    </row>
    <row r="79" spans="1:11" x14ac:dyDescent="0.25">
      <c r="A79" s="41">
        <v>0</v>
      </c>
      <c r="B79" s="41">
        <v>0</v>
      </c>
      <c r="C79" s="41">
        <v>0</v>
      </c>
      <c r="D79" s="41">
        <v>0</v>
      </c>
      <c r="E79" s="40">
        <v>0</v>
      </c>
      <c r="G79" s="41">
        <v>0</v>
      </c>
      <c r="H79" s="41">
        <v>0</v>
      </c>
      <c r="I79" s="41">
        <v>0</v>
      </c>
      <c r="J79" s="41">
        <v>0</v>
      </c>
      <c r="K79" s="40">
        <v>0</v>
      </c>
    </row>
    <row r="80" spans="1:11" x14ac:dyDescent="0.25">
      <c r="A80" s="41">
        <v>0</v>
      </c>
      <c r="B80" s="41">
        <v>0</v>
      </c>
      <c r="C80" s="41">
        <v>0</v>
      </c>
      <c r="D80" s="41">
        <v>0</v>
      </c>
      <c r="E80" s="40">
        <v>0</v>
      </c>
      <c r="G80" s="41">
        <v>0</v>
      </c>
      <c r="H80" s="41">
        <v>0</v>
      </c>
      <c r="I80" s="41">
        <v>0</v>
      </c>
      <c r="J80" s="41">
        <v>0</v>
      </c>
      <c r="K80" s="40">
        <v>0</v>
      </c>
    </row>
    <row r="81" spans="1:11" x14ac:dyDescent="0.25">
      <c r="A81" s="41">
        <v>0</v>
      </c>
      <c r="B81" s="41">
        <v>0</v>
      </c>
      <c r="C81" s="41">
        <v>0</v>
      </c>
      <c r="D81" s="41">
        <v>0</v>
      </c>
      <c r="E81" s="40">
        <v>0</v>
      </c>
      <c r="G81" s="41">
        <v>0</v>
      </c>
      <c r="H81" s="41">
        <v>0</v>
      </c>
      <c r="I81" s="41">
        <v>0</v>
      </c>
      <c r="J81" s="41">
        <v>0</v>
      </c>
      <c r="K81" s="40">
        <v>0</v>
      </c>
    </row>
    <row r="82" spans="1:11" x14ac:dyDescent="0.25">
      <c r="A82" s="41">
        <v>0</v>
      </c>
      <c r="B82" s="41">
        <v>0</v>
      </c>
      <c r="C82" s="41">
        <v>0</v>
      </c>
      <c r="D82" s="41">
        <v>0</v>
      </c>
      <c r="E82" s="40">
        <v>0</v>
      </c>
      <c r="G82" s="41">
        <v>0</v>
      </c>
      <c r="H82" s="41">
        <v>0</v>
      </c>
      <c r="I82" s="41">
        <v>0</v>
      </c>
      <c r="J82" s="41">
        <v>0</v>
      </c>
      <c r="K82" s="40">
        <v>0</v>
      </c>
    </row>
    <row r="83" spans="1:11" x14ac:dyDescent="0.25">
      <c r="A83" s="41">
        <v>0</v>
      </c>
      <c r="B83" s="41">
        <v>0</v>
      </c>
      <c r="C83" s="41">
        <v>0</v>
      </c>
      <c r="D83" s="41">
        <v>0</v>
      </c>
      <c r="E83" s="40">
        <v>0</v>
      </c>
      <c r="G83" s="41">
        <v>0</v>
      </c>
      <c r="H83" s="41">
        <v>0</v>
      </c>
      <c r="I83" s="41">
        <v>0</v>
      </c>
      <c r="J83" s="41">
        <v>0</v>
      </c>
      <c r="K83" s="40">
        <v>0</v>
      </c>
    </row>
    <row r="84" spans="1:11" x14ac:dyDescent="0.25">
      <c r="A84" s="41">
        <v>0</v>
      </c>
      <c r="B84" s="41">
        <v>0</v>
      </c>
      <c r="C84" s="41">
        <v>0</v>
      </c>
      <c r="D84" s="41">
        <v>0</v>
      </c>
      <c r="E84" s="40">
        <v>0</v>
      </c>
      <c r="G84" s="41">
        <v>0</v>
      </c>
      <c r="H84" s="41">
        <v>0</v>
      </c>
      <c r="I84" s="41">
        <v>0</v>
      </c>
      <c r="J84" s="41">
        <v>0</v>
      </c>
      <c r="K84" s="40">
        <v>0</v>
      </c>
    </row>
    <row r="85" spans="1:11" x14ac:dyDescent="0.25">
      <c r="A85" s="41">
        <v>0</v>
      </c>
      <c r="B85" s="41">
        <v>0</v>
      </c>
      <c r="C85" s="41">
        <v>0</v>
      </c>
      <c r="D85" s="41">
        <v>0</v>
      </c>
      <c r="E85" s="40">
        <v>0</v>
      </c>
      <c r="G85" s="41">
        <v>0</v>
      </c>
      <c r="H85" s="41">
        <v>0</v>
      </c>
      <c r="I85" s="41">
        <v>0</v>
      </c>
      <c r="J85" s="41">
        <v>0</v>
      </c>
      <c r="K85" s="40">
        <v>0</v>
      </c>
    </row>
    <row r="86" spans="1:11" x14ac:dyDescent="0.25">
      <c r="A86" s="41">
        <v>0</v>
      </c>
      <c r="B86" s="41">
        <v>0</v>
      </c>
      <c r="C86" s="41">
        <v>0</v>
      </c>
      <c r="D86" s="41">
        <v>0</v>
      </c>
      <c r="E86" s="40">
        <v>0</v>
      </c>
      <c r="G86" s="41">
        <v>0</v>
      </c>
      <c r="H86" s="41">
        <v>0</v>
      </c>
      <c r="I86" s="41">
        <v>0</v>
      </c>
      <c r="J86" s="41">
        <v>0</v>
      </c>
      <c r="K86" s="40">
        <v>0</v>
      </c>
    </row>
    <row r="87" spans="1:11" x14ac:dyDescent="0.25">
      <c r="A87" s="41">
        <v>0</v>
      </c>
      <c r="B87" s="41">
        <v>0</v>
      </c>
      <c r="C87" s="41">
        <v>0</v>
      </c>
      <c r="D87" s="41">
        <v>0</v>
      </c>
      <c r="E87" s="40">
        <v>0</v>
      </c>
      <c r="G87" s="41">
        <v>0</v>
      </c>
      <c r="H87" s="41">
        <v>0</v>
      </c>
      <c r="I87" s="41">
        <v>0</v>
      </c>
      <c r="J87" s="41">
        <v>0</v>
      </c>
      <c r="K87" s="40">
        <v>0</v>
      </c>
    </row>
    <row r="88" spans="1:11" x14ac:dyDescent="0.25">
      <c r="A88" s="41">
        <v>0</v>
      </c>
      <c r="B88" s="41">
        <v>0</v>
      </c>
      <c r="C88" s="41">
        <v>0</v>
      </c>
      <c r="D88" s="41">
        <v>0</v>
      </c>
      <c r="E88" s="40">
        <v>0</v>
      </c>
      <c r="G88" s="41">
        <v>0</v>
      </c>
      <c r="H88" s="41">
        <v>0</v>
      </c>
      <c r="I88" s="41">
        <v>0</v>
      </c>
      <c r="J88" s="41">
        <v>0</v>
      </c>
      <c r="K88" s="40">
        <v>0</v>
      </c>
    </row>
    <row r="89" spans="1:11" x14ac:dyDescent="0.25">
      <c r="A89" s="41">
        <v>0</v>
      </c>
      <c r="B89" s="41">
        <v>0</v>
      </c>
      <c r="C89" s="41">
        <v>0</v>
      </c>
      <c r="D89" s="41">
        <v>0</v>
      </c>
      <c r="E89" s="40">
        <v>0</v>
      </c>
      <c r="G89" s="41">
        <v>0</v>
      </c>
      <c r="H89" s="41">
        <v>0</v>
      </c>
      <c r="I89" s="41">
        <v>0</v>
      </c>
      <c r="J89" s="41">
        <v>0</v>
      </c>
      <c r="K89" s="40">
        <v>0</v>
      </c>
    </row>
    <row r="90" spans="1:11" x14ac:dyDescent="0.25">
      <c r="A90" s="41">
        <v>0</v>
      </c>
      <c r="B90" s="41">
        <v>0</v>
      </c>
      <c r="C90" s="41">
        <v>0</v>
      </c>
      <c r="D90" s="41">
        <v>0</v>
      </c>
      <c r="E90" s="40">
        <v>0</v>
      </c>
      <c r="G90" s="41">
        <v>0</v>
      </c>
      <c r="H90" s="41">
        <v>0</v>
      </c>
      <c r="I90" s="41">
        <v>0</v>
      </c>
      <c r="J90" s="41">
        <v>0</v>
      </c>
      <c r="K90" s="40">
        <v>0</v>
      </c>
    </row>
    <row r="91" spans="1:11" x14ac:dyDescent="0.25">
      <c r="A91" s="41">
        <v>0</v>
      </c>
      <c r="B91" s="41">
        <v>0</v>
      </c>
      <c r="C91" s="41">
        <v>0</v>
      </c>
      <c r="D91" s="41">
        <v>0</v>
      </c>
      <c r="E91" s="40">
        <v>0</v>
      </c>
      <c r="G91" s="41">
        <v>0</v>
      </c>
      <c r="H91" s="41">
        <v>0</v>
      </c>
      <c r="I91" s="41">
        <v>0</v>
      </c>
      <c r="J91" s="41">
        <v>0</v>
      </c>
      <c r="K91" s="40">
        <v>0</v>
      </c>
    </row>
    <row r="92" spans="1:11" x14ac:dyDescent="0.25">
      <c r="A92" s="41">
        <v>0</v>
      </c>
      <c r="B92" s="41">
        <v>0</v>
      </c>
      <c r="C92" s="41">
        <v>0</v>
      </c>
      <c r="D92" s="41">
        <v>0</v>
      </c>
      <c r="E92" s="40">
        <v>0</v>
      </c>
      <c r="G92" s="41">
        <v>0</v>
      </c>
      <c r="H92" s="41">
        <v>0</v>
      </c>
      <c r="I92" s="41">
        <v>0</v>
      </c>
      <c r="J92" s="41">
        <v>0</v>
      </c>
      <c r="K92" s="40">
        <v>0</v>
      </c>
    </row>
    <row r="93" spans="1:11" x14ac:dyDescent="0.25">
      <c r="A93" s="41">
        <v>0</v>
      </c>
      <c r="B93" s="41">
        <v>0</v>
      </c>
      <c r="C93" s="41">
        <v>0</v>
      </c>
      <c r="D93" s="41">
        <v>0</v>
      </c>
      <c r="E93" s="40">
        <v>0</v>
      </c>
      <c r="G93" s="41">
        <v>0</v>
      </c>
      <c r="H93" s="41">
        <v>0</v>
      </c>
      <c r="I93" s="41">
        <v>0</v>
      </c>
      <c r="J93" s="41">
        <v>0</v>
      </c>
      <c r="K93" s="40">
        <v>0</v>
      </c>
    </row>
    <row r="94" spans="1:11" x14ac:dyDescent="0.25">
      <c r="A94" s="41">
        <v>0</v>
      </c>
      <c r="B94" s="41">
        <v>0</v>
      </c>
      <c r="C94" s="41">
        <v>0</v>
      </c>
      <c r="D94" s="41">
        <v>0</v>
      </c>
      <c r="E94" s="40">
        <v>0</v>
      </c>
      <c r="G94" s="41">
        <v>0</v>
      </c>
      <c r="H94" s="41">
        <v>0</v>
      </c>
      <c r="I94" s="41">
        <v>0</v>
      </c>
      <c r="J94" s="41">
        <v>0</v>
      </c>
      <c r="K94" s="40">
        <v>0</v>
      </c>
    </row>
    <row r="95" spans="1:11" x14ac:dyDescent="0.25">
      <c r="A95" s="41">
        <v>0</v>
      </c>
      <c r="B95" s="41">
        <v>0</v>
      </c>
      <c r="C95" s="41">
        <v>0</v>
      </c>
      <c r="D95" s="41">
        <v>0</v>
      </c>
      <c r="E95" s="40">
        <v>0</v>
      </c>
      <c r="G95" s="41">
        <v>0</v>
      </c>
      <c r="H95" s="41">
        <v>0</v>
      </c>
      <c r="I95" s="41">
        <v>0</v>
      </c>
      <c r="J95" s="41">
        <v>0</v>
      </c>
      <c r="K95" s="40">
        <v>0</v>
      </c>
    </row>
    <row r="96" spans="1:11" x14ac:dyDescent="0.25">
      <c r="A96" s="41">
        <v>0</v>
      </c>
      <c r="B96" s="41">
        <v>0</v>
      </c>
      <c r="C96" s="41">
        <v>0</v>
      </c>
      <c r="D96" s="41">
        <v>0</v>
      </c>
      <c r="E96" s="40">
        <v>0</v>
      </c>
      <c r="G96" s="41">
        <v>0</v>
      </c>
      <c r="H96" s="41">
        <v>0</v>
      </c>
      <c r="I96" s="41">
        <v>0</v>
      </c>
      <c r="J96" s="41">
        <v>0</v>
      </c>
      <c r="K96" s="40">
        <v>0</v>
      </c>
    </row>
    <row r="97" spans="1:11" x14ac:dyDescent="0.25">
      <c r="A97" s="41">
        <v>0</v>
      </c>
      <c r="B97" s="41">
        <v>0</v>
      </c>
      <c r="C97" s="41">
        <v>0</v>
      </c>
      <c r="D97" s="41">
        <v>0</v>
      </c>
      <c r="E97" s="40">
        <v>0</v>
      </c>
      <c r="G97" s="41">
        <v>0</v>
      </c>
      <c r="H97" s="41">
        <v>0</v>
      </c>
      <c r="I97" s="41">
        <v>0</v>
      </c>
      <c r="J97" s="41">
        <v>0</v>
      </c>
      <c r="K97" s="40">
        <v>0</v>
      </c>
    </row>
    <row r="98" spans="1:11" x14ac:dyDescent="0.25">
      <c r="A98" s="41">
        <v>0</v>
      </c>
      <c r="B98" s="41">
        <v>0</v>
      </c>
      <c r="C98" s="41">
        <v>0</v>
      </c>
      <c r="D98" s="41">
        <v>0</v>
      </c>
      <c r="E98" s="40">
        <v>0</v>
      </c>
      <c r="G98" s="41">
        <v>0</v>
      </c>
      <c r="H98" s="41">
        <v>0</v>
      </c>
      <c r="I98" s="41">
        <v>0</v>
      </c>
      <c r="J98" s="41">
        <v>0</v>
      </c>
      <c r="K98" s="40">
        <v>0</v>
      </c>
    </row>
    <row r="99" spans="1:11" x14ac:dyDescent="0.25">
      <c r="A99" s="41">
        <v>0</v>
      </c>
      <c r="B99" s="41">
        <v>0</v>
      </c>
      <c r="C99" s="41">
        <v>0</v>
      </c>
      <c r="D99" s="41">
        <v>0</v>
      </c>
      <c r="E99" s="40">
        <v>0</v>
      </c>
      <c r="G99" s="41">
        <v>0</v>
      </c>
      <c r="H99" s="41">
        <v>0</v>
      </c>
      <c r="I99" s="41">
        <v>0</v>
      </c>
      <c r="J99" s="41">
        <v>0</v>
      </c>
      <c r="K99" s="40">
        <v>0</v>
      </c>
    </row>
    <row r="100" spans="1:11" x14ac:dyDescent="0.25">
      <c r="A100" s="41">
        <v>0</v>
      </c>
      <c r="B100" s="41">
        <v>0</v>
      </c>
      <c r="C100" s="41">
        <v>0</v>
      </c>
      <c r="D100" s="41">
        <v>0</v>
      </c>
      <c r="E100" s="40">
        <v>0</v>
      </c>
      <c r="G100" s="41">
        <v>0</v>
      </c>
      <c r="H100" s="41">
        <v>0</v>
      </c>
      <c r="I100" s="41">
        <v>0</v>
      </c>
      <c r="J100" s="41">
        <v>0</v>
      </c>
      <c r="K100" s="40">
        <v>0</v>
      </c>
    </row>
    <row r="101" spans="1:11" x14ac:dyDescent="0.25">
      <c r="A101" s="41">
        <v>0</v>
      </c>
      <c r="B101" s="41">
        <v>0</v>
      </c>
      <c r="C101" s="41">
        <v>0</v>
      </c>
      <c r="D101" s="41">
        <v>0</v>
      </c>
      <c r="E101" s="40">
        <v>0</v>
      </c>
      <c r="G101" s="41">
        <v>0</v>
      </c>
      <c r="H101" s="41">
        <v>0</v>
      </c>
      <c r="I101" s="41">
        <v>0</v>
      </c>
      <c r="J101" s="41">
        <v>0</v>
      </c>
      <c r="K101" s="40">
        <v>0</v>
      </c>
    </row>
    <row r="102" spans="1:11" x14ac:dyDescent="0.25">
      <c r="A102" s="41">
        <v>0</v>
      </c>
      <c r="B102" s="41">
        <v>0</v>
      </c>
      <c r="C102" s="41">
        <v>0</v>
      </c>
      <c r="D102" s="41">
        <v>0</v>
      </c>
      <c r="E102" s="40">
        <v>0</v>
      </c>
      <c r="G102" s="41">
        <v>0</v>
      </c>
      <c r="H102" s="41">
        <v>0</v>
      </c>
      <c r="I102" s="41">
        <v>0</v>
      </c>
      <c r="J102" s="41">
        <v>0</v>
      </c>
      <c r="K102" s="40">
        <v>0</v>
      </c>
    </row>
    <row r="103" spans="1:11" x14ac:dyDescent="0.25">
      <c r="A103" s="41">
        <v>0</v>
      </c>
      <c r="B103" s="41">
        <v>0</v>
      </c>
      <c r="C103" s="41">
        <v>0</v>
      </c>
      <c r="D103" s="41">
        <v>0</v>
      </c>
      <c r="E103" s="40">
        <v>0</v>
      </c>
      <c r="G103" s="41">
        <v>0</v>
      </c>
      <c r="H103" s="41">
        <v>0</v>
      </c>
      <c r="I103" s="41">
        <v>0</v>
      </c>
      <c r="J103" s="41">
        <v>0</v>
      </c>
      <c r="K103" s="40">
        <v>0</v>
      </c>
    </row>
    <row r="104" spans="1:11" x14ac:dyDescent="0.25">
      <c r="A104" s="41">
        <v>0</v>
      </c>
      <c r="B104" s="41">
        <v>0</v>
      </c>
      <c r="C104" s="41">
        <v>0</v>
      </c>
      <c r="D104" s="41">
        <v>0</v>
      </c>
      <c r="E104" s="40">
        <v>0</v>
      </c>
      <c r="G104" s="41">
        <v>0</v>
      </c>
      <c r="H104" s="41">
        <v>0</v>
      </c>
      <c r="I104" s="41">
        <v>0</v>
      </c>
      <c r="J104" s="41">
        <v>0</v>
      </c>
      <c r="K104" s="40">
        <v>0</v>
      </c>
    </row>
    <row r="105" spans="1:11" x14ac:dyDescent="0.25">
      <c r="A105" s="41">
        <v>0</v>
      </c>
      <c r="B105" s="41">
        <v>0</v>
      </c>
      <c r="C105" s="41">
        <v>0</v>
      </c>
      <c r="D105" s="41">
        <v>0</v>
      </c>
      <c r="E105" s="40">
        <v>0</v>
      </c>
      <c r="G105" s="41">
        <v>0</v>
      </c>
      <c r="H105" s="41">
        <v>0</v>
      </c>
      <c r="I105" s="41">
        <v>0</v>
      </c>
      <c r="J105" s="41">
        <v>0</v>
      </c>
      <c r="K105" s="40">
        <v>0</v>
      </c>
    </row>
    <row r="106" spans="1:11" x14ac:dyDescent="0.25">
      <c r="A106" s="41">
        <v>0</v>
      </c>
      <c r="B106" s="41">
        <v>0</v>
      </c>
      <c r="C106" s="41">
        <v>0</v>
      </c>
      <c r="D106" s="41">
        <v>0</v>
      </c>
      <c r="E106" s="40">
        <v>0</v>
      </c>
      <c r="G106" s="41">
        <v>0</v>
      </c>
      <c r="H106" s="41">
        <v>0</v>
      </c>
      <c r="I106" s="41">
        <v>0</v>
      </c>
      <c r="J106" s="41">
        <v>0</v>
      </c>
      <c r="K106" s="40">
        <v>0</v>
      </c>
    </row>
    <row r="107" spans="1:11" x14ac:dyDescent="0.25">
      <c r="A107" s="41">
        <v>0</v>
      </c>
      <c r="B107" s="41">
        <v>0</v>
      </c>
      <c r="C107" s="41">
        <v>0</v>
      </c>
      <c r="D107" s="41">
        <v>0</v>
      </c>
      <c r="E107" s="40">
        <v>0</v>
      </c>
      <c r="G107" s="41">
        <v>0</v>
      </c>
      <c r="H107" s="41">
        <v>0</v>
      </c>
      <c r="I107" s="41">
        <v>0</v>
      </c>
      <c r="J107" s="41">
        <v>0</v>
      </c>
      <c r="K107" s="40">
        <v>0</v>
      </c>
    </row>
    <row r="108" spans="1:11" x14ac:dyDescent="0.25">
      <c r="A108" s="41">
        <v>0</v>
      </c>
      <c r="B108" s="41">
        <v>0</v>
      </c>
      <c r="C108" s="41">
        <v>0</v>
      </c>
      <c r="D108" s="41">
        <v>0</v>
      </c>
      <c r="E108" s="40">
        <v>0</v>
      </c>
      <c r="G108" s="41">
        <v>0</v>
      </c>
      <c r="H108" s="41">
        <v>0</v>
      </c>
      <c r="I108" s="41">
        <v>0</v>
      </c>
      <c r="J108" s="41">
        <v>0</v>
      </c>
      <c r="K108" s="40">
        <v>0</v>
      </c>
    </row>
    <row r="109" spans="1:11" x14ac:dyDescent="0.25">
      <c r="A109" s="41">
        <v>0</v>
      </c>
      <c r="B109" s="41">
        <v>0</v>
      </c>
      <c r="C109" s="41">
        <v>0</v>
      </c>
      <c r="D109" s="41">
        <v>0</v>
      </c>
      <c r="E109" s="40">
        <v>0</v>
      </c>
      <c r="G109" s="41">
        <v>0</v>
      </c>
      <c r="H109" s="41">
        <v>0</v>
      </c>
      <c r="I109" s="41">
        <v>0</v>
      </c>
      <c r="J109" s="41">
        <v>0</v>
      </c>
      <c r="K109" s="40">
        <v>0</v>
      </c>
    </row>
    <row r="110" spans="1:11" x14ac:dyDescent="0.25">
      <c r="A110" s="41">
        <v>0</v>
      </c>
      <c r="B110" s="41">
        <v>0</v>
      </c>
      <c r="C110" s="41">
        <v>0</v>
      </c>
      <c r="D110" s="41">
        <v>0</v>
      </c>
      <c r="E110" s="40">
        <v>0</v>
      </c>
      <c r="G110" s="41">
        <v>0</v>
      </c>
      <c r="H110" s="41">
        <v>0</v>
      </c>
      <c r="I110" s="41">
        <v>0</v>
      </c>
      <c r="J110" s="41">
        <v>0</v>
      </c>
      <c r="K110" s="40">
        <v>0</v>
      </c>
    </row>
    <row r="111" spans="1:11" x14ac:dyDescent="0.25">
      <c r="A111" s="41">
        <v>0</v>
      </c>
      <c r="B111" s="41">
        <v>0</v>
      </c>
      <c r="C111" s="41">
        <v>0</v>
      </c>
      <c r="D111" s="41">
        <v>0</v>
      </c>
      <c r="E111" s="40">
        <v>0</v>
      </c>
      <c r="G111" s="41">
        <v>0</v>
      </c>
      <c r="H111" s="41">
        <v>0</v>
      </c>
      <c r="I111" s="41">
        <v>0</v>
      </c>
      <c r="J111" s="41">
        <v>0</v>
      </c>
      <c r="K111" s="40">
        <v>0</v>
      </c>
    </row>
    <row r="112" spans="1:11" x14ac:dyDescent="0.25">
      <c r="A112" s="41">
        <v>0</v>
      </c>
      <c r="B112" s="41">
        <v>0</v>
      </c>
      <c r="C112" s="41">
        <v>0</v>
      </c>
      <c r="D112" s="41">
        <v>0</v>
      </c>
      <c r="E112" s="40">
        <v>0</v>
      </c>
      <c r="G112" s="41">
        <v>0</v>
      </c>
      <c r="H112" s="41">
        <v>0</v>
      </c>
      <c r="I112" s="41">
        <v>0</v>
      </c>
      <c r="J112" s="41">
        <v>0</v>
      </c>
      <c r="K112" s="40">
        <v>0</v>
      </c>
    </row>
    <row r="113" spans="1:11" x14ac:dyDescent="0.25">
      <c r="A113" s="41">
        <v>0</v>
      </c>
      <c r="B113" s="41">
        <v>0</v>
      </c>
      <c r="C113" s="41">
        <v>0</v>
      </c>
      <c r="D113" s="41">
        <v>0</v>
      </c>
      <c r="E113" s="40">
        <v>0</v>
      </c>
      <c r="G113" s="41">
        <v>0</v>
      </c>
      <c r="H113" s="41">
        <v>0</v>
      </c>
      <c r="I113" s="41">
        <v>0</v>
      </c>
      <c r="J113" s="41">
        <v>0</v>
      </c>
      <c r="K113" s="40">
        <v>0</v>
      </c>
    </row>
    <row r="114" spans="1:11" x14ac:dyDescent="0.25">
      <c r="A114" s="41">
        <v>0</v>
      </c>
      <c r="B114" s="41">
        <v>0</v>
      </c>
      <c r="C114" s="41">
        <v>0</v>
      </c>
      <c r="D114" s="41">
        <v>0</v>
      </c>
      <c r="E114" s="40">
        <v>0</v>
      </c>
      <c r="G114" s="41">
        <v>0</v>
      </c>
      <c r="H114" s="41">
        <v>0</v>
      </c>
      <c r="I114" s="41">
        <v>0</v>
      </c>
      <c r="J114" s="41">
        <v>0</v>
      </c>
      <c r="K114" s="40">
        <v>0</v>
      </c>
    </row>
    <row r="115" spans="1:11" x14ac:dyDescent="0.25">
      <c r="A115" s="41">
        <v>0</v>
      </c>
      <c r="B115" s="41">
        <v>0</v>
      </c>
      <c r="C115" s="41">
        <v>0</v>
      </c>
      <c r="D115" s="41">
        <v>0</v>
      </c>
      <c r="E115" s="40">
        <v>0</v>
      </c>
      <c r="G115" s="41">
        <v>0</v>
      </c>
      <c r="H115" s="41">
        <v>0</v>
      </c>
      <c r="I115" s="41">
        <v>0</v>
      </c>
      <c r="J115" s="41">
        <v>0</v>
      </c>
      <c r="K115" s="40">
        <v>0</v>
      </c>
    </row>
    <row r="116" spans="1:11" x14ac:dyDescent="0.25">
      <c r="A116" s="41">
        <v>0</v>
      </c>
      <c r="B116" s="41">
        <v>0</v>
      </c>
      <c r="C116" s="41">
        <v>0</v>
      </c>
      <c r="D116" s="41">
        <v>0</v>
      </c>
      <c r="E116" s="40">
        <v>0</v>
      </c>
      <c r="G116" s="41">
        <v>0</v>
      </c>
      <c r="H116" s="41">
        <v>0</v>
      </c>
      <c r="I116" s="41">
        <v>0</v>
      </c>
      <c r="J116" s="41">
        <v>0</v>
      </c>
      <c r="K116" s="40">
        <v>0</v>
      </c>
    </row>
    <row r="117" spans="1:11" x14ac:dyDescent="0.25">
      <c r="A117" s="41">
        <v>0</v>
      </c>
      <c r="B117" s="41">
        <v>0</v>
      </c>
      <c r="C117" s="41">
        <v>0</v>
      </c>
      <c r="D117" s="41">
        <v>0</v>
      </c>
      <c r="E117" s="40">
        <v>0</v>
      </c>
      <c r="G117" s="41">
        <v>0</v>
      </c>
      <c r="H117" s="41">
        <v>0</v>
      </c>
      <c r="I117" s="41">
        <v>0</v>
      </c>
      <c r="J117" s="41">
        <v>0</v>
      </c>
      <c r="K117" s="40">
        <v>0</v>
      </c>
    </row>
    <row r="118" spans="1:11" x14ac:dyDescent="0.25">
      <c r="A118" s="41">
        <v>0</v>
      </c>
      <c r="B118" s="41">
        <v>0</v>
      </c>
      <c r="C118" s="41">
        <v>0</v>
      </c>
      <c r="D118" s="41">
        <v>0</v>
      </c>
      <c r="E118" s="40">
        <v>0</v>
      </c>
      <c r="G118" s="41">
        <v>0</v>
      </c>
      <c r="H118" s="41">
        <v>0</v>
      </c>
      <c r="I118" s="41">
        <v>0</v>
      </c>
      <c r="J118" s="41">
        <v>0</v>
      </c>
      <c r="K118" s="40">
        <v>0</v>
      </c>
    </row>
    <row r="119" spans="1:11" x14ac:dyDescent="0.25">
      <c r="A119" s="41">
        <v>0</v>
      </c>
      <c r="B119" s="41">
        <v>0</v>
      </c>
      <c r="C119" s="41">
        <v>0</v>
      </c>
      <c r="D119" s="41">
        <v>0</v>
      </c>
      <c r="E119" s="40">
        <v>0</v>
      </c>
      <c r="G119" s="41">
        <v>0</v>
      </c>
      <c r="H119" s="41">
        <v>0</v>
      </c>
      <c r="I119" s="41">
        <v>0</v>
      </c>
      <c r="J119" s="41">
        <v>0</v>
      </c>
      <c r="K119" s="40">
        <v>0</v>
      </c>
    </row>
    <row r="120" spans="1:11" x14ac:dyDescent="0.25">
      <c r="A120" s="41">
        <v>0</v>
      </c>
      <c r="B120" s="41">
        <v>0</v>
      </c>
      <c r="C120" s="41">
        <v>0</v>
      </c>
      <c r="D120" s="41">
        <v>0</v>
      </c>
      <c r="E120" s="40">
        <v>0</v>
      </c>
      <c r="G120" s="41">
        <v>0</v>
      </c>
      <c r="H120" s="41">
        <v>0</v>
      </c>
      <c r="I120" s="41">
        <v>0</v>
      </c>
      <c r="J120" s="41">
        <v>0</v>
      </c>
      <c r="K120" s="40">
        <v>0</v>
      </c>
    </row>
    <row r="121" spans="1:11" x14ac:dyDescent="0.25">
      <c r="A121" s="41">
        <v>0</v>
      </c>
      <c r="B121" s="41">
        <v>0</v>
      </c>
      <c r="C121" s="41">
        <v>0</v>
      </c>
      <c r="D121" s="41">
        <v>0</v>
      </c>
      <c r="E121" s="40">
        <v>0</v>
      </c>
      <c r="G121" s="41">
        <v>0</v>
      </c>
      <c r="H121" s="41">
        <v>0</v>
      </c>
      <c r="I121" s="41">
        <v>0</v>
      </c>
      <c r="J121" s="41">
        <v>0</v>
      </c>
      <c r="K121" s="40">
        <v>0</v>
      </c>
    </row>
    <row r="122" spans="1:11" x14ac:dyDescent="0.25">
      <c r="A122" s="41">
        <v>0</v>
      </c>
      <c r="B122" s="41">
        <v>0</v>
      </c>
      <c r="C122" s="41">
        <v>0</v>
      </c>
      <c r="D122" s="41">
        <v>0</v>
      </c>
      <c r="E122" s="40">
        <v>0</v>
      </c>
      <c r="G122" s="41">
        <v>0</v>
      </c>
      <c r="H122" s="41">
        <v>0</v>
      </c>
      <c r="I122" s="41">
        <v>0</v>
      </c>
      <c r="J122" s="41">
        <v>0</v>
      </c>
      <c r="K122" s="40">
        <v>0</v>
      </c>
    </row>
    <row r="123" spans="1:11" x14ac:dyDescent="0.25">
      <c r="A123" s="41">
        <v>0</v>
      </c>
      <c r="B123" s="41">
        <v>0</v>
      </c>
      <c r="C123" s="41">
        <v>0</v>
      </c>
      <c r="D123" s="41">
        <v>0</v>
      </c>
      <c r="E123" s="40">
        <v>0</v>
      </c>
      <c r="G123" s="41">
        <v>0</v>
      </c>
      <c r="H123" s="41">
        <v>0</v>
      </c>
      <c r="I123" s="41">
        <v>0</v>
      </c>
      <c r="J123" s="41">
        <v>0</v>
      </c>
      <c r="K123" s="40">
        <v>0</v>
      </c>
    </row>
    <row r="124" spans="1:11" x14ac:dyDescent="0.25">
      <c r="A124" s="41">
        <v>0</v>
      </c>
      <c r="B124" s="41">
        <v>0</v>
      </c>
      <c r="C124" s="41">
        <v>0</v>
      </c>
      <c r="D124" s="41">
        <v>0</v>
      </c>
      <c r="E124" s="40">
        <v>0</v>
      </c>
      <c r="G124" s="41">
        <v>0</v>
      </c>
      <c r="H124" s="41">
        <v>0</v>
      </c>
      <c r="I124" s="41">
        <v>0</v>
      </c>
      <c r="J124" s="41">
        <v>0</v>
      </c>
      <c r="K124" s="40">
        <v>0</v>
      </c>
    </row>
    <row r="125" spans="1:11" x14ac:dyDescent="0.25">
      <c r="A125" s="41">
        <v>0</v>
      </c>
      <c r="B125" s="41">
        <v>0</v>
      </c>
      <c r="C125" s="41">
        <v>0</v>
      </c>
      <c r="D125" s="41">
        <v>0</v>
      </c>
      <c r="E125" s="40">
        <v>0</v>
      </c>
      <c r="G125" s="41">
        <v>0</v>
      </c>
      <c r="H125" s="41">
        <v>0</v>
      </c>
      <c r="I125" s="41">
        <v>0</v>
      </c>
      <c r="J125" s="41">
        <v>0</v>
      </c>
      <c r="K125" s="40">
        <v>0</v>
      </c>
    </row>
    <row r="126" spans="1:11" x14ac:dyDescent="0.25">
      <c r="A126" s="41">
        <v>0</v>
      </c>
      <c r="B126" s="41">
        <v>0</v>
      </c>
      <c r="C126" s="41">
        <v>0</v>
      </c>
      <c r="D126" s="41">
        <v>0</v>
      </c>
      <c r="E126" s="40">
        <v>0</v>
      </c>
      <c r="G126" s="41">
        <v>0</v>
      </c>
      <c r="H126" s="41">
        <v>0</v>
      </c>
      <c r="I126" s="41">
        <v>0</v>
      </c>
      <c r="J126" s="41">
        <v>0</v>
      </c>
      <c r="K126" s="40">
        <v>0</v>
      </c>
    </row>
    <row r="127" spans="1:11" x14ac:dyDescent="0.25">
      <c r="A127" s="41">
        <v>0</v>
      </c>
      <c r="B127" s="41">
        <v>0</v>
      </c>
      <c r="C127" s="41">
        <v>0</v>
      </c>
      <c r="D127" s="41">
        <v>0</v>
      </c>
      <c r="E127" s="40">
        <v>0</v>
      </c>
      <c r="G127" s="41">
        <v>0</v>
      </c>
      <c r="H127" s="41">
        <v>0</v>
      </c>
      <c r="I127" s="41">
        <v>0</v>
      </c>
      <c r="J127" s="41">
        <v>0</v>
      </c>
      <c r="K127" s="40">
        <v>0</v>
      </c>
    </row>
    <row r="128" spans="1:11" x14ac:dyDescent="0.25">
      <c r="A128" s="41">
        <v>0</v>
      </c>
      <c r="B128" s="41">
        <v>0</v>
      </c>
      <c r="C128" s="41">
        <v>0</v>
      </c>
      <c r="D128" s="41">
        <v>0</v>
      </c>
      <c r="E128" s="40">
        <v>0</v>
      </c>
      <c r="G128" s="41">
        <v>0</v>
      </c>
      <c r="H128" s="41">
        <v>0</v>
      </c>
      <c r="I128" s="41">
        <v>0</v>
      </c>
      <c r="J128" s="41">
        <v>0</v>
      </c>
      <c r="K128" s="40">
        <v>0</v>
      </c>
    </row>
    <row r="129" spans="1:11" x14ac:dyDescent="0.25">
      <c r="A129" s="41">
        <v>0</v>
      </c>
      <c r="B129" s="41">
        <v>0</v>
      </c>
      <c r="C129" s="41">
        <v>0</v>
      </c>
      <c r="D129" s="41">
        <v>0</v>
      </c>
      <c r="E129" s="40">
        <v>0</v>
      </c>
      <c r="G129" s="41">
        <v>0</v>
      </c>
      <c r="H129" s="41">
        <v>0</v>
      </c>
      <c r="I129" s="41">
        <v>0</v>
      </c>
      <c r="J129" s="41">
        <v>0</v>
      </c>
      <c r="K129" s="40">
        <v>0</v>
      </c>
    </row>
    <row r="130" spans="1:11" x14ac:dyDescent="0.25">
      <c r="A130" s="41">
        <v>0</v>
      </c>
      <c r="B130" s="41">
        <v>0</v>
      </c>
      <c r="C130" s="41">
        <v>0</v>
      </c>
      <c r="D130" s="41">
        <v>0</v>
      </c>
      <c r="E130" s="40">
        <v>0</v>
      </c>
      <c r="G130" s="41">
        <v>0</v>
      </c>
      <c r="H130" s="41">
        <v>0</v>
      </c>
      <c r="I130" s="41">
        <v>0</v>
      </c>
      <c r="J130" s="41">
        <v>0</v>
      </c>
      <c r="K130" s="40">
        <v>0</v>
      </c>
    </row>
    <row r="131" spans="1:11" x14ac:dyDescent="0.25">
      <c r="A131" s="41">
        <v>0</v>
      </c>
      <c r="B131" s="41">
        <v>0</v>
      </c>
      <c r="C131" s="41">
        <v>0</v>
      </c>
      <c r="D131" s="41">
        <v>0</v>
      </c>
      <c r="E131" s="40">
        <v>0</v>
      </c>
      <c r="G131" s="41">
        <v>0</v>
      </c>
      <c r="H131" s="41">
        <v>0</v>
      </c>
      <c r="I131" s="41">
        <v>0</v>
      </c>
      <c r="J131" s="41">
        <v>0</v>
      </c>
      <c r="K131" s="40">
        <v>0</v>
      </c>
    </row>
    <row r="132" spans="1:11" x14ac:dyDescent="0.25">
      <c r="A132" s="41">
        <v>0</v>
      </c>
      <c r="B132" s="41">
        <v>0</v>
      </c>
      <c r="C132" s="41">
        <v>0</v>
      </c>
      <c r="D132" s="41">
        <v>0</v>
      </c>
      <c r="E132" s="40">
        <v>0</v>
      </c>
      <c r="G132" s="41">
        <v>0</v>
      </c>
      <c r="H132" s="41">
        <v>0</v>
      </c>
      <c r="I132" s="41">
        <v>0</v>
      </c>
      <c r="J132" s="41">
        <v>0</v>
      </c>
      <c r="K132" s="40">
        <v>0</v>
      </c>
    </row>
    <row r="133" spans="1:11" x14ac:dyDescent="0.25">
      <c r="A133" s="41">
        <v>0</v>
      </c>
      <c r="B133" s="41">
        <v>0</v>
      </c>
      <c r="C133" s="41">
        <v>0</v>
      </c>
      <c r="D133" s="41">
        <v>0</v>
      </c>
      <c r="E133" s="40">
        <v>0</v>
      </c>
      <c r="G133" s="41">
        <v>0</v>
      </c>
      <c r="H133" s="41">
        <v>0</v>
      </c>
      <c r="I133" s="41">
        <v>0</v>
      </c>
      <c r="J133" s="41">
        <v>0</v>
      </c>
      <c r="K133" s="40">
        <v>0</v>
      </c>
    </row>
    <row r="134" spans="1:11" x14ac:dyDescent="0.25">
      <c r="A134" s="41">
        <v>0</v>
      </c>
      <c r="B134" s="41">
        <v>0</v>
      </c>
      <c r="C134" s="41">
        <v>0</v>
      </c>
      <c r="D134" s="41">
        <v>0</v>
      </c>
      <c r="E134" s="40">
        <v>0</v>
      </c>
      <c r="G134" s="41">
        <v>0</v>
      </c>
      <c r="H134" s="41">
        <v>0</v>
      </c>
      <c r="I134" s="41">
        <v>0</v>
      </c>
      <c r="J134" s="41">
        <v>0</v>
      </c>
      <c r="K134" s="40">
        <v>0</v>
      </c>
    </row>
    <row r="135" spans="1:11" x14ac:dyDescent="0.25">
      <c r="A135" s="41">
        <v>0</v>
      </c>
      <c r="B135" s="41">
        <v>0</v>
      </c>
      <c r="C135" s="41">
        <v>0</v>
      </c>
      <c r="D135" s="41">
        <v>0</v>
      </c>
      <c r="E135" s="40">
        <v>0</v>
      </c>
      <c r="G135" s="41">
        <v>0</v>
      </c>
      <c r="H135" s="41">
        <v>0</v>
      </c>
      <c r="I135" s="41">
        <v>0</v>
      </c>
      <c r="J135" s="41">
        <v>0</v>
      </c>
      <c r="K135" s="40">
        <v>0</v>
      </c>
    </row>
    <row r="136" spans="1:11" x14ac:dyDescent="0.25">
      <c r="A136" s="41">
        <v>0</v>
      </c>
      <c r="B136" s="41">
        <v>0</v>
      </c>
      <c r="C136" s="41">
        <v>0</v>
      </c>
      <c r="D136" s="41">
        <v>0</v>
      </c>
      <c r="E136" s="40">
        <v>0</v>
      </c>
      <c r="G136" s="41">
        <v>0</v>
      </c>
      <c r="H136" s="41">
        <v>0</v>
      </c>
      <c r="I136" s="41">
        <v>0</v>
      </c>
      <c r="J136" s="41">
        <v>0</v>
      </c>
      <c r="K136" s="40">
        <v>0</v>
      </c>
    </row>
    <row r="137" spans="1:11" x14ac:dyDescent="0.25">
      <c r="A137" s="41">
        <v>0</v>
      </c>
      <c r="B137" s="41">
        <v>0</v>
      </c>
      <c r="C137" s="41">
        <v>0</v>
      </c>
      <c r="D137" s="41">
        <v>0</v>
      </c>
      <c r="E137" s="40">
        <v>0</v>
      </c>
      <c r="G137" s="41">
        <v>0</v>
      </c>
      <c r="H137" s="41">
        <v>0</v>
      </c>
      <c r="I137" s="41">
        <v>0</v>
      </c>
      <c r="J137" s="41">
        <v>0</v>
      </c>
      <c r="K137" s="40">
        <v>0</v>
      </c>
    </row>
    <row r="138" spans="1:11" x14ac:dyDescent="0.25">
      <c r="A138" s="41">
        <v>0</v>
      </c>
      <c r="B138" s="41">
        <v>0</v>
      </c>
      <c r="C138" s="41">
        <v>0</v>
      </c>
      <c r="D138" s="41">
        <v>0</v>
      </c>
      <c r="E138" s="40">
        <v>0</v>
      </c>
      <c r="G138" s="41">
        <v>0</v>
      </c>
      <c r="H138" s="41">
        <v>0</v>
      </c>
      <c r="I138" s="41">
        <v>0</v>
      </c>
      <c r="J138" s="41">
        <v>0</v>
      </c>
      <c r="K138" s="40">
        <v>0</v>
      </c>
    </row>
    <row r="139" spans="1:11" x14ac:dyDescent="0.25">
      <c r="A139" s="41">
        <v>0</v>
      </c>
      <c r="B139" s="41">
        <v>0</v>
      </c>
      <c r="C139" s="41">
        <v>0</v>
      </c>
      <c r="D139" s="41">
        <v>0</v>
      </c>
      <c r="E139" s="40">
        <v>0</v>
      </c>
      <c r="G139" s="41">
        <v>0</v>
      </c>
      <c r="H139" s="41">
        <v>0</v>
      </c>
      <c r="I139" s="41">
        <v>0</v>
      </c>
      <c r="J139" s="41">
        <v>0</v>
      </c>
      <c r="K139" s="40">
        <v>0</v>
      </c>
    </row>
    <row r="140" spans="1:11" x14ac:dyDescent="0.25">
      <c r="A140" s="41">
        <v>0</v>
      </c>
      <c r="B140" s="41">
        <v>0</v>
      </c>
      <c r="C140" s="41">
        <v>0</v>
      </c>
      <c r="D140" s="41">
        <v>0</v>
      </c>
      <c r="E140" s="40">
        <v>0</v>
      </c>
      <c r="G140" s="41">
        <v>0</v>
      </c>
      <c r="H140" s="41">
        <v>0</v>
      </c>
      <c r="I140" s="41">
        <v>0</v>
      </c>
      <c r="J140" s="41">
        <v>0</v>
      </c>
      <c r="K140" s="40">
        <v>0</v>
      </c>
    </row>
    <row r="141" spans="1:11" x14ac:dyDescent="0.25">
      <c r="A141" s="41">
        <v>0</v>
      </c>
      <c r="B141" s="41">
        <v>0</v>
      </c>
      <c r="C141" s="41">
        <v>0</v>
      </c>
      <c r="D141" s="41">
        <v>0</v>
      </c>
      <c r="E141" s="40">
        <v>0</v>
      </c>
      <c r="G141" s="41">
        <v>0</v>
      </c>
      <c r="H141" s="41">
        <v>0</v>
      </c>
      <c r="I141" s="41">
        <v>0</v>
      </c>
      <c r="J141" s="41">
        <v>0</v>
      </c>
      <c r="K141" s="40">
        <v>0</v>
      </c>
    </row>
    <row r="142" spans="1:11" x14ac:dyDescent="0.25">
      <c r="A142" s="41">
        <v>0</v>
      </c>
      <c r="B142" s="41">
        <v>0</v>
      </c>
      <c r="C142" s="41">
        <v>0</v>
      </c>
      <c r="D142" s="41">
        <v>0</v>
      </c>
      <c r="E142" s="40">
        <v>0</v>
      </c>
      <c r="G142" s="41">
        <v>0</v>
      </c>
      <c r="H142" s="41">
        <v>0</v>
      </c>
      <c r="I142" s="41">
        <v>0</v>
      </c>
      <c r="J142" s="41">
        <v>0</v>
      </c>
      <c r="K142" s="40">
        <v>0</v>
      </c>
    </row>
    <row r="143" spans="1:11" x14ac:dyDescent="0.25">
      <c r="A143" s="41">
        <v>0</v>
      </c>
      <c r="B143" s="41">
        <v>0</v>
      </c>
      <c r="C143" s="41">
        <v>0</v>
      </c>
      <c r="D143" s="41">
        <v>0</v>
      </c>
      <c r="E143" s="40">
        <v>0</v>
      </c>
      <c r="G143" s="41">
        <v>0</v>
      </c>
      <c r="H143" s="41">
        <v>0</v>
      </c>
      <c r="I143" s="41">
        <v>0</v>
      </c>
      <c r="J143" s="41">
        <v>0</v>
      </c>
      <c r="K143" s="40">
        <v>0</v>
      </c>
    </row>
    <row r="144" spans="1:11" x14ac:dyDescent="0.25">
      <c r="A144" s="41">
        <v>0</v>
      </c>
      <c r="B144" s="41">
        <v>0</v>
      </c>
      <c r="C144" s="41">
        <v>0</v>
      </c>
      <c r="D144" s="41">
        <v>0</v>
      </c>
      <c r="E144" s="40">
        <v>0</v>
      </c>
      <c r="G144" s="41">
        <v>0</v>
      </c>
      <c r="H144" s="41">
        <v>0</v>
      </c>
      <c r="I144" s="41">
        <v>0</v>
      </c>
      <c r="J144" s="41">
        <v>0</v>
      </c>
      <c r="K144" s="40">
        <v>0</v>
      </c>
    </row>
    <row r="145" spans="1:11" x14ac:dyDescent="0.25">
      <c r="A145" s="41">
        <v>0</v>
      </c>
      <c r="B145" s="41">
        <v>0</v>
      </c>
      <c r="C145" s="41">
        <v>0</v>
      </c>
      <c r="D145" s="41">
        <v>0</v>
      </c>
      <c r="E145" s="40">
        <v>0</v>
      </c>
      <c r="G145" s="41">
        <v>0</v>
      </c>
      <c r="H145" s="41">
        <v>0</v>
      </c>
      <c r="I145" s="41">
        <v>0</v>
      </c>
      <c r="J145" s="41">
        <v>0</v>
      </c>
      <c r="K145" s="40">
        <v>0</v>
      </c>
    </row>
    <row r="146" spans="1:11" x14ac:dyDescent="0.25">
      <c r="A146" s="41">
        <v>0</v>
      </c>
      <c r="B146" s="41">
        <v>0</v>
      </c>
      <c r="C146" s="41">
        <v>0</v>
      </c>
      <c r="D146" s="41">
        <v>0</v>
      </c>
      <c r="E146" s="40">
        <v>0</v>
      </c>
      <c r="G146" s="41">
        <v>0</v>
      </c>
      <c r="H146" s="41">
        <v>0</v>
      </c>
      <c r="I146" s="41">
        <v>0</v>
      </c>
      <c r="J146" s="41">
        <v>0</v>
      </c>
      <c r="K146" s="40">
        <v>0</v>
      </c>
    </row>
    <row r="147" spans="1:11" x14ac:dyDescent="0.25">
      <c r="A147" s="41">
        <v>0</v>
      </c>
      <c r="B147" s="41">
        <v>0</v>
      </c>
      <c r="C147" s="41">
        <v>0</v>
      </c>
      <c r="D147" s="41">
        <v>0</v>
      </c>
      <c r="E147" s="40">
        <v>0</v>
      </c>
      <c r="G147" s="41">
        <v>0</v>
      </c>
      <c r="H147" s="41">
        <v>0</v>
      </c>
      <c r="I147" s="41">
        <v>0</v>
      </c>
      <c r="J147" s="41">
        <v>0</v>
      </c>
      <c r="K147" s="40">
        <v>0</v>
      </c>
    </row>
    <row r="148" spans="1:11" x14ac:dyDescent="0.25">
      <c r="A148" s="41">
        <v>0</v>
      </c>
      <c r="B148" s="41">
        <v>0</v>
      </c>
      <c r="C148" s="41">
        <v>0</v>
      </c>
      <c r="D148" s="41">
        <v>0</v>
      </c>
      <c r="E148" s="40">
        <v>0</v>
      </c>
      <c r="G148" s="41">
        <v>0</v>
      </c>
      <c r="H148" s="41">
        <v>0</v>
      </c>
      <c r="I148" s="41">
        <v>0</v>
      </c>
      <c r="J148" s="41">
        <v>0</v>
      </c>
      <c r="K148" s="40">
        <v>0</v>
      </c>
    </row>
    <row r="149" spans="1:11" x14ac:dyDescent="0.25">
      <c r="A149" s="41">
        <v>0</v>
      </c>
      <c r="B149" s="41">
        <v>0</v>
      </c>
      <c r="C149" s="41">
        <v>0</v>
      </c>
      <c r="D149" s="41">
        <v>0</v>
      </c>
      <c r="E149" s="40">
        <v>0</v>
      </c>
      <c r="G149" s="41">
        <v>0</v>
      </c>
      <c r="H149" s="41">
        <v>0</v>
      </c>
      <c r="I149" s="41">
        <v>0</v>
      </c>
      <c r="J149" s="41">
        <v>0</v>
      </c>
      <c r="K149" s="40">
        <v>0</v>
      </c>
    </row>
    <row r="150" spans="1:11" x14ac:dyDescent="0.25">
      <c r="A150" s="41">
        <v>0</v>
      </c>
      <c r="B150" s="41">
        <v>0</v>
      </c>
      <c r="C150" s="41">
        <v>0</v>
      </c>
      <c r="D150" s="41">
        <v>0</v>
      </c>
      <c r="E150" s="40">
        <v>0</v>
      </c>
      <c r="G150" s="41">
        <v>0</v>
      </c>
      <c r="H150" s="41">
        <v>0</v>
      </c>
      <c r="I150" s="41">
        <v>0</v>
      </c>
      <c r="J150" s="41">
        <v>0</v>
      </c>
      <c r="K150" s="40">
        <v>0</v>
      </c>
    </row>
    <row r="151" spans="1:11" x14ac:dyDescent="0.25">
      <c r="A151" s="41">
        <v>0</v>
      </c>
      <c r="B151" s="41">
        <v>0</v>
      </c>
      <c r="C151" s="41">
        <v>0</v>
      </c>
      <c r="D151" s="41">
        <v>0</v>
      </c>
      <c r="E151" s="40">
        <v>0</v>
      </c>
      <c r="G151" s="41">
        <v>0</v>
      </c>
      <c r="H151" s="41">
        <v>0</v>
      </c>
      <c r="I151" s="41">
        <v>0</v>
      </c>
      <c r="J151" s="41">
        <v>0</v>
      </c>
      <c r="K151" s="40">
        <v>0</v>
      </c>
    </row>
    <row r="152" spans="1:11" x14ac:dyDescent="0.25">
      <c r="A152" s="41">
        <v>0</v>
      </c>
      <c r="B152" s="41">
        <v>0</v>
      </c>
      <c r="C152" s="41">
        <v>0</v>
      </c>
      <c r="D152" s="41">
        <v>0</v>
      </c>
      <c r="E152" s="40">
        <v>0</v>
      </c>
      <c r="G152" s="41">
        <v>0</v>
      </c>
      <c r="H152" s="41">
        <v>0</v>
      </c>
      <c r="I152" s="41">
        <v>0</v>
      </c>
      <c r="J152" s="41">
        <v>0</v>
      </c>
      <c r="K152" s="40">
        <v>0</v>
      </c>
    </row>
    <row r="153" spans="1:11" x14ac:dyDescent="0.25">
      <c r="A153" s="41">
        <v>0</v>
      </c>
      <c r="B153" s="41">
        <v>0</v>
      </c>
      <c r="C153" s="41">
        <v>0</v>
      </c>
      <c r="D153" s="41">
        <v>0</v>
      </c>
      <c r="E153" s="40">
        <v>0</v>
      </c>
      <c r="G153" s="41">
        <v>0</v>
      </c>
      <c r="H153" s="41">
        <v>0</v>
      </c>
      <c r="I153" s="41">
        <v>0</v>
      </c>
      <c r="J153" s="41">
        <v>0</v>
      </c>
      <c r="K153" s="40">
        <v>0</v>
      </c>
    </row>
    <row r="154" spans="1:11" x14ac:dyDescent="0.25">
      <c r="A154" s="41">
        <v>0</v>
      </c>
      <c r="B154" s="41">
        <v>0</v>
      </c>
      <c r="C154" s="41">
        <v>0</v>
      </c>
      <c r="D154" s="41">
        <v>0</v>
      </c>
      <c r="E154" s="40">
        <v>0</v>
      </c>
      <c r="G154" s="41">
        <v>0</v>
      </c>
      <c r="H154" s="41">
        <v>0</v>
      </c>
      <c r="I154" s="41">
        <v>0</v>
      </c>
      <c r="J154" s="41">
        <v>0</v>
      </c>
      <c r="K154" s="40">
        <v>0</v>
      </c>
    </row>
    <row r="155" spans="1:11" x14ac:dyDescent="0.25">
      <c r="A155" s="41">
        <v>0</v>
      </c>
      <c r="B155" s="41">
        <v>0</v>
      </c>
      <c r="C155" s="41">
        <v>0</v>
      </c>
      <c r="D155" s="41">
        <v>0</v>
      </c>
      <c r="E155" s="40">
        <v>0</v>
      </c>
      <c r="G155" s="41">
        <v>0</v>
      </c>
      <c r="H155" s="41">
        <v>0</v>
      </c>
      <c r="I155" s="41">
        <v>0</v>
      </c>
      <c r="J155" s="41">
        <v>0</v>
      </c>
      <c r="K155" s="40">
        <v>0</v>
      </c>
    </row>
    <row r="156" spans="1:11" x14ac:dyDescent="0.25">
      <c r="A156" s="41">
        <v>0</v>
      </c>
      <c r="B156" s="41">
        <v>0</v>
      </c>
      <c r="C156" s="41">
        <v>0</v>
      </c>
      <c r="D156" s="41">
        <v>0</v>
      </c>
      <c r="E156" s="40">
        <v>0</v>
      </c>
      <c r="G156" s="41">
        <v>0</v>
      </c>
      <c r="H156" s="41">
        <v>0</v>
      </c>
      <c r="I156" s="41">
        <v>0</v>
      </c>
      <c r="J156" s="41">
        <v>0</v>
      </c>
      <c r="K156" s="40">
        <v>0</v>
      </c>
    </row>
    <row r="157" spans="1:11" x14ac:dyDescent="0.25">
      <c r="A157" s="41">
        <v>0</v>
      </c>
      <c r="B157" s="41">
        <v>0</v>
      </c>
      <c r="C157" s="41">
        <v>0</v>
      </c>
      <c r="D157" s="41">
        <v>0</v>
      </c>
      <c r="E157" s="40">
        <v>0</v>
      </c>
      <c r="G157" s="41">
        <v>0</v>
      </c>
      <c r="H157" s="41">
        <v>0</v>
      </c>
      <c r="I157" s="41">
        <v>0</v>
      </c>
      <c r="J157" s="41">
        <v>0</v>
      </c>
      <c r="K157" s="40">
        <v>0</v>
      </c>
    </row>
    <row r="158" spans="1:11" x14ac:dyDescent="0.25">
      <c r="A158" s="41">
        <v>0</v>
      </c>
      <c r="B158" s="41">
        <v>0</v>
      </c>
      <c r="C158" s="41">
        <v>0</v>
      </c>
      <c r="D158" s="41">
        <v>0</v>
      </c>
      <c r="E158" s="40">
        <v>0</v>
      </c>
      <c r="G158" s="41">
        <v>0</v>
      </c>
      <c r="H158" s="41">
        <v>0</v>
      </c>
      <c r="I158" s="41">
        <v>0</v>
      </c>
      <c r="J158" s="41">
        <v>0</v>
      </c>
      <c r="K158" s="40">
        <v>0</v>
      </c>
    </row>
    <row r="159" spans="1:11" x14ac:dyDescent="0.25">
      <c r="A159" s="41">
        <v>0</v>
      </c>
      <c r="B159" s="41">
        <v>0</v>
      </c>
      <c r="C159" s="41">
        <v>0</v>
      </c>
      <c r="D159" s="41">
        <v>0</v>
      </c>
      <c r="E159" s="40">
        <v>0</v>
      </c>
      <c r="G159" s="41">
        <v>0</v>
      </c>
      <c r="H159" s="41">
        <v>0</v>
      </c>
      <c r="I159" s="41">
        <v>0</v>
      </c>
      <c r="J159" s="41">
        <v>0</v>
      </c>
      <c r="K159" s="40">
        <v>0</v>
      </c>
    </row>
    <row r="160" spans="1:11" x14ac:dyDescent="0.25">
      <c r="A160" s="41">
        <v>0</v>
      </c>
      <c r="B160" s="41">
        <v>0</v>
      </c>
      <c r="C160" s="41">
        <v>0</v>
      </c>
      <c r="D160" s="41">
        <v>0</v>
      </c>
      <c r="E160" s="40">
        <v>0</v>
      </c>
      <c r="G160" s="41">
        <v>0</v>
      </c>
      <c r="H160" s="41">
        <v>0</v>
      </c>
      <c r="I160" s="41">
        <v>0</v>
      </c>
      <c r="J160" s="41">
        <v>0</v>
      </c>
      <c r="K160" s="40">
        <v>0</v>
      </c>
    </row>
    <row r="161" spans="1:11" x14ac:dyDescent="0.25">
      <c r="A161" s="41">
        <v>0</v>
      </c>
      <c r="B161" s="41">
        <v>0</v>
      </c>
      <c r="C161" s="41">
        <v>0</v>
      </c>
      <c r="D161" s="41">
        <v>0</v>
      </c>
      <c r="E161" s="40">
        <v>0</v>
      </c>
      <c r="G161" s="41">
        <v>0</v>
      </c>
      <c r="H161" s="41">
        <v>0</v>
      </c>
      <c r="I161" s="41">
        <v>0</v>
      </c>
      <c r="J161" s="41">
        <v>0</v>
      </c>
      <c r="K161" s="40">
        <v>0</v>
      </c>
    </row>
    <row r="162" spans="1:11" x14ac:dyDescent="0.25">
      <c r="A162" s="41">
        <v>0</v>
      </c>
      <c r="B162" s="41">
        <v>0</v>
      </c>
      <c r="C162" s="41">
        <v>0</v>
      </c>
      <c r="D162" s="41">
        <v>0</v>
      </c>
      <c r="E162" s="40">
        <v>0</v>
      </c>
      <c r="G162" s="41">
        <v>0</v>
      </c>
      <c r="H162" s="41">
        <v>0</v>
      </c>
      <c r="I162" s="41">
        <v>0</v>
      </c>
      <c r="J162" s="41">
        <v>0</v>
      </c>
      <c r="K162" s="40">
        <v>0</v>
      </c>
    </row>
    <row r="163" spans="1:11" x14ac:dyDescent="0.25">
      <c r="A163" s="41">
        <v>0</v>
      </c>
      <c r="B163" s="41">
        <v>0</v>
      </c>
      <c r="C163" s="41">
        <v>0</v>
      </c>
      <c r="D163" s="41">
        <v>0</v>
      </c>
      <c r="E163" s="40">
        <v>0</v>
      </c>
      <c r="G163" s="41">
        <v>0</v>
      </c>
      <c r="H163" s="41">
        <v>0</v>
      </c>
      <c r="I163" s="41">
        <v>0</v>
      </c>
      <c r="J163" s="41">
        <v>0</v>
      </c>
      <c r="K163" s="40">
        <v>0</v>
      </c>
    </row>
    <row r="164" spans="1:11" x14ac:dyDescent="0.25">
      <c r="A164" s="41">
        <v>0</v>
      </c>
      <c r="B164" s="41">
        <v>0</v>
      </c>
      <c r="C164" s="41">
        <v>0</v>
      </c>
      <c r="D164" s="41">
        <v>0</v>
      </c>
      <c r="E164" s="40">
        <v>0</v>
      </c>
      <c r="G164" s="41">
        <v>0</v>
      </c>
      <c r="H164" s="41">
        <v>0</v>
      </c>
      <c r="I164" s="41">
        <v>0</v>
      </c>
      <c r="J164" s="41">
        <v>0</v>
      </c>
      <c r="K164" s="40">
        <v>0</v>
      </c>
    </row>
    <row r="165" spans="1:11" x14ac:dyDescent="0.25">
      <c r="A165" s="41">
        <v>0</v>
      </c>
      <c r="B165" s="41">
        <v>0</v>
      </c>
      <c r="C165" s="41">
        <v>0</v>
      </c>
      <c r="D165" s="41">
        <v>0</v>
      </c>
      <c r="E165" s="40">
        <v>0</v>
      </c>
      <c r="G165" s="41">
        <v>0</v>
      </c>
      <c r="H165" s="41">
        <v>0</v>
      </c>
      <c r="I165" s="41">
        <v>0</v>
      </c>
      <c r="J165" s="41">
        <v>0</v>
      </c>
      <c r="K165" s="40">
        <v>0</v>
      </c>
    </row>
    <row r="166" spans="1:11" x14ac:dyDescent="0.25">
      <c r="A166" s="41">
        <v>0</v>
      </c>
      <c r="B166" s="41">
        <v>0</v>
      </c>
      <c r="C166" s="41">
        <v>0</v>
      </c>
      <c r="D166" s="41">
        <v>0</v>
      </c>
      <c r="E166" s="40">
        <v>0</v>
      </c>
      <c r="G166" s="41">
        <v>0</v>
      </c>
      <c r="H166" s="41">
        <v>0</v>
      </c>
      <c r="I166" s="41">
        <v>0</v>
      </c>
      <c r="J166" s="41">
        <v>0</v>
      </c>
      <c r="K166" s="40">
        <v>0</v>
      </c>
    </row>
    <row r="167" spans="1:11" x14ac:dyDescent="0.25">
      <c r="A167" s="41">
        <v>0</v>
      </c>
      <c r="B167" s="41">
        <v>0</v>
      </c>
      <c r="C167" s="41">
        <v>0</v>
      </c>
      <c r="D167" s="41">
        <v>0</v>
      </c>
      <c r="E167" s="40">
        <v>0</v>
      </c>
      <c r="G167" s="41">
        <v>0</v>
      </c>
      <c r="H167" s="41">
        <v>0</v>
      </c>
      <c r="I167" s="41">
        <v>0</v>
      </c>
      <c r="J167" s="41">
        <v>0</v>
      </c>
      <c r="K167" s="40">
        <v>0</v>
      </c>
    </row>
    <row r="168" spans="1:11" x14ac:dyDescent="0.25">
      <c r="A168" s="41">
        <v>0</v>
      </c>
      <c r="B168" s="41">
        <v>0</v>
      </c>
      <c r="C168" s="41">
        <v>0</v>
      </c>
      <c r="D168" s="41">
        <v>0</v>
      </c>
      <c r="E168" s="40">
        <v>0</v>
      </c>
      <c r="G168" s="41">
        <v>0</v>
      </c>
      <c r="H168" s="41">
        <v>0</v>
      </c>
      <c r="I168" s="41">
        <v>0</v>
      </c>
      <c r="J168" s="41">
        <v>0</v>
      </c>
      <c r="K168" s="40">
        <v>0</v>
      </c>
    </row>
    <row r="169" spans="1:11" x14ac:dyDescent="0.25">
      <c r="A169" s="41">
        <v>0</v>
      </c>
      <c r="B169" s="41">
        <v>0</v>
      </c>
      <c r="C169" s="41">
        <v>0</v>
      </c>
      <c r="D169" s="41">
        <v>0</v>
      </c>
      <c r="E169" s="40">
        <v>0</v>
      </c>
      <c r="G169" s="41">
        <v>0</v>
      </c>
      <c r="H169" s="41">
        <v>0</v>
      </c>
      <c r="I169" s="41">
        <v>0</v>
      </c>
      <c r="J169" s="41">
        <v>0</v>
      </c>
      <c r="K169" s="40">
        <v>0</v>
      </c>
    </row>
    <row r="170" spans="1:11" x14ac:dyDescent="0.25">
      <c r="A170" s="41">
        <v>0</v>
      </c>
      <c r="B170" s="41">
        <v>0</v>
      </c>
      <c r="C170" s="41">
        <v>0</v>
      </c>
      <c r="D170" s="41">
        <v>0</v>
      </c>
      <c r="E170" s="40">
        <v>0</v>
      </c>
      <c r="G170" s="41">
        <v>0</v>
      </c>
      <c r="H170" s="41">
        <v>0</v>
      </c>
      <c r="I170" s="41">
        <v>0</v>
      </c>
      <c r="J170" s="41">
        <v>0</v>
      </c>
      <c r="K170" s="40">
        <v>0</v>
      </c>
    </row>
    <row r="171" spans="1:11" x14ac:dyDescent="0.25">
      <c r="A171" s="41">
        <v>0</v>
      </c>
      <c r="B171" s="41">
        <v>0</v>
      </c>
      <c r="C171" s="41">
        <v>0</v>
      </c>
      <c r="D171" s="41">
        <v>0</v>
      </c>
      <c r="E171" s="40">
        <v>0</v>
      </c>
      <c r="G171" s="41">
        <v>0</v>
      </c>
      <c r="H171" s="41">
        <v>0</v>
      </c>
      <c r="I171" s="41">
        <v>0</v>
      </c>
      <c r="J171" s="41">
        <v>0</v>
      </c>
      <c r="K171" s="40">
        <v>0</v>
      </c>
    </row>
    <row r="172" spans="1:11" x14ac:dyDescent="0.25">
      <c r="A172" s="41">
        <v>0</v>
      </c>
      <c r="B172" s="41">
        <v>0</v>
      </c>
      <c r="C172" s="41">
        <v>0</v>
      </c>
      <c r="D172" s="41">
        <v>0</v>
      </c>
      <c r="E172" s="40">
        <v>0</v>
      </c>
      <c r="G172" s="41">
        <v>0</v>
      </c>
      <c r="H172" s="41">
        <v>0</v>
      </c>
      <c r="I172" s="41">
        <v>0</v>
      </c>
      <c r="J172" s="41">
        <v>0</v>
      </c>
      <c r="K172" s="40">
        <v>0</v>
      </c>
    </row>
    <row r="173" spans="1:11" x14ac:dyDescent="0.25">
      <c r="A173" s="41">
        <v>0</v>
      </c>
      <c r="B173" s="41">
        <v>0</v>
      </c>
      <c r="C173" s="41">
        <v>0</v>
      </c>
      <c r="D173" s="41">
        <v>0</v>
      </c>
      <c r="E173" s="40">
        <v>0</v>
      </c>
      <c r="G173" s="41">
        <v>0</v>
      </c>
      <c r="H173" s="41">
        <v>0</v>
      </c>
      <c r="I173" s="41">
        <v>0</v>
      </c>
      <c r="J173" s="41">
        <v>0</v>
      </c>
      <c r="K173" s="40">
        <v>0</v>
      </c>
    </row>
    <row r="174" spans="1:11" x14ac:dyDescent="0.25">
      <c r="A174" s="41">
        <v>0</v>
      </c>
      <c r="B174" s="41">
        <v>0</v>
      </c>
      <c r="C174" s="41">
        <v>0</v>
      </c>
      <c r="D174" s="41">
        <v>0</v>
      </c>
      <c r="E174" s="40">
        <v>0</v>
      </c>
      <c r="G174" s="41">
        <v>0</v>
      </c>
      <c r="H174" s="41">
        <v>0</v>
      </c>
      <c r="I174" s="41">
        <v>0</v>
      </c>
      <c r="J174" s="41">
        <v>0</v>
      </c>
      <c r="K174" s="40">
        <v>0</v>
      </c>
    </row>
    <row r="175" spans="1:11" x14ac:dyDescent="0.25">
      <c r="A175" s="41">
        <v>0</v>
      </c>
      <c r="B175" s="41">
        <v>0</v>
      </c>
      <c r="C175" s="41">
        <v>0</v>
      </c>
      <c r="D175" s="41">
        <v>0</v>
      </c>
      <c r="E175" s="40">
        <v>0</v>
      </c>
      <c r="G175" s="41">
        <v>0</v>
      </c>
      <c r="H175" s="41">
        <v>0</v>
      </c>
      <c r="I175" s="41">
        <v>0</v>
      </c>
      <c r="J175" s="41">
        <v>0</v>
      </c>
      <c r="K175" s="40">
        <v>0</v>
      </c>
    </row>
    <row r="176" spans="1:11" x14ac:dyDescent="0.25">
      <c r="A176" s="41">
        <v>0</v>
      </c>
      <c r="B176" s="41">
        <v>0</v>
      </c>
      <c r="C176" s="41">
        <v>0</v>
      </c>
      <c r="D176" s="41">
        <v>0</v>
      </c>
      <c r="E176" s="40">
        <v>0</v>
      </c>
      <c r="G176" s="41">
        <v>0</v>
      </c>
      <c r="H176" s="41">
        <v>0</v>
      </c>
      <c r="I176" s="41">
        <v>0</v>
      </c>
      <c r="J176" s="41">
        <v>0</v>
      </c>
      <c r="K176" s="40">
        <v>0</v>
      </c>
    </row>
    <row r="177" spans="1:11" x14ac:dyDescent="0.25">
      <c r="A177" s="41">
        <v>0</v>
      </c>
      <c r="B177" s="41">
        <v>0</v>
      </c>
      <c r="C177" s="41">
        <v>0</v>
      </c>
      <c r="D177" s="41">
        <v>0</v>
      </c>
      <c r="E177" s="40">
        <v>0</v>
      </c>
      <c r="G177" s="41">
        <v>0</v>
      </c>
      <c r="H177" s="41">
        <v>0</v>
      </c>
      <c r="I177" s="41">
        <v>0</v>
      </c>
      <c r="J177" s="41">
        <v>0</v>
      </c>
      <c r="K177" s="40">
        <v>0</v>
      </c>
    </row>
    <row r="178" spans="1:11" x14ac:dyDescent="0.25">
      <c r="A178" s="41">
        <v>0</v>
      </c>
      <c r="B178" s="41">
        <v>0</v>
      </c>
      <c r="C178" s="41">
        <v>0</v>
      </c>
      <c r="D178" s="41">
        <v>0</v>
      </c>
      <c r="E178" s="40">
        <v>0</v>
      </c>
      <c r="G178" s="41">
        <v>0</v>
      </c>
      <c r="H178" s="41">
        <v>0</v>
      </c>
      <c r="I178" s="41">
        <v>0</v>
      </c>
      <c r="J178" s="41">
        <v>0</v>
      </c>
      <c r="K178" s="40">
        <v>0</v>
      </c>
    </row>
    <row r="179" spans="1:11" x14ac:dyDescent="0.25">
      <c r="A179" s="41">
        <v>0</v>
      </c>
      <c r="B179" s="41">
        <v>0</v>
      </c>
      <c r="C179" s="41">
        <v>0</v>
      </c>
      <c r="D179" s="41">
        <v>0</v>
      </c>
      <c r="E179" s="40">
        <v>0</v>
      </c>
      <c r="G179" s="41">
        <v>0</v>
      </c>
      <c r="H179" s="41">
        <v>0</v>
      </c>
      <c r="I179" s="41">
        <v>0</v>
      </c>
      <c r="J179" s="41">
        <v>0</v>
      </c>
      <c r="K179" s="40">
        <v>0</v>
      </c>
    </row>
    <row r="180" spans="1:11" x14ac:dyDescent="0.25">
      <c r="A180" s="41">
        <v>0</v>
      </c>
      <c r="B180" s="41">
        <v>0</v>
      </c>
      <c r="C180" s="41">
        <v>0</v>
      </c>
      <c r="D180" s="41">
        <v>0</v>
      </c>
      <c r="E180" s="40">
        <v>0</v>
      </c>
      <c r="G180" s="41">
        <v>0</v>
      </c>
      <c r="H180" s="41">
        <v>0</v>
      </c>
      <c r="I180" s="41">
        <v>0</v>
      </c>
      <c r="J180" s="41">
        <v>0</v>
      </c>
      <c r="K180" s="40">
        <v>0</v>
      </c>
    </row>
    <row r="181" spans="1:11" x14ac:dyDescent="0.25">
      <c r="A181" s="41">
        <v>0</v>
      </c>
      <c r="B181" s="41">
        <v>0</v>
      </c>
      <c r="C181" s="41">
        <v>0</v>
      </c>
      <c r="D181" s="41">
        <v>0</v>
      </c>
      <c r="E181" s="40">
        <v>0</v>
      </c>
      <c r="G181" s="41">
        <v>0</v>
      </c>
      <c r="H181" s="41">
        <v>0</v>
      </c>
      <c r="I181" s="41">
        <v>0</v>
      </c>
      <c r="J181" s="41">
        <v>0</v>
      </c>
      <c r="K181" s="40">
        <v>0</v>
      </c>
    </row>
    <row r="182" spans="1:11" x14ac:dyDescent="0.25">
      <c r="A182" s="41">
        <v>0</v>
      </c>
      <c r="B182" s="41">
        <v>0</v>
      </c>
      <c r="C182" s="41">
        <v>0</v>
      </c>
      <c r="D182" s="41">
        <v>0</v>
      </c>
      <c r="E182" s="40">
        <v>0</v>
      </c>
      <c r="G182" s="41">
        <v>0</v>
      </c>
      <c r="H182" s="41">
        <v>0</v>
      </c>
      <c r="I182" s="41">
        <v>0</v>
      </c>
      <c r="J182" s="41">
        <v>0</v>
      </c>
      <c r="K182" s="40">
        <v>0</v>
      </c>
    </row>
    <row r="183" spans="1:11" x14ac:dyDescent="0.25">
      <c r="A183" s="41">
        <v>0</v>
      </c>
      <c r="B183" s="41">
        <v>0</v>
      </c>
      <c r="C183" s="41">
        <v>0</v>
      </c>
      <c r="D183" s="41">
        <v>0</v>
      </c>
      <c r="E183" s="40">
        <v>0</v>
      </c>
      <c r="G183" s="41">
        <v>0</v>
      </c>
      <c r="H183" s="41">
        <v>0</v>
      </c>
      <c r="I183" s="41">
        <v>0</v>
      </c>
      <c r="J183" s="41">
        <v>0</v>
      </c>
      <c r="K183" s="40">
        <v>0</v>
      </c>
    </row>
    <row r="184" spans="1:11" x14ac:dyDescent="0.25">
      <c r="A184" s="41">
        <v>0</v>
      </c>
      <c r="B184" s="41">
        <v>0</v>
      </c>
      <c r="C184" s="41">
        <v>0</v>
      </c>
      <c r="D184" s="41">
        <v>0</v>
      </c>
      <c r="E184" s="40">
        <v>0</v>
      </c>
      <c r="G184" s="41">
        <v>0</v>
      </c>
      <c r="H184" s="41">
        <v>0</v>
      </c>
      <c r="I184" s="41">
        <v>0</v>
      </c>
      <c r="J184" s="41">
        <v>0</v>
      </c>
      <c r="K184" s="40">
        <v>0</v>
      </c>
    </row>
    <row r="185" spans="1:11" x14ac:dyDescent="0.25">
      <c r="A185" s="41">
        <v>0</v>
      </c>
      <c r="B185" s="41">
        <v>0</v>
      </c>
      <c r="C185" s="41">
        <v>0</v>
      </c>
      <c r="D185" s="41">
        <v>0</v>
      </c>
      <c r="E185" s="40">
        <v>0</v>
      </c>
      <c r="G185" s="41">
        <v>0</v>
      </c>
      <c r="H185" s="41">
        <v>0</v>
      </c>
      <c r="I185" s="41">
        <v>0</v>
      </c>
      <c r="J185" s="41">
        <v>0</v>
      </c>
      <c r="K185" s="40">
        <v>0</v>
      </c>
    </row>
    <row r="186" spans="1:11" x14ac:dyDescent="0.25">
      <c r="A186" s="41">
        <v>0</v>
      </c>
      <c r="B186" s="41">
        <v>0</v>
      </c>
      <c r="C186" s="41">
        <v>0</v>
      </c>
      <c r="D186" s="41">
        <v>0</v>
      </c>
      <c r="E186" s="40">
        <v>0</v>
      </c>
      <c r="G186" s="41">
        <v>0</v>
      </c>
      <c r="H186" s="41">
        <v>0</v>
      </c>
      <c r="I186" s="41">
        <v>0</v>
      </c>
      <c r="J186" s="41">
        <v>0</v>
      </c>
      <c r="K186" s="40">
        <v>0</v>
      </c>
    </row>
    <row r="187" spans="1:11" x14ac:dyDescent="0.25">
      <c r="A187" s="41">
        <v>0</v>
      </c>
      <c r="B187" s="41">
        <v>0</v>
      </c>
      <c r="C187" s="41">
        <v>0</v>
      </c>
      <c r="D187" s="41">
        <v>0</v>
      </c>
      <c r="E187" s="40">
        <v>0</v>
      </c>
      <c r="G187" s="41">
        <v>0</v>
      </c>
      <c r="H187" s="41">
        <v>0</v>
      </c>
      <c r="I187" s="41">
        <v>0</v>
      </c>
      <c r="J187" s="41">
        <v>0</v>
      </c>
      <c r="K187" s="40">
        <v>0</v>
      </c>
    </row>
    <row r="188" spans="1:11" x14ac:dyDescent="0.25">
      <c r="A188" s="41">
        <v>0</v>
      </c>
      <c r="B188" s="41">
        <v>0</v>
      </c>
      <c r="C188" s="41">
        <v>0</v>
      </c>
      <c r="D188" s="41">
        <v>0</v>
      </c>
      <c r="E188" s="40">
        <v>0</v>
      </c>
      <c r="G188" s="41">
        <v>0</v>
      </c>
      <c r="H188" s="41">
        <v>0</v>
      </c>
      <c r="I188" s="41">
        <v>0</v>
      </c>
      <c r="J188" s="41">
        <v>0</v>
      </c>
      <c r="K188" s="40">
        <v>0</v>
      </c>
    </row>
    <row r="189" spans="1:11" x14ac:dyDescent="0.25">
      <c r="A189" s="41">
        <v>0</v>
      </c>
      <c r="B189" s="41">
        <v>0</v>
      </c>
      <c r="C189" s="41">
        <v>0</v>
      </c>
      <c r="D189" s="41">
        <v>0</v>
      </c>
      <c r="E189" s="40">
        <v>0</v>
      </c>
      <c r="G189" s="41">
        <v>0</v>
      </c>
      <c r="H189" s="41">
        <v>0</v>
      </c>
      <c r="I189" s="41">
        <v>0</v>
      </c>
      <c r="J189" s="41">
        <v>0</v>
      </c>
      <c r="K189" s="40">
        <v>0</v>
      </c>
    </row>
    <row r="190" spans="1:11" x14ac:dyDescent="0.25">
      <c r="A190" s="41">
        <v>0</v>
      </c>
      <c r="B190" s="41">
        <v>0</v>
      </c>
      <c r="C190" s="41">
        <v>0</v>
      </c>
      <c r="D190" s="41">
        <v>0</v>
      </c>
      <c r="E190" s="40">
        <v>0</v>
      </c>
      <c r="G190" s="41">
        <v>0</v>
      </c>
      <c r="H190" s="41">
        <v>0</v>
      </c>
      <c r="I190" s="41">
        <v>0</v>
      </c>
      <c r="J190" s="41">
        <v>0</v>
      </c>
      <c r="K190" s="40">
        <v>0</v>
      </c>
    </row>
    <row r="191" spans="1:11" x14ac:dyDescent="0.25">
      <c r="A191" s="41">
        <v>0</v>
      </c>
      <c r="B191" s="41">
        <v>0</v>
      </c>
      <c r="C191" s="41">
        <v>0</v>
      </c>
      <c r="D191" s="41">
        <v>0</v>
      </c>
      <c r="E191" s="40">
        <v>0</v>
      </c>
      <c r="G191" s="41">
        <v>0</v>
      </c>
      <c r="H191" s="41">
        <v>0</v>
      </c>
      <c r="I191" s="41">
        <v>0</v>
      </c>
      <c r="J191" s="41">
        <v>0</v>
      </c>
      <c r="K191" s="40">
        <v>0</v>
      </c>
    </row>
    <row r="192" spans="1:11" x14ac:dyDescent="0.25">
      <c r="A192" s="41">
        <v>0</v>
      </c>
      <c r="B192" s="41">
        <v>0</v>
      </c>
      <c r="C192" s="41">
        <v>0</v>
      </c>
      <c r="D192" s="41">
        <v>0</v>
      </c>
      <c r="E192" s="40">
        <v>0</v>
      </c>
      <c r="G192" s="41">
        <v>0</v>
      </c>
      <c r="H192" s="41">
        <v>0</v>
      </c>
      <c r="I192" s="41">
        <v>0</v>
      </c>
      <c r="J192" s="41">
        <v>0</v>
      </c>
      <c r="K192" s="40">
        <v>0</v>
      </c>
    </row>
    <row r="193" spans="1:11" x14ac:dyDescent="0.25">
      <c r="A193" s="41">
        <v>0</v>
      </c>
      <c r="B193" s="41">
        <v>0</v>
      </c>
      <c r="C193" s="41">
        <v>0</v>
      </c>
      <c r="D193" s="41">
        <v>0</v>
      </c>
      <c r="E193" s="40">
        <v>0</v>
      </c>
      <c r="G193" s="41">
        <v>0</v>
      </c>
      <c r="H193" s="41">
        <v>0</v>
      </c>
      <c r="I193" s="41">
        <v>0</v>
      </c>
      <c r="J193" s="41">
        <v>0</v>
      </c>
      <c r="K193" s="40">
        <v>0</v>
      </c>
    </row>
    <row r="194" spans="1:11" x14ac:dyDescent="0.25">
      <c r="A194" s="41">
        <v>0</v>
      </c>
      <c r="B194" s="41">
        <v>0</v>
      </c>
      <c r="C194" s="41">
        <v>0</v>
      </c>
      <c r="D194" s="41">
        <v>0</v>
      </c>
      <c r="E194" s="40">
        <v>0</v>
      </c>
      <c r="G194" s="41">
        <v>0</v>
      </c>
      <c r="H194" s="41">
        <v>0</v>
      </c>
      <c r="I194" s="41">
        <v>0</v>
      </c>
      <c r="J194" s="41">
        <v>0</v>
      </c>
      <c r="K194" s="40">
        <v>0</v>
      </c>
    </row>
    <row r="195" spans="1:11" x14ac:dyDescent="0.25">
      <c r="A195" s="41">
        <v>0</v>
      </c>
      <c r="B195" s="41">
        <v>0</v>
      </c>
      <c r="C195" s="41">
        <v>0</v>
      </c>
      <c r="D195" s="41">
        <v>0</v>
      </c>
      <c r="E195" s="40">
        <v>0</v>
      </c>
      <c r="G195" s="41">
        <v>0</v>
      </c>
      <c r="H195" s="41">
        <v>0</v>
      </c>
      <c r="I195" s="41">
        <v>0</v>
      </c>
      <c r="J195" s="41">
        <v>0</v>
      </c>
      <c r="K195" s="40">
        <v>0</v>
      </c>
    </row>
    <row r="196" spans="1:11" x14ac:dyDescent="0.25">
      <c r="A196" s="41">
        <v>0</v>
      </c>
      <c r="B196" s="41">
        <v>0</v>
      </c>
      <c r="C196" s="41">
        <v>0</v>
      </c>
      <c r="D196" s="41">
        <v>0</v>
      </c>
      <c r="E196" s="40">
        <v>0</v>
      </c>
      <c r="G196" s="41">
        <v>0</v>
      </c>
      <c r="H196" s="41">
        <v>0</v>
      </c>
      <c r="I196" s="41">
        <v>0</v>
      </c>
      <c r="J196" s="41">
        <v>0</v>
      </c>
      <c r="K196" s="40">
        <v>0</v>
      </c>
    </row>
    <row r="197" spans="1:11" x14ac:dyDescent="0.25">
      <c r="A197" s="41">
        <v>0</v>
      </c>
      <c r="B197" s="41">
        <v>0</v>
      </c>
      <c r="C197" s="41">
        <v>0</v>
      </c>
      <c r="D197" s="41">
        <v>0</v>
      </c>
      <c r="E197" s="40">
        <v>0</v>
      </c>
      <c r="G197" s="41">
        <v>0</v>
      </c>
      <c r="H197" s="41">
        <v>0</v>
      </c>
      <c r="I197" s="41">
        <v>0</v>
      </c>
      <c r="J197" s="41">
        <v>0</v>
      </c>
      <c r="K197" s="40">
        <v>0</v>
      </c>
    </row>
    <row r="198" spans="1:11" x14ac:dyDescent="0.25">
      <c r="A198" s="41">
        <v>0</v>
      </c>
      <c r="B198" s="41">
        <v>0</v>
      </c>
      <c r="C198" s="41">
        <v>0</v>
      </c>
      <c r="D198" s="41">
        <v>0</v>
      </c>
      <c r="E198" s="40">
        <v>0</v>
      </c>
      <c r="G198" s="41">
        <v>0</v>
      </c>
      <c r="H198" s="41">
        <v>0</v>
      </c>
      <c r="I198" s="41">
        <v>0</v>
      </c>
      <c r="J198" s="41">
        <v>0</v>
      </c>
      <c r="K198" s="40">
        <v>0</v>
      </c>
    </row>
    <row r="199" spans="1:11" x14ac:dyDescent="0.25">
      <c r="A199" s="41">
        <v>0</v>
      </c>
      <c r="B199" s="41">
        <v>0</v>
      </c>
      <c r="C199" s="41">
        <v>0</v>
      </c>
      <c r="D199" s="41">
        <v>0</v>
      </c>
      <c r="E199" s="40">
        <v>0</v>
      </c>
      <c r="G199" s="41">
        <v>0</v>
      </c>
      <c r="H199" s="41">
        <v>0</v>
      </c>
      <c r="I199" s="41">
        <v>0</v>
      </c>
      <c r="J199" s="41">
        <v>0</v>
      </c>
      <c r="K199" s="40">
        <v>0</v>
      </c>
    </row>
    <row r="200" spans="1:11" x14ac:dyDescent="0.25">
      <c r="A200" s="41">
        <v>0</v>
      </c>
      <c r="B200" s="41">
        <v>0</v>
      </c>
      <c r="C200" s="41">
        <v>0</v>
      </c>
      <c r="D200" s="41">
        <v>0</v>
      </c>
      <c r="E200" s="40">
        <v>0</v>
      </c>
      <c r="G200" s="41">
        <v>0</v>
      </c>
      <c r="H200" s="41">
        <v>0</v>
      </c>
      <c r="I200" s="41">
        <v>0</v>
      </c>
      <c r="J200" s="41">
        <v>0</v>
      </c>
      <c r="K200" s="40">
        <v>0</v>
      </c>
    </row>
    <row r="201" spans="1:11" x14ac:dyDescent="0.25">
      <c r="A201" s="41">
        <v>0</v>
      </c>
      <c r="B201" s="41">
        <v>0</v>
      </c>
      <c r="C201" s="41">
        <v>0</v>
      </c>
      <c r="D201" s="41">
        <v>0</v>
      </c>
      <c r="E201" s="40">
        <v>0</v>
      </c>
      <c r="G201" s="41">
        <v>0</v>
      </c>
      <c r="H201" s="41">
        <v>0</v>
      </c>
      <c r="I201" s="41">
        <v>0</v>
      </c>
      <c r="J201" s="41">
        <v>0</v>
      </c>
      <c r="K201" s="40">
        <v>0</v>
      </c>
    </row>
    <row r="202" spans="1:11" x14ac:dyDescent="0.25">
      <c r="A202" s="41">
        <v>0</v>
      </c>
      <c r="B202" s="41">
        <v>0</v>
      </c>
      <c r="C202" s="41">
        <v>0</v>
      </c>
      <c r="D202" s="41">
        <v>0</v>
      </c>
      <c r="E202" s="40">
        <v>0</v>
      </c>
      <c r="G202" s="41">
        <v>0</v>
      </c>
      <c r="H202" s="41">
        <v>0</v>
      </c>
      <c r="I202" s="41">
        <v>0</v>
      </c>
      <c r="J202" s="41">
        <v>0</v>
      </c>
      <c r="K202" s="40">
        <v>0</v>
      </c>
    </row>
    <row r="203" spans="1:11" x14ac:dyDescent="0.25">
      <c r="A203" s="41">
        <v>0</v>
      </c>
      <c r="B203" s="41">
        <v>0</v>
      </c>
      <c r="C203" s="41">
        <v>0</v>
      </c>
      <c r="D203" s="41">
        <v>0</v>
      </c>
      <c r="E203" s="40">
        <v>0</v>
      </c>
      <c r="G203" s="41">
        <v>0</v>
      </c>
      <c r="H203" s="41">
        <v>0</v>
      </c>
      <c r="I203" s="41">
        <v>0</v>
      </c>
      <c r="J203" s="41">
        <v>0</v>
      </c>
      <c r="K203" s="40">
        <v>0</v>
      </c>
    </row>
    <row r="204" spans="1:11" x14ac:dyDescent="0.25">
      <c r="A204" s="41">
        <v>0</v>
      </c>
      <c r="B204" s="41">
        <v>0</v>
      </c>
      <c r="C204" s="41">
        <v>0</v>
      </c>
      <c r="D204" s="41">
        <v>0</v>
      </c>
      <c r="E204" s="40">
        <v>0</v>
      </c>
      <c r="G204" s="41">
        <v>0</v>
      </c>
      <c r="H204" s="41">
        <v>0</v>
      </c>
      <c r="I204" s="41">
        <v>0</v>
      </c>
      <c r="J204" s="41">
        <v>0</v>
      </c>
      <c r="K204" s="40">
        <v>0</v>
      </c>
    </row>
    <row r="205" spans="1:11" x14ac:dyDescent="0.25">
      <c r="A205" s="41">
        <v>0</v>
      </c>
      <c r="B205" s="41">
        <v>0</v>
      </c>
      <c r="C205" s="41">
        <v>0</v>
      </c>
      <c r="D205" s="41">
        <v>0</v>
      </c>
      <c r="E205" s="40">
        <v>0</v>
      </c>
      <c r="G205" s="41">
        <v>0</v>
      </c>
      <c r="H205" s="41">
        <v>0</v>
      </c>
      <c r="I205" s="41">
        <v>0</v>
      </c>
      <c r="J205" s="41">
        <v>0</v>
      </c>
      <c r="K205" s="40">
        <v>0</v>
      </c>
    </row>
    <row r="206" spans="1:11" x14ac:dyDescent="0.25">
      <c r="A206" s="41">
        <v>0</v>
      </c>
      <c r="B206" s="41">
        <v>0</v>
      </c>
      <c r="C206" s="41">
        <v>0</v>
      </c>
      <c r="D206" s="41">
        <v>0</v>
      </c>
      <c r="E206" s="40">
        <v>0</v>
      </c>
      <c r="G206" s="41">
        <v>0</v>
      </c>
      <c r="H206" s="41">
        <v>0</v>
      </c>
      <c r="I206" s="41">
        <v>0</v>
      </c>
      <c r="J206" s="41">
        <v>0</v>
      </c>
      <c r="K206" s="40">
        <v>0</v>
      </c>
    </row>
    <row r="207" spans="1:11" x14ac:dyDescent="0.25">
      <c r="A207" s="41">
        <v>0</v>
      </c>
      <c r="B207" s="41">
        <v>0</v>
      </c>
      <c r="C207" s="41">
        <v>0</v>
      </c>
      <c r="D207" s="41">
        <v>0</v>
      </c>
      <c r="E207" s="40">
        <v>0</v>
      </c>
      <c r="G207" s="41">
        <v>0</v>
      </c>
      <c r="H207" s="41">
        <v>0</v>
      </c>
      <c r="I207" s="41">
        <v>0</v>
      </c>
      <c r="J207" s="41">
        <v>0</v>
      </c>
      <c r="K207" s="40">
        <v>0</v>
      </c>
    </row>
    <row r="208" spans="1:11" x14ac:dyDescent="0.25">
      <c r="A208" s="41">
        <v>0</v>
      </c>
      <c r="B208" s="41">
        <v>0</v>
      </c>
      <c r="C208" s="41">
        <v>0</v>
      </c>
      <c r="D208" s="41">
        <v>0</v>
      </c>
      <c r="E208" s="40">
        <v>0</v>
      </c>
      <c r="G208" s="41">
        <v>0</v>
      </c>
      <c r="H208" s="41">
        <v>0</v>
      </c>
      <c r="I208" s="41">
        <v>0</v>
      </c>
      <c r="J208" s="41">
        <v>0</v>
      </c>
      <c r="K208" s="40">
        <v>0</v>
      </c>
    </row>
    <row r="209" spans="1:11" x14ac:dyDescent="0.25">
      <c r="A209" s="41">
        <v>0</v>
      </c>
      <c r="B209" s="41">
        <v>0</v>
      </c>
      <c r="C209" s="41">
        <v>0</v>
      </c>
      <c r="D209" s="41">
        <v>0</v>
      </c>
      <c r="E209" s="40">
        <v>0</v>
      </c>
      <c r="G209" s="41">
        <v>0</v>
      </c>
      <c r="H209" s="41">
        <v>0</v>
      </c>
      <c r="I209" s="41">
        <v>0</v>
      </c>
      <c r="J209" s="41">
        <v>0</v>
      </c>
      <c r="K209" s="40">
        <v>0</v>
      </c>
    </row>
    <row r="210" spans="1:11" x14ac:dyDescent="0.25">
      <c r="A210" s="41">
        <v>0</v>
      </c>
      <c r="B210" s="41">
        <v>0</v>
      </c>
      <c r="C210" s="41">
        <v>0</v>
      </c>
      <c r="D210" s="41">
        <v>0</v>
      </c>
      <c r="E210" s="40">
        <v>0</v>
      </c>
      <c r="G210" s="41">
        <v>0</v>
      </c>
      <c r="H210" s="41">
        <v>0</v>
      </c>
      <c r="I210" s="41">
        <v>0</v>
      </c>
      <c r="J210" s="41">
        <v>0</v>
      </c>
      <c r="K210" s="40">
        <v>0</v>
      </c>
    </row>
    <row r="211" spans="1:11" x14ac:dyDescent="0.25">
      <c r="A211" s="41">
        <v>0</v>
      </c>
      <c r="B211" s="41">
        <v>0</v>
      </c>
      <c r="C211" s="41">
        <v>0</v>
      </c>
      <c r="D211" s="41">
        <v>0</v>
      </c>
      <c r="E211" s="40">
        <v>0</v>
      </c>
      <c r="G211" s="41">
        <v>0</v>
      </c>
      <c r="H211" s="41">
        <v>0</v>
      </c>
      <c r="I211" s="41">
        <v>0</v>
      </c>
      <c r="J211" s="41">
        <v>0</v>
      </c>
      <c r="K211" s="40">
        <v>0</v>
      </c>
    </row>
    <row r="212" spans="1:11" x14ac:dyDescent="0.25">
      <c r="A212" s="41">
        <v>0</v>
      </c>
      <c r="B212" s="41">
        <v>0</v>
      </c>
      <c r="C212" s="41">
        <v>0</v>
      </c>
      <c r="D212" s="41">
        <v>0</v>
      </c>
      <c r="E212" s="40">
        <v>0</v>
      </c>
      <c r="G212" s="41">
        <v>0</v>
      </c>
      <c r="H212" s="41">
        <v>0</v>
      </c>
      <c r="I212" s="41">
        <v>0</v>
      </c>
      <c r="J212" s="41">
        <v>0</v>
      </c>
      <c r="K212" s="40">
        <v>0</v>
      </c>
    </row>
    <row r="213" spans="1:11" x14ac:dyDescent="0.25">
      <c r="A213" s="41">
        <v>0</v>
      </c>
      <c r="B213" s="41">
        <v>0</v>
      </c>
      <c r="C213" s="41">
        <v>0</v>
      </c>
      <c r="D213" s="41">
        <v>0</v>
      </c>
      <c r="E213" s="40">
        <v>0</v>
      </c>
      <c r="G213" s="41">
        <v>0</v>
      </c>
      <c r="H213" s="41">
        <v>0</v>
      </c>
      <c r="I213" s="41">
        <v>0</v>
      </c>
      <c r="J213" s="41">
        <v>0</v>
      </c>
      <c r="K213" s="40">
        <v>0</v>
      </c>
    </row>
    <row r="214" spans="1:11" x14ac:dyDescent="0.25">
      <c r="A214" s="41">
        <v>0</v>
      </c>
      <c r="B214" s="41">
        <v>0</v>
      </c>
      <c r="C214" s="41">
        <v>0</v>
      </c>
      <c r="D214" s="41">
        <v>0</v>
      </c>
      <c r="E214" s="40">
        <v>0</v>
      </c>
      <c r="G214" s="41">
        <v>0</v>
      </c>
      <c r="H214" s="41">
        <v>0</v>
      </c>
      <c r="I214" s="41">
        <v>0</v>
      </c>
      <c r="J214" s="41">
        <v>0</v>
      </c>
      <c r="K214" s="40">
        <v>0</v>
      </c>
    </row>
    <row r="215" spans="1:11" x14ac:dyDescent="0.25">
      <c r="A215" s="41">
        <v>0</v>
      </c>
      <c r="B215" s="41">
        <v>0</v>
      </c>
      <c r="C215" s="41">
        <v>0</v>
      </c>
      <c r="D215" s="41">
        <v>0</v>
      </c>
      <c r="E215" s="40">
        <v>0</v>
      </c>
      <c r="G215" s="41">
        <v>0</v>
      </c>
      <c r="H215" s="41">
        <v>0</v>
      </c>
      <c r="I215" s="41">
        <v>0</v>
      </c>
      <c r="J215" s="41">
        <v>0</v>
      </c>
      <c r="K215" s="40">
        <v>0</v>
      </c>
    </row>
    <row r="216" spans="1:11" x14ac:dyDescent="0.25">
      <c r="A216" s="41">
        <v>0</v>
      </c>
      <c r="B216" s="41">
        <v>0</v>
      </c>
      <c r="C216" s="41">
        <v>0</v>
      </c>
      <c r="D216" s="41">
        <v>0</v>
      </c>
      <c r="E216" s="40">
        <v>0</v>
      </c>
      <c r="G216" s="41">
        <v>0</v>
      </c>
      <c r="H216" s="41">
        <v>0</v>
      </c>
      <c r="I216" s="41">
        <v>0</v>
      </c>
      <c r="J216" s="41">
        <v>0</v>
      </c>
      <c r="K216" s="40">
        <v>0</v>
      </c>
    </row>
    <row r="217" spans="1:11" x14ac:dyDescent="0.25">
      <c r="A217" s="41">
        <v>0</v>
      </c>
      <c r="B217" s="41">
        <v>0</v>
      </c>
      <c r="C217" s="41">
        <v>0</v>
      </c>
      <c r="D217" s="41">
        <v>0</v>
      </c>
      <c r="E217" s="40">
        <v>0</v>
      </c>
      <c r="G217" s="41">
        <v>0</v>
      </c>
      <c r="H217" s="41">
        <v>0</v>
      </c>
      <c r="I217" s="41">
        <v>0</v>
      </c>
      <c r="J217" s="41">
        <v>0</v>
      </c>
      <c r="K217" s="40">
        <v>0</v>
      </c>
    </row>
    <row r="218" spans="1:11" x14ac:dyDescent="0.25">
      <c r="A218" s="41">
        <v>0</v>
      </c>
      <c r="B218" s="41">
        <v>0</v>
      </c>
      <c r="C218" s="41">
        <v>0</v>
      </c>
      <c r="D218" s="41">
        <v>0</v>
      </c>
      <c r="E218" s="40">
        <v>0</v>
      </c>
      <c r="G218" s="41">
        <v>0</v>
      </c>
      <c r="H218" s="41">
        <v>0</v>
      </c>
      <c r="I218" s="41">
        <v>0</v>
      </c>
      <c r="J218" s="41">
        <v>0</v>
      </c>
      <c r="K218" s="40">
        <v>0</v>
      </c>
    </row>
    <row r="219" spans="1:11" x14ac:dyDescent="0.25">
      <c r="A219" s="41">
        <v>0</v>
      </c>
      <c r="B219" s="41">
        <v>0</v>
      </c>
      <c r="C219" s="41">
        <v>0</v>
      </c>
      <c r="D219" s="41">
        <v>0</v>
      </c>
      <c r="E219" s="40">
        <v>0</v>
      </c>
      <c r="G219" s="41">
        <v>0</v>
      </c>
      <c r="H219" s="41">
        <v>0</v>
      </c>
      <c r="I219" s="41">
        <v>0</v>
      </c>
      <c r="J219" s="41">
        <v>0</v>
      </c>
      <c r="K219" s="40">
        <v>0</v>
      </c>
    </row>
    <row r="220" spans="1:11" x14ac:dyDescent="0.25">
      <c r="A220" s="41">
        <v>0</v>
      </c>
      <c r="B220" s="41">
        <v>0</v>
      </c>
      <c r="C220" s="41">
        <v>0</v>
      </c>
      <c r="D220" s="41">
        <v>0</v>
      </c>
      <c r="E220" s="40">
        <v>0</v>
      </c>
      <c r="G220" s="41">
        <v>0</v>
      </c>
      <c r="H220" s="41">
        <v>0</v>
      </c>
      <c r="I220" s="41">
        <v>0</v>
      </c>
      <c r="J220" s="41">
        <v>0</v>
      </c>
      <c r="K220" s="40">
        <v>0</v>
      </c>
    </row>
    <row r="221" spans="1:11" x14ac:dyDescent="0.25">
      <c r="A221" s="41">
        <v>0</v>
      </c>
      <c r="B221" s="41">
        <v>0</v>
      </c>
      <c r="C221" s="41">
        <v>0</v>
      </c>
      <c r="D221" s="41">
        <v>0</v>
      </c>
      <c r="E221" s="40">
        <v>0</v>
      </c>
      <c r="G221" s="41">
        <v>0</v>
      </c>
      <c r="H221" s="41">
        <v>0</v>
      </c>
      <c r="I221" s="41">
        <v>0</v>
      </c>
      <c r="J221" s="41">
        <v>0</v>
      </c>
      <c r="K221" s="40">
        <v>0</v>
      </c>
    </row>
    <row r="222" spans="1:11" x14ac:dyDescent="0.25">
      <c r="A222" s="41">
        <v>0</v>
      </c>
      <c r="B222" s="41">
        <v>0</v>
      </c>
      <c r="C222" s="41">
        <v>0</v>
      </c>
      <c r="D222" s="41">
        <v>0</v>
      </c>
      <c r="E222" s="40">
        <v>0</v>
      </c>
      <c r="G222" s="41">
        <v>0</v>
      </c>
      <c r="H222" s="41">
        <v>0</v>
      </c>
      <c r="I222" s="41">
        <v>0</v>
      </c>
      <c r="J222" s="41">
        <v>0</v>
      </c>
      <c r="K222" s="40">
        <v>0</v>
      </c>
    </row>
    <row r="223" spans="1:11" x14ac:dyDescent="0.25">
      <c r="A223" s="41">
        <v>0</v>
      </c>
      <c r="B223" s="41">
        <v>0</v>
      </c>
      <c r="C223" s="41">
        <v>0</v>
      </c>
      <c r="D223" s="41">
        <v>0</v>
      </c>
      <c r="E223" s="40">
        <v>0</v>
      </c>
      <c r="G223" s="41">
        <v>0</v>
      </c>
      <c r="H223" s="41">
        <v>0</v>
      </c>
      <c r="I223" s="41">
        <v>0</v>
      </c>
      <c r="J223" s="41">
        <v>0</v>
      </c>
      <c r="K223" s="40">
        <v>0</v>
      </c>
    </row>
    <row r="224" spans="1:11" x14ac:dyDescent="0.25">
      <c r="A224" s="41">
        <v>0</v>
      </c>
      <c r="B224" s="41">
        <v>0</v>
      </c>
      <c r="C224" s="41">
        <v>0</v>
      </c>
      <c r="D224" s="41">
        <v>0</v>
      </c>
      <c r="E224" s="40">
        <v>0</v>
      </c>
      <c r="G224" s="41">
        <v>0</v>
      </c>
      <c r="H224" s="41">
        <v>0</v>
      </c>
      <c r="I224" s="41">
        <v>0</v>
      </c>
      <c r="J224" s="41">
        <v>0</v>
      </c>
      <c r="K224" s="40">
        <v>0</v>
      </c>
    </row>
    <row r="225" spans="1:11" x14ac:dyDescent="0.25">
      <c r="A225" s="41">
        <v>0</v>
      </c>
      <c r="B225" s="41">
        <v>0</v>
      </c>
      <c r="C225" s="41">
        <v>0</v>
      </c>
      <c r="D225" s="41">
        <v>0</v>
      </c>
      <c r="E225" s="40">
        <v>0</v>
      </c>
      <c r="G225" s="41">
        <v>0</v>
      </c>
      <c r="H225" s="41">
        <v>0</v>
      </c>
      <c r="I225" s="41">
        <v>0</v>
      </c>
      <c r="J225" s="41">
        <v>0</v>
      </c>
      <c r="K225" s="40">
        <v>0</v>
      </c>
    </row>
    <row r="226" spans="1:11" x14ac:dyDescent="0.25">
      <c r="A226" s="41">
        <v>0</v>
      </c>
      <c r="B226" s="41">
        <v>0</v>
      </c>
      <c r="C226" s="41">
        <v>0</v>
      </c>
      <c r="D226" s="41">
        <v>0</v>
      </c>
      <c r="E226" s="40">
        <v>0</v>
      </c>
      <c r="G226" s="41">
        <v>0</v>
      </c>
      <c r="H226" s="41">
        <v>0</v>
      </c>
      <c r="I226" s="41">
        <v>0</v>
      </c>
      <c r="J226" s="41">
        <v>0</v>
      </c>
      <c r="K226" s="40">
        <v>0</v>
      </c>
    </row>
    <row r="227" spans="1:11" x14ac:dyDescent="0.25">
      <c r="A227" s="41">
        <v>0</v>
      </c>
      <c r="B227" s="41">
        <v>0</v>
      </c>
      <c r="C227" s="41">
        <v>0</v>
      </c>
      <c r="D227" s="41">
        <v>0</v>
      </c>
      <c r="E227" s="40">
        <v>0</v>
      </c>
      <c r="G227" s="41">
        <v>0</v>
      </c>
      <c r="H227" s="41">
        <v>0</v>
      </c>
      <c r="I227" s="41">
        <v>0</v>
      </c>
      <c r="J227" s="41">
        <v>0</v>
      </c>
      <c r="K227" s="40">
        <v>0</v>
      </c>
    </row>
    <row r="228" spans="1:11" x14ac:dyDescent="0.25">
      <c r="A228" s="41">
        <v>0</v>
      </c>
      <c r="B228" s="41">
        <v>0</v>
      </c>
      <c r="C228" s="41">
        <v>0</v>
      </c>
      <c r="D228" s="41">
        <v>0</v>
      </c>
      <c r="E228" s="40">
        <v>0</v>
      </c>
      <c r="G228" s="41">
        <v>0</v>
      </c>
      <c r="H228" s="41">
        <v>0</v>
      </c>
      <c r="I228" s="41">
        <v>0</v>
      </c>
      <c r="J228" s="41">
        <v>0</v>
      </c>
      <c r="K228" s="40">
        <v>0</v>
      </c>
    </row>
    <row r="229" spans="1:11" x14ac:dyDescent="0.25">
      <c r="A229" s="41">
        <v>0</v>
      </c>
      <c r="B229" s="41">
        <v>0</v>
      </c>
      <c r="C229" s="41">
        <v>0</v>
      </c>
      <c r="D229" s="41">
        <v>0</v>
      </c>
      <c r="E229" s="40">
        <v>0</v>
      </c>
      <c r="G229" s="41">
        <v>0</v>
      </c>
      <c r="H229" s="41">
        <v>0</v>
      </c>
      <c r="I229" s="41">
        <v>0</v>
      </c>
      <c r="J229" s="41">
        <v>0</v>
      </c>
      <c r="K229" s="40">
        <v>0</v>
      </c>
    </row>
    <row r="230" spans="1:11" x14ac:dyDescent="0.25">
      <c r="A230" s="41">
        <v>0</v>
      </c>
      <c r="B230" s="41">
        <v>0</v>
      </c>
      <c r="C230" s="41">
        <v>0</v>
      </c>
      <c r="D230" s="41">
        <v>0</v>
      </c>
      <c r="E230" s="40">
        <v>0</v>
      </c>
      <c r="G230" s="41">
        <v>0</v>
      </c>
      <c r="H230" s="41">
        <v>0</v>
      </c>
      <c r="I230" s="41">
        <v>0</v>
      </c>
      <c r="J230" s="41">
        <v>0</v>
      </c>
      <c r="K230" s="40">
        <v>0</v>
      </c>
    </row>
    <row r="231" spans="1:11" x14ac:dyDescent="0.25">
      <c r="A231" s="41">
        <v>0</v>
      </c>
      <c r="B231" s="41">
        <v>0</v>
      </c>
      <c r="C231" s="41">
        <v>0</v>
      </c>
      <c r="D231" s="41">
        <v>0</v>
      </c>
      <c r="E231" s="40">
        <v>0</v>
      </c>
      <c r="G231" s="41">
        <v>0</v>
      </c>
      <c r="H231" s="41">
        <v>0</v>
      </c>
      <c r="I231" s="41">
        <v>0</v>
      </c>
      <c r="J231" s="41">
        <v>0</v>
      </c>
      <c r="K231" s="40">
        <v>0</v>
      </c>
    </row>
    <row r="232" spans="1:11" x14ac:dyDescent="0.25">
      <c r="A232" s="41">
        <v>0</v>
      </c>
      <c r="B232" s="41">
        <v>0</v>
      </c>
      <c r="C232" s="41">
        <v>0</v>
      </c>
      <c r="D232" s="41">
        <v>0</v>
      </c>
      <c r="E232" s="40">
        <v>0</v>
      </c>
      <c r="G232" s="41">
        <v>0</v>
      </c>
      <c r="H232" s="41">
        <v>0</v>
      </c>
      <c r="I232" s="41">
        <v>0</v>
      </c>
      <c r="J232" s="41">
        <v>0</v>
      </c>
      <c r="K232" s="40">
        <v>0</v>
      </c>
    </row>
    <row r="233" spans="1:11" x14ac:dyDescent="0.25">
      <c r="A233" s="41">
        <v>0</v>
      </c>
      <c r="B233" s="41">
        <v>0</v>
      </c>
      <c r="C233" s="41">
        <v>0</v>
      </c>
      <c r="D233" s="41">
        <v>0</v>
      </c>
      <c r="E233" s="40">
        <v>0</v>
      </c>
      <c r="G233" s="41">
        <v>0</v>
      </c>
      <c r="H233" s="41">
        <v>0</v>
      </c>
      <c r="I233" s="41">
        <v>0</v>
      </c>
      <c r="J233" s="41">
        <v>0</v>
      </c>
      <c r="K233" s="40">
        <v>0</v>
      </c>
    </row>
    <row r="234" spans="1:11" x14ac:dyDescent="0.25">
      <c r="A234" s="41">
        <v>0</v>
      </c>
      <c r="B234" s="41">
        <v>0</v>
      </c>
      <c r="C234" s="41">
        <v>0</v>
      </c>
      <c r="D234" s="41">
        <v>0</v>
      </c>
      <c r="E234" s="40">
        <v>0</v>
      </c>
      <c r="G234" s="41">
        <v>0</v>
      </c>
      <c r="H234" s="41">
        <v>0</v>
      </c>
      <c r="I234" s="41">
        <v>0</v>
      </c>
      <c r="J234" s="41">
        <v>0</v>
      </c>
      <c r="K234" s="40">
        <v>0</v>
      </c>
    </row>
    <row r="235" spans="1:11" x14ac:dyDescent="0.25">
      <c r="A235" s="41">
        <v>0</v>
      </c>
      <c r="B235" s="41">
        <v>0</v>
      </c>
      <c r="C235" s="41">
        <v>0</v>
      </c>
      <c r="D235" s="41">
        <v>0</v>
      </c>
      <c r="E235" s="40">
        <v>0</v>
      </c>
      <c r="G235" s="41">
        <v>0</v>
      </c>
      <c r="H235" s="41">
        <v>0</v>
      </c>
      <c r="I235" s="41">
        <v>0</v>
      </c>
      <c r="J235" s="41">
        <v>0</v>
      </c>
      <c r="K235" s="40">
        <v>0</v>
      </c>
    </row>
    <row r="236" spans="1:11" x14ac:dyDescent="0.25">
      <c r="A236" s="41">
        <v>0</v>
      </c>
      <c r="B236" s="41">
        <v>0</v>
      </c>
      <c r="C236" s="41">
        <v>0</v>
      </c>
      <c r="D236" s="41">
        <v>0</v>
      </c>
      <c r="E236" s="40">
        <v>0</v>
      </c>
      <c r="G236" s="41">
        <v>0</v>
      </c>
      <c r="H236" s="41">
        <v>0</v>
      </c>
      <c r="I236" s="41">
        <v>0</v>
      </c>
      <c r="J236" s="41">
        <v>0</v>
      </c>
      <c r="K236" s="40">
        <v>0</v>
      </c>
    </row>
    <row r="237" spans="1:11" x14ac:dyDescent="0.25">
      <c r="A237" s="41">
        <v>0</v>
      </c>
      <c r="B237" s="41">
        <v>0</v>
      </c>
      <c r="C237" s="41">
        <v>0</v>
      </c>
      <c r="D237" s="41">
        <v>0</v>
      </c>
      <c r="E237" s="40">
        <v>0</v>
      </c>
      <c r="G237" s="41">
        <v>0</v>
      </c>
      <c r="H237" s="41">
        <v>0</v>
      </c>
      <c r="I237" s="41">
        <v>0</v>
      </c>
      <c r="J237" s="41">
        <v>0</v>
      </c>
      <c r="K237" s="40">
        <v>0</v>
      </c>
    </row>
    <row r="238" spans="1:11" x14ac:dyDescent="0.25">
      <c r="A238" s="41">
        <v>0</v>
      </c>
      <c r="B238" s="41">
        <v>0</v>
      </c>
      <c r="C238" s="41">
        <v>0</v>
      </c>
      <c r="D238" s="41">
        <v>0</v>
      </c>
      <c r="E238" s="40">
        <v>0</v>
      </c>
      <c r="G238" s="41">
        <v>0</v>
      </c>
      <c r="H238" s="41">
        <v>0</v>
      </c>
      <c r="I238" s="41">
        <v>0</v>
      </c>
      <c r="J238" s="41">
        <v>0</v>
      </c>
      <c r="K238" s="40">
        <v>0</v>
      </c>
    </row>
    <row r="239" spans="1:11" x14ac:dyDescent="0.25">
      <c r="A239" s="41">
        <v>0</v>
      </c>
      <c r="B239" s="41">
        <v>0</v>
      </c>
      <c r="C239" s="41">
        <v>0</v>
      </c>
      <c r="D239" s="41">
        <v>0</v>
      </c>
      <c r="E239" s="40">
        <v>0</v>
      </c>
      <c r="G239" s="41">
        <v>0</v>
      </c>
      <c r="H239" s="41">
        <v>0</v>
      </c>
      <c r="I239" s="41">
        <v>0</v>
      </c>
      <c r="J239" s="41">
        <v>0</v>
      </c>
      <c r="K239" s="40">
        <v>0</v>
      </c>
    </row>
    <row r="240" spans="1:11" x14ac:dyDescent="0.25">
      <c r="A240" s="41">
        <v>0</v>
      </c>
      <c r="B240" s="41">
        <v>0</v>
      </c>
      <c r="C240" s="41">
        <v>0</v>
      </c>
      <c r="D240" s="41">
        <v>0</v>
      </c>
      <c r="E240" s="40">
        <v>0</v>
      </c>
      <c r="G240" s="41">
        <v>0</v>
      </c>
      <c r="H240" s="41">
        <v>0</v>
      </c>
      <c r="I240" s="41">
        <v>0</v>
      </c>
      <c r="J240" s="41">
        <v>0</v>
      </c>
      <c r="K240" s="40">
        <v>0</v>
      </c>
    </row>
    <row r="241" spans="1:11" x14ac:dyDescent="0.25">
      <c r="A241" s="41">
        <v>0</v>
      </c>
      <c r="B241" s="41">
        <v>0</v>
      </c>
      <c r="C241" s="41">
        <v>0</v>
      </c>
      <c r="D241" s="41">
        <v>0</v>
      </c>
      <c r="E241" s="40">
        <v>0</v>
      </c>
      <c r="G241" s="41">
        <v>0</v>
      </c>
      <c r="H241" s="41">
        <v>0</v>
      </c>
      <c r="I241" s="41">
        <v>0</v>
      </c>
      <c r="J241" s="41">
        <v>0</v>
      </c>
      <c r="K241" s="40">
        <v>0</v>
      </c>
    </row>
    <row r="242" spans="1:11" x14ac:dyDescent="0.25">
      <c r="A242" s="41">
        <v>0</v>
      </c>
      <c r="B242" s="41">
        <v>0</v>
      </c>
      <c r="C242" s="41">
        <v>0</v>
      </c>
      <c r="D242" s="41">
        <v>0</v>
      </c>
      <c r="E242" s="40">
        <v>0</v>
      </c>
      <c r="G242" s="41">
        <v>0</v>
      </c>
      <c r="H242" s="41">
        <v>0</v>
      </c>
      <c r="I242" s="41">
        <v>0</v>
      </c>
      <c r="J242" s="41">
        <v>0</v>
      </c>
      <c r="K242" s="40">
        <v>0</v>
      </c>
    </row>
    <row r="243" spans="1:11" x14ac:dyDescent="0.25">
      <c r="A243" s="41">
        <v>0</v>
      </c>
      <c r="B243" s="41">
        <v>0</v>
      </c>
      <c r="C243" s="41">
        <v>0</v>
      </c>
      <c r="D243" s="41">
        <v>0</v>
      </c>
      <c r="E243" s="40">
        <v>0</v>
      </c>
      <c r="G243" s="41">
        <v>0</v>
      </c>
      <c r="H243" s="41">
        <v>0</v>
      </c>
      <c r="I243" s="41">
        <v>0</v>
      </c>
      <c r="J243" s="41">
        <v>0</v>
      </c>
      <c r="K243" s="40">
        <v>0</v>
      </c>
    </row>
    <row r="244" spans="1:11" x14ac:dyDescent="0.25">
      <c r="A244" s="41">
        <v>0</v>
      </c>
      <c r="B244" s="41">
        <v>0</v>
      </c>
      <c r="C244" s="41">
        <v>0</v>
      </c>
      <c r="D244" s="41">
        <v>0</v>
      </c>
      <c r="E244" s="40">
        <v>0</v>
      </c>
      <c r="G244" s="41">
        <v>0</v>
      </c>
      <c r="H244" s="41">
        <v>0</v>
      </c>
      <c r="I244" s="41">
        <v>0</v>
      </c>
      <c r="J244" s="41">
        <v>0</v>
      </c>
      <c r="K244" s="40">
        <v>0</v>
      </c>
    </row>
    <row r="245" spans="1:11" x14ac:dyDescent="0.25">
      <c r="A245" s="41">
        <v>0</v>
      </c>
      <c r="B245" s="41">
        <v>0</v>
      </c>
      <c r="C245" s="41">
        <v>0</v>
      </c>
      <c r="D245" s="41">
        <v>0</v>
      </c>
      <c r="E245" s="40">
        <v>0</v>
      </c>
      <c r="G245" s="41">
        <v>0</v>
      </c>
      <c r="H245" s="41">
        <v>0</v>
      </c>
      <c r="I245" s="41">
        <v>0</v>
      </c>
      <c r="J245" s="41">
        <v>0</v>
      </c>
      <c r="K245" s="40">
        <v>0</v>
      </c>
    </row>
    <row r="246" spans="1:11" x14ac:dyDescent="0.25">
      <c r="A246" s="41">
        <v>0</v>
      </c>
      <c r="B246" s="41">
        <v>0</v>
      </c>
      <c r="C246" s="41">
        <v>0</v>
      </c>
      <c r="D246" s="41">
        <v>0</v>
      </c>
      <c r="E246" s="40">
        <v>0</v>
      </c>
      <c r="G246" s="41">
        <v>0</v>
      </c>
      <c r="H246" s="41">
        <v>0</v>
      </c>
      <c r="I246" s="41">
        <v>0</v>
      </c>
      <c r="J246" s="41">
        <v>0</v>
      </c>
      <c r="K246" s="40">
        <v>0</v>
      </c>
    </row>
    <row r="247" spans="1:11" x14ac:dyDescent="0.25">
      <c r="A247" s="41">
        <v>0</v>
      </c>
      <c r="B247" s="41">
        <v>0</v>
      </c>
      <c r="C247" s="41">
        <v>0</v>
      </c>
      <c r="D247" s="41">
        <v>0</v>
      </c>
      <c r="E247" s="40">
        <v>0</v>
      </c>
      <c r="G247" s="41">
        <v>0</v>
      </c>
      <c r="H247" s="41">
        <v>0</v>
      </c>
      <c r="I247" s="41">
        <v>0</v>
      </c>
      <c r="J247" s="41">
        <v>0</v>
      </c>
      <c r="K247" s="40">
        <v>0</v>
      </c>
    </row>
    <row r="248" spans="1:11" x14ac:dyDescent="0.25">
      <c r="A248" s="41">
        <v>0</v>
      </c>
      <c r="B248" s="41">
        <v>0</v>
      </c>
      <c r="C248" s="41">
        <v>0</v>
      </c>
      <c r="D248" s="41">
        <v>0</v>
      </c>
      <c r="E248" s="40">
        <v>0</v>
      </c>
      <c r="G248" s="41">
        <v>0</v>
      </c>
      <c r="H248" s="41">
        <v>0</v>
      </c>
      <c r="I248" s="41">
        <v>0</v>
      </c>
      <c r="J248" s="41">
        <v>0</v>
      </c>
      <c r="K248" s="40">
        <v>0</v>
      </c>
    </row>
    <row r="249" spans="1:11" x14ac:dyDescent="0.25">
      <c r="A249" s="41">
        <v>0</v>
      </c>
      <c r="B249" s="41">
        <v>0</v>
      </c>
      <c r="C249" s="41">
        <v>0</v>
      </c>
      <c r="D249" s="41">
        <v>0</v>
      </c>
      <c r="E249" s="40">
        <v>0</v>
      </c>
      <c r="G249" s="41">
        <v>0</v>
      </c>
      <c r="H249" s="41">
        <v>0</v>
      </c>
      <c r="I249" s="41">
        <v>0</v>
      </c>
      <c r="J249" s="41">
        <v>0</v>
      </c>
      <c r="K249" s="40">
        <v>0</v>
      </c>
    </row>
    <row r="250" spans="1:11" x14ac:dyDescent="0.25">
      <c r="A250" s="41">
        <v>0</v>
      </c>
      <c r="B250" s="41">
        <v>0</v>
      </c>
      <c r="C250" s="41">
        <v>0</v>
      </c>
      <c r="D250" s="41">
        <v>0</v>
      </c>
      <c r="E250" s="40">
        <v>0</v>
      </c>
      <c r="G250" s="41">
        <v>0</v>
      </c>
      <c r="H250" s="41">
        <v>0</v>
      </c>
      <c r="I250" s="41">
        <v>0</v>
      </c>
      <c r="J250" s="41">
        <v>0</v>
      </c>
      <c r="K250" s="40">
        <v>0</v>
      </c>
    </row>
    <row r="251" spans="1:11" x14ac:dyDescent="0.25">
      <c r="A251" s="41">
        <v>0</v>
      </c>
      <c r="B251" s="41">
        <v>0</v>
      </c>
      <c r="C251" s="41">
        <v>0</v>
      </c>
      <c r="D251" s="41">
        <v>0</v>
      </c>
      <c r="E251" s="40">
        <v>0</v>
      </c>
      <c r="G251" s="41">
        <v>0</v>
      </c>
      <c r="H251" s="41">
        <v>0</v>
      </c>
      <c r="I251" s="41">
        <v>0</v>
      </c>
      <c r="J251" s="41">
        <v>0</v>
      </c>
      <c r="K251" s="40">
        <v>0</v>
      </c>
    </row>
    <row r="252" spans="1:11" x14ac:dyDescent="0.25">
      <c r="A252" s="41">
        <v>0</v>
      </c>
      <c r="B252" s="41">
        <v>0</v>
      </c>
      <c r="C252" s="41">
        <v>0</v>
      </c>
      <c r="D252" s="41">
        <v>0</v>
      </c>
      <c r="E252" s="40">
        <v>0</v>
      </c>
      <c r="G252" s="41">
        <v>0</v>
      </c>
      <c r="H252" s="41">
        <v>0</v>
      </c>
      <c r="I252" s="41">
        <v>0</v>
      </c>
      <c r="J252" s="41">
        <v>0</v>
      </c>
      <c r="K252" s="40">
        <v>0</v>
      </c>
    </row>
    <row r="253" spans="1:11" x14ac:dyDescent="0.25">
      <c r="A253" s="41">
        <v>0</v>
      </c>
      <c r="B253" s="41">
        <v>0</v>
      </c>
      <c r="C253" s="41">
        <v>0</v>
      </c>
      <c r="D253" s="41">
        <v>0</v>
      </c>
      <c r="E253" s="40">
        <v>0</v>
      </c>
      <c r="G253" s="41">
        <v>0</v>
      </c>
      <c r="H253" s="41">
        <v>0</v>
      </c>
      <c r="I253" s="41">
        <v>0</v>
      </c>
      <c r="J253" s="41">
        <v>0</v>
      </c>
      <c r="K253" s="40">
        <v>0</v>
      </c>
    </row>
    <row r="254" spans="1:11" x14ac:dyDescent="0.25">
      <c r="A254" s="41">
        <v>0</v>
      </c>
      <c r="B254" s="41">
        <v>0</v>
      </c>
      <c r="C254" s="41">
        <v>0</v>
      </c>
      <c r="D254" s="41">
        <v>0</v>
      </c>
      <c r="E254" s="40">
        <v>0</v>
      </c>
      <c r="G254" s="41">
        <v>0</v>
      </c>
      <c r="H254" s="41">
        <v>0</v>
      </c>
      <c r="I254" s="41">
        <v>0</v>
      </c>
      <c r="J254" s="41">
        <v>0</v>
      </c>
      <c r="K254" s="40">
        <v>0</v>
      </c>
    </row>
    <row r="255" spans="1:11" x14ac:dyDescent="0.25">
      <c r="A255" s="41">
        <v>0</v>
      </c>
      <c r="B255" s="41">
        <v>0</v>
      </c>
      <c r="C255" s="41">
        <v>0</v>
      </c>
      <c r="D255" s="41">
        <v>0</v>
      </c>
      <c r="E255" s="40">
        <v>0</v>
      </c>
      <c r="G255" s="41">
        <v>0</v>
      </c>
      <c r="H255" s="41">
        <v>0</v>
      </c>
      <c r="I255" s="41">
        <v>0</v>
      </c>
      <c r="J255" s="41">
        <v>0</v>
      </c>
      <c r="K255" s="40">
        <v>0</v>
      </c>
    </row>
    <row r="256" spans="1:11" x14ac:dyDescent="0.25">
      <c r="A256" s="41">
        <v>0</v>
      </c>
      <c r="B256" s="41">
        <v>0</v>
      </c>
      <c r="C256" s="41">
        <v>0</v>
      </c>
      <c r="D256" s="41">
        <v>0</v>
      </c>
      <c r="E256" s="40">
        <v>0</v>
      </c>
      <c r="G256" s="41">
        <v>0</v>
      </c>
      <c r="H256" s="41">
        <v>0</v>
      </c>
      <c r="I256" s="41">
        <v>0</v>
      </c>
      <c r="J256" s="41">
        <v>0</v>
      </c>
      <c r="K256" s="40">
        <v>0</v>
      </c>
    </row>
    <row r="257" spans="1:11" x14ac:dyDescent="0.25">
      <c r="A257" s="41">
        <v>0</v>
      </c>
      <c r="B257" s="41">
        <v>0</v>
      </c>
      <c r="C257" s="41">
        <v>0</v>
      </c>
      <c r="D257" s="41">
        <v>0</v>
      </c>
      <c r="E257" s="40">
        <v>0</v>
      </c>
      <c r="G257" s="41">
        <v>0</v>
      </c>
      <c r="H257" s="41">
        <v>0</v>
      </c>
      <c r="I257" s="41">
        <v>0</v>
      </c>
      <c r="J257" s="41">
        <v>0</v>
      </c>
      <c r="K257" s="40">
        <v>0</v>
      </c>
    </row>
    <row r="258" spans="1:11" x14ac:dyDescent="0.25">
      <c r="A258" s="41">
        <v>0</v>
      </c>
      <c r="B258" s="41">
        <v>0</v>
      </c>
      <c r="C258" s="41">
        <v>0</v>
      </c>
      <c r="D258" s="41">
        <v>0</v>
      </c>
      <c r="E258" s="40">
        <v>0</v>
      </c>
      <c r="G258" s="41">
        <v>0</v>
      </c>
      <c r="H258" s="41">
        <v>0</v>
      </c>
      <c r="I258" s="41">
        <v>0</v>
      </c>
      <c r="J258" s="41">
        <v>0</v>
      </c>
      <c r="K258" s="40">
        <v>0</v>
      </c>
    </row>
    <row r="259" spans="1:11" x14ac:dyDescent="0.25">
      <c r="A259" s="41">
        <v>0</v>
      </c>
      <c r="B259" s="41">
        <v>0</v>
      </c>
      <c r="C259" s="41">
        <v>0</v>
      </c>
      <c r="D259" s="41">
        <v>0</v>
      </c>
      <c r="E259" s="40">
        <v>0</v>
      </c>
      <c r="G259" s="41">
        <v>0</v>
      </c>
      <c r="H259" s="41">
        <v>0</v>
      </c>
      <c r="I259" s="41">
        <v>0</v>
      </c>
      <c r="J259" s="41">
        <v>0</v>
      </c>
      <c r="K259" s="40">
        <v>0</v>
      </c>
    </row>
    <row r="260" spans="1:11" x14ac:dyDescent="0.25">
      <c r="A260" s="41">
        <v>0</v>
      </c>
      <c r="B260" s="41">
        <v>0</v>
      </c>
      <c r="C260" s="41">
        <v>0</v>
      </c>
      <c r="D260" s="41">
        <v>0</v>
      </c>
      <c r="E260" s="40">
        <v>0</v>
      </c>
      <c r="G260" s="41">
        <v>0</v>
      </c>
      <c r="H260" s="41">
        <v>0</v>
      </c>
      <c r="I260" s="41">
        <v>0</v>
      </c>
      <c r="J260" s="41">
        <v>0</v>
      </c>
      <c r="K260" s="40">
        <v>0</v>
      </c>
    </row>
    <row r="261" spans="1:11" x14ac:dyDescent="0.25">
      <c r="A261" s="41">
        <v>0</v>
      </c>
      <c r="B261" s="41">
        <v>0</v>
      </c>
      <c r="C261" s="41">
        <v>0</v>
      </c>
      <c r="D261" s="41">
        <v>0</v>
      </c>
      <c r="E261" s="40">
        <v>0</v>
      </c>
      <c r="G261" s="41">
        <v>0</v>
      </c>
      <c r="H261" s="41">
        <v>0</v>
      </c>
      <c r="I261" s="41">
        <v>0</v>
      </c>
      <c r="J261" s="41">
        <v>0</v>
      </c>
      <c r="K261" s="40">
        <v>0</v>
      </c>
    </row>
    <row r="262" spans="1:11" x14ac:dyDescent="0.25">
      <c r="A262" s="41">
        <v>0</v>
      </c>
      <c r="B262" s="41">
        <v>0</v>
      </c>
      <c r="C262" s="41">
        <v>0</v>
      </c>
      <c r="D262" s="41">
        <v>0</v>
      </c>
      <c r="E262" s="40">
        <v>0</v>
      </c>
      <c r="G262" s="41">
        <v>0</v>
      </c>
      <c r="H262" s="41">
        <v>0</v>
      </c>
      <c r="I262" s="41">
        <v>0</v>
      </c>
      <c r="J262" s="41">
        <v>0</v>
      </c>
      <c r="K262" s="40">
        <v>0</v>
      </c>
    </row>
    <row r="263" spans="1:11" x14ac:dyDescent="0.25">
      <c r="A263" s="41">
        <v>0</v>
      </c>
      <c r="B263" s="41">
        <v>0</v>
      </c>
      <c r="C263" s="41">
        <v>0</v>
      </c>
      <c r="D263" s="41">
        <v>0</v>
      </c>
      <c r="E263" s="40">
        <v>0</v>
      </c>
      <c r="G263" s="41">
        <v>0</v>
      </c>
      <c r="H263" s="41">
        <v>0</v>
      </c>
      <c r="I263" s="41">
        <v>0</v>
      </c>
      <c r="J263" s="41">
        <v>0</v>
      </c>
      <c r="K263" s="40">
        <v>0</v>
      </c>
    </row>
    <row r="264" spans="1:11" x14ac:dyDescent="0.25">
      <c r="A264" s="41">
        <v>0</v>
      </c>
      <c r="B264" s="41">
        <v>0</v>
      </c>
      <c r="C264" s="41">
        <v>0</v>
      </c>
      <c r="D264" s="41">
        <v>0</v>
      </c>
      <c r="E264" s="40">
        <v>0</v>
      </c>
      <c r="G264" s="41">
        <v>0</v>
      </c>
      <c r="H264" s="41">
        <v>0</v>
      </c>
      <c r="I264" s="41">
        <v>0</v>
      </c>
      <c r="J264" s="41">
        <v>0</v>
      </c>
      <c r="K264" s="40">
        <v>0</v>
      </c>
    </row>
    <row r="265" spans="1:11" x14ac:dyDescent="0.25">
      <c r="A265" s="41">
        <v>0</v>
      </c>
      <c r="B265" s="41">
        <v>0</v>
      </c>
      <c r="C265" s="41">
        <v>0</v>
      </c>
      <c r="D265" s="41">
        <v>0</v>
      </c>
      <c r="E265" s="40">
        <v>0</v>
      </c>
      <c r="G265" s="41">
        <v>0</v>
      </c>
      <c r="H265" s="41">
        <v>0</v>
      </c>
      <c r="I265" s="41">
        <v>0</v>
      </c>
      <c r="J265" s="41">
        <v>0</v>
      </c>
      <c r="K265" s="40">
        <v>0</v>
      </c>
    </row>
    <row r="266" spans="1:11" x14ac:dyDescent="0.25">
      <c r="A266" s="41">
        <v>0</v>
      </c>
      <c r="B266" s="41">
        <v>0</v>
      </c>
      <c r="C266" s="41">
        <v>0</v>
      </c>
      <c r="D266" s="41">
        <v>0</v>
      </c>
      <c r="E266" s="40">
        <v>0</v>
      </c>
      <c r="G266" s="41">
        <v>0</v>
      </c>
      <c r="H266" s="41">
        <v>0</v>
      </c>
      <c r="I266" s="41">
        <v>0</v>
      </c>
      <c r="J266" s="41">
        <v>0</v>
      </c>
      <c r="K266" s="40">
        <v>0</v>
      </c>
    </row>
    <row r="267" spans="1:11" x14ac:dyDescent="0.25">
      <c r="A267" s="41">
        <v>0</v>
      </c>
      <c r="B267" s="41">
        <v>0</v>
      </c>
      <c r="C267" s="41">
        <v>0</v>
      </c>
      <c r="D267" s="41">
        <v>0</v>
      </c>
      <c r="E267" s="40">
        <v>0</v>
      </c>
      <c r="G267" s="41">
        <v>0</v>
      </c>
      <c r="H267" s="41">
        <v>0</v>
      </c>
      <c r="I267" s="41">
        <v>0</v>
      </c>
      <c r="J267" s="41">
        <v>0</v>
      </c>
      <c r="K267" s="40">
        <v>0</v>
      </c>
    </row>
    <row r="268" spans="1:11" x14ac:dyDescent="0.25">
      <c r="A268" s="41">
        <v>0</v>
      </c>
      <c r="B268" s="41">
        <v>0</v>
      </c>
      <c r="C268" s="41">
        <v>0</v>
      </c>
      <c r="D268" s="41">
        <v>0</v>
      </c>
      <c r="E268" s="40">
        <v>0</v>
      </c>
      <c r="G268" s="41">
        <v>0</v>
      </c>
      <c r="H268" s="41">
        <v>0</v>
      </c>
      <c r="I268" s="41">
        <v>0</v>
      </c>
      <c r="J268" s="41">
        <v>0</v>
      </c>
      <c r="K268" s="40">
        <v>0</v>
      </c>
    </row>
    <row r="269" spans="1:11" x14ac:dyDescent="0.25">
      <c r="A269" s="41">
        <v>0</v>
      </c>
      <c r="B269" s="41">
        <v>0</v>
      </c>
      <c r="C269" s="41">
        <v>0</v>
      </c>
      <c r="D269" s="41">
        <v>0</v>
      </c>
      <c r="E269" s="40">
        <v>0</v>
      </c>
      <c r="G269" s="41">
        <v>0</v>
      </c>
      <c r="H269" s="41">
        <v>0</v>
      </c>
      <c r="I269" s="41">
        <v>0</v>
      </c>
      <c r="J269" s="41">
        <v>0</v>
      </c>
      <c r="K269" s="40">
        <v>0</v>
      </c>
    </row>
    <row r="270" spans="1:11" x14ac:dyDescent="0.25">
      <c r="A270" s="41">
        <v>0</v>
      </c>
      <c r="B270" s="41">
        <v>0</v>
      </c>
      <c r="C270" s="41">
        <v>0</v>
      </c>
      <c r="D270" s="41">
        <v>0</v>
      </c>
      <c r="E270" s="40">
        <v>0</v>
      </c>
      <c r="G270" s="41">
        <v>0</v>
      </c>
      <c r="H270" s="41">
        <v>0</v>
      </c>
      <c r="I270" s="41">
        <v>0</v>
      </c>
      <c r="J270" s="41">
        <v>0</v>
      </c>
      <c r="K270" s="40">
        <v>0</v>
      </c>
    </row>
    <row r="271" spans="1:11" x14ac:dyDescent="0.25">
      <c r="A271" s="41">
        <v>0</v>
      </c>
      <c r="B271" s="41">
        <v>0</v>
      </c>
      <c r="C271" s="41">
        <v>0</v>
      </c>
      <c r="D271" s="41">
        <v>0</v>
      </c>
      <c r="E271" s="40">
        <v>0</v>
      </c>
      <c r="G271" s="41">
        <v>0</v>
      </c>
      <c r="H271" s="41">
        <v>0</v>
      </c>
      <c r="I271" s="41">
        <v>0</v>
      </c>
      <c r="J271" s="41">
        <v>0</v>
      </c>
      <c r="K271" s="40">
        <v>0</v>
      </c>
    </row>
    <row r="272" spans="1:11" x14ac:dyDescent="0.25">
      <c r="A272" s="41">
        <v>0</v>
      </c>
      <c r="B272" s="41">
        <v>0</v>
      </c>
      <c r="C272" s="41">
        <v>0</v>
      </c>
      <c r="D272" s="41">
        <v>0</v>
      </c>
      <c r="E272" s="40">
        <v>0</v>
      </c>
      <c r="G272" s="41">
        <v>0</v>
      </c>
      <c r="H272" s="41">
        <v>0</v>
      </c>
      <c r="I272" s="41">
        <v>0</v>
      </c>
      <c r="J272" s="41">
        <v>0</v>
      </c>
      <c r="K272" s="40">
        <v>0</v>
      </c>
    </row>
    <row r="273" spans="1:11" x14ac:dyDescent="0.25">
      <c r="A273" s="41">
        <v>0</v>
      </c>
      <c r="B273" s="41">
        <v>0</v>
      </c>
      <c r="C273" s="41">
        <v>0</v>
      </c>
      <c r="D273" s="41">
        <v>0</v>
      </c>
      <c r="E273" s="40">
        <v>0</v>
      </c>
      <c r="G273" s="41">
        <v>0</v>
      </c>
      <c r="H273" s="41">
        <v>0</v>
      </c>
      <c r="I273" s="41">
        <v>0</v>
      </c>
      <c r="J273" s="41">
        <v>0</v>
      </c>
      <c r="K273" s="40">
        <v>0</v>
      </c>
    </row>
    <row r="274" spans="1:11" x14ac:dyDescent="0.25">
      <c r="A274" s="41">
        <v>0</v>
      </c>
      <c r="B274" s="41">
        <v>0</v>
      </c>
      <c r="C274" s="41">
        <v>0</v>
      </c>
      <c r="D274" s="41">
        <v>0</v>
      </c>
      <c r="E274" s="40">
        <v>0</v>
      </c>
      <c r="G274" s="41">
        <v>0</v>
      </c>
      <c r="H274" s="41">
        <v>0</v>
      </c>
      <c r="I274" s="41">
        <v>0</v>
      </c>
      <c r="J274" s="41">
        <v>0</v>
      </c>
      <c r="K274" s="40">
        <v>0</v>
      </c>
    </row>
    <row r="275" spans="1:11" x14ac:dyDescent="0.25">
      <c r="A275" s="41">
        <v>0</v>
      </c>
      <c r="B275" s="41">
        <v>0</v>
      </c>
      <c r="C275" s="41">
        <v>0</v>
      </c>
      <c r="D275" s="41">
        <v>0</v>
      </c>
      <c r="E275" s="40">
        <v>0</v>
      </c>
      <c r="G275" s="41">
        <v>0</v>
      </c>
      <c r="H275" s="41">
        <v>0</v>
      </c>
      <c r="I275" s="41">
        <v>0</v>
      </c>
      <c r="J275" s="41">
        <v>0</v>
      </c>
      <c r="K275" s="40">
        <v>0</v>
      </c>
    </row>
    <row r="276" spans="1:11" x14ac:dyDescent="0.25">
      <c r="A276" s="41">
        <v>0</v>
      </c>
      <c r="B276" s="41">
        <v>0</v>
      </c>
      <c r="C276" s="41">
        <v>0</v>
      </c>
      <c r="D276" s="41">
        <v>0</v>
      </c>
      <c r="E276" s="40">
        <v>0</v>
      </c>
      <c r="G276" s="41">
        <v>0</v>
      </c>
      <c r="H276" s="41">
        <v>0</v>
      </c>
      <c r="I276" s="41">
        <v>0</v>
      </c>
      <c r="J276" s="41">
        <v>0</v>
      </c>
      <c r="K276" s="40">
        <v>0</v>
      </c>
    </row>
    <row r="277" spans="1:11" x14ac:dyDescent="0.25">
      <c r="A277" s="41">
        <v>0</v>
      </c>
      <c r="B277" s="41">
        <v>0</v>
      </c>
      <c r="C277" s="41">
        <v>0</v>
      </c>
      <c r="D277" s="41">
        <v>0</v>
      </c>
      <c r="E277" s="40">
        <v>0</v>
      </c>
      <c r="G277" s="41">
        <v>0</v>
      </c>
      <c r="H277" s="41">
        <v>0</v>
      </c>
      <c r="I277" s="41">
        <v>0</v>
      </c>
      <c r="J277" s="41">
        <v>0</v>
      </c>
      <c r="K277" s="40">
        <v>0</v>
      </c>
    </row>
    <row r="278" spans="1:11" x14ac:dyDescent="0.25">
      <c r="A278" s="41">
        <v>0</v>
      </c>
      <c r="B278" s="41">
        <v>0</v>
      </c>
      <c r="C278" s="41">
        <v>0</v>
      </c>
      <c r="D278" s="41">
        <v>0</v>
      </c>
      <c r="E278" s="40">
        <v>0</v>
      </c>
      <c r="G278" s="41">
        <v>0</v>
      </c>
      <c r="H278" s="41">
        <v>0</v>
      </c>
      <c r="I278" s="41">
        <v>0</v>
      </c>
      <c r="J278" s="41">
        <v>0</v>
      </c>
      <c r="K278" s="40">
        <v>0</v>
      </c>
    </row>
    <row r="279" spans="1:11" x14ac:dyDescent="0.25">
      <c r="A279" s="41">
        <v>0</v>
      </c>
      <c r="B279" s="41">
        <v>0</v>
      </c>
      <c r="C279" s="41">
        <v>0</v>
      </c>
      <c r="D279" s="41">
        <v>0</v>
      </c>
      <c r="E279" s="40">
        <v>0</v>
      </c>
      <c r="G279" s="41">
        <v>0</v>
      </c>
      <c r="H279" s="41">
        <v>0</v>
      </c>
      <c r="I279" s="41">
        <v>0</v>
      </c>
      <c r="J279" s="41">
        <v>0</v>
      </c>
      <c r="K279" s="40">
        <v>0</v>
      </c>
    </row>
    <row r="280" spans="1:11" x14ac:dyDescent="0.25">
      <c r="A280" s="41">
        <v>0</v>
      </c>
      <c r="B280" s="41">
        <v>0</v>
      </c>
      <c r="C280" s="41">
        <v>0</v>
      </c>
      <c r="D280" s="41">
        <v>0</v>
      </c>
      <c r="E280" s="40">
        <v>0</v>
      </c>
      <c r="G280" s="41">
        <v>0</v>
      </c>
      <c r="H280" s="41">
        <v>0</v>
      </c>
      <c r="I280" s="41">
        <v>0</v>
      </c>
      <c r="J280" s="41">
        <v>0</v>
      </c>
      <c r="K280" s="40">
        <v>0</v>
      </c>
    </row>
    <row r="281" spans="1:11" x14ac:dyDescent="0.25">
      <c r="A281" s="41">
        <v>0</v>
      </c>
      <c r="B281" s="41">
        <v>0</v>
      </c>
      <c r="C281" s="41">
        <v>0</v>
      </c>
      <c r="D281" s="41">
        <v>0</v>
      </c>
      <c r="E281" s="40">
        <v>0</v>
      </c>
      <c r="G281" s="41">
        <v>0</v>
      </c>
      <c r="H281" s="41">
        <v>0</v>
      </c>
      <c r="I281" s="41">
        <v>0</v>
      </c>
      <c r="J281" s="41">
        <v>0</v>
      </c>
      <c r="K281" s="40">
        <v>0</v>
      </c>
    </row>
    <row r="282" spans="1:11" x14ac:dyDescent="0.25">
      <c r="A282" s="41">
        <v>0</v>
      </c>
      <c r="B282" s="41">
        <v>0</v>
      </c>
      <c r="C282" s="41">
        <v>0</v>
      </c>
      <c r="D282" s="41">
        <v>0</v>
      </c>
      <c r="E282" s="40">
        <v>0</v>
      </c>
      <c r="G282" s="41">
        <v>0</v>
      </c>
      <c r="H282" s="41">
        <v>0</v>
      </c>
      <c r="I282" s="41">
        <v>0</v>
      </c>
      <c r="J282" s="41">
        <v>0</v>
      </c>
      <c r="K282" s="40">
        <v>0</v>
      </c>
    </row>
    <row r="283" spans="1:11" x14ac:dyDescent="0.25">
      <c r="A283" s="41">
        <v>0</v>
      </c>
      <c r="B283" s="41">
        <v>0</v>
      </c>
      <c r="C283" s="41">
        <v>0</v>
      </c>
      <c r="D283" s="41">
        <v>0</v>
      </c>
      <c r="E283" s="40">
        <v>0</v>
      </c>
      <c r="G283" s="41">
        <v>0</v>
      </c>
      <c r="H283" s="41">
        <v>0</v>
      </c>
      <c r="I283" s="41">
        <v>0</v>
      </c>
      <c r="J283" s="41">
        <v>0</v>
      </c>
      <c r="K283" s="40">
        <v>0</v>
      </c>
    </row>
    <row r="284" spans="1:11" x14ac:dyDescent="0.25">
      <c r="A284" s="41">
        <v>0</v>
      </c>
      <c r="B284" s="41">
        <v>0</v>
      </c>
      <c r="C284" s="41">
        <v>0</v>
      </c>
      <c r="D284" s="41">
        <v>0</v>
      </c>
      <c r="E284" s="40">
        <v>0</v>
      </c>
      <c r="G284" s="41">
        <v>0</v>
      </c>
      <c r="H284" s="41">
        <v>0</v>
      </c>
      <c r="I284" s="41">
        <v>0</v>
      </c>
      <c r="J284" s="41">
        <v>0</v>
      </c>
      <c r="K284" s="40">
        <v>0</v>
      </c>
    </row>
    <row r="285" spans="1:11" x14ac:dyDescent="0.25">
      <c r="A285" s="41">
        <v>0</v>
      </c>
      <c r="B285" s="41">
        <v>0</v>
      </c>
      <c r="C285" s="41">
        <v>0</v>
      </c>
      <c r="D285" s="41">
        <v>0</v>
      </c>
      <c r="E285" s="40">
        <v>0</v>
      </c>
      <c r="G285" s="41">
        <v>0</v>
      </c>
      <c r="H285" s="41">
        <v>0</v>
      </c>
      <c r="I285" s="41">
        <v>0</v>
      </c>
      <c r="J285" s="41">
        <v>0</v>
      </c>
      <c r="K285" s="40">
        <v>0</v>
      </c>
    </row>
    <row r="286" spans="1:11" x14ac:dyDescent="0.25">
      <c r="A286" s="41">
        <v>0</v>
      </c>
      <c r="B286" s="41">
        <v>0</v>
      </c>
      <c r="C286" s="41">
        <v>0</v>
      </c>
      <c r="D286" s="41">
        <v>0</v>
      </c>
      <c r="E286" s="40">
        <v>0</v>
      </c>
      <c r="G286" s="41">
        <v>0</v>
      </c>
      <c r="H286" s="41">
        <v>0</v>
      </c>
      <c r="I286" s="41">
        <v>0</v>
      </c>
      <c r="J286" s="41">
        <v>0</v>
      </c>
      <c r="K286" s="40">
        <v>0</v>
      </c>
    </row>
    <row r="287" spans="1:11" x14ac:dyDescent="0.25">
      <c r="A287" s="41">
        <v>0</v>
      </c>
      <c r="B287" s="41">
        <v>0</v>
      </c>
      <c r="C287" s="41">
        <v>0</v>
      </c>
      <c r="D287" s="41">
        <v>0</v>
      </c>
      <c r="E287" s="40">
        <v>0</v>
      </c>
      <c r="G287" s="41">
        <v>0</v>
      </c>
      <c r="H287" s="41">
        <v>0</v>
      </c>
      <c r="I287" s="41">
        <v>0</v>
      </c>
      <c r="J287" s="41">
        <v>0</v>
      </c>
      <c r="K287" s="40">
        <v>0</v>
      </c>
    </row>
    <row r="288" spans="1:11" x14ac:dyDescent="0.25">
      <c r="A288" s="41">
        <v>0</v>
      </c>
      <c r="B288" s="41">
        <v>0</v>
      </c>
      <c r="C288" s="41">
        <v>0</v>
      </c>
      <c r="D288" s="41">
        <v>0</v>
      </c>
      <c r="E288" s="40">
        <v>0</v>
      </c>
      <c r="G288" s="41">
        <v>0</v>
      </c>
      <c r="H288" s="41">
        <v>0</v>
      </c>
      <c r="I288" s="41">
        <v>0</v>
      </c>
      <c r="J288" s="41">
        <v>0</v>
      </c>
      <c r="K288" s="40">
        <v>0</v>
      </c>
    </row>
    <row r="289" spans="1:11" x14ac:dyDescent="0.25">
      <c r="A289" s="41">
        <v>0</v>
      </c>
      <c r="B289" s="41">
        <v>0</v>
      </c>
      <c r="C289" s="41">
        <v>0</v>
      </c>
      <c r="D289" s="41">
        <v>0</v>
      </c>
      <c r="E289" s="40">
        <v>0</v>
      </c>
      <c r="G289" s="41">
        <v>0</v>
      </c>
      <c r="H289" s="41">
        <v>0</v>
      </c>
      <c r="I289" s="41">
        <v>0</v>
      </c>
      <c r="J289" s="41">
        <v>0</v>
      </c>
      <c r="K289" s="40">
        <v>0</v>
      </c>
    </row>
    <row r="290" spans="1:11" x14ac:dyDescent="0.25">
      <c r="A290" s="41">
        <v>0</v>
      </c>
      <c r="B290" s="41">
        <v>0</v>
      </c>
      <c r="C290" s="41">
        <v>0</v>
      </c>
      <c r="D290" s="41">
        <v>0</v>
      </c>
      <c r="E290" s="40">
        <v>0</v>
      </c>
      <c r="G290" s="41">
        <v>0</v>
      </c>
      <c r="H290" s="41">
        <v>0</v>
      </c>
      <c r="I290" s="41">
        <v>0</v>
      </c>
      <c r="J290" s="41">
        <v>0</v>
      </c>
      <c r="K290" s="40">
        <v>0</v>
      </c>
    </row>
    <row r="291" spans="1:11" x14ac:dyDescent="0.25">
      <c r="A291" s="41">
        <v>0</v>
      </c>
      <c r="B291" s="41">
        <v>0</v>
      </c>
      <c r="C291" s="41">
        <v>0</v>
      </c>
      <c r="D291" s="41">
        <v>0</v>
      </c>
      <c r="E291" s="40">
        <v>0</v>
      </c>
      <c r="G291" s="41">
        <v>0</v>
      </c>
      <c r="H291" s="41">
        <v>0</v>
      </c>
      <c r="I291" s="41">
        <v>0</v>
      </c>
      <c r="J291" s="41">
        <v>0</v>
      </c>
      <c r="K291" s="40">
        <v>0</v>
      </c>
    </row>
    <row r="292" spans="1:11" x14ac:dyDescent="0.25">
      <c r="A292" s="41">
        <v>0</v>
      </c>
      <c r="B292" s="41">
        <v>0</v>
      </c>
      <c r="C292" s="41">
        <v>0</v>
      </c>
      <c r="D292" s="41">
        <v>0</v>
      </c>
      <c r="E292" s="40">
        <v>0</v>
      </c>
      <c r="G292" s="41">
        <v>0</v>
      </c>
      <c r="H292" s="41">
        <v>0</v>
      </c>
      <c r="I292" s="41">
        <v>0</v>
      </c>
      <c r="J292" s="41">
        <v>0</v>
      </c>
      <c r="K292" s="40">
        <v>0</v>
      </c>
    </row>
    <row r="293" spans="1:11" x14ac:dyDescent="0.25">
      <c r="A293" s="41">
        <v>0</v>
      </c>
      <c r="B293" s="41">
        <v>0</v>
      </c>
      <c r="C293" s="41">
        <v>0</v>
      </c>
      <c r="D293" s="41">
        <v>0</v>
      </c>
      <c r="E293" s="40">
        <v>0</v>
      </c>
      <c r="G293" s="41">
        <v>0</v>
      </c>
      <c r="H293" s="41">
        <v>0</v>
      </c>
      <c r="I293" s="41">
        <v>0</v>
      </c>
      <c r="J293" s="41">
        <v>0</v>
      </c>
      <c r="K293" s="40">
        <v>0</v>
      </c>
    </row>
    <row r="294" spans="1:11" x14ac:dyDescent="0.25">
      <c r="A294" s="41">
        <v>0</v>
      </c>
      <c r="B294" s="41">
        <v>0</v>
      </c>
      <c r="C294" s="41">
        <v>0</v>
      </c>
      <c r="D294" s="41">
        <v>0</v>
      </c>
      <c r="E294" s="40">
        <v>0</v>
      </c>
      <c r="G294" s="41">
        <v>0</v>
      </c>
      <c r="H294" s="41">
        <v>0</v>
      </c>
      <c r="I294" s="41">
        <v>0</v>
      </c>
      <c r="J294" s="41">
        <v>0</v>
      </c>
      <c r="K294" s="40">
        <v>0</v>
      </c>
    </row>
    <row r="295" spans="1:11" x14ac:dyDescent="0.25">
      <c r="A295" s="41">
        <v>0</v>
      </c>
      <c r="B295" s="41">
        <v>0</v>
      </c>
      <c r="C295" s="41">
        <v>0</v>
      </c>
      <c r="D295" s="41">
        <v>0</v>
      </c>
      <c r="E295" s="40">
        <v>0</v>
      </c>
      <c r="G295" s="41">
        <v>0</v>
      </c>
      <c r="H295" s="41">
        <v>0</v>
      </c>
      <c r="I295" s="41">
        <v>0</v>
      </c>
      <c r="J295" s="41">
        <v>0</v>
      </c>
      <c r="K295" s="40">
        <v>0</v>
      </c>
    </row>
    <row r="296" spans="1:11" x14ac:dyDescent="0.25">
      <c r="A296" s="41">
        <v>0</v>
      </c>
      <c r="B296" s="41">
        <v>0</v>
      </c>
      <c r="C296" s="41">
        <v>0</v>
      </c>
      <c r="D296" s="41">
        <v>0</v>
      </c>
      <c r="E296" s="40">
        <v>0</v>
      </c>
      <c r="G296" s="41">
        <v>0</v>
      </c>
      <c r="H296" s="41">
        <v>0</v>
      </c>
      <c r="I296" s="41">
        <v>0</v>
      </c>
      <c r="J296" s="41">
        <v>0</v>
      </c>
      <c r="K296" s="40">
        <v>0</v>
      </c>
    </row>
    <row r="297" spans="1:11" x14ac:dyDescent="0.25">
      <c r="A297" s="41">
        <v>0</v>
      </c>
      <c r="B297" s="41">
        <v>0</v>
      </c>
      <c r="C297" s="41">
        <v>0</v>
      </c>
      <c r="D297" s="41">
        <v>0</v>
      </c>
      <c r="E297" s="40">
        <v>0</v>
      </c>
      <c r="G297" s="41">
        <v>0</v>
      </c>
      <c r="H297" s="41">
        <v>0</v>
      </c>
      <c r="I297" s="41">
        <v>0</v>
      </c>
      <c r="J297" s="41">
        <v>0</v>
      </c>
      <c r="K297" s="40">
        <v>0</v>
      </c>
    </row>
    <row r="298" spans="1:11" x14ac:dyDescent="0.25">
      <c r="A298" s="41">
        <v>0</v>
      </c>
      <c r="B298" s="41">
        <v>0</v>
      </c>
      <c r="C298" s="41">
        <v>0</v>
      </c>
      <c r="D298" s="41">
        <v>0</v>
      </c>
      <c r="E298" s="40">
        <v>0</v>
      </c>
      <c r="G298" s="41">
        <v>0</v>
      </c>
      <c r="H298" s="41">
        <v>0</v>
      </c>
      <c r="I298" s="41">
        <v>0</v>
      </c>
      <c r="J298" s="41">
        <v>0</v>
      </c>
      <c r="K298" s="40">
        <v>0</v>
      </c>
    </row>
    <row r="299" spans="1:11" x14ac:dyDescent="0.25">
      <c r="A299" s="41">
        <v>0</v>
      </c>
      <c r="B299" s="41">
        <v>0</v>
      </c>
      <c r="C299" s="41">
        <v>0</v>
      </c>
      <c r="D299" s="41">
        <v>0</v>
      </c>
      <c r="E299" s="40">
        <v>0</v>
      </c>
      <c r="G299" s="41">
        <v>0</v>
      </c>
      <c r="H299" s="41">
        <v>0</v>
      </c>
      <c r="I299" s="41">
        <v>0</v>
      </c>
      <c r="J299" s="41">
        <v>0</v>
      </c>
      <c r="K299" s="40">
        <v>0</v>
      </c>
    </row>
    <row r="300" spans="1:11" x14ac:dyDescent="0.25">
      <c r="A300" s="41">
        <v>0</v>
      </c>
      <c r="B300" s="41">
        <v>0</v>
      </c>
      <c r="C300" s="41">
        <v>0</v>
      </c>
      <c r="D300" s="41">
        <v>0</v>
      </c>
      <c r="E300" s="40">
        <v>0</v>
      </c>
      <c r="G300" s="41">
        <v>0</v>
      </c>
      <c r="H300" s="41">
        <v>0</v>
      </c>
      <c r="I300" s="41">
        <v>0</v>
      </c>
      <c r="J300" s="41">
        <v>0</v>
      </c>
      <c r="K300" s="40">
        <v>0</v>
      </c>
    </row>
    <row r="301" spans="1:11" x14ac:dyDescent="0.25">
      <c r="A301" s="41">
        <v>0</v>
      </c>
      <c r="B301" s="41">
        <v>0</v>
      </c>
      <c r="C301" s="41">
        <v>0</v>
      </c>
      <c r="D301" s="41">
        <v>0</v>
      </c>
      <c r="E301" s="40">
        <v>0</v>
      </c>
      <c r="G301" s="41">
        <v>0</v>
      </c>
      <c r="H301" s="41">
        <v>0</v>
      </c>
      <c r="I301" s="41">
        <v>0</v>
      </c>
      <c r="J301" s="41">
        <v>0</v>
      </c>
      <c r="K301" s="40">
        <v>0</v>
      </c>
    </row>
    <row r="302" spans="1:11" x14ac:dyDescent="0.25">
      <c r="A302" s="41">
        <v>0</v>
      </c>
      <c r="B302" s="41">
        <v>0</v>
      </c>
      <c r="C302" s="41">
        <v>0</v>
      </c>
      <c r="D302" s="41">
        <v>0</v>
      </c>
      <c r="E302" s="40">
        <v>0</v>
      </c>
      <c r="G302" s="41">
        <v>0</v>
      </c>
      <c r="H302" s="41">
        <v>0</v>
      </c>
      <c r="I302" s="41">
        <v>0</v>
      </c>
      <c r="J302" s="41">
        <v>0</v>
      </c>
      <c r="K302" s="40">
        <v>0</v>
      </c>
    </row>
    <row r="303" spans="1:11" x14ac:dyDescent="0.25">
      <c r="A303" s="41">
        <v>0</v>
      </c>
      <c r="B303" s="41">
        <v>0</v>
      </c>
      <c r="C303" s="41">
        <v>0</v>
      </c>
      <c r="D303" s="41">
        <v>0</v>
      </c>
      <c r="E303" s="40">
        <v>0</v>
      </c>
      <c r="G303" s="41">
        <v>0</v>
      </c>
      <c r="H303" s="41">
        <v>0</v>
      </c>
      <c r="I303" s="41">
        <v>0</v>
      </c>
      <c r="J303" s="41">
        <v>0</v>
      </c>
      <c r="K303" s="40">
        <v>0</v>
      </c>
    </row>
    <row r="304" spans="1:11" x14ac:dyDescent="0.25">
      <c r="A304" s="41">
        <v>0</v>
      </c>
      <c r="B304" s="41">
        <v>0</v>
      </c>
      <c r="C304" s="41">
        <v>0</v>
      </c>
      <c r="D304" s="41">
        <v>0</v>
      </c>
      <c r="E304" s="40">
        <v>0</v>
      </c>
      <c r="G304" s="41">
        <v>0</v>
      </c>
      <c r="H304" s="41">
        <v>0</v>
      </c>
      <c r="I304" s="41">
        <v>0</v>
      </c>
      <c r="J304" s="41">
        <v>0</v>
      </c>
      <c r="K304" s="40">
        <v>0</v>
      </c>
    </row>
    <row r="305" spans="1:11" x14ac:dyDescent="0.25">
      <c r="A305" s="41">
        <v>0</v>
      </c>
      <c r="B305" s="41">
        <v>0</v>
      </c>
      <c r="C305" s="41">
        <v>0</v>
      </c>
      <c r="D305" s="41">
        <v>0</v>
      </c>
      <c r="E305" s="40">
        <v>0</v>
      </c>
      <c r="G305" s="41">
        <v>0</v>
      </c>
      <c r="H305" s="41">
        <v>0</v>
      </c>
      <c r="I305" s="41">
        <v>0</v>
      </c>
      <c r="J305" s="41">
        <v>0</v>
      </c>
      <c r="K305" s="40">
        <v>0</v>
      </c>
    </row>
    <row r="306" spans="1:11" x14ac:dyDescent="0.25">
      <c r="A306" s="41">
        <v>0</v>
      </c>
      <c r="B306" s="41">
        <v>0</v>
      </c>
      <c r="C306" s="41">
        <v>0</v>
      </c>
      <c r="D306" s="41">
        <v>0</v>
      </c>
      <c r="E306" s="40">
        <v>0</v>
      </c>
      <c r="G306" s="41">
        <v>0</v>
      </c>
      <c r="H306" s="41">
        <v>0</v>
      </c>
      <c r="I306" s="41">
        <v>0</v>
      </c>
      <c r="J306" s="41">
        <v>0</v>
      </c>
      <c r="K306" s="40">
        <v>0</v>
      </c>
    </row>
    <row r="307" spans="1:11" x14ac:dyDescent="0.25">
      <c r="A307" s="41">
        <v>0</v>
      </c>
      <c r="B307" s="41">
        <v>0</v>
      </c>
      <c r="C307" s="41">
        <v>0</v>
      </c>
      <c r="D307" s="41">
        <v>0</v>
      </c>
      <c r="E307" s="40">
        <v>0</v>
      </c>
      <c r="G307" s="41">
        <v>0</v>
      </c>
      <c r="H307" s="41">
        <v>0</v>
      </c>
      <c r="I307" s="41">
        <v>0</v>
      </c>
      <c r="J307" s="41">
        <v>0</v>
      </c>
      <c r="K307" s="40">
        <v>0</v>
      </c>
    </row>
    <row r="308" spans="1:11" x14ac:dyDescent="0.25">
      <c r="A308" s="41">
        <v>0</v>
      </c>
      <c r="B308" s="41">
        <v>0</v>
      </c>
      <c r="C308" s="41">
        <v>0</v>
      </c>
      <c r="D308" s="41">
        <v>0</v>
      </c>
      <c r="E308" s="40">
        <v>0</v>
      </c>
      <c r="G308" s="41">
        <v>0</v>
      </c>
      <c r="H308" s="41">
        <v>0</v>
      </c>
      <c r="I308" s="41">
        <v>0</v>
      </c>
      <c r="J308" s="41">
        <v>0</v>
      </c>
      <c r="K308" s="40">
        <v>0</v>
      </c>
    </row>
  </sheetData>
  <sortState xmlns:xlrd2="http://schemas.microsoft.com/office/spreadsheetml/2017/richdata2" ref="U4:Z51">
    <sortCondition ref="X4:X51"/>
    <sortCondition ref="V4:V51"/>
    <sortCondition ref="W4:W51"/>
  </sortState>
  <mergeCells count="2">
    <mergeCell ref="A1:E1"/>
    <mergeCell ref="G1:K1"/>
  </mergeCells>
  <conditionalFormatting sqref="E4:E51 K4:K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2A9F-4C99-4D07-A1BB-B68636F1B36A}">
  <dimension ref="A2:BA50"/>
  <sheetViews>
    <sheetView tabSelected="1" topLeftCell="Q1" workbookViewId="0">
      <selection activeCell="AY3" sqref="AY3"/>
    </sheetView>
  </sheetViews>
  <sheetFormatPr defaultRowHeight="15" x14ac:dyDescent="0.25"/>
  <cols>
    <col min="1" max="1" width="14" customWidth="1"/>
    <col min="5" max="5" width="18.42578125" customWidth="1"/>
    <col min="7" max="7" width="14" customWidth="1"/>
    <col min="11" max="11" width="18.42578125" customWidth="1"/>
    <col min="17" max="17" width="18.42578125" customWidth="1"/>
    <col min="23" max="23" width="18.42578125" customWidth="1"/>
  </cols>
  <sheetData>
    <row r="2" spans="1:53" x14ac:dyDescent="0.25">
      <c r="A2" t="s">
        <v>191</v>
      </c>
      <c r="B2" t="s">
        <v>3</v>
      </c>
      <c r="C2" t="s">
        <v>4</v>
      </c>
      <c r="D2" t="s">
        <v>5</v>
      </c>
      <c r="E2" t="s">
        <v>175</v>
      </c>
      <c r="G2" t="s">
        <v>191</v>
      </c>
      <c r="H2" t="s">
        <v>3</v>
      </c>
      <c r="I2" t="s">
        <v>4</v>
      </c>
      <c r="J2" t="s">
        <v>5</v>
      </c>
      <c r="K2" t="s">
        <v>175</v>
      </c>
      <c r="M2" t="s">
        <v>2</v>
      </c>
      <c r="N2" t="s">
        <v>3</v>
      </c>
      <c r="O2" t="s">
        <v>4</v>
      </c>
      <c r="P2" t="s">
        <v>5</v>
      </c>
      <c r="Q2" t="s">
        <v>175</v>
      </c>
      <c r="S2" t="s">
        <v>2</v>
      </c>
      <c r="T2" t="s">
        <v>3</v>
      </c>
      <c r="U2" t="s">
        <v>4</v>
      </c>
      <c r="V2" t="s">
        <v>5</v>
      </c>
      <c r="W2" t="s">
        <v>175</v>
      </c>
      <c r="AY2" t="s">
        <v>192</v>
      </c>
      <c r="BA2" t="s">
        <v>193</v>
      </c>
    </row>
    <row r="3" spans="1:53" x14ac:dyDescent="0.25">
      <c r="A3">
        <v>20544</v>
      </c>
      <c r="B3">
        <v>32</v>
      </c>
      <c r="C3">
        <v>1</v>
      </c>
      <c r="D3">
        <v>8</v>
      </c>
      <c r="E3">
        <v>1.9690199999999998</v>
      </c>
      <c r="G3">
        <v>20544</v>
      </c>
      <c r="H3">
        <v>32</v>
      </c>
      <c r="I3">
        <v>1</v>
      </c>
      <c r="J3">
        <v>8</v>
      </c>
      <c r="K3">
        <v>2.12486</v>
      </c>
      <c r="M3">
        <v>10240</v>
      </c>
      <c r="N3">
        <v>32</v>
      </c>
      <c r="O3">
        <v>1</v>
      </c>
      <c r="P3">
        <v>2</v>
      </c>
      <c r="Q3">
        <v>0.61732999999999993</v>
      </c>
      <c r="S3">
        <v>10240</v>
      </c>
      <c r="T3">
        <v>32</v>
      </c>
      <c r="U3">
        <v>1</v>
      </c>
      <c r="V3">
        <v>2</v>
      </c>
      <c r="W3">
        <v>0.67843600000000004</v>
      </c>
      <c r="Y3">
        <v>20544</v>
      </c>
      <c r="Z3">
        <v>32</v>
      </c>
      <c r="AA3">
        <v>2</v>
      </c>
      <c r="AB3">
        <v>4</v>
      </c>
      <c r="AC3">
        <v>1.9772400000000001</v>
      </c>
      <c r="AE3">
        <v>20544</v>
      </c>
      <c r="AF3">
        <v>32</v>
      </c>
      <c r="AG3">
        <v>1</v>
      </c>
      <c r="AH3">
        <v>8</v>
      </c>
      <c r="AI3">
        <v>2.12486</v>
      </c>
      <c r="AK3">
        <v>10240</v>
      </c>
      <c r="AL3">
        <v>32</v>
      </c>
      <c r="AM3">
        <v>1</v>
      </c>
      <c r="AN3">
        <v>2</v>
      </c>
      <c r="AO3">
        <v>0.61732999999999993</v>
      </c>
      <c r="AQ3">
        <v>10240</v>
      </c>
      <c r="AR3">
        <v>32</v>
      </c>
      <c r="AS3">
        <v>1</v>
      </c>
      <c r="AT3">
        <v>2</v>
      </c>
      <c r="AU3">
        <v>0.67843600000000004</v>
      </c>
      <c r="AW3" t="s">
        <v>194</v>
      </c>
      <c r="AX3">
        <v>32</v>
      </c>
      <c r="AY3">
        <f>AC3/AO3</f>
        <v>3.202889864416115</v>
      </c>
      <c r="BA3">
        <f>AI3/AU3</f>
        <v>3.1319977123855454</v>
      </c>
    </row>
    <row r="4" spans="1:53" x14ac:dyDescent="0.25">
      <c r="A4">
        <v>20544</v>
      </c>
      <c r="B4">
        <v>64</v>
      </c>
      <c r="C4">
        <v>1</v>
      </c>
      <c r="D4">
        <v>8</v>
      </c>
      <c r="E4">
        <v>1.98838</v>
      </c>
      <c r="G4">
        <v>20544</v>
      </c>
      <c r="H4">
        <v>64</v>
      </c>
      <c r="I4">
        <v>1</v>
      </c>
      <c r="J4">
        <v>8</v>
      </c>
      <c r="K4">
        <v>2.2742799999999996</v>
      </c>
      <c r="M4">
        <v>10240</v>
      </c>
      <c r="N4">
        <v>64</v>
      </c>
      <c r="O4">
        <v>1</v>
      </c>
      <c r="P4">
        <v>2</v>
      </c>
      <c r="Q4">
        <v>0.62390999999999996</v>
      </c>
      <c r="S4">
        <v>10240</v>
      </c>
      <c r="T4">
        <v>64</v>
      </c>
      <c r="U4">
        <v>1</v>
      </c>
      <c r="V4">
        <v>2</v>
      </c>
      <c r="W4">
        <v>0.70856199999999991</v>
      </c>
      <c r="Y4">
        <v>20544</v>
      </c>
      <c r="Z4">
        <v>64</v>
      </c>
      <c r="AA4">
        <v>2</v>
      </c>
      <c r="AB4">
        <v>4</v>
      </c>
      <c r="AC4">
        <v>1.5726600000000002</v>
      </c>
      <c r="AE4">
        <v>20544</v>
      </c>
      <c r="AF4">
        <v>64</v>
      </c>
      <c r="AG4">
        <v>1</v>
      </c>
      <c r="AH4">
        <v>8</v>
      </c>
      <c r="AI4">
        <v>2.2742799999999996</v>
      </c>
      <c r="AK4">
        <v>10240</v>
      </c>
      <c r="AL4">
        <v>64</v>
      </c>
      <c r="AM4">
        <v>1</v>
      </c>
      <c r="AN4">
        <v>2</v>
      </c>
      <c r="AO4">
        <v>0.62390999999999996</v>
      </c>
      <c r="AQ4">
        <v>10240</v>
      </c>
      <c r="AR4">
        <v>64</v>
      </c>
      <c r="AS4">
        <v>1</v>
      </c>
      <c r="AT4">
        <v>2</v>
      </c>
      <c r="AU4">
        <v>0.70856199999999991</v>
      </c>
      <c r="AW4" t="s">
        <v>194</v>
      </c>
      <c r="AX4">
        <v>64</v>
      </c>
      <c r="AY4">
        <f t="shared" ref="AY4:AY26" si="0">AC4/AO4</f>
        <v>2.5206520171178539</v>
      </c>
      <c r="BA4">
        <f t="shared" ref="BA4:BA26" si="1">AI4/AU4</f>
        <v>3.2097120647169901</v>
      </c>
    </row>
    <row r="5" spans="1:53" x14ac:dyDescent="0.25">
      <c r="A5">
        <v>20544</v>
      </c>
      <c r="B5">
        <v>96</v>
      </c>
      <c r="C5">
        <v>1</v>
      </c>
      <c r="D5">
        <v>8</v>
      </c>
      <c r="E5">
        <v>2.0710000000000002</v>
      </c>
      <c r="G5">
        <v>20544</v>
      </c>
      <c r="H5">
        <v>96</v>
      </c>
      <c r="I5">
        <v>1</v>
      </c>
      <c r="J5">
        <v>8</v>
      </c>
      <c r="K5">
        <v>2.30742</v>
      </c>
      <c r="M5">
        <v>10240</v>
      </c>
      <c r="N5">
        <v>96</v>
      </c>
      <c r="O5">
        <v>1</v>
      </c>
      <c r="P5">
        <v>2</v>
      </c>
      <c r="Q5">
        <v>0.65985000000000005</v>
      </c>
      <c r="S5">
        <v>10240</v>
      </c>
      <c r="T5">
        <v>96</v>
      </c>
      <c r="U5">
        <v>1</v>
      </c>
      <c r="V5">
        <v>2</v>
      </c>
      <c r="W5">
        <v>0.72211799999999993</v>
      </c>
      <c r="Y5">
        <v>20544</v>
      </c>
      <c r="Z5">
        <v>96</v>
      </c>
      <c r="AA5">
        <v>2</v>
      </c>
      <c r="AB5">
        <v>4</v>
      </c>
      <c r="AC5">
        <v>2.0569800000000003</v>
      </c>
      <c r="AE5">
        <v>20544</v>
      </c>
      <c r="AF5">
        <v>96</v>
      </c>
      <c r="AG5">
        <v>1</v>
      </c>
      <c r="AH5">
        <v>8</v>
      </c>
      <c r="AI5">
        <v>2.30742</v>
      </c>
      <c r="AK5">
        <v>10240</v>
      </c>
      <c r="AL5">
        <v>96</v>
      </c>
      <c r="AM5">
        <v>1</v>
      </c>
      <c r="AN5">
        <v>2</v>
      </c>
      <c r="AO5">
        <v>0.65985000000000005</v>
      </c>
      <c r="AQ5">
        <v>10240</v>
      </c>
      <c r="AR5">
        <v>96</v>
      </c>
      <c r="AS5">
        <v>1</v>
      </c>
      <c r="AT5">
        <v>2</v>
      </c>
      <c r="AU5">
        <v>0.72211799999999993</v>
      </c>
      <c r="AW5" t="s">
        <v>194</v>
      </c>
      <c r="AX5">
        <v>96</v>
      </c>
      <c r="AY5">
        <f t="shared" si="0"/>
        <v>3.1173448511025232</v>
      </c>
      <c r="BA5">
        <f t="shared" si="1"/>
        <v>3.1953503444035465</v>
      </c>
    </row>
    <row r="6" spans="1:53" x14ac:dyDescent="0.25">
      <c r="A6">
        <v>20544</v>
      </c>
      <c r="B6">
        <v>128</v>
      </c>
      <c r="C6">
        <v>1</v>
      </c>
      <c r="D6">
        <v>8</v>
      </c>
      <c r="E6">
        <v>1.9901400000000002</v>
      </c>
      <c r="G6">
        <v>20544</v>
      </c>
      <c r="H6">
        <v>128</v>
      </c>
      <c r="I6">
        <v>1</v>
      </c>
      <c r="J6">
        <v>8</v>
      </c>
      <c r="K6">
        <v>2.2870599999999999</v>
      </c>
      <c r="M6">
        <v>10240</v>
      </c>
      <c r="N6">
        <v>128</v>
      </c>
      <c r="O6">
        <v>1</v>
      </c>
      <c r="P6">
        <v>2</v>
      </c>
      <c r="Q6">
        <v>0.63469799999999998</v>
      </c>
      <c r="S6">
        <v>10240</v>
      </c>
      <c r="T6">
        <v>128</v>
      </c>
      <c r="U6">
        <v>1</v>
      </c>
      <c r="V6">
        <v>2</v>
      </c>
      <c r="W6">
        <v>0.71455999999999997</v>
      </c>
      <c r="Y6">
        <v>20544</v>
      </c>
      <c r="Z6">
        <v>128</v>
      </c>
      <c r="AA6">
        <v>2</v>
      </c>
      <c r="AB6">
        <v>4</v>
      </c>
      <c r="AC6">
        <v>1.98902</v>
      </c>
      <c r="AE6">
        <v>20544</v>
      </c>
      <c r="AF6">
        <v>128</v>
      </c>
      <c r="AG6">
        <v>1</v>
      </c>
      <c r="AH6">
        <v>8</v>
      </c>
      <c r="AI6">
        <v>2.2870599999999999</v>
      </c>
      <c r="AK6">
        <v>10240</v>
      </c>
      <c r="AL6">
        <v>128</v>
      </c>
      <c r="AM6">
        <v>1</v>
      </c>
      <c r="AN6">
        <v>2</v>
      </c>
      <c r="AO6">
        <v>0.63469799999999998</v>
      </c>
      <c r="AQ6">
        <v>10240</v>
      </c>
      <c r="AR6">
        <v>128</v>
      </c>
      <c r="AS6">
        <v>1</v>
      </c>
      <c r="AT6">
        <v>2</v>
      </c>
      <c r="AU6">
        <v>0.71455999999999997</v>
      </c>
      <c r="AW6" t="s">
        <v>194</v>
      </c>
      <c r="AX6">
        <v>128</v>
      </c>
      <c r="AY6">
        <f t="shared" si="0"/>
        <v>3.1338053688525882</v>
      </c>
      <c r="BA6">
        <f t="shared" si="1"/>
        <v>3.2006549484997762</v>
      </c>
    </row>
    <row r="7" spans="1:53" x14ac:dyDescent="0.25">
      <c r="A7">
        <v>20544</v>
      </c>
      <c r="B7">
        <v>160</v>
      </c>
      <c r="C7">
        <v>1</v>
      </c>
      <c r="D7">
        <v>8</v>
      </c>
      <c r="E7">
        <v>1.6211199999999999</v>
      </c>
      <c r="G7">
        <v>20544</v>
      </c>
      <c r="H7">
        <v>160</v>
      </c>
      <c r="I7">
        <v>1</v>
      </c>
      <c r="J7">
        <v>8</v>
      </c>
      <c r="K7">
        <v>2.3207800000000001</v>
      </c>
      <c r="M7">
        <v>10240</v>
      </c>
      <c r="N7">
        <v>160</v>
      </c>
      <c r="O7">
        <v>1</v>
      </c>
      <c r="P7">
        <v>2</v>
      </c>
      <c r="Q7">
        <v>0.639598</v>
      </c>
      <c r="S7">
        <v>10240</v>
      </c>
      <c r="T7">
        <v>160</v>
      </c>
      <c r="U7">
        <v>1</v>
      </c>
      <c r="V7">
        <v>2</v>
      </c>
      <c r="W7">
        <v>0.71787000000000012</v>
      </c>
      <c r="Y7">
        <v>20544</v>
      </c>
      <c r="Z7">
        <v>160</v>
      </c>
      <c r="AA7">
        <v>2</v>
      </c>
      <c r="AB7">
        <v>4</v>
      </c>
      <c r="AC7">
        <v>2.0380399999999996</v>
      </c>
      <c r="AE7">
        <v>20544</v>
      </c>
      <c r="AF7">
        <v>160</v>
      </c>
      <c r="AG7">
        <v>1</v>
      </c>
      <c r="AH7">
        <v>8</v>
      </c>
      <c r="AI7">
        <v>2.3207800000000001</v>
      </c>
      <c r="AK7">
        <v>10240</v>
      </c>
      <c r="AL7">
        <v>160</v>
      </c>
      <c r="AM7">
        <v>1</v>
      </c>
      <c r="AN7">
        <v>2</v>
      </c>
      <c r="AO7">
        <v>0.639598</v>
      </c>
      <c r="AQ7">
        <v>10240</v>
      </c>
      <c r="AR7">
        <v>160</v>
      </c>
      <c r="AS7">
        <v>1</v>
      </c>
      <c r="AT7">
        <v>2</v>
      </c>
      <c r="AU7">
        <v>0.71787000000000012</v>
      </c>
      <c r="AW7" t="s">
        <v>194</v>
      </c>
      <c r="AX7">
        <v>160</v>
      </c>
      <c r="AY7">
        <f t="shared" si="0"/>
        <v>3.186438981985559</v>
      </c>
      <c r="BA7">
        <f t="shared" si="1"/>
        <v>3.2328694610444781</v>
      </c>
    </row>
    <row r="8" spans="1:53" x14ac:dyDescent="0.25">
      <c r="A8">
        <v>20544</v>
      </c>
      <c r="B8">
        <v>192</v>
      </c>
      <c r="C8">
        <v>1</v>
      </c>
      <c r="D8">
        <v>8</v>
      </c>
      <c r="E8">
        <v>0</v>
      </c>
      <c r="G8">
        <v>20544</v>
      </c>
      <c r="H8">
        <v>192</v>
      </c>
      <c r="I8">
        <v>1</v>
      </c>
      <c r="J8">
        <v>8</v>
      </c>
      <c r="K8">
        <v>0</v>
      </c>
      <c r="M8">
        <v>10240</v>
      </c>
      <c r="N8">
        <v>192</v>
      </c>
      <c r="O8">
        <v>1</v>
      </c>
      <c r="P8">
        <v>2</v>
      </c>
      <c r="Q8">
        <v>0.65877200000000002</v>
      </c>
      <c r="S8">
        <v>10240</v>
      </c>
      <c r="T8">
        <v>192</v>
      </c>
      <c r="U8">
        <v>1</v>
      </c>
      <c r="V8">
        <v>2</v>
      </c>
      <c r="W8">
        <v>0.71656799999999998</v>
      </c>
      <c r="Y8">
        <v>20544</v>
      </c>
      <c r="Z8">
        <v>192</v>
      </c>
      <c r="AA8">
        <v>2</v>
      </c>
      <c r="AB8">
        <v>4</v>
      </c>
      <c r="AC8">
        <v>1.9785200000000001</v>
      </c>
      <c r="AE8">
        <v>20544</v>
      </c>
      <c r="AF8">
        <v>192</v>
      </c>
      <c r="AG8">
        <v>1</v>
      </c>
      <c r="AH8">
        <v>8</v>
      </c>
      <c r="AI8">
        <v>0</v>
      </c>
      <c r="AK8">
        <v>10240</v>
      </c>
      <c r="AL8">
        <v>192</v>
      </c>
      <c r="AM8">
        <v>1</v>
      </c>
      <c r="AN8">
        <v>2</v>
      </c>
      <c r="AO8">
        <v>0.65877200000000002</v>
      </c>
      <c r="AQ8">
        <v>10240</v>
      </c>
      <c r="AR8">
        <v>192</v>
      </c>
      <c r="AS8">
        <v>1</v>
      </c>
      <c r="AT8">
        <v>2</v>
      </c>
      <c r="AU8">
        <v>0.71656799999999998</v>
      </c>
      <c r="AW8" t="s">
        <v>194</v>
      </c>
      <c r="AX8">
        <v>192</v>
      </c>
      <c r="AY8">
        <f t="shared" si="0"/>
        <v>3.0033456188180434</v>
      </c>
      <c r="BA8">
        <f t="shared" si="1"/>
        <v>0</v>
      </c>
    </row>
    <row r="9" spans="1:53" x14ac:dyDescent="0.25">
      <c r="A9">
        <v>20544</v>
      </c>
      <c r="B9">
        <v>224</v>
      </c>
      <c r="C9">
        <v>1</v>
      </c>
      <c r="D9">
        <v>8</v>
      </c>
      <c r="E9">
        <v>0</v>
      </c>
      <c r="G9">
        <v>20544</v>
      </c>
      <c r="H9">
        <v>224</v>
      </c>
      <c r="I9">
        <v>1</v>
      </c>
      <c r="J9">
        <v>8</v>
      </c>
      <c r="K9">
        <v>0</v>
      </c>
      <c r="M9">
        <v>10240</v>
      </c>
      <c r="N9">
        <v>224</v>
      </c>
      <c r="O9">
        <v>1</v>
      </c>
      <c r="P9">
        <v>2</v>
      </c>
      <c r="Q9">
        <v>0.65258000000000005</v>
      </c>
      <c r="S9">
        <v>10240</v>
      </c>
      <c r="T9">
        <v>224</v>
      </c>
      <c r="U9">
        <v>1</v>
      </c>
      <c r="V9">
        <v>2</v>
      </c>
      <c r="W9">
        <v>0.72249799999999997</v>
      </c>
      <c r="Y9">
        <v>20544</v>
      </c>
      <c r="Z9">
        <v>224</v>
      </c>
      <c r="AA9">
        <v>2</v>
      </c>
      <c r="AB9">
        <v>4</v>
      </c>
      <c r="AC9">
        <v>1.6191200000000001</v>
      </c>
      <c r="AE9">
        <v>20544</v>
      </c>
      <c r="AF9">
        <v>224</v>
      </c>
      <c r="AG9">
        <v>1</v>
      </c>
      <c r="AH9">
        <v>8</v>
      </c>
      <c r="AI9">
        <v>0</v>
      </c>
      <c r="AK9">
        <v>10240</v>
      </c>
      <c r="AL9">
        <v>224</v>
      </c>
      <c r="AM9">
        <v>1</v>
      </c>
      <c r="AN9">
        <v>2</v>
      </c>
      <c r="AO9">
        <v>0.65258000000000005</v>
      </c>
      <c r="AQ9">
        <v>10240</v>
      </c>
      <c r="AR9">
        <v>224</v>
      </c>
      <c r="AS9">
        <v>1</v>
      </c>
      <c r="AT9">
        <v>2</v>
      </c>
      <c r="AU9">
        <v>0.72249799999999997</v>
      </c>
      <c r="AW9" t="s">
        <v>194</v>
      </c>
      <c r="AX9">
        <v>224</v>
      </c>
      <c r="AY9">
        <f t="shared" si="0"/>
        <v>2.4811057648104446</v>
      </c>
      <c r="BA9">
        <f t="shared" si="1"/>
        <v>0</v>
      </c>
    </row>
    <row r="10" spans="1:53" x14ac:dyDescent="0.25">
      <c r="A10">
        <v>20544</v>
      </c>
      <c r="B10">
        <v>256</v>
      </c>
      <c r="C10">
        <v>1</v>
      </c>
      <c r="D10">
        <v>8</v>
      </c>
      <c r="E10">
        <v>0</v>
      </c>
      <c r="G10">
        <v>20544</v>
      </c>
      <c r="H10">
        <v>256</v>
      </c>
      <c r="I10">
        <v>1</v>
      </c>
      <c r="J10">
        <v>8</v>
      </c>
      <c r="K10">
        <v>0</v>
      </c>
      <c r="M10">
        <v>10240</v>
      </c>
      <c r="N10">
        <v>256</v>
      </c>
      <c r="O10">
        <v>1</v>
      </c>
      <c r="P10">
        <v>2</v>
      </c>
      <c r="Q10">
        <v>0.62835599999999991</v>
      </c>
      <c r="S10">
        <v>10240</v>
      </c>
      <c r="T10">
        <v>256</v>
      </c>
      <c r="U10">
        <v>1</v>
      </c>
      <c r="V10">
        <v>2</v>
      </c>
      <c r="W10">
        <v>0.71308800000000006</v>
      </c>
      <c r="Y10">
        <v>20544</v>
      </c>
      <c r="Z10">
        <v>256</v>
      </c>
      <c r="AA10">
        <v>2</v>
      </c>
      <c r="AB10">
        <v>4</v>
      </c>
      <c r="AC10">
        <v>1.95044</v>
      </c>
      <c r="AE10">
        <v>20544</v>
      </c>
      <c r="AF10">
        <v>256</v>
      </c>
      <c r="AG10">
        <v>1</v>
      </c>
      <c r="AH10">
        <v>8</v>
      </c>
      <c r="AI10">
        <v>0</v>
      </c>
      <c r="AK10">
        <v>10240</v>
      </c>
      <c r="AL10">
        <v>256</v>
      </c>
      <c r="AM10">
        <v>1</v>
      </c>
      <c r="AN10">
        <v>2</v>
      </c>
      <c r="AO10">
        <v>0.62835599999999991</v>
      </c>
      <c r="AQ10">
        <v>10240</v>
      </c>
      <c r="AR10">
        <v>256</v>
      </c>
      <c r="AS10">
        <v>1</v>
      </c>
      <c r="AT10">
        <v>2</v>
      </c>
      <c r="AU10">
        <v>0.71308800000000006</v>
      </c>
      <c r="AW10" t="s">
        <v>194</v>
      </c>
      <c r="AX10">
        <v>256</v>
      </c>
      <c r="AY10">
        <f t="shared" si="0"/>
        <v>3.1040365652591846</v>
      </c>
      <c r="BA10">
        <f t="shared" si="1"/>
        <v>0</v>
      </c>
    </row>
    <row r="11" spans="1:53" x14ac:dyDescent="0.25">
      <c r="A11">
        <v>19456</v>
      </c>
      <c r="B11">
        <v>32</v>
      </c>
      <c r="C11">
        <v>1</v>
      </c>
      <c r="D11">
        <v>8</v>
      </c>
      <c r="E11">
        <v>1.87564</v>
      </c>
      <c r="G11">
        <v>19456</v>
      </c>
      <c r="H11">
        <v>32</v>
      </c>
      <c r="I11">
        <v>1</v>
      </c>
      <c r="J11">
        <v>8</v>
      </c>
      <c r="K11">
        <v>2.0891000000000002</v>
      </c>
      <c r="M11">
        <v>9728</v>
      </c>
      <c r="N11">
        <v>32</v>
      </c>
      <c r="O11">
        <v>1</v>
      </c>
      <c r="P11">
        <v>2</v>
      </c>
      <c r="Q11">
        <v>0.61668800000000001</v>
      </c>
      <c r="S11">
        <v>9728</v>
      </c>
      <c r="T11">
        <v>32</v>
      </c>
      <c r="U11">
        <v>1</v>
      </c>
      <c r="V11">
        <v>2</v>
      </c>
      <c r="W11">
        <v>0.67175200000000002</v>
      </c>
      <c r="Y11">
        <v>19456</v>
      </c>
      <c r="Z11">
        <v>32</v>
      </c>
      <c r="AA11">
        <v>2</v>
      </c>
      <c r="AB11">
        <v>4</v>
      </c>
      <c r="AC11">
        <v>1.96984</v>
      </c>
      <c r="AE11">
        <v>19456</v>
      </c>
      <c r="AF11">
        <v>32</v>
      </c>
      <c r="AG11">
        <v>1</v>
      </c>
      <c r="AH11">
        <v>8</v>
      </c>
      <c r="AI11">
        <v>2.0891000000000002</v>
      </c>
      <c r="AK11">
        <v>9728</v>
      </c>
      <c r="AL11">
        <v>32</v>
      </c>
      <c r="AM11">
        <v>1</v>
      </c>
      <c r="AN11">
        <v>2</v>
      </c>
      <c r="AO11">
        <v>0.61668800000000001</v>
      </c>
      <c r="AQ11">
        <v>9728</v>
      </c>
      <c r="AR11">
        <v>32</v>
      </c>
      <c r="AS11">
        <v>1</v>
      </c>
      <c r="AT11">
        <v>2</v>
      </c>
      <c r="AU11">
        <v>0.67175200000000002</v>
      </c>
      <c r="AW11" t="s">
        <v>195</v>
      </c>
      <c r="AX11">
        <v>32</v>
      </c>
      <c r="AY11">
        <f t="shared" si="0"/>
        <v>3.1942246322289392</v>
      </c>
      <c r="BA11">
        <f t="shared" si="1"/>
        <v>3.10992747323417</v>
      </c>
    </row>
    <row r="12" spans="1:53" x14ac:dyDescent="0.25">
      <c r="A12">
        <v>19456</v>
      </c>
      <c r="B12">
        <v>64</v>
      </c>
      <c r="C12">
        <v>1</v>
      </c>
      <c r="D12">
        <v>8</v>
      </c>
      <c r="E12">
        <v>1.9695799999999999</v>
      </c>
      <c r="G12">
        <v>19456</v>
      </c>
      <c r="H12">
        <v>64</v>
      </c>
      <c r="I12">
        <v>1</v>
      </c>
      <c r="J12">
        <v>8</v>
      </c>
      <c r="K12">
        <v>2.25814</v>
      </c>
      <c r="M12">
        <v>9728</v>
      </c>
      <c r="N12">
        <v>64</v>
      </c>
      <c r="O12">
        <v>1</v>
      </c>
      <c r="P12">
        <v>2</v>
      </c>
      <c r="Q12">
        <v>0.62430400000000008</v>
      </c>
      <c r="S12">
        <v>9728</v>
      </c>
      <c r="T12">
        <v>64</v>
      </c>
      <c r="U12">
        <v>1</v>
      </c>
      <c r="V12">
        <v>2</v>
      </c>
      <c r="W12">
        <v>0.71590200000000004</v>
      </c>
      <c r="Y12">
        <v>19456</v>
      </c>
      <c r="Z12">
        <v>64</v>
      </c>
      <c r="AA12">
        <v>2</v>
      </c>
      <c r="AB12">
        <v>4</v>
      </c>
      <c r="AC12">
        <v>1.9548400000000001</v>
      </c>
      <c r="AE12">
        <v>19456</v>
      </c>
      <c r="AF12">
        <v>64</v>
      </c>
      <c r="AG12">
        <v>1</v>
      </c>
      <c r="AH12">
        <v>8</v>
      </c>
      <c r="AI12">
        <v>2.25814</v>
      </c>
      <c r="AK12">
        <v>9728</v>
      </c>
      <c r="AL12">
        <v>64</v>
      </c>
      <c r="AM12">
        <v>1</v>
      </c>
      <c r="AN12">
        <v>2</v>
      </c>
      <c r="AO12">
        <v>0.62430400000000008</v>
      </c>
      <c r="AQ12">
        <v>9728</v>
      </c>
      <c r="AR12">
        <v>64</v>
      </c>
      <c r="AS12">
        <v>1</v>
      </c>
      <c r="AT12">
        <v>2</v>
      </c>
      <c r="AU12">
        <v>0.71590200000000004</v>
      </c>
      <c r="AW12" t="s">
        <v>195</v>
      </c>
      <c r="AX12">
        <v>64</v>
      </c>
      <c r="AY12">
        <f t="shared" si="0"/>
        <v>3.1312309387734181</v>
      </c>
      <c r="BA12">
        <f t="shared" si="1"/>
        <v>3.1542585437671637</v>
      </c>
    </row>
    <row r="13" spans="1:53" x14ac:dyDescent="0.25">
      <c r="A13">
        <v>19456</v>
      </c>
      <c r="B13">
        <v>96</v>
      </c>
      <c r="C13">
        <v>1</v>
      </c>
      <c r="D13">
        <v>8</v>
      </c>
      <c r="E13">
        <v>2.0867000000000004</v>
      </c>
      <c r="G13">
        <v>19456</v>
      </c>
      <c r="H13">
        <v>96</v>
      </c>
      <c r="I13">
        <v>1</v>
      </c>
      <c r="J13">
        <v>8</v>
      </c>
      <c r="K13">
        <v>2.2834599999999998</v>
      </c>
      <c r="M13">
        <v>9728</v>
      </c>
      <c r="N13">
        <v>96</v>
      </c>
      <c r="O13">
        <v>1</v>
      </c>
      <c r="P13">
        <v>2</v>
      </c>
      <c r="Q13">
        <v>0.66076000000000001</v>
      </c>
      <c r="S13">
        <v>9728</v>
      </c>
      <c r="T13">
        <v>96</v>
      </c>
      <c r="U13">
        <v>1</v>
      </c>
      <c r="V13">
        <v>2</v>
      </c>
      <c r="W13">
        <v>0.72216800000000003</v>
      </c>
      <c r="Y13">
        <v>19456</v>
      </c>
      <c r="Z13">
        <v>96</v>
      </c>
      <c r="AA13">
        <v>2</v>
      </c>
      <c r="AB13">
        <v>4</v>
      </c>
      <c r="AC13">
        <v>2.0773600000000001</v>
      </c>
      <c r="AE13">
        <v>19456</v>
      </c>
      <c r="AF13">
        <v>96</v>
      </c>
      <c r="AG13">
        <v>1</v>
      </c>
      <c r="AH13">
        <v>8</v>
      </c>
      <c r="AI13">
        <v>2.2834599999999998</v>
      </c>
      <c r="AK13">
        <v>9728</v>
      </c>
      <c r="AL13">
        <v>96</v>
      </c>
      <c r="AM13">
        <v>1</v>
      </c>
      <c r="AN13">
        <v>2</v>
      </c>
      <c r="AO13">
        <v>0.66076000000000001</v>
      </c>
      <c r="AQ13">
        <v>9728</v>
      </c>
      <c r="AR13">
        <v>96</v>
      </c>
      <c r="AS13">
        <v>1</v>
      </c>
      <c r="AT13">
        <v>2</v>
      </c>
      <c r="AU13">
        <v>0.72216800000000003</v>
      </c>
      <c r="AW13" t="s">
        <v>195</v>
      </c>
      <c r="AX13">
        <v>96</v>
      </c>
      <c r="AY13">
        <f t="shared" si="0"/>
        <v>3.1438949088927903</v>
      </c>
      <c r="BA13">
        <f t="shared" si="1"/>
        <v>3.1619512357235431</v>
      </c>
    </row>
    <row r="14" spans="1:53" x14ac:dyDescent="0.25">
      <c r="A14">
        <v>19456</v>
      </c>
      <c r="B14">
        <v>128</v>
      </c>
      <c r="C14">
        <v>1</v>
      </c>
      <c r="D14">
        <v>8</v>
      </c>
      <c r="E14">
        <v>1.9929199999999998</v>
      </c>
      <c r="G14">
        <v>19456</v>
      </c>
      <c r="H14">
        <v>128</v>
      </c>
      <c r="I14">
        <v>1</v>
      </c>
      <c r="J14">
        <v>8</v>
      </c>
      <c r="K14">
        <v>2.2664</v>
      </c>
      <c r="M14">
        <v>9728</v>
      </c>
      <c r="N14">
        <v>128</v>
      </c>
      <c r="O14">
        <v>1</v>
      </c>
      <c r="P14">
        <v>2</v>
      </c>
      <c r="Q14">
        <v>0.63583999999999996</v>
      </c>
      <c r="S14">
        <v>9728</v>
      </c>
      <c r="T14">
        <v>128</v>
      </c>
      <c r="U14">
        <v>1</v>
      </c>
      <c r="V14">
        <v>2</v>
      </c>
      <c r="W14">
        <v>0.71286399999999994</v>
      </c>
      <c r="Y14">
        <v>19456</v>
      </c>
      <c r="Z14">
        <v>128</v>
      </c>
      <c r="AA14">
        <v>2</v>
      </c>
      <c r="AB14">
        <v>4</v>
      </c>
      <c r="AC14">
        <v>1.9913799999999999</v>
      </c>
      <c r="AE14">
        <v>19456</v>
      </c>
      <c r="AF14">
        <v>128</v>
      </c>
      <c r="AG14">
        <v>1</v>
      </c>
      <c r="AH14">
        <v>8</v>
      </c>
      <c r="AI14">
        <v>2.2664</v>
      </c>
      <c r="AK14">
        <v>9728</v>
      </c>
      <c r="AL14">
        <v>128</v>
      </c>
      <c r="AM14">
        <v>1</v>
      </c>
      <c r="AN14">
        <v>2</v>
      </c>
      <c r="AO14">
        <v>0.63583999999999996</v>
      </c>
      <c r="AQ14">
        <v>9728</v>
      </c>
      <c r="AR14">
        <v>128</v>
      </c>
      <c r="AS14">
        <v>1</v>
      </c>
      <c r="AT14">
        <v>2</v>
      </c>
      <c r="AU14">
        <v>0.71286399999999994</v>
      </c>
      <c r="AW14" t="s">
        <v>195</v>
      </c>
      <c r="AX14">
        <v>128</v>
      </c>
      <c r="AY14">
        <f t="shared" si="0"/>
        <v>3.1318885254151989</v>
      </c>
      <c r="BA14">
        <f t="shared" si="1"/>
        <v>3.1792880549445619</v>
      </c>
    </row>
    <row r="15" spans="1:53" x14ac:dyDescent="0.25">
      <c r="A15">
        <v>19456</v>
      </c>
      <c r="B15">
        <v>160</v>
      </c>
      <c r="C15">
        <v>1</v>
      </c>
      <c r="D15">
        <v>8</v>
      </c>
      <c r="E15">
        <v>2.0561600000000007</v>
      </c>
      <c r="G15">
        <v>19456</v>
      </c>
      <c r="H15">
        <v>160</v>
      </c>
      <c r="I15">
        <v>1</v>
      </c>
      <c r="J15">
        <v>8</v>
      </c>
      <c r="K15">
        <v>2.3001999999999998</v>
      </c>
      <c r="M15">
        <v>9728</v>
      </c>
      <c r="N15">
        <v>160</v>
      </c>
      <c r="O15">
        <v>1</v>
      </c>
      <c r="P15">
        <v>2</v>
      </c>
      <c r="Q15">
        <v>0.64873800000000004</v>
      </c>
      <c r="S15">
        <v>9728</v>
      </c>
      <c r="T15">
        <v>160</v>
      </c>
      <c r="U15">
        <v>1</v>
      </c>
      <c r="V15">
        <v>2</v>
      </c>
      <c r="W15">
        <v>0.71828599999999998</v>
      </c>
      <c r="Y15">
        <v>19456</v>
      </c>
      <c r="Z15">
        <v>160</v>
      </c>
      <c r="AA15">
        <v>2</v>
      </c>
      <c r="AB15">
        <v>4</v>
      </c>
      <c r="AC15">
        <v>2.0274200000000002</v>
      </c>
      <c r="AE15">
        <v>19456</v>
      </c>
      <c r="AF15">
        <v>160</v>
      </c>
      <c r="AG15">
        <v>1</v>
      </c>
      <c r="AH15">
        <v>8</v>
      </c>
      <c r="AI15">
        <v>2.3001999999999998</v>
      </c>
      <c r="AK15">
        <v>9728</v>
      </c>
      <c r="AL15">
        <v>160</v>
      </c>
      <c r="AM15">
        <v>1</v>
      </c>
      <c r="AN15">
        <v>2</v>
      </c>
      <c r="AO15">
        <v>0.64873800000000004</v>
      </c>
      <c r="AQ15">
        <v>9728</v>
      </c>
      <c r="AR15">
        <v>160</v>
      </c>
      <c r="AS15">
        <v>1</v>
      </c>
      <c r="AT15">
        <v>2</v>
      </c>
      <c r="AU15">
        <v>0.71828599999999998</v>
      </c>
      <c r="AW15" t="s">
        <v>195</v>
      </c>
      <c r="AX15">
        <v>160</v>
      </c>
      <c r="AY15">
        <f t="shared" si="0"/>
        <v>3.1251753404301894</v>
      </c>
      <c r="BA15">
        <f t="shared" si="1"/>
        <v>3.2023455837925283</v>
      </c>
    </row>
    <row r="16" spans="1:53" x14ac:dyDescent="0.25">
      <c r="A16">
        <v>19456</v>
      </c>
      <c r="B16">
        <v>192</v>
      </c>
      <c r="C16">
        <v>1</v>
      </c>
      <c r="D16">
        <v>8</v>
      </c>
      <c r="E16">
        <v>2.0668599999999997</v>
      </c>
      <c r="G16">
        <v>19456</v>
      </c>
      <c r="H16">
        <v>192</v>
      </c>
      <c r="I16">
        <v>1</v>
      </c>
      <c r="J16">
        <v>8</v>
      </c>
      <c r="K16">
        <v>2.3142400000000003</v>
      </c>
      <c r="M16">
        <v>9728</v>
      </c>
      <c r="N16">
        <v>192</v>
      </c>
      <c r="O16">
        <v>1</v>
      </c>
      <c r="P16">
        <v>2</v>
      </c>
      <c r="Q16">
        <v>0.65904000000000007</v>
      </c>
      <c r="S16">
        <v>9728</v>
      </c>
      <c r="T16">
        <v>192</v>
      </c>
      <c r="U16">
        <v>1</v>
      </c>
      <c r="V16">
        <v>2</v>
      </c>
      <c r="W16">
        <v>0.71927200000000002</v>
      </c>
      <c r="Y16">
        <v>19456</v>
      </c>
      <c r="Z16">
        <v>192</v>
      </c>
      <c r="AA16">
        <v>2</v>
      </c>
      <c r="AB16">
        <v>4</v>
      </c>
      <c r="AC16">
        <v>2.1006999999999998</v>
      </c>
      <c r="AE16">
        <v>19456</v>
      </c>
      <c r="AF16">
        <v>192</v>
      </c>
      <c r="AG16">
        <v>1</v>
      </c>
      <c r="AH16">
        <v>8</v>
      </c>
      <c r="AI16">
        <v>2.3142400000000003</v>
      </c>
      <c r="AK16">
        <v>9728</v>
      </c>
      <c r="AL16">
        <v>192</v>
      </c>
      <c r="AM16">
        <v>1</v>
      </c>
      <c r="AN16">
        <v>2</v>
      </c>
      <c r="AO16">
        <v>0.65904000000000007</v>
      </c>
      <c r="AQ16">
        <v>9728</v>
      </c>
      <c r="AR16">
        <v>192</v>
      </c>
      <c r="AS16">
        <v>1</v>
      </c>
      <c r="AT16">
        <v>2</v>
      </c>
      <c r="AU16">
        <v>0.71927200000000002</v>
      </c>
      <c r="AW16" t="s">
        <v>195</v>
      </c>
      <c r="AX16">
        <v>192</v>
      </c>
      <c r="AY16">
        <f t="shared" si="0"/>
        <v>3.1875151735858211</v>
      </c>
      <c r="BA16">
        <f t="shared" si="1"/>
        <v>3.2174754473968128</v>
      </c>
    </row>
    <row r="17" spans="1:53" x14ac:dyDescent="0.25">
      <c r="A17">
        <v>19456</v>
      </c>
      <c r="B17">
        <v>224</v>
      </c>
      <c r="C17">
        <v>1</v>
      </c>
      <c r="D17">
        <v>8</v>
      </c>
      <c r="E17">
        <v>2.0819199999999998</v>
      </c>
      <c r="G17">
        <v>19456</v>
      </c>
      <c r="H17">
        <v>224</v>
      </c>
      <c r="I17">
        <v>1</v>
      </c>
      <c r="J17">
        <v>8</v>
      </c>
      <c r="K17">
        <v>2.3454000000000002</v>
      </c>
      <c r="M17">
        <v>9728</v>
      </c>
      <c r="N17">
        <v>224</v>
      </c>
      <c r="O17">
        <v>1</v>
      </c>
      <c r="P17">
        <v>2</v>
      </c>
      <c r="Q17">
        <v>0.65214399999999995</v>
      </c>
      <c r="S17">
        <v>9728</v>
      </c>
      <c r="T17">
        <v>224</v>
      </c>
      <c r="U17">
        <v>1</v>
      </c>
      <c r="V17">
        <v>2</v>
      </c>
      <c r="W17">
        <v>0.71823199999999998</v>
      </c>
      <c r="Y17">
        <v>19456</v>
      </c>
      <c r="Z17">
        <v>224</v>
      </c>
      <c r="AA17">
        <v>2</v>
      </c>
      <c r="AB17">
        <v>4</v>
      </c>
      <c r="AC17">
        <v>2.0949599999999999</v>
      </c>
      <c r="AE17">
        <v>19456</v>
      </c>
      <c r="AF17">
        <v>224</v>
      </c>
      <c r="AG17">
        <v>1</v>
      </c>
      <c r="AH17">
        <v>8</v>
      </c>
      <c r="AI17">
        <v>2.3454000000000002</v>
      </c>
      <c r="AK17">
        <v>9728</v>
      </c>
      <c r="AL17">
        <v>224</v>
      </c>
      <c r="AM17">
        <v>1</v>
      </c>
      <c r="AN17">
        <v>2</v>
      </c>
      <c r="AO17">
        <v>0.65214399999999995</v>
      </c>
      <c r="AQ17">
        <v>9728</v>
      </c>
      <c r="AR17">
        <v>224</v>
      </c>
      <c r="AS17">
        <v>1</v>
      </c>
      <c r="AT17">
        <v>2</v>
      </c>
      <c r="AU17">
        <v>0.71823199999999998</v>
      </c>
      <c r="AW17" t="s">
        <v>195</v>
      </c>
      <c r="AX17">
        <v>224</v>
      </c>
      <c r="AY17">
        <f t="shared" si="0"/>
        <v>3.2124193429671974</v>
      </c>
      <c r="BA17">
        <f t="shared" si="1"/>
        <v>3.2655186624934562</v>
      </c>
    </row>
    <row r="18" spans="1:53" x14ac:dyDescent="0.25">
      <c r="A18">
        <v>19456</v>
      </c>
      <c r="B18">
        <v>256</v>
      </c>
      <c r="C18">
        <v>1</v>
      </c>
      <c r="D18">
        <v>8</v>
      </c>
      <c r="E18">
        <v>1.9952400000000001</v>
      </c>
      <c r="G18">
        <v>19456</v>
      </c>
      <c r="H18">
        <v>256</v>
      </c>
      <c r="I18">
        <v>1</v>
      </c>
      <c r="J18">
        <v>8</v>
      </c>
      <c r="K18">
        <v>2.3167</v>
      </c>
      <c r="M18">
        <v>9728</v>
      </c>
      <c r="N18">
        <v>256</v>
      </c>
      <c r="O18">
        <v>1</v>
      </c>
      <c r="P18">
        <v>2</v>
      </c>
      <c r="Q18">
        <v>0.62989399999999995</v>
      </c>
      <c r="S18">
        <v>9728</v>
      </c>
      <c r="T18">
        <v>256</v>
      </c>
      <c r="U18">
        <v>1</v>
      </c>
      <c r="V18">
        <v>2</v>
      </c>
      <c r="W18">
        <v>0.70344999999999991</v>
      </c>
      <c r="Y18">
        <v>19456</v>
      </c>
      <c r="Z18">
        <v>256</v>
      </c>
      <c r="AA18">
        <v>2</v>
      </c>
      <c r="AB18">
        <v>4</v>
      </c>
      <c r="AC18">
        <v>2.0363800000000003</v>
      </c>
      <c r="AE18">
        <v>19456</v>
      </c>
      <c r="AF18">
        <v>256</v>
      </c>
      <c r="AG18">
        <v>1</v>
      </c>
      <c r="AH18">
        <v>8</v>
      </c>
      <c r="AI18">
        <v>2.3167</v>
      </c>
      <c r="AK18">
        <v>9728</v>
      </c>
      <c r="AL18">
        <v>256</v>
      </c>
      <c r="AM18">
        <v>1</v>
      </c>
      <c r="AN18">
        <v>2</v>
      </c>
      <c r="AO18">
        <v>0.62989399999999995</v>
      </c>
      <c r="AQ18">
        <v>9728</v>
      </c>
      <c r="AR18">
        <v>256</v>
      </c>
      <c r="AS18">
        <v>1</v>
      </c>
      <c r="AT18">
        <v>2</v>
      </c>
      <c r="AU18">
        <v>0.70344999999999991</v>
      </c>
      <c r="AW18" t="s">
        <v>195</v>
      </c>
      <c r="AX18">
        <v>256</v>
      </c>
      <c r="AY18">
        <f t="shared" si="0"/>
        <v>3.2328931534512164</v>
      </c>
      <c r="BA18">
        <f t="shared" si="1"/>
        <v>3.2933399673040022</v>
      </c>
    </row>
    <row r="19" spans="1:53" x14ac:dyDescent="0.25">
      <c r="A19">
        <v>18368</v>
      </c>
      <c r="B19">
        <v>32</v>
      </c>
      <c r="C19">
        <v>1</v>
      </c>
      <c r="D19">
        <v>8</v>
      </c>
      <c r="E19">
        <v>1.9202600000000001</v>
      </c>
      <c r="G19">
        <v>18368</v>
      </c>
      <c r="H19">
        <v>32</v>
      </c>
      <c r="I19">
        <v>1</v>
      </c>
      <c r="J19">
        <v>8</v>
      </c>
      <c r="K19">
        <v>2.069</v>
      </c>
      <c r="M19">
        <v>9216</v>
      </c>
      <c r="N19">
        <v>32</v>
      </c>
      <c r="O19">
        <v>1</v>
      </c>
      <c r="P19">
        <v>2</v>
      </c>
      <c r="Q19">
        <v>0.61635200000000001</v>
      </c>
      <c r="S19">
        <v>9216</v>
      </c>
      <c r="T19">
        <v>32</v>
      </c>
      <c r="U19">
        <v>1</v>
      </c>
      <c r="V19">
        <v>2</v>
      </c>
      <c r="W19">
        <v>0.66597800000000007</v>
      </c>
      <c r="Y19">
        <v>18368</v>
      </c>
      <c r="Z19">
        <v>32</v>
      </c>
      <c r="AA19">
        <v>2</v>
      </c>
      <c r="AB19">
        <v>4</v>
      </c>
      <c r="AC19">
        <v>1.97662</v>
      </c>
      <c r="AE19">
        <v>18368</v>
      </c>
      <c r="AF19">
        <v>32</v>
      </c>
      <c r="AG19">
        <v>1</v>
      </c>
      <c r="AH19">
        <v>8</v>
      </c>
      <c r="AI19">
        <v>2.069</v>
      </c>
      <c r="AK19">
        <v>9216</v>
      </c>
      <c r="AL19">
        <v>32</v>
      </c>
      <c r="AM19">
        <v>1</v>
      </c>
      <c r="AN19">
        <v>2</v>
      </c>
      <c r="AO19">
        <v>0.61635200000000001</v>
      </c>
      <c r="AQ19">
        <v>9216</v>
      </c>
      <c r="AR19">
        <v>32</v>
      </c>
      <c r="AS19">
        <v>1</v>
      </c>
      <c r="AT19">
        <v>2</v>
      </c>
      <c r="AU19">
        <v>0.66597800000000007</v>
      </c>
      <c r="AW19" t="s">
        <v>196</v>
      </c>
      <c r="AX19">
        <v>32</v>
      </c>
      <c r="AY19">
        <f t="shared" si="0"/>
        <v>3.2069661492134367</v>
      </c>
      <c r="BA19">
        <f t="shared" si="1"/>
        <v>3.106709230635246</v>
      </c>
    </row>
    <row r="20" spans="1:53" x14ac:dyDescent="0.25">
      <c r="A20">
        <v>18368</v>
      </c>
      <c r="B20">
        <v>64</v>
      </c>
      <c r="C20">
        <v>1</v>
      </c>
      <c r="D20">
        <v>8</v>
      </c>
      <c r="E20">
        <v>1.9486599999999998</v>
      </c>
      <c r="G20">
        <v>18368</v>
      </c>
      <c r="H20">
        <v>64</v>
      </c>
      <c r="I20">
        <v>1</v>
      </c>
      <c r="J20">
        <v>8</v>
      </c>
      <c r="K20">
        <v>2.2087600000000003</v>
      </c>
      <c r="M20">
        <v>9216</v>
      </c>
      <c r="N20">
        <v>64</v>
      </c>
      <c r="O20">
        <v>1</v>
      </c>
      <c r="P20">
        <v>2</v>
      </c>
      <c r="Q20">
        <v>0.62129800000000002</v>
      </c>
      <c r="S20">
        <v>9216</v>
      </c>
      <c r="T20">
        <v>64</v>
      </c>
      <c r="U20">
        <v>1</v>
      </c>
      <c r="V20">
        <v>2</v>
      </c>
      <c r="W20">
        <v>0.70793800000000007</v>
      </c>
      <c r="Y20">
        <v>18368</v>
      </c>
      <c r="Z20">
        <v>64</v>
      </c>
      <c r="AA20">
        <v>2</v>
      </c>
      <c r="AB20">
        <v>4</v>
      </c>
      <c r="AC20">
        <v>2.00482</v>
      </c>
      <c r="AE20">
        <v>18368</v>
      </c>
      <c r="AF20">
        <v>64</v>
      </c>
      <c r="AG20">
        <v>1</v>
      </c>
      <c r="AH20">
        <v>8</v>
      </c>
      <c r="AI20">
        <v>2.2087600000000003</v>
      </c>
      <c r="AK20">
        <v>9216</v>
      </c>
      <c r="AL20">
        <v>64</v>
      </c>
      <c r="AM20">
        <v>1</v>
      </c>
      <c r="AN20">
        <v>2</v>
      </c>
      <c r="AO20">
        <v>0.62129800000000002</v>
      </c>
      <c r="AQ20">
        <v>9216</v>
      </c>
      <c r="AR20">
        <v>64</v>
      </c>
      <c r="AS20">
        <v>1</v>
      </c>
      <c r="AT20">
        <v>2</v>
      </c>
      <c r="AU20">
        <v>0.70793800000000007</v>
      </c>
      <c r="AW20" t="s">
        <v>196</v>
      </c>
      <c r="AX20">
        <v>64</v>
      </c>
      <c r="AY20">
        <f t="shared" si="0"/>
        <v>3.2268251306136508</v>
      </c>
      <c r="BA20">
        <f t="shared" si="1"/>
        <v>3.1199907336518171</v>
      </c>
    </row>
    <row r="21" spans="1:53" x14ac:dyDescent="0.25">
      <c r="A21">
        <v>18368</v>
      </c>
      <c r="B21">
        <v>96</v>
      </c>
      <c r="C21">
        <v>1</v>
      </c>
      <c r="D21">
        <v>8</v>
      </c>
      <c r="E21">
        <v>2.0628000000000002</v>
      </c>
      <c r="G21">
        <v>18368</v>
      </c>
      <c r="H21">
        <v>96</v>
      </c>
      <c r="I21">
        <v>1</v>
      </c>
      <c r="J21">
        <v>8</v>
      </c>
      <c r="K21">
        <v>2.2627600000000001</v>
      </c>
      <c r="M21">
        <v>9216</v>
      </c>
      <c r="N21">
        <v>96</v>
      </c>
      <c r="O21">
        <v>1</v>
      </c>
      <c r="P21">
        <v>2</v>
      </c>
      <c r="Q21">
        <v>0.64347600000000005</v>
      </c>
      <c r="S21">
        <v>9216</v>
      </c>
      <c r="T21">
        <v>96</v>
      </c>
      <c r="U21">
        <v>1</v>
      </c>
      <c r="V21">
        <v>2</v>
      </c>
      <c r="W21">
        <v>0.7139899999999999</v>
      </c>
      <c r="Y21">
        <v>18368</v>
      </c>
      <c r="Z21">
        <v>96</v>
      </c>
      <c r="AA21">
        <v>2</v>
      </c>
      <c r="AB21">
        <v>4</v>
      </c>
      <c r="AC21">
        <v>2.0272600000000001</v>
      </c>
      <c r="AE21">
        <v>18368</v>
      </c>
      <c r="AF21">
        <v>96</v>
      </c>
      <c r="AG21">
        <v>1</v>
      </c>
      <c r="AH21">
        <v>8</v>
      </c>
      <c r="AI21">
        <v>2.2627600000000001</v>
      </c>
      <c r="AK21">
        <v>9216</v>
      </c>
      <c r="AL21">
        <v>96</v>
      </c>
      <c r="AM21">
        <v>1</v>
      </c>
      <c r="AN21">
        <v>2</v>
      </c>
      <c r="AO21">
        <v>0.64347600000000005</v>
      </c>
      <c r="AQ21">
        <v>9216</v>
      </c>
      <c r="AR21">
        <v>96</v>
      </c>
      <c r="AS21">
        <v>1</v>
      </c>
      <c r="AT21">
        <v>2</v>
      </c>
      <c r="AU21">
        <v>0.7139899999999999</v>
      </c>
      <c r="AW21" t="s">
        <v>196</v>
      </c>
      <c r="AX21">
        <v>96</v>
      </c>
      <c r="AY21">
        <f t="shared" si="0"/>
        <v>3.1504826908851298</v>
      </c>
      <c r="BA21">
        <f t="shared" si="1"/>
        <v>3.1691760388800971</v>
      </c>
    </row>
    <row r="22" spans="1:53" x14ac:dyDescent="0.25">
      <c r="A22">
        <v>18368</v>
      </c>
      <c r="B22">
        <v>128</v>
      </c>
      <c r="C22">
        <v>1</v>
      </c>
      <c r="D22">
        <v>8</v>
      </c>
      <c r="E22">
        <v>1.98472</v>
      </c>
      <c r="G22">
        <v>18368</v>
      </c>
      <c r="H22">
        <v>128</v>
      </c>
      <c r="I22">
        <v>1</v>
      </c>
      <c r="J22">
        <v>8</v>
      </c>
      <c r="K22">
        <v>2.2298400000000003</v>
      </c>
      <c r="M22">
        <v>9216</v>
      </c>
      <c r="N22">
        <v>128</v>
      </c>
      <c r="O22">
        <v>1</v>
      </c>
      <c r="P22">
        <v>2</v>
      </c>
      <c r="Q22">
        <v>0.63427999999999995</v>
      </c>
      <c r="S22">
        <v>9216</v>
      </c>
      <c r="T22">
        <v>128</v>
      </c>
      <c r="U22">
        <v>1</v>
      </c>
      <c r="V22">
        <v>2</v>
      </c>
      <c r="W22">
        <v>0.70786199999999999</v>
      </c>
      <c r="Y22">
        <v>18368</v>
      </c>
      <c r="Z22">
        <v>128</v>
      </c>
      <c r="AA22">
        <v>2</v>
      </c>
      <c r="AB22">
        <v>4</v>
      </c>
      <c r="AC22">
        <v>1.9839399999999998</v>
      </c>
      <c r="AE22">
        <v>18368</v>
      </c>
      <c r="AF22">
        <v>128</v>
      </c>
      <c r="AG22">
        <v>1</v>
      </c>
      <c r="AH22">
        <v>8</v>
      </c>
      <c r="AI22">
        <v>2.2298400000000003</v>
      </c>
      <c r="AK22">
        <v>9216</v>
      </c>
      <c r="AL22">
        <v>128</v>
      </c>
      <c r="AM22">
        <v>1</v>
      </c>
      <c r="AN22">
        <v>2</v>
      </c>
      <c r="AO22">
        <v>0.63427999999999995</v>
      </c>
      <c r="AQ22">
        <v>9216</v>
      </c>
      <c r="AR22">
        <v>128</v>
      </c>
      <c r="AS22">
        <v>1</v>
      </c>
      <c r="AT22">
        <v>2</v>
      </c>
      <c r="AU22">
        <v>0.70786199999999999</v>
      </c>
      <c r="AW22" t="s">
        <v>196</v>
      </c>
      <c r="AX22">
        <v>128</v>
      </c>
      <c r="AY22">
        <f t="shared" si="0"/>
        <v>3.1278615122658762</v>
      </c>
      <c r="BA22">
        <f t="shared" si="1"/>
        <v>3.1501055290437971</v>
      </c>
    </row>
    <row r="23" spans="1:53" x14ac:dyDescent="0.25">
      <c r="A23">
        <v>18368</v>
      </c>
      <c r="B23">
        <v>160</v>
      </c>
      <c r="C23">
        <v>1</v>
      </c>
      <c r="D23">
        <v>8</v>
      </c>
      <c r="E23">
        <v>2.03484</v>
      </c>
      <c r="G23">
        <v>18368</v>
      </c>
      <c r="H23">
        <v>160</v>
      </c>
      <c r="I23">
        <v>1</v>
      </c>
      <c r="J23">
        <v>8</v>
      </c>
      <c r="K23">
        <v>2.26884</v>
      </c>
      <c r="M23">
        <v>9216</v>
      </c>
      <c r="N23">
        <v>160</v>
      </c>
      <c r="O23">
        <v>1</v>
      </c>
      <c r="P23">
        <v>2</v>
      </c>
      <c r="Q23">
        <v>0.653084</v>
      </c>
      <c r="S23">
        <v>9216</v>
      </c>
      <c r="T23">
        <v>160</v>
      </c>
      <c r="U23">
        <v>1</v>
      </c>
      <c r="V23">
        <v>2</v>
      </c>
      <c r="W23">
        <v>0.715194</v>
      </c>
      <c r="Y23">
        <v>18368</v>
      </c>
      <c r="Z23">
        <v>160</v>
      </c>
      <c r="AA23">
        <v>2</v>
      </c>
      <c r="AB23">
        <v>4</v>
      </c>
      <c r="AC23">
        <v>2.0204400000000002</v>
      </c>
      <c r="AE23">
        <v>18368</v>
      </c>
      <c r="AF23">
        <v>160</v>
      </c>
      <c r="AG23">
        <v>1</v>
      </c>
      <c r="AH23">
        <v>8</v>
      </c>
      <c r="AI23">
        <v>2.26884</v>
      </c>
      <c r="AK23">
        <v>9216</v>
      </c>
      <c r="AL23">
        <v>160</v>
      </c>
      <c r="AM23">
        <v>1</v>
      </c>
      <c r="AN23">
        <v>2</v>
      </c>
      <c r="AO23">
        <v>0.653084</v>
      </c>
      <c r="AQ23">
        <v>9216</v>
      </c>
      <c r="AR23">
        <v>160</v>
      </c>
      <c r="AS23">
        <v>1</v>
      </c>
      <c r="AT23">
        <v>2</v>
      </c>
      <c r="AU23">
        <v>0.715194</v>
      </c>
      <c r="AW23" t="s">
        <v>196</v>
      </c>
      <c r="AX23">
        <v>160</v>
      </c>
      <c r="AY23">
        <f t="shared" si="0"/>
        <v>3.0936908575313438</v>
      </c>
      <c r="BA23">
        <f t="shared" si="1"/>
        <v>3.1723420498494113</v>
      </c>
    </row>
    <row r="24" spans="1:53" x14ac:dyDescent="0.25">
      <c r="A24">
        <v>18368</v>
      </c>
      <c r="B24">
        <v>192</v>
      </c>
      <c r="C24">
        <v>1</v>
      </c>
      <c r="D24">
        <v>8</v>
      </c>
      <c r="E24">
        <v>2.0467000000000004</v>
      </c>
      <c r="G24">
        <v>18368</v>
      </c>
      <c r="H24">
        <v>192</v>
      </c>
      <c r="I24">
        <v>1</v>
      </c>
      <c r="J24">
        <v>8</v>
      </c>
      <c r="K24">
        <v>2.2977799999999999</v>
      </c>
      <c r="M24">
        <v>9216</v>
      </c>
      <c r="N24">
        <v>192</v>
      </c>
      <c r="O24">
        <v>1</v>
      </c>
      <c r="P24">
        <v>2</v>
      </c>
      <c r="Q24">
        <v>0.63951599999999997</v>
      </c>
      <c r="S24">
        <v>9216</v>
      </c>
      <c r="T24">
        <v>192</v>
      </c>
      <c r="U24">
        <v>1</v>
      </c>
      <c r="V24">
        <v>2</v>
      </c>
      <c r="W24">
        <v>0.71471200000000001</v>
      </c>
      <c r="Y24">
        <v>18368</v>
      </c>
      <c r="Z24">
        <v>192</v>
      </c>
      <c r="AA24">
        <v>2</v>
      </c>
      <c r="AB24">
        <v>4</v>
      </c>
      <c r="AC24">
        <v>2.0130600000000003</v>
      </c>
      <c r="AE24">
        <v>18368</v>
      </c>
      <c r="AF24">
        <v>192</v>
      </c>
      <c r="AG24">
        <v>1</v>
      </c>
      <c r="AH24">
        <v>8</v>
      </c>
      <c r="AI24">
        <v>2.2977799999999999</v>
      </c>
      <c r="AK24">
        <v>9216</v>
      </c>
      <c r="AL24">
        <v>192</v>
      </c>
      <c r="AM24">
        <v>1</v>
      </c>
      <c r="AN24">
        <v>2</v>
      </c>
      <c r="AO24">
        <v>0.63951599999999997</v>
      </c>
      <c r="AQ24">
        <v>9216</v>
      </c>
      <c r="AR24">
        <v>192</v>
      </c>
      <c r="AS24">
        <v>1</v>
      </c>
      <c r="AT24">
        <v>2</v>
      </c>
      <c r="AU24">
        <v>0.71471200000000001</v>
      </c>
      <c r="AW24" t="s">
        <v>196</v>
      </c>
      <c r="AX24">
        <v>192</v>
      </c>
      <c r="AY24">
        <f t="shared" si="0"/>
        <v>3.1477867637400792</v>
      </c>
      <c r="BA24">
        <f t="shared" si="1"/>
        <v>3.2149733039322133</v>
      </c>
    </row>
    <row r="25" spans="1:53" x14ac:dyDescent="0.25">
      <c r="A25">
        <v>18368</v>
      </c>
      <c r="B25">
        <v>224</v>
      </c>
      <c r="C25">
        <v>1</v>
      </c>
      <c r="D25">
        <v>8</v>
      </c>
      <c r="E25">
        <v>2.0196999999999998</v>
      </c>
      <c r="G25">
        <v>18368</v>
      </c>
      <c r="H25">
        <v>224</v>
      </c>
      <c r="I25">
        <v>1</v>
      </c>
      <c r="J25">
        <v>8</v>
      </c>
      <c r="K25">
        <v>2.3356599999999998</v>
      </c>
      <c r="M25">
        <v>9216</v>
      </c>
      <c r="N25">
        <v>224</v>
      </c>
      <c r="O25">
        <v>1</v>
      </c>
      <c r="P25">
        <v>2</v>
      </c>
      <c r="Q25">
        <v>0.64905799999999991</v>
      </c>
      <c r="S25">
        <v>9216</v>
      </c>
      <c r="T25">
        <v>224</v>
      </c>
      <c r="U25">
        <v>1</v>
      </c>
      <c r="V25">
        <v>2</v>
      </c>
      <c r="W25">
        <v>0.72235000000000005</v>
      </c>
      <c r="Y25">
        <v>18368</v>
      </c>
      <c r="Z25">
        <v>224</v>
      </c>
      <c r="AA25">
        <v>2</v>
      </c>
      <c r="AB25">
        <v>4</v>
      </c>
      <c r="AC25">
        <v>2.0421800000000001</v>
      </c>
      <c r="AE25">
        <v>18368</v>
      </c>
      <c r="AF25">
        <v>224</v>
      </c>
      <c r="AG25">
        <v>1</v>
      </c>
      <c r="AH25">
        <v>8</v>
      </c>
      <c r="AI25">
        <v>2.3356599999999998</v>
      </c>
      <c r="AK25">
        <v>9216</v>
      </c>
      <c r="AL25">
        <v>224</v>
      </c>
      <c r="AM25">
        <v>1</v>
      </c>
      <c r="AN25">
        <v>2</v>
      </c>
      <c r="AO25">
        <v>0.64905799999999991</v>
      </c>
      <c r="AQ25">
        <v>9216</v>
      </c>
      <c r="AR25">
        <v>224</v>
      </c>
      <c r="AS25">
        <v>1</v>
      </c>
      <c r="AT25">
        <v>2</v>
      </c>
      <c r="AU25">
        <v>0.72235000000000005</v>
      </c>
      <c r="AW25" t="s">
        <v>196</v>
      </c>
      <c r="AX25">
        <v>224</v>
      </c>
      <c r="AY25">
        <f t="shared" si="0"/>
        <v>3.1463752083789127</v>
      </c>
      <c r="BA25">
        <f t="shared" si="1"/>
        <v>3.2334187028448809</v>
      </c>
    </row>
    <row r="26" spans="1:53" x14ac:dyDescent="0.25">
      <c r="A26">
        <v>18368</v>
      </c>
      <c r="B26">
        <v>256</v>
      </c>
      <c r="C26">
        <v>1</v>
      </c>
      <c r="D26">
        <v>8</v>
      </c>
      <c r="E26">
        <v>2.0209999999999999</v>
      </c>
      <c r="G26">
        <v>18368</v>
      </c>
      <c r="H26">
        <v>256</v>
      </c>
      <c r="I26">
        <v>1</v>
      </c>
      <c r="J26">
        <v>8</v>
      </c>
      <c r="K26">
        <v>2.2600199999999999</v>
      </c>
      <c r="M26">
        <v>9216</v>
      </c>
      <c r="N26">
        <v>256</v>
      </c>
      <c r="O26">
        <v>1</v>
      </c>
      <c r="P26">
        <v>2</v>
      </c>
      <c r="Q26">
        <v>0.62730999999999992</v>
      </c>
      <c r="S26">
        <v>9216</v>
      </c>
      <c r="T26">
        <v>256</v>
      </c>
      <c r="U26">
        <v>1</v>
      </c>
      <c r="V26">
        <v>2</v>
      </c>
      <c r="W26">
        <v>0.70035599999999998</v>
      </c>
      <c r="Y26">
        <v>18368</v>
      </c>
      <c r="Z26">
        <v>256</v>
      </c>
      <c r="AA26">
        <v>2</v>
      </c>
      <c r="AB26">
        <v>4</v>
      </c>
      <c r="AC26">
        <v>1.98298</v>
      </c>
      <c r="AE26">
        <v>18368</v>
      </c>
      <c r="AF26">
        <v>256</v>
      </c>
      <c r="AG26">
        <v>1</v>
      </c>
      <c r="AH26">
        <v>8</v>
      </c>
      <c r="AI26">
        <v>2.2600199999999999</v>
      </c>
      <c r="AK26">
        <v>9216</v>
      </c>
      <c r="AL26">
        <v>256</v>
      </c>
      <c r="AM26">
        <v>1</v>
      </c>
      <c r="AN26">
        <v>2</v>
      </c>
      <c r="AO26">
        <v>0.62730999999999992</v>
      </c>
      <c r="AQ26">
        <v>9216</v>
      </c>
      <c r="AR26">
        <v>256</v>
      </c>
      <c r="AS26">
        <v>1</v>
      </c>
      <c r="AT26">
        <v>2</v>
      </c>
      <c r="AU26">
        <v>0.70035599999999998</v>
      </c>
      <c r="AW26" t="s">
        <v>196</v>
      </c>
      <c r="AX26">
        <v>256</v>
      </c>
      <c r="AY26">
        <f t="shared" si="0"/>
        <v>3.1610846312030736</v>
      </c>
      <c r="BA26">
        <f t="shared" si="1"/>
        <v>3.2269588609221596</v>
      </c>
    </row>
    <row r="27" spans="1:53" x14ac:dyDescent="0.25">
      <c r="A27">
        <v>20544</v>
      </c>
      <c r="B27">
        <v>32</v>
      </c>
      <c r="C27">
        <v>2</v>
      </c>
      <c r="D27">
        <v>4</v>
      </c>
      <c r="E27">
        <v>1.9772400000000001</v>
      </c>
      <c r="G27">
        <v>20544</v>
      </c>
      <c r="H27">
        <v>32</v>
      </c>
      <c r="I27">
        <v>2</v>
      </c>
      <c r="J27">
        <v>4</v>
      </c>
      <c r="K27">
        <v>2.1103200000000002</v>
      </c>
    </row>
    <row r="28" spans="1:53" x14ac:dyDescent="0.25">
      <c r="A28">
        <v>20544</v>
      </c>
      <c r="B28">
        <v>64</v>
      </c>
      <c r="C28">
        <v>2</v>
      </c>
      <c r="D28">
        <v>4</v>
      </c>
      <c r="E28">
        <v>1.5726600000000002</v>
      </c>
      <c r="G28">
        <v>20544</v>
      </c>
      <c r="H28">
        <v>64</v>
      </c>
      <c r="I28">
        <v>2</v>
      </c>
      <c r="J28">
        <v>4</v>
      </c>
      <c r="K28">
        <v>2.23576</v>
      </c>
    </row>
    <row r="29" spans="1:53" x14ac:dyDescent="0.25">
      <c r="A29">
        <v>20544</v>
      </c>
      <c r="B29">
        <v>96</v>
      </c>
      <c r="C29">
        <v>2</v>
      </c>
      <c r="D29">
        <v>4</v>
      </c>
      <c r="E29">
        <v>2.0569800000000003</v>
      </c>
      <c r="G29">
        <v>20544</v>
      </c>
      <c r="H29">
        <v>96</v>
      </c>
      <c r="I29">
        <v>2</v>
      </c>
      <c r="J29">
        <v>4</v>
      </c>
      <c r="K29">
        <v>2.2382199999999997</v>
      </c>
    </row>
    <row r="30" spans="1:53" x14ac:dyDescent="0.25">
      <c r="A30">
        <v>20544</v>
      </c>
      <c r="B30">
        <v>128</v>
      </c>
      <c r="C30">
        <v>2</v>
      </c>
      <c r="D30">
        <v>4</v>
      </c>
      <c r="E30">
        <v>1.98902</v>
      </c>
      <c r="G30">
        <v>20544</v>
      </c>
      <c r="H30">
        <v>128</v>
      </c>
      <c r="I30">
        <v>2</v>
      </c>
      <c r="J30">
        <v>4</v>
      </c>
      <c r="K30">
        <v>2.2837400000000003</v>
      </c>
    </row>
    <row r="31" spans="1:53" x14ac:dyDescent="0.25">
      <c r="A31">
        <v>20544</v>
      </c>
      <c r="B31">
        <v>160</v>
      </c>
      <c r="C31">
        <v>2</v>
      </c>
      <c r="D31">
        <v>4</v>
      </c>
      <c r="E31">
        <v>2.0380399999999996</v>
      </c>
      <c r="G31">
        <v>20544</v>
      </c>
      <c r="H31">
        <v>160</v>
      </c>
      <c r="I31">
        <v>2</v>
      </c>
      <c r="J31">
        <v>4</v>
      </c>
      <c r="K31">
        <v>2.23468</v>
      </c>
    </row>
    <row r="32" spans="1:53" x14ac:dyDescent="0.25">
      <c r="A32">
        <v>20544</v>
      </c>
      <c r="B32">
        <v>192</v>
      </c>
      <c r="C32">
        <v>2</v>
      </c>
      <c r="D32">
        <v>4</v>
      </c>
      <c r="E32">
        <v>1.9785200000000001</v>
      </c>
      <c r="G32">
        <v>20544</v>
      </c>
      <c r="H32">
        <v>192</v>
      </c>
      <c r="I32">
        <v>2</v>
      </c>
      <c r="J32">
        <v>4</v>
      </c>
      <c r="K32">
        <v>2.182175</v>
      </c>
    </row>
    <row r="33" spans="1:11" x14ac:dyDescent="0.25">
      <c r="A33">
        <v>20544</v>
      </c>
      <c r="B33">
        <v>224</v>
      </c>
      <c r="C33">
        <v>2</v>
      </c>
      <c r="D33">
        <v>4</v>
      </c>
      <c r="E33">
        <v>1.6191200000000001</v>
      </c>
      <c r="G33">
        <v>20544</v>
      </c>
      <c r="H33">
        <v>224</v>
      </c>
      <c r="I33">
        <v>2</v>
      </c>
      <c r="J33">
        <v>4</v>
      </c>
      <c r="K33">
        <v>2.2532800000000002</v>
      </c>
    </row>
    <row r="34" spans="1:11" x14ac:dyDescent="0.25">
      <c r="A34">
        <v>20544</v>
      </c>
      <c r="B34">
        <v>256</v>
      </c>
      <c r="C34">
        <v>2</v>
      </c>
      <c r="D34">
        <v>4</v>
      </c>
      <c r="E34">
        <v>1.95044</v>
      </c>
      <c r="G34">
        <v>20544</v>
      </c>
      <c r="H34">
        <v>256</v>
      </c>
      <c r="I34">
        <v>2</v>
      </c>
      <c r="J34">
        <v>4</v>
      </c>
      <c r="K34">
        <v>2.2409400000000002</v>
      </c>
    </row>
    <row r="35" spans="1:11" x14ac:dyDescent="0.25">
      <c r="A35">
        <v>19456</v>
      </c>
      <c r="B35">
        <v>32</v>
      </c>
      <c r="C35">
        <v>2</v>
      </c>
      <c r="D35">
        <v>4</v>
      </c>
      <c r="E35">
        <v>1.96984</v>
      </c>
      <c r="G35">
        <v>19456</v>
      </c>
      <c r="H35">
        <v>32</v>
      </c>
      <c r="I35">
        <v>2</v>
      </c>
      <c r="J35">
        <v>4</v>
      </c>
      <c r="K35">
        <v>2.07586</v>
      </c>
    </row>
    <row r="36" spans="1:11" x14ac:dyDescent="0.25">
      <c r="A36">
        <v>19456</v>
      </c>
      <c r="B36">
        <v>64</v>
      </c>
      <c r="C36">
        <v>2</v>
      </c>
      <c r="D36">
        <v>4</v>
      </c>
      <c r="E36">
        <v>1.9548400000000001</v>
      </c>
      <c r="G36">
        <v>19456</v>
      </c>
      <c r="H36">
        <v>64</v>
      </c>
      <c r="I36">
        <v>2</v>
      </c>
      <c r="J36">
        <v>4</v>
      </c>
      <c r="K36">
        <v>2.2509199999999998</v>
      </c>
    </row>
    <row r="37" spans="1:11" x14ac:dyDescent="0.25">
      <c r="A37">
        <v>19456</v>
      </c>
      <c r="B37">
        <v>96</v>
      </c>
      <c r="C37">
        <v>2</v>
      </c>
      <c r="D37">
        <v>4</v>
      </c>
      <c r="E37">
        <v>2.0773600000000001</v>
      </c>
      <c r="G37">
        <v>19456</v>
      </c>
      <c r="H37">
        <v>96</v>
      </c>
      <c r="I37">
        <v>2</v>
      </c>
      <c r="J37">
        <v>4</v>
      </c>
      <c r="K37">
        <v>2.2492200000000002</v>
      </c>
    </row>
    <row r="38" spans="1:11" x14ac:dyDescent="0.25">
      <c r="A38">
        <v>19456</v>
      </c>
      <c r="B38">
        <v>128</v>
      </c>
      <c r="C38">
        <v>2</v>
      </c>
      <c r="D38">
        <v>4</v>
      </c>
      <c r="E38">
        <v>1.9913799999999999</v>
      </c>
      <c r="G38">
        <v>19456</v>
      </c>
      <c r="H38">
        <v>128</v>
      </c>
      <c r="I38">
        <v>2</v>
      </c>
      <c r="J38">
        <v>4</v>
      </c>
      <c r="K38">
        <v>2.2254399999999999</v>
      </c>
    </row>
    <row r="39" spans="1:11" x14ac:dyDescent="0.25">
      <c r="A39">
        <v>19456</v>
      </c>
      <c r="B39">
        <v>160</v>
      </c>
      <c r="C39">
        <v>2</v>
      </c>
      <c r="D39">
        <v>4</v>
      </c>
      <c r="E39">
        <v>2.0274200000000002</v>
      </c>
      <c r="G39">
        <v>19456</v>
      </c>
      <c r="H39">
        <v>160</v>
      </c>
      <c r="I39">
        <v>2</v>
      </c>
      <c r="J39">
        <v>4</v>
      </c>
      <c r="K39">
        <v>2.2397599999999995</v>
      </c>
    </row>
    <row r="40" spans="1:11" x14ac:dyDescent="0.25">
      <c r="A40">
        <v>19456</v>
      </c>
      <c r="B40">
        <v>192</v>
      </c>
      <c r="C40">
        <v>2</v>
      </c>
      <c r="D40">
        <v>4</v>
      </c>
      <c r="E40">
        <v>2.1006999999999998</v>
      </c>
      <c r="G40">
        <v>19456</v>
      </c>
      <c r="H40">
        <v>192</v>
      </c>
      <c r="I40">
        <v>2</v>
      </c>
      <c r="J40">
        <v>4</v>
      </c>
      <c r="K40">
        <v>2.2215400000000001</v>
      </c>
    </row>
    <row r="41" spans="1:11" x14ac:dyDescent="0.25">
      <c r="A41">
        <v>19456</v>
      </c>
      <c r="B41">
        <v>224</v>
      </c>
      <c r="C41">
        <v>2</v>
      </c>
      <c r="D41">
        <v>4</v>
      </c>
      <c r="E41">
        <v>2.0949599999999999</v>
      </c>
      <c r="G41">
        <v>19456</v>
      </c>
      <c r="H41">
        <v>224</v>
      </c>
      <c r="I41">
        <v>2</v>
      </c>
      <c r="J41">
        <v>4</v>
      </c>
      <c r="K41">
        <v>2.2704800000000001</v>
      </c>
    </row>
    <row r="42" spans="1:11" x14ac:dyDescent="0.25">
      <c r="A42">
        <v>19456</v>
      </c>
      <c r="B42">
        <v>256</v>
      </c>
      <c r="C42">
        <v>2</v>
      </c>
      <c r="D42">
        <v>4</v>
      </c>
      <c r="E42">
        <v>2.0363800000000003</v>
      </c>
      <c r="G42">
        <v>19456</v>
      </c>
      <c r="H42">
        <v>256</v>
      </c>
      <c r="I42">
        <v>2</v>
      </c>
      <c r="J42">
        <v>4</v>
      </c>
      <c r="K42">
        <v>2.2493799999999995</v>
      </c>
    </row>
    <row r="43" spans="1:11" x14ac:dyDescent="0.25">
      <c r="A43">
        <v>18368</v>
      </c>
      <c r="B43">
        <v>32</v>
      </c>
      <c r="C43">
        <v>2</v>
      </c>
      <c r="D43">
        <v>4</v>
      </c>
      <c r="E43">
        <v>1.97662</v>
      </c>
      <c r="G43">
        <v>18368</v>
      </c>
      <c r="H43">
        <v>32</v>
      </c>
      <c r="I43">
        <v>2</v>
      </c>
      <c r="J43">
        <v>4</v>
      </c>
      <c r="K43">
        <v>2.0491199999999998</v>
      </c>
    </row>
    <row r="44" spans="1:11" x14ac:dyDescent="0.25">
      <c r="A44">
        <v>18368</v>
      </c>
      <c r="B44">
        <v>64</v>
      </c>
      <c r="C44">
        <v>2</v>
      </c>
      <c r="D44">
        <v>4</v>
      </c>
      <c r="E44">
        <v>2.00482</v>
      </c>
      <c r="G44">
        <v>18368</v>
      </c>
      <c r="H44">
        <v>64</v>
      </c>
      <c r="I44">
        <v>2</v>
      </c>
      <c r="J44">
        <v>4</v>
      </c>
      <c r="K44">
        <v>2.1818400000000002</v>
      </c>
    </row>
    <row r="45" spans="1:11" x14ac:dyDescent="0.25">
      <c r="A45">
        <v>18368</v>
      </c>
      <c r="B45">
        <v>96</v>
      </c>
      <c r="C45">
        <v>2</v>
      </c>
      <c r="D45">
        <v>4</v>
      </c>
      <c r="E45">
        <v>2.0272600000000001</v>
      </c>
      <c r="G45">
        <v>18368</v>
      </c>
      <c r="H45">
        <v>96</v>
      </c>
      <c r="I45">
        <v>2</v>
      </c>
      <c r="J45">
        <v>4</v>
      </c>
      <c r="K45">
        <v>2.19706</v>
      </c>
    </row>
    <row r="46" spans="1:11" x14ac:dyDescent="0.25">
      <c r="A46">
        <v>18368</v>
      </c>
      <c r="B46">
        <v>128</v>
      </c>
      <c r="C46">
        <v>2</v>
      </c>
      <c r="D46">
        <v>4</v>
      </c>
      <c r="E46">
        <v>1.9839399999999998</v>
      </c>
      <c r="G46">
        <v>18368</v>
      </c>
      <c r="H46">
        <v>128</v>
      </c>
      <c r="I46">
        <v>2</v>
      </c>
      <c r="J46">
        <v>4</v>
      </c>
      <c r="K46">
        <v>2.22418</v>
      </c>
    </row>
    <row r="47" spans="1:11" x14ac:dyDescent="0.25">
      <c r="A47">
        <v>18368</v>
      </c>
      <c r="B47">
        <v>160</v>
      </c>
      <c r="C47">
        <v>2</v>
      </c>
      <c r="D47">
        <v>4</v>
      </c>
      <c r="E47">
        <v>2.0204400000000002</v>
      </c>
      <c r="G47">
        <v>18368</v>
      </c>
      <c r="H47">
        <v>160</v>
      </c>
      <c r="I47">
        <v>2</v>
      </c>
      <c r="J47">
        <v>4</v>
      </c>
      <c r="K47">
        <v>2.1960800000000003</v>
      </c>
    </row>
    <row r="48" spans="1:11" x14ac:dyDescent="0.25">
      <c r="A48">
        <v>18368</v>
      </c>
      <c r="B48">
        <v>192</v>
      </c>
      <c r="C48">
        <v>2</v>
      </c>
      <c r="D48">
        <v>4</v>
      </c>
      <c r="E48">
        <v>2.0130600000000003</v>
      </c>
      <c r="G48">
        <v>18368</v>
      </c>
      <c r="H48">
        <v>192</v>
      </c>
      <c r="I48">
        <v>2</v>
      </c>
      <c r="J48">
        <v>4</v>
      </c>
      <c r="K48">
        <v>2.2356199999999999</v>
      </c>
    </row>
    <row r="49" spans="1:11" x14ac:dyDescent="0.25">
      <c r="A49">
        <v>18368</v>
      </c>
      <c r="B49">
        <v>224</v>
      </c>
      <c r="C49">
        <v>2</v>
      </c>
      <c r="D49">
        <v>4</v>
      </c>
      <c r="E49">
        <v>2.0421800000000001</v>
      </c>
      <c r="G49">
        <v>18368</v>
      </c>
      <c r="H49">
        <v>224</v>
      </c>
      <c r="I49">
        <v>2</v>
      </c>
      <c r="J49">
        <v>4</v>
      </c>
      <c r="K49">
        <v>2.2432600000000003</v>
      </c>
    </row>
    <row r="50" spans="1:11" x14ac:dyDescent="0.25">
      <c r="A50">
        <v>18368</v>
      </c>
      <c r="B50">
        <v>256</v>
      </c>
      <c r="C50">
        <v>2</v>
      </c>
      <c r="D50">
        <v>4</v>
      </c>
      <c r="E50">
        <v>1.98298</v>
      </c>
      <c r="G50">
        <v>18368</v>
      </c>
      <c r="H50">
        <v>256</v>
      </c>
      <c r="I50">
        <v>2</v>
      </c>
      <c r="J50">
        <v>4</v>
      </c>
      <c r="K50">
        <v>2.1742599999999999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10</vt:i4>
      </vt:variant>
    </vt:vector>
  </HeadingPairs>
  <TitlesOfParts>
    <vt:vector size="10" baseType="lpstr">
      <vt:lpstr>4 - node</vt:lpstr>
      <vt:lpstr>Arch details</vt:lpstr>
      <vt:lpstr>HPL_Builds</vt:lpstr>
      <vt:lpstr>ATLAS builds</vt:lpstr>
      <vt:lpstr>HPL 4 nodes, builds</vt:lpstr>
      <vt:lpstr>1 node, params, RAW</vt:lpstr>
      <vt:lpstr>4 node, params, RAW</vt:lpstr>
      <vt:lpstr>1 node, params</vt:lpstr>
      <vt:lpstr>4 node, params</vt:lpstr>
      <vt:lpstr>Scalability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Zdravko Krpić</dc:creator>
  <cp:keywords/>
  <dc:description/>
  <cp:lastModifiedBy>Zdravko Krpić</cp:lastModifiedBy>
  <cp:revision/>
  <dcterms:created xsi:type="dcterms:W3CDTF">2022-06-10T13:31:47Z</dcterms:created>
  <dcterms:modified xsi:type="dcterms:W3CDTF">2025-04-16T07:22:34Z</dcterms:modified>
  <cp:category/>
  <cp:contentStatus/>
</cp:coreProperties>
</file>