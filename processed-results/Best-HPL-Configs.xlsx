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etfoshr-my.sharepoint.com/personal/krpic_etfos_hr/Documents/Istraživanje/1. SBCC/Results2/"/>
    </mc:Choice>
  </mc:AlternateContent>
  <xr:revisionPtr revIDLastSave="384" documentId="8_{91A99F39-2755-AB46-A5A0-78625CEB8CF6}" xr6:coauthVersionLast="47" xr6:coauthVersionMax="47" xr10:uidLastSave="{B15E2E27-44CD-4DDF-9DA8-A486DE062996}"/>
  <bookViews>
    <workbookView xWindow="38295" yWindow="0" windowWidth="38610" windowHeight="20985" activeTab="2" xr2:uid="{02D64A7E-9984-C847-8660-A73AD69FE463}"/>
  </bookViews>
  <sheets>
    <sheet name="Sheet1" sheetId="1" r:id="rId1"/>
    <sheet name="Best HPL numbers" sheetId="2" r:id="rId2"/>
    <sheet name="Related Work Comparis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3" l="1"/>
  <c r="J15" i="3"/>
  <c r="J14" i="3"/>
  <c r="J13" i="3"/>
  <c r="J12" i="3"/>
  <c r="J11" i="3"/>
  <c r="J9" i="3"/>
  <c r="J8" i="3"/>
  <c r="J7" i="3"/>
  <c r="J6" i="3"/>
  <c r="J5" i="3"/>
  <c r="J4" i="3"/>
  <c r="J3" i="3"/>
  <c r="J2" i="3"/>
</calcChain>
</file>

<file path=xl/sharedStrings.xml><?xml version="1.0" encoding="utf-8"?>
<sst xmlns="http://schemas.openxmlformats.org/spreadsheetml/2006/main" count="207" uniqueCount="45">
  <si>
    <t>ATLAS</t>
  </si>
  <si>
    <t>Single node</t>
  </si>
  <si>
    <t>4-node</t>
  </si>
  <si>
    <t>Platform</t>
  </si>
  <si>
    <t>N</t>
  </si>
  <si>
    <t>NB</t>
  </si>
  <si>
    <t>P</t>
  </si>
  <si>
    <t>Q</t>
  </si>
  <si>
    <t>Raspi 1B</t>
  </si>
  <si>
    <t>arch-tune-flags</t>
  </si>
  <si>
    <t>Raspi 3B</t>
  </si>
  <si>
    <t>noarch-flags</t>
  </si>
  <si>
    <t>Raspi 4B</t>
  </si>
  <si>
    <t>cpu-tune-overr-flags</t>
  </si>
  <si>
    <t>Raspi 5</t>
  </si>
  <si>
    <t>atlarch-all-spec</t>
  </si>
  <si>
    <t>Odroid MC1 - small</t>
  </si>
  <si>
    <t>small</t>
  </si>
  <si>
    <t>Odroid MC1 - big</t>
  </si>
  <si>
    <t>big</t>
  </si>
  <si>
    <t>Odroid U3</t>
  </si>
  <si>
    <t>Cuebieboard2</t>
  </si>
  <si>
    <t>atlarch-flags</t>
  </si>
  <si>
    <t>OpenBLAS</t>
  </si>
  <si>
    <t>Gflop/s</t>
  </si>
  <si>
    <t>BLAS</t>
  </si>
  <si>
    <t>Num of nodes</t>
  </si>
  <si>
    <t>Best Gflop/s in related work</t>
  </si>
  <si>
    <t>zotero reference</t>
  </si>
  <si>
    <t>Note</t>
  </si>
  <si>
    <t>Difference</t>
  </si>
  <si>
    <t>baunPerformanceEnergyEfficiencyAspects2016, baunMobileClustersSingle2016</t>
  </si>
  <si>
    <t>cloutierDesignAnalysis32bit2014</t>
  </si>
  <si>
    <t>niklInvestigationARMv7Intel2017</t>
  </si>
  <si>
    <t>cloutierRaspberryPiCluster2016</t>
  </si>
  <si>
    <t>liuPerformanceEvaluationAnalysis2024</t>
  </si>
  <si>
    <t>GFLOPSVariousMachines</t>
  </si>
  <si>
    <t>krpicEvaluatingPerformanceSBC2022</t>
  </si>
  <si>
    <t>maqboolEvaluatingARMHPC2015</t>
  </si>
  <si>
    <t>The authors used Odroid-X (Same CPU as U3, but lower clock, and half RAM)</t>
  </si>
  <si>
    <t>Big Orange Bramble (BOB)_documentation</t>
  </si>
  <si>
    <t>They used SSD instead of MicroSD (which showed higher performance). Also, duffyRaspberryPi42022 reports up to 16,299 using BLIS with OpenMP and other HPL parameters tuned</t>
  </si>
  <si>
    <t>They used SSD instead of MicroSD (which showed higher performance). Also, duffyRaspberryPi42022 reports up to 54,268 using BLIS with OpenMP and other HPL parameters tuned (WR01R2C8)</t>
  </si>
  <si>
    <t>N/A</t>
  </si>
  <si>
    <t>Other HPL parameters tuned (WR02R2L2)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</si>
</sst>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2" x14ac:knownFonts="1">
    <font>
      <sz val="12"/>
      <color theme="1"/>
      <name val="Aptos Narrow"/>
      <family val="2"/>
      <scheme val="minor"/>
    </font>
    <font>
      <i/>
      <sz val="12"/>
      <color rgb="FF7F7F7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49" fontId="0" fillId="0" borderId="0" xfId="0" applyNumberFormat="1"/>
    <xf numFmtId="1" fontId="0" fillId="0" borderId="0" xfId="0" applyNumberFormat="1"/>
    <xf numFmtId="166" fontId="0" fillId="0" borderId="0" xfId="0" applyNumberFormat="1"/>
    <xf numFmtId="166" fontId="0" fillId="0" borderId="0" xfId="0" applyNumberFormat="1" applyBorder="1"/>
  </cellXfs>
  <cellStyles count="2">
    <cellStyle name="Normalno" xfId="0" builtinId="0"/>
    <cellStyle name="Tekst objašnjenja" xfId="1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28668-48F0-4141-BC8E-34249F7CEB61}">
  <dimension ref="A1:Z25"/>
  <sheetViews>
    <sheetView workbookViewId="0">
      <selection activeCell="F11" sqref="F11"/>
    </sheetView>
  </sheetViews>
  <sheetFormatPr defaultColWidth="11" defaultRowHeight="15.75" x14ac:dyDescent="0.25"/>
  <cols>
    <col min="1" max="1" width="16.625" bestFit="1" customWidth="1"/>
    <col min="8" max="8" width="16.625" bestFit="1" customWidth="1"/>
  </cols>
  <sheetData>
    <row r="1" spans="1:26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26" x14ac:dyDescent="0.25">
      <c r="A2" s="14" t="s">
        <v>1</v>
      </c>
      <c r="B2" s="15"/>
      <c r="C2" s="15"/>
      <c r="D2" s="15"/>
      <c r="E2" s="15"/>
      <c r="F2" s="16"/>
      <c r="G2" s="11"/>
      <c r="H2" s="7" t="s">
        <v>2</v>
      </c>
      <c r="I2" s="7"/>
      <c r="J2" s="7"/>
      <c r="K2" s="7"/>
      <c r="L2" s="7"/>
      <c r="M2" s="7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1" t="s">
        <v>3</v>
      </c>
      <c r="B3" s="1" t="s">
        <v>4</v>
      </c>
      <c r="C3" s="1" t="s">
        <v>5</v>
      </c>
      <c r="D3" s="1" t="s">
        <v>6</v>
      </c>
      <c r="E3" s="2" t="s">
        <v>7</v>
      </c>
      <c r="F3" s="1" t="s">
        <v>24</v>
      </c>
      <c r="G3" s="12"/>
      <c r="H3" s="3" t="s">
        <v>3</v>
      </c>
      <c r="I3" s="1" t="s">
        <v>4</v>
      </c>
      <c r="J3" s="1" t="s">
        <v>5</v>
      </c>
      <c r="K3" s="1" t="s">
        <v>6</v>
      </c>
      <c r="L3" s="2" t="s">
        <v>7</v>
      </c>
      <c r="M3" s="1" t="s">
        <v>24</v>
      </c>
      <c r="Q3" s="8">
        <v>1.0354000000000001</v>
      </c>
      <c r="R3" s="8">
        <v>2.1006999999999998</v>
      </c>
      <c r="S3" s="8">
        <v>12.012</v>
      </c>
      <c r="T3" s="8">
        <v>13.460800000000001</v>
      </c>
      <c r="U3" s="8">
        <v>8.9995999999999992</v>
      </c>
      <c r="V3" s="8">
        <v>38.205199999999998</v>
      </c>
      <c r="W3" s="8">
        <v>41.3902</v>
      </c>
      <c r="X3" s="8">
        <v>131.19399999999999</v>
      </c>
      <c r="Y3" s="8"/>
      <c r="Z3" s="8"/>
    </row>
    <row r="4" spans="1:26" x14ac:dyDescent="0.25">
      <c r="A4" s="1" t="s">
        <v>8</v>
      </c>
      <c r="B4" s="1">
        <v>6720</v>
      </c>
      <c r="C4" s="1">
        <v>64</v>
      </c>
      <c r="D4" s="1">
        <v>1</v>
      </c>
      <c r="E4" s="2">
        <v>1</v>
      </c>
      <c r="F4" s="1">
        <v>0.28684999999999999</v>
      </c>
      <c r="G4" s="12"/>
      <c r="H4" s="3" t="s">
        <v>8</v>
      </c>
      <c r="I4" s="1">
        <v>13440</v>
      </c>
      <c r="J4" s="1">
        <v>64</v>
      </c>
      <c r="K4" s="1">
        <v>2</v>
      </c>
      <c r="L4" s="2">
        <v>2</v>
      </c>
      <c r="M4" s="1">
        <v>1.0354000000000001</v>
      </c>
      <c r="N4" t="s">
        <v>9</v>
      </c>
      <c r="Q4" s="8">
        <v>0.83977000000000002</v>
      </c>
      <c r="R4" s="8">
        <v>2.3454000000000002</v>
      </c>
      <c r="S4" s="8">
        <v>13.911</v>
      </c>
      <c r="T4" s="8">
        <v>13.102</v>
      </c>
      <c r="U4" s="8">
        <v>10.045</v>
      </c>
      <c r="V4" s="8">
        <v>41.718400000000003</v>
      </c>
      <c r="W4" s="8">
        <v>45.218400000000003</v>
      </c>
      <c r="X4" s="8">
        <v>150.334</v>
      </c>
      <c r="Y4" s="8"/>
      <c r="Z4" s="8"/>
    </row>
    <row r="5" spans="1:26" x14ac:dyDescent="0.25">
      <c r="A5" s="1" t="s">
        <v>10</v>
      </c>
      <c r="B5" s="1">
        <v>9760</v>
      </c>
      <c r="C5" s="1">
        <v>160</v>
      </c>
      <c r="D5" s="1">
        <v>1</v>
      </c>
      <c r="E5" s="2">
        <v>4</v>
      </c>
      <c r="F5" s="1">
        <v>4.9805599999999997</v>
      </c>
      <c r="G5" s="12"/>
      <c r="H5" s="3" t="s">
        <v>10</v>
      </c>
      <c r="I5" s="1">
        <v>19520</v>
      </c>
      <c r="J5" s="1">
        <v>160</v>
      </c>
      <c r="K5" s="1">
        <v>2</v>
      </c>
      <c r="L5" s="2">
        <v>8</v>
      </c>
      <c r="M5" s="1">
        <v>12.012</v>
      </c>
      <c r="N5" t="s">
        <v>11</v>
      </c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x14ac:dyDescent="0.25">
      <c r="A6" s="1" t="s">
        <v>12</v>
      </c>
      <c r="B6" s="1">
        <v>19040</v>
      </c>
      <c r="C6" s="1">
        <v>160</v>
      </c>
      <c r="D6" s="1">
        <v>1</v>
      </c>
      <c r="E6" s="2">
        <v>4</v>
      </c>
      <c r="F6" s="1">
        <v>11.673</v>
      </c>
      <c r="G6" s="12"/>
      <c r="H6" s="3" t="s">
        <v>12</v>
      </c>
      <c r="I6" s="1">
        <v>40160</v>
      </c>
      <c r="J6" s="1">
        <v>160</v>
      </c>
      <c r="K6" s="1">
        <v>4</v>
      </c>
      <c r="L6" s="2">
        <v>4</v>
      </c>
      <c r="M6" s="1">
        <v>41.3902</v>
      </c>
      <c r="N6" t="s">
        <v>13</v>
      </c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x14ac:dyDescent="0.25">
      <c r="A7" s="1" t="s">
        <v>14</v>
      </c>
      <c r="B7" s="1">
        <v>26080</v>
      </c>
      <c r="C7" s="1">
        <v>160</v>
      </c>
      <c r="D7" s="1">
        <v>1</v>
      </c>
      <c r="E7" s="2">
        <v>4</v>
      </c>
      <c r="F7" s="1">
        <v>36.402200000000001</v>
      </c>
      <c r="G7" s="13"/>
      <c r="H7" s="3" t="s">
        <v>14</v>
      </c>
      <c r="I7" s="1">
        <v>52000</v>
      </c>
      <c r="J7" s="1">
        <v>160</v>
      </c>
      <c r="K7" s="1">
        <v>2</v>
      </c>
      <c r="L7" s="2">
        <v>8</v>
      </c>
      <c r="M7" s="1">
        <v>131.19399999999999</v>
      </c>
      <c r="N7" t="s">
        <v>15</v>
      </c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x14ac:dyDescent="0.25">
      <c r="A8" s="4" t="s">
        <v>16</v>
      </c>
      <c r="B8" s="4">
        <v>14560</v>
      </c>
      <c r="C8" s="4">
        <v>112</v>
      </c>
      <c r="D8" s="4">
        <v>2</v>
      </c>
      <c r="E8" s="5">
        <v>2</v>
      </c>
      <c r="F8" s="1">
        <v>2.3348200000000001</v>
      </c>
      <c r="G8" s="12"/>
      <c r="H8" s="6" t="s">
        <v>16</v>
      </c>
      <c r="I8" s="4">
        <v>28992</v>
      </c>
      <c r="J8" s="4">
        <v>96</v>
      </c>
      <c r="K8" s="4">
        <v>2</v>
      </c>
      <c r="L8" s="5">
        <v>8</v>
      </c>
      <c r="M8" s="1">
        <v>8.9995999999999992</v>
      </c>
      <c r="N8" t="s">
        <v>17</v>
      </c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x14ac:dyDescent="0.25">
      <c r="A9" s="4" t="s">
        <v>18</v>
      </c>
      <c r="B9" s="4">
        <v>14560</v>
      </c>
      <c r="C9" s="4">
        <v>160</v>
      </c>
      <c r="D9" s="4">
        <v>2</v>
      </c>
      <c r="E9" s="5">
        <v>2</v>
      </c>
      <c r="F9" s="1">
        <v>10.7934</v>
      </c>
      <c r="G9" s="12"/>
      <c r="H9" s="6" t="s">
        <v>18</v>
      </c>
      <c r="I9" s="4">
        <v>28888</v>
      </c>
      <c r="J9" s="4">
        <v>184</v>
      </c>
      <c r="K9" s="4">
        <v>2</v>
      </c>
      <c r="L9" s="5">
        <v>8</v>
      </c>
      <c r="M9" s="1">
        <v>38.205199999999998</v>
      </c>
      <c r="N9" t="s">
        <v>19</v>
      </c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x14ac:dyDescent="0.25">
      <c r="A10" s="1" t="s">
        <v>20</v>
      </c>
      <c r="B10" s="1">
        <v>14400</v>
      </c>
      <c r="C10" s="1">
        <v>96</v>
      </c>
      <c r="D10" s="1">
        <v>2</v>
      </c>
      <c r="E10" s="2">
        <v>2</v>
      </c>
      <c r="F10" s="1">
        <v>4.4801000000000002</v>
      </c>
      <c r="G10" s="12"/>
      <c r="H10" s="3" t="s">
        <v>20</v>
      </c>
      <c r="I10" s="1">
        <v>28800</v>
      </c>
      <c r="J10" s="1">
        <v>96</v>
      </c>
      <c r="K10" s="1">
        <v>2</v>
      </c>
      <c r="L10" s="2">
        <v>8</v>
      </c>
      <c r="M10" s="1">
        <v>13.460800000000001</v>
      </c>
      <c r="N10" t="s">
        <v>13</v>
      </c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x14ac:dyDescent="0.25">
      <c r="A11" s="1" t="s">
        <v>21</v>
      </c>
      <c r="B11" s="1">
        <v>9696</v>
      </c>
      <c r="C11" s="1">
        <v>96</v>
      </c>
      <c r="D11" s="1">
        <v>1</v>
      </c>
      <c r="E11" s="2">
        <v>2</v>
      </c>
      <c r="F11" s="1">
        <v>0.66076000000000001</v>
      </c>
      <c r="G11" s="13"/>
      <c r="H11" s="3" t="s">
        <v>21</v>
      </c>
      <c r="I11" s="1">
        <v>19392</v>
      </c>
      <c r="J11" s="1">
        <v>192</v>
      </c>
      <c r="K11" s="1">
        <v>2</v>
      </c>
      <c r="L11" s="2">
        <v>4</v>
      </c>
      <c r="M11" s="1">
        <v>2.1006999999999998</v>
      </c>
      <c r="N11" t="s">
        <v>22</v>
      </c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x14ac:dyDescent="0.25"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x14ac:dyDescent="0.25">
      <c r="Q13" s="8"/>
      <c r="R13" s="8"/>
      <c r="S13" s="8"/>
      <c r="T13" s="8"/>
      <c r="U13" s="8"/>
      <c r="V13" s="8"/>
      <c r="W13" s="8"/>
      <c r="X13" s="8"/>
      <c r="Y13" s="8"/>
      <c r="Z13" s="8"/>
    </row>
    <row r="15" spans="1:26" x14ac:dyDescent="0.25">
      <c r="A15" s="9" t="s">
        <v>23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26" x14ac:dyDescent="0.25">
      <c r="A16" s="7" t="s">
        <v>1</v>
      </c>
      <c r="B16" s="7"/>
      <c r="C16" s="7"/>
      <c r="D16" s="7"/>
      <c r="E16" s="7"/>
      <c r="F16" s="7"/>
      <c r="G16" s="11"/>
      <c r="H16" s="7" t="s">
        <v>2</v>
      </c>
      <c r="I16" s="7"/>
      <c r="J16" s="7"/>
      <c r="K16" s="7"/>
      <c r="L16" s="7"/>
      <c r="M16" s="7"/>
    </row>
    <row r="17" spans="1:13" x14ac:dyDescent="0.25">
      <c r="A17" s="1" t="s">
        <v>3</v>
      </c>
      <c r="B17" s="1" t="s">
        <v>4</v>
      </c>
      <c r="C17" s="1" t="s">
        <v>5</v>
      </c>
      <c r="D17" s="1" t="s">
        <v>6</v>
      </c>
      <c r="E17" s="1" t="s">
        <v>7</v>
      </c>
      <c r="F17" s="1" t="s">
        <v>24</v>
      </c>
      <c r="G17" s="12"/>
      <c r="H17" s="1" t="s">
        <v>3</v>
      </c>
      <c r="I17" s="1" t="s">
        <v>4</v>
      </c>
      <c r="J17" s="1" t="s">
        <v>5</v>
      </c>
      <c r="K17" s="1" t="s">
        <v>6</v>
      </c>
      <c r="L17" s="1" t="s">
        <v>7</v>
      </c>
      <c r="M17" s="1" t="s">
        <v>24</v>
      </c>
    </row>
    <row r="18" spans="1:13" x14ac:dyDescent="0.25">
      <c r="A18" s="1" t="s">
        <v>8</v>
      </c>
      <c r="B18" s="1">
        <v>6720</v>
      </c>
      <c r="C18" s="1">
        <v>64</v>
      </c>
      <c r="D18" s="1">
        <v>1</v>
      </c>
      <c r="E18" s="1">
        <v>1</v>
      </c>
      <c r="F18" s="1">
        <v>0.22968</v>
      </c>
      <c r="H18" s="1" t="s">
        <v>8</v>
      </c>
      <c r="I18" s="1">
        <v>13440</v>
      </c>
      <c r="J18" s="1">
        <v>64</v>
      </c>
      <c r="K18" s="1">
        <v>2</v>
      </c>
      <c r="L18" s="2">
        <v>2</v>
      </c>
      <c r="M18" s="1">
        <v>0.83977000000000002</v>
      </c>
    </row>
    <row r="19" spans="1:13" x14ac:dyDescent="0.25">
      <c r="A19" s="1" t="s">
        <v>10</v>
      </c>
      <c r="B19" s="1">
        <v>9792</v>
      </c>
      <c r="C19" s="1">
        <v>96</v>
      </c>
      <c r="D19" s="1">
        <v>1</v>
      </c>
      <c r="E19" s="1">
        <v>4</v>
      </c>
      <c r="F19" s="1">
        <v>6.7698</v>
      </c>
      <c r="H19" s="1" t="s">
        <v>10</v>
      </c>
      <c r="I19" s="1">
        <v>19584</v>
      </c>
      <c r="J19" s="1">
        <v>96</v>
      </c>
      <c r="K19" s="1">
        <v>2</v>
      </c>
      <c r="L19" s="2">
        <v>8</v>
      </c>
      <c r="M19" s="1">
        <v>13.911</v>
      </c>
    </row>
    <row r="20" spans="1:13" x14ac:dyDescent="0.25">
      <c r="A20" s="1" t="s">
        <v>12</v>
      </c>
      <c r="B20" s="1">
        <v>20096</v>
      </c>
      <c r="C20" s="1">
        <v>128</v>
      </c>
      <c r="D20" s="1">
        <v>1</v>
      </c>
      <c r="E20" s="1">
        <v>4</v>
      </c>
      <c r="F20" s="1">
        <v>13.006600000000001</v>
      </c>
      <c r="H20" s="1" t="s">
        <v>12</v>
      </c>
      <c r="I20" s="1">
        <v>40064</v>
      </c>
      <c r="J20" s="1">
        <v>128</v>
      </c>
      <c r="K20" s="1">
        <v>2</v>
      </c>
      <c r="L20" s="2">
        <v>8</v>
      </c>
      <c r="M20" s="1">
        <v>45.218400000000003</v>
      </c>
    </row>
    <row r="21" spans="1:13" x14ac:dyDescent="0.25">
      <c r="A21" s="1" t="s">
        <v>14</v>
      </c>
      <c r="B21" s="1">
        <v>29120</v>
      </c>
      <c r="C21" s="1">
        <v>224</v>
      </c>
      <c r="D21" s="1">
        <v>1</v>
      </c>
      <c r="E21" s="1">
        <v>4</v>
      </c>
      <c r="F21" s="1">
        <v>42.326000000000001</v>
      </c>
      <c r="H21" s="1" t="s">
        <v>14</v>
      </c>
      <c r="I21" s="1">
        <v>51968</v>
      </c>
      <c r="J21" s="1">
        <v>224</v>
      </c>
      <c r="K21" s="1">
        <v>2</v>
      </c>
      <c r="L21" s="2">
        <v>8</v>
      </c>
      <c r="M21" s="1">
        <v>150.334</v>
      </c>
    </row>
    <row r="22" spans="1:13" x14ac:dyDescent="0.25">
      <c r="A22" s="4" t="s">
        <v>16</v>
      </c>
      <c r="B22" s="4">
        <v>14640</v>
      </c>
      <c r="C22" s="4">
        <v>80</v>
      </c>
      <c r="D22" s="4">
        <v>1</v>
      </c>
      <c r="E22" s="4">
        <v>4</v>
      </c>
      <c r="F22" s="1">
        <v>2.5854200000000001</v>
      </c>
      <c r="H22" s="4" t="s">
        <v>16</v>
      </c>
      <c r="I22" s="4">
        <v>29056</v>
      </c>
      <c r="J22" s="4">
        <v>64</v>
      </c>
      <c r="K22" s="4">
        <v>2</v>
      </c>
      <c r="L22" s="5">
        <v>8</v>
      </c>
      <c r="M22" s="1">
        <v>10.045</v>
      </c>
    </row>
    <row r="23" spans="1:13" x14ac:dyDescent="0.25">
      <c r="A23" s="4" t="s">
        <v>18</v>
      </c>
      <c r="B23" s="4">
        <v>14592</v>
      </c>
      <c r="C23" s="4">
        <v>96</v>
      </c>
      <c r="D23" s="4">
        <v>1</v>
      </c>
      <c r="E23" s="4">
        <v>4</v>
      </c>
      <c r="F23" s="1">
        <v>11.5314</v>
      </c>
      <c r="H23" s="4" t="s">
        <v>18</v>
      </c>
      <c r="I23" s="4">
        <v>29040</v>
      </c>
      <c r="J23" s="4">
        <v>120</v>
      </c>
      <c r="K23" s="4">
        <v>2</v>
      </c>
      <c r="L23" s="5">
        <v>8</v>
      </c>
      <c r="M23" s="1">
        <v>41.718400000000003</v>
      </c>
    </row>
    <row r="24" spans="1:13" x14ac:dyDescent="0.25">
      <c r="A24" s="1" t="s">
        <v>20</v>
      </c>
      <c r="B24" s="1">
        <v>14400</v>
      </c>
      <c r="C24" s="1">
        <v>192</v>
      </c>
      <c r="D24" s="1">
        <v>1</v>
      </c>
      <c r="E24" s="1">
        <v>4</v>
      </c>
      <c r="F24" s="1">
        <v>4.4016999999999999</v>
      </c>
      <c r="H24" s="1" t="s">
        <v>20</v>
      </c>
      <c r="I24" s="1">
        <v>28800</v>
      </c>
      <c r="J24" s="1">
        <v>160</v>
      </c>
      <c r="K24" s="1">
        <v>2</v>
      </c>
      <c r="L24" s="2">
        <v>8</v>
      </c>
      <c r="M24" s="1">
        <v>13.102</v>
      </c>
    </row>
    <row r="25" spans="1:13" x14ac:dyDescent="0.25">
      <c r="A25" s="1" t="s">
        <v>21</v>
      </c>
      <c r="B25" s="1">
        <v>10080</v>
      </c>
      <c r="C25" s="1">
        <v>224</v>
      </c>
      <c r="D25" s="1">
        <v>1</v>
      </c>
      <c r="E25" s="1">
        <v>2</v>
      </c>
      <c r="F25" s="1">
        <v>0.72250000000000003</v>
      </c>
      <c r="H25" s="1" t="s">
        <v>21</v>
      </c>
      <c r="I25" s="1">
        <v>19264</v>
      </c>
      <c r="J25" s="1">
        <v>224</v>
      </c>
      <c r="K25" s="1">
        <v>1</v>
      </c>
      <c r="L25" s="2">
        <v>8</v>
      </c>
      <c r="M25" s="1">
        <v>2.3454000000000002</v>
      </c>
    </row>
  </sheetData>
  <mergeCells count="6">
    <mergeCell ref="H16:M16"/>
    <mergeCell ref="H2:M2"/>
    <mergeCell ref="A1:M1"/>
    <mergeCell ref="A2:F2"/>
    <mergeCell ref="A16:F16"/>
    <mergeCell ref="A15:M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69959-1584-4936-A111-56DD17664974}">
  <dimension ref="A1:J33"/>
  <sheetViews>
    <sheetView topLeftCell="A13" workbookViewId="0">
      <selection activeCell="A35" sqref="A35:XFD54"/>
    </sheetView>
  </sheetViews>
  <sheetFormatPr defaultColWidth="11" defaultRowHeight="15.75" x14ac:dyDescent="0.25"/>
  <cols>
    <col min="1" max="1" width="11.875" bestFit="1" customWidth="1"/>
    <col min="2" max="2" width="11" style="17"/>
    <col min="3" max="3" width="16.625" style="17" bestFit="1" customWidth="1"/>
    <col min="4" max="7" width="11" style="18"/>
    <col min="8" max="8" width="11" style="19"/>
    <col min="9" max="9" width="23.25" style="19" bestFit="1" customWidth="1"/>
    <col min="10" max="10" width="9.25" bestFit="1" customWidth="1"/>
    <col min="11" max="11" width="66.75" bestFit="1" customWidth="1"/>
    <col min="12" max="12" width="30.625" bestFit="1" customWidth="1"/>
  </cols>
  <sheetData>
    <row r="1" spans="1:10" x14ac:dyDescent="0.25">
      <c r="A1" t="s">
        <v>26</v>
      </c>
      <c r="B1" s="17" t="s">
        <v>25</v>
      </c>
      <c r="C1" s="17" t="s">
        <v>3</v>
      </c>
      <c r="D1" s="18" t="s">
        <v>4</v>
      </c>
      <c r="E1" s="18" t="s">
        <v>5</v>
      </c>
      <c r="F1" s="18" t="s">
        <v>6</v>
      </c>
      <c r="G1" s="18" t="s">
        <v>7</v>
      </c>
      <c r="H1" s="19" t="s">
        <v>24</v>
      </c>
      <c r="I1" s="20"/>
      <c r="J1" s="8"/>
    </row>
    <row r="2" spans="1:10" x14ac:dyDescent="0.25">
      <c r="A2">
        <v>1</v>
      </c>
      <c r="B2" s="17" t="s">
        <v>0</v>
      </c>
      <c r="C2" s="17" t="s">
        <v>8</v>
      </c>
      <c r="D2" s="18">
        <v>6720</v>
      </c>
      <c r="E2" s="18">
        <v>64</v>
      </c>
      <c r="F2" s="18">
        <v>1</v>
      </c>
      <c r="G2" s="18">
        <v>1</v>
      </c>
      <c r="H2" s="19">
        <v>0.28684999999999999</v>
      </c>
      <c r="I2" s="20"/>
      <c r="J2" s="8"/>
    </row>
    <row r="3" spans="1:10" x14ac:dyDescent="0.25">
      <c r="A3">
        <v>1</v>
      </c>
      <c r="B3" s="17" t="s">
        <v>0</v>
      </c>
      <c r="C3" s="17" t="s">
        <v>10</v>
      </c>
      <c r="D3" s="18">
        <v>9760</v>
      </c>
      <c r="E3" s="18">
        <v>160</v>
      </c>
      <c r="F3" s="18">
        <v>1</v>
      </c>
      <c r="G3" s="18">
        <v>4</v>
      </c>
      <c r="H3" s="19">
        <v>4.9805599999999997</v>
      </c>
      <c r="I3" s="20"/>
      <c r="J3" s="8"/>
    </row>
    <row r="4" spans="1:10" x14ac:dyDescent="0.25">
      <c r="A4">
        <v>1</v>
      </c>
      <c r="B4" s="17" t="s">
        <v>0</v>
      </c>
      <c r="C4" s="17" t="s">
        <v>12</v>
      </c>
      <c r="D4" s="18">
        <v>19040</v>
      </c>
      <c r="E4" s="18">
        <v>160</v>
      </c>
      <c r="F4" s="18">
        <v>1</v>
      </c>
      <c r="G4" s="18">
        <v>4</v>
      </c>
      <c r="H4" s="19">
        <v>11.673</v>
      </c>
      <c r="I4" s="20"/>
      <c r="J4" s="8"/>
    </row>
    <row r="5" spans="1:10" x14ac:dyDescent="0.25">
      <c r="A5">
        <v>1</v>
      </c>
      <c r="B5" s="17" t="s">
        <v>0</v>
      </c>
      <c r="C5" s="17" t="s">
        <v>14</v>
      </c>
      <c r="D5" s="18">
        <v>26080</v>
      </c>
      <c r="E5" s="18">
        <v>160</v>
      </c>
      <c r="F5" s="18">
        <v>1</v>
      </c>
      <c r="G5" s="18">
        <v>4</v>
      </c>
      <c r="H5" s="19">
        <v>36.402200000000001</v>
      </c>
      <c r="I5" s="20"/>
      <c r="J5" s="8"/>
    </row>
    <row r="6" spans="1:10" x14ac:dyDescent="0.25">
      <c r="A6">
        <v>1</v>
      </c>
      <c r="B6" s="17" t="s">
        <v>0</v>
      </c>
      <c r="C6" s="17" t="s">
        <v>16</v>
      </c>
      <c r="D6" s="18">
        <v>14560</v>
      </c>
      <c r="E6" s="18">
        <v>112</v>
      </c>
      <c r="F6" s="18">
        <v>2</v>
      </c>
      <c r="G6" s="18">
        <v>2</v>
      </c>
      <c r="H6" s="19">
        <v>2.3348200000000001</v>
      </c>
      <c r="I6" s="20"/>
      <c r="J6" s="8"/>
    </row>
    <row r="7" spans="1:10" x14ac:dyDescent="0.25">
      <c r="A7">
        <v>1</v>
      </c>
      <c r="B7" s="17" t="s">
        <v>0</v>
      </c>
      <c r="C7" s="17" t="s">
        <v>18</v>
      </c>
      <c r="D7" s="18">
        <v>14560</v>
      </c>
      <c r="E7" s="18">
        <v>160</v>
      </c>
      <c r="F7" s="18">
        <v>2</v>
      </c>
      <c r="G7" s="18">
        <v>2</v>
      </c>
      <c r="H7" s="19">
        <v>10.7934</v>
      </c>
      <c r="I7" s="20"/>
      <c r="J7" s="8"/>
    </row>
    <row r="8" spans="1:10" x14ac:dyDescent="0.25">
      <c r="A8">
        <v>1</v>
      </c>
      <c r="B8" s="17" t="s">
        <v>0</v>
      </c>
      <c r="C8" s="17" t="s">
        <v>20</v>
      </c>
      <c r="D8" s="18">
        <v>14400</v>
      </c>
      <c r="E8" s="18">
        <v>96</v>
      </c>
      <c r="F8" s="18">
        <v>2</v>
      </c>
      <c r="G8" s="18">
        <v>2</v>
      </c>
      <c r="H8" s="19">
        <v>4.4801000000000002</v>
      </c>
      <c r="I8" s="20"/>
      <c r="J8" s="8"/>
    </row>
    <row r="9" spans="1:10" x14ac:dyDescent="0.25">
      <c r="A9">
        <v>1</v>
      </c>
      <c r="B9" s="17" t="s">
        <v>0</v>
      </c>
      <c r="C9" s="17" t="s">
        <v>21</v>
      </c>
      <c r="D9" s="18">
        <v>9696</v>
      </c>
      <c r="E9" s="18">
        <v>96</v>
      </c>
      <c r="F9" s="18">
        <v>1</v>
      </c>
      <c r="G9" s="18">
        <v>2</v>
      </c>
      <c r="H9" s="19">
        <v>0.66076000000000001</v>
      </c>
      <c r="I9" s="20"/>
      <c r="J9" s="8"/>
    </row>
    <row r="10" spans="1:10" x14ac:dyDescent="0.25">
      <c r="A10">
        <v>1</v>
      </c>
      <c r="B10" s="17" t="s">
        <v>23</v>
      </c>
      <c r="C10" s="17" t="s">
        <v>8</v>
      </c>
      <c r="D10" s="18">
        <v>6720</v>
      </c>
      <c r="E10" s="18">
        <v>64</v>
      </c>
      <c r="F10" s="18">
        <v>1</v>
      </c>
      <c r="G10" s="18">
        <v>1</v>
      </c>
      <c r="H10" s="19">
        <v>0.22968</v>
      </c>
      <c r="I10" s="20"/>
      <c r="J10" s="8"/>
    </row>
    <row r="11" spans="1:10" x14ac:dyDescent="0.25">
      <c r="A11">
        <v>1</v>
      </c>
      <c r="B11" s="17" t="s">
        <v>23</v>
      </c>
      <c r="C11" s="17" t="s">
        <v>10</v>
      </c>
      <c r="D11" s="18">
        <v>9792</v>
      </c>
      <c r="E11" s="18">
        <v>96</v>
      </c>
      <c r="F11" s="18">
        <v>1</v>
      </c>
      <c r="G11" s="18">
        <v>4</v>
      </c>
      <c r="H11" s="19">
        <v>6.7698</v>
      </c>
      <c r="I11" s="20"/>
      <c r="J11" s="8"/>
    </row>
    <row r="12" spans="1:10" x14ac:dyDescent="0.25">
      <c r="A12">
        <v>1</v>
      </c>
      <c r="B12" s="17" t="s">
        <v>23</v>
      </c>
      <c r="C12" s="17" t="s">
        <v>12</v>
      </c>
      <c r="D12" s="18">
        <v>20096</v>
      </c>
      <c r="E12" s="18">
        <v>128</v>
      </c>
      <c r="F12" s="18">
        <v>1</v>
      </c>
      <c r="G12" s="18">
        <v>4</v>
      </c>
      <c r="H12" s="19">
        <v>13.006600000000001</v>
      </c>
      <c r="I12" s="20"/>
      <c r="J12" s="8"/>
    </row>
    <row r="13" spans="1:10" x14ac:dyDescent="0.25">
      <c r="A13">
        <v>1</v>
      </c>
      <c r="B13" s="17" t="s">
        <v>23</v>
      </c>
      <c r="C13" s="17" t="s">
        <v>14</v>
      </c>
      <c r="D13" s="18">
        <v>29120</v>
      </c>
      <c r="E13" s="18">
        <v>224</v>
      </c>
      <c r="F13" s="18">
        <v>1</v>
      </c>
      <c r="G13" s="18">
        <v>4</v>
      </c>
      <c r="H13" s="19">
        <v>42.326000000000001</v>
      </c>
      <c r="I13" s="20"/>
      <c r="J13" s="8"/>
    </row>
    <row r="14" spans="1:10" x14ac:dyDescent="0.25">
      <c r="A14">
        <v>1</v>
      </c>
      <c r="B14" s="17" t="s">
        <v>23</v>
      </c>
      <c r="C14" s="17" t="s">
        <v>16</v>
      </c>
      <c r="D14" s="18">
        <v>14640</v>
      </c>
      <c r="E14" s="18">
        <v>80</v>
      </c>
      <c r="F14" s="18">
        <v>1</v>
      </c>
      <c r="G14" s="18">
        <v>4</v>
      </c>
      <c r="H14" s="19">
        <v>2.5854200000000001</v>
      </c>
      <c r="I14" s="20"/>
      <c r="J14" s="8"/>
    </row>
    <row r="15" spans="1:10" x14ac:dyDescent="0.25">
      <c r="A15">
        <v>1</v>
      </c>
      <c r="B15" s="17" t="s">
        <v>23</v>
      </c>
      <c r="C15" s="17" t="s">
        <v>18</v>
      </c>
      <c r="D15" s="18">
        <v>14592</v>
      </c>
      <c r="E15" s="18">
        <v>96</v>
      </c>
      <c r="F15" s="18">
        <v>1</v>
      </c>
      <c r="G15" s="18">
        <v>4</v>
      </c>
      <c r="H15" s="19">
        <v>11.5314</v>
      </c>
      <c r="I15" s="20"/>
      <c r="J15" s="8"/>
    </row>
    <row r="16" spans="1:10" x14ac:dyDescent="0.25">
      <c r="A16">
        <v>1</v>
      </c>
      <c r="B16" s="17" t="s">
        <v>23</v>
      </c>
      <c r="C16" s="17" t="s">
        <v>20</v>
      </c>
      <c r="D16" s="18">
        <v>14400</v>
      </c>
      <c r="E16" s="18">
        <v>192</v>
      </c>
      <c r="F16" s="18">
        <v>1</v>
      </c>
      <c r="G16" s="18">
        <v>4</v>
      </c>
      <c r="H16" s="19">
        <v>4.4016999999999999</v>
      </c>
      <c r="I16" s="20"/>
      <c r="J16" s="8"/>
    </row>
    <row r="17" spans="1:10" x14ac:dyDescent="0.25">
      <c r="A17">
        <v>1</v>
      </c>
      <c r="B17" s="17" t="s">
        <v>23</v>
      </c>
      <c r="C17" s="17" t="s">
        <v>21</v>
      </c>
      <c r="D17" s="18">
        <v>10080</v>
      </c>
      <c r="E17" s="18">
        <v>224</v>
      </c>
      <c r="F17" s="18">
        <v>1</v>
      </c>
      <c r="G17" s="18">
        <v>2</v>
      </c>
      <c r="H17" s="19">
        <v>0.72250000000000003</v>
      </c>
      <c r="I17" s="20"/>
      <c r="J17" s="8"/>
    </row>
    <row r="18" spans="1:10" x14ac:dyDescent="0.25">
      <c r="A18">
        <v>4</v>
      </c>
      <c r="B18" s="17" t="s">
        <v>0</v>
      </c>
      <c r="C18" s="17" t="s">
        <v>8</v>
      </c>
      <c r="D18" s="18">
        <v>13440</v>
      </c>
      <c r="E18" s="18">
        <v>64</v>
      </c>
      <c r="F18" s="18">
        <v>2</v>
      </c>
      <c r="G18" s="18">
        <v>2</v>
      </c>
      <c r="H18" s="19">
        <v>1.0354000000000001</v>
      </c>
      <c r="I18" s="20"/>
      <c r="J18" s="8"/>
    </row>
    <row r="19" spans="1:10" x14ac:dyDescent="0.25">
      <c r="A19">
        <v>4</v>
      </c>
      <c r="B19" s="17" t="s">
        <v>0</v>
      </c>
      <c r="C19" s="17" t="s">
        <v>10</v>
      </c>
      <c r="D19" s="18">
        <v>19520</v>
      </c>
      <c r="E19" s="18">
        <v>160</v>
      </c>
      <c r="F19" s="18">
        <v>2</v>
      </c>
      <c r="G19" s="18">
        <v>8</v>
      </c>
      <c r="H19" s="19">
        <v>12.012</v>
      </c>
      <c r="I19" s="20"/>
      <c r="J19" s="8"/>
    </row>
    <row r="20" spans="1:10" x14ac:dyDescent="0.25">
      <c r="A20">
        <v>4</v>
      </c>
      <c r="B20" s="17" t="s">
        <v>0</v>
      </c>
      <c r="C20" s="17" t="s">
        <v>12</v>
      </c>
      <c r="D20" s="18">
        <v>40160</v>
      </c>
      <c r="E20" s="18">
        <v>160</v>
      </c>
      <c r="F20" s="18">
        <v>4</v>
      </c>
      <c r="G20" s="18">
        <v>4</v>
      </c>
      <c r="H20" s="19">
        <v>41.3902</v>
      </c>
      <c r="I20" s="20"/>
      <c r="J20" s="8"/>
    </row>
    <row r="21" spans="1:10" x14ac:dyDescent="0.25">
      <c r="A21">
        <v>4</v>
      </c>
      <c r="B21" s="17" t="s">
        <v>0</v>
      </c>
      <c r="C21" s="17" t="s">
        <v>14</v>
      </c>
      <c r="D21" s="18">
        <v>52000</v>
      </c>
      <c r="E21" s="18">
        <v>160</v>
      </c>
      <c r="F21" s="18">
        <v>2</v>
      </c>
      <c r="G21" s="18">
        <v>8</v>
      </c>
      <c r="H21" s="19">
        <v>131.19399999999999</v>
      </c>
      <c r="I21" s="20"/>
      <c r="J21" s="8"/>
    </row>
    <row r="22" spans="1:10" x14ac:dyDescent="0.25">
      <c r="A22">
        <v>4</v>
      </c>
      <c r="B22" s="17" t="s">
        <v>0</v>
      </c>
      <c r="C22" s="17" t="s">
        <v>16</v>
      </c>
      <c r="D22" s="18">
        <v>28992</v>
      </c>
      <c r="E22" s="18">
        <v>96</v>
      </c>
      <c r="F22" s="18">
        <v>2</v>
      </c>
      <c r="G22" s="18">
        <v>8</v>
      </c>
      <c r="H22" s="19">
        <v>8.9995999999999992</v>
      </c>
      <c r="I22" s="20"/>
      <c r="J22" s="8"/>
    </row>
    <row r="23" spans="1:10" x14ac:dyDescent="0.25">
      <c r="A23">
        <v>4</v>
      </c>
      <c r="B23" s="17" t="s">
        <v>0</v>
      </c>
      <c r="C23" s="17" t="s">
        <v>18</v>
      </c>
      <c r="D23" s="18">
        <v>28888</v>
      </c>
      <c r="E23" s="18">
        <v>184</v>
      </c>
      <c r="F23" s="18">
        <v>2</v>
      </c>
      <c r="G23" s="18">
        <v>8</v>
      </c>
      <c r="H23" s="19">
        <v>38.205199999999998</v>
      </c>
      <c r="I23" s="20"/>
      <c r="J23" s="8"/>
    </row>
    <row r="24" spans="1:10" x14ac:dyDescent="0.25">
      <c r="A24">
        <v>4</v>
      </c>
      <c r="B24" s="17" t="s">
        <v>0</v>
      </c>
      <c r="C24" s="17" t="s">
        <v>20</v>
      </c>
      <c r="D24" s="18">
        <v>28800</v>
      </c>
      <c r="E24" s="18">
        <v>96</v>
      </c>
      <c r="F24" s="18">
        <v>2</v>
      </c>
      <c r="G24" s="18">
        <v>8</v>
      </c>
      <c r="H24" s="19">
        <v>13.460800000000001</v>
      </c>
      <c r="I24" s="20"/>
      <c r="J24" s="8"/>
    </row>
    <row r="25" spans="1:10" x14ac:dyDescent="0.25">
      <c r="A25">
        <v>4</v>
      </c>
      <c r="B25" s="17" t="s">
        <v>0</v>
      </c>
      <c r="C25" s="17" t="s">
        <v>21</v>
      </c>
      <c r="D25" s="18">
        <v>19392</v>
      </c>
      <c r="E25" s="18">
        <v>192</v>
      </c>
      <c r="F25" s="18">
        <v>2</v>
      </c>
      <c r="G25" s="18">
        <v>4</v>
      </c>
      <c r="H25" s="19">
        <v>2.1006999999999998</v>
      </c>
      <c r="I25" s="20"/>
      <c r="J25" s="8"/>
    </row>
    <row r="26" spans="1:10" x14ac:dyDescent="0.25">
      <c r="A26">
        <v>4</v>
      </c>
      <c r="B26" s="17" t="s">
        <v>23</v>
      </c>
      <c r="C26" s="17" t="s">
        <v>8</v>
      </c>
      <c r="D26" s="18">
        <v>13440</v>
      </c>
      <c r="E26" s="18">
        <v>64</v>
      </c>
      <c r="F26" s="18">
        <v>2</v>
      </c>
      <c r="G26" s="18">
        <v>2</v>
      </c>
      <c r="H26" s="19">
        <v>0.83977000000000002</v>
      </c>
      <c r="I26" s="20"/>
      <c r="J26" s="8"/>
    </row>
    <row r="27" spans="1:10" x14ac:dyDescent="0.25">
      <c r="A27">
        <v>4</v>
      </c>
      <c r="B27" s="17" t="s">
        <v>23</v>
      </c>
      <c r="C27" s="17" t="s">
        <v>10</v>
      </c>
      <c r="D27" s="18">
        <v>19584</v>
      </c>
      <c r="E27" s="18">
        <v>96</v>
      </c>
      <c r="F27" s="18">
        <v>2</v>
      </c>
      <c r="G27" s="18">
        <v>8</v>
      </c>
      <c r="H27" s="19">
        <v>13.911</v>
      </c>
      <c r="I27" s="20"/>
      <c r="J27" s="8"/>
    </row>
    <row r="28" spans="1:10" x14ac:dyDescent="0.25">
      <c r="A28">
        <v>4</v>
      </c>
      <c r="B28" s="17" t="s">
        <v>23</v>
      </c>
      <c r="C28" s="17" t="s">
        <v>12</v>
      </c>
      <c r="D28" s="18">
        <v>40064</v>
      </c>
      <c r="E28" s="18">
        <v>128</v>
      </c>
      <c r="F28" s="18">
        <v>2</v>
      </c>
      <c r="G28" s="18">
        <v>8</v>
      </c>
      <c r="H28" s="19">
        <v>45.218400000000003</v>
      </c>
      <c r="I28" s="20"/>
      <c r="J28" s="8"/>
    </row>
    <row r="29" spans="1:10" x14ac:dyDescent="0.25">
      <c r="A29">
        <v>4</v>
      </c>
      <c r="B29" s="17" t="s">
        <v>23</v>
      </c>
      <c r="C29" s="17" t="s">
        <v>14</v>
      </c>
      <c r="D29" s="18">
        <v>51968</v>
      </c>
      <c r="E29" s="18">
        <v>224</v>
      </c>
      <c r="F29" s="18">
        <v>2</v>
      </c>
      <c r="G29" s="18">
        <v>8</v>
      </c>
      <c r="H29" s="19">
        <v>150.334</v>
      </c>
      <c r="I29" s="20"/>
      <c r="J29" s="8"/>
    </row>
    <row r="30" spans="1:10" x14ac:dyDescent="0.25">
      <c r="A30">
        <v>4</v>
      </c>
      <c r="B30" s="17" t="s">
        <v>23</v>
      </c>
      <c r="C30" s="17" t="s">
        <v>16</v>
      </c>
      <c r="D30" s="18">
        <v>29056</v>
      </c>
      <c r="E30" s="18">
        <v>64</v>
      </c>
      <c r="F30" s="18">
        <v>2</v>
      </c>
      <c r="G30" s="18">
        <v>8</v>
      </c>
      <c r="H30" s="19">
        <v>10.045</v>
      </c>
      <c r="I30" s="20"/>
      <c r="J30" s="8"/>
    </row>
    <row r="31" spans="1:10" x14ac:dyDescent="0.25">
      <c r="A31">
        <v>4</v>
      </c>
      <c r="B31" s="17" t="s">
        <v>23</v>
      </c>
      <c r="C31" s="17" t="s">
        <v>18</v>
      </c>
      <c r="D31" s="18">
        <v>29040</v>
      </c>
      <c r="E31" s="18">
        <v>120</v>
      </c>
      <c r="F31" s="18">
        <v>2</v>
      </c>
      <c r="G31" s="18">
        <v>8</v>
      </c>
      <c r="H31" s="19">
        <v>41.718400000000003</v>
      </c>
      <c r="I31" s="20"/>
      <c r="J31" s="8"/>
    </row>
    <row r="32" spans="1:10" x14ac:dyDescent="0.25">
      <c r="A32">
        <v>4</v>
      </c>
      <c r="B32" s="17" t="s">
        <v>23</v>
      </c>
      <c r="C32" s="17" t="s">
        <v>20</v>
      </c>
      <c r="D32" s="18">
        <v>28800</v>
      </c>
      <c r="E32" s="18">
        <v>160</v>
      </c>
      <c r="F32" s="18">
        <v>2</v>
      </c>
      <c r="G32" s="18">
        <v>8</v>
      </c>
      <c r="H32" s="19">
        <v>13.102</v>
      </c>
      <c r="I32" s="20"/>
      <c r="J32" s="8"/>
    </row>
    <row r="33" spans="1:10" x14ac:dyDescent="0.25">
      <c r="A33">
        <v>4</v>
      </c>
      <c r="B33" s="17" t="s">
        <v>23</v>
      </c>
      <c r="C33" s="17" t="s">
        <v>21</v>
      </c>
      <c r="D33" s="18">
        <v>19264</v>
      </c>
      <c r="E33" s="18">
        <v>224</v>
      </c>
      <c r="F33" s="18">
        <v>1</v>
      </c>
      <c r="G33" s="18">
        <v>8</v>
      </c>
      <c r="H33" s="19">
        <v>2.3454000000000002</v>
      </c>
      <c r="I33" s="20"/>
      <c r="J33" s="8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18AE7-DF3A-4C5A-A7A0-918416B892F7}">
  <dimension ref="A1:L17"/>
  <sheetViews>
    <sheetView tabSelected="1" workbookViewId="0">
      <selection activeCell="I16" sqref="I16"/>
    </sheetView>
  </sheetViews>
  <sheetFormatPr defaultColWidth="11" defaultRowHeight="15.75" x14ac:dyDescent="0.25"/>
  <cols>
    <col min="1" max="1" width="11.875" bestFit="1" customWidth="1"/>
    <col min="3" max="3" width="16.625" bestFit="1" customWidth="1"/>
    <col min="9" max="9" width="23.25" bestFit="1" customWidth="1"/>
    <col min="10" max="10" width="9.25" bestFit="1" customWidth="1"/>
    <col min="11" max="11" width="66.75" bestFit="1" customWidth="1"/>
    <col min="12" max="12" width="30.625" bestFit="1" customWidth="1"/>
  </cols>
  <sheetData>
    <row r="1" spans="1:12" x14ac:dyDescent="0.25">
      <c r="A1" t="s">
        <v>26</v>
      </c>
      <c r="B1" t="s">
        <v>25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24</v>
      </c>
      <c r="I1" t="s">
        <v>27</v>
      </c>
      <c r="J1" t="s">
        <v>30</v>
      </c>
      <c r="K1" t="s">
        <v>28</v>
      </c>
      <c r="L1" t="s">
        <v>29</v>
      </c>
    </row>
    <row r="2" spans="1:12" x14ac:dyDescent="0.25">
      <c r="A2">
        <v>1</v>
      </c>
      <c r="B2" t="s">
        <v>23</v>
      </c>
      <c r="C2" t="s">
        <v>21</v>
      </c>
      <c r="D2">
        <v>10080</v>
      </c>
      <c r="E2">
        <v>224</v>
      </c>
      <c r="F2">
        <v>1</v>
      </c>
      <c r="G2">
        <v>2</v>
      </c>
      <c r="H2">
        <v>0.72250000000000003</v>
      </c>
      <c r="I2">
        <v>0.86099999999999999</v>
      </c>
      <c r="J2">
        <f>((H2/I2)-1)*100</f>
        <v>-16.085946573751443</v>
      </c>
      <c r="K2" t="s">
        <v>32</v>
      </c>
      <c r="L2" t="s">
        <v>44</v>
      </c>
    </row>
    <row r="3" spans="1:12" x14ac:dyDescent="0.25">
      <c r="A3">
        <v>1</v>
      </c>
      <c r="B3" t="s">
        <v>23</v>
      </c>
      <c r="C3" t="s">
        <v>18</v>
      </c>
      <c r="D3">
        <v>14592</v>
      </c>
      <c r="E3">
        <v>96</v>
      </c>
      <c r="F3">
        <v>1</v>
      </c>
      <c r="G3">
        <v>4</v>
      </c>
      <c r="H3">
        <v>11.5314</v>
      </c>
      <c r="I3">
        <v>9.34</v>
      </c>
      <c r="J3">
        <f t="shared" ref="J3:J16" si="0">((H3/I3)-1)*100</f>
        <v>23.462526766595282</v>
      </c>
      <c r="K3" t="s">
        <v>33</v>
      </c>
    </row>
    <row r="4" spans="1:12" x14ac:dyDescent="0.25">
      <c r="A4">
        <v>1</v>
      </c>
      <c r="B4" t="s">
        <v>23</v>
      </c>
      <c r="C4" t="s">
        <v>16</v>
      </c>
      <c r="D4">
        <v>14640</v>
      </c>
      <c r="E4">
        <v>80</v>
      </c>
      <c r="F4">
        <v>1</v>
      </c>
      <c r="G4">
        <v>4</v>
      </c>
      <c r="H4">
        <v>2.5854200000000001</v>
      </c>
      <c r="I4">
        <v>1.98</v>
      </c>
      <c r="J4">
        <f t="shared" si="0"/>
        <v>30.576767676767691</v>
      </c>
      <c r="K4" t="s">
        <v>33</v>
      </c>
    </row>
    <row r="5" spans="1:12" x14ac:dyDescent="0.25">
      <c r="A5">
        <v>1</v>
      </c>
      <c r="B5" t="s">
        <v>0</v>
      </c>
      <c r="C5" t="s">
        <v>20</v>
      </c>
      <c r="D5">
        <v>14400</v>
      </c>
      <c r="E5">
        <v>96</v>
      </c>
      <c r="F5">
        <v>2</v>
      </c>
      <c r="G5">
        <v>2</v>
      </c>
      <c r="H5">
        <v>4.4801000000000002</v>
      </c>
      <c r="I5">
        <v>2.5499999999999998</v>
      </c>
      <c r="J5">
        <f t="shared" si="0"/>
        <v>75.690196078431399</v>
      </c>
      <c r="K5" t="s">
        <v>38</v>
      </c>
      <c r="L5" t="s">
        <v>39</v>
      </c>
    </row>
    <row r="6" spans="1:12" x14ac:dyDescent="0.25">
      <c r="A6">
        <v>1</v>
      </c>
      <c r="B6" t="s">
        <v>0</v>
      </c>
      <c r="C6" t="s">
        <v>8</v>
      </c>
      <c r="D6">
        <v>6720</v>
      </c>
      <c r="E6">
        <v>64</v>
      </c>
      <c r="F6">
        <v>1</v>
      </c>
      <c r="G6">
        <v>1</v>
      </c>
      <c r="H6">
        <v>0.28684999999999999</v>
      </c>
      <c r="I6">
        <v>0.21299999999999999</v>
      </c>
      <c r="J6">
        <f t="shared" si="0"/>
        <v>34.671361502347423</v>
      </c>
      <c r="K6" t="s">
        <v>31</v>
      </c>
    </row>
    <row r="7" spans="1:12" x14ac:dyDescent="0.25">
      <c r="A7">
        <v>1</v>
      </c>
      <c r="B7" t="s">
        <v>23</v>
      </c>
      <c r="C7" t="s">
        <v>10</v>
      </c>
      <c r="D7">
        <v>9792</v>
      </c>
      <c r="E7">
        <v>96</v>
      </c>
      <c r="F7">
        <v>1</v>
      </c>
      <c r="G7">
        <v>4</v>
      </c>
      <c r="H7">
        <v>6.7698</v>
      </c>
      <c r="I7">
        <v>6.4</v>
      </c>
      <c r="J7">
        <f t="shared" si="0"/>
        <v>5.7781249999999895</v>
      </c>
      <c r="K7" t="s">
        <v>34</v>
      </c>
    </row>
    <row r="8" spans="1:12" x14ac:dyDescent="0.25">
      <c r="A8">
        <v>1</v>
      </c>
      <c r="B8" t="s">
        <v>23</v>
      </c>
      <c r="C8" t="s">
        <v>12</v>
      </c>
      <c r="D8">
        <v>20096</v>
      </c>
      <c r="E8">
        <v>128</v>
      </c>
      <c r="F8">
        <v>1</v>
      </c>
      <c r="G8">
        <v>4</v>
      </c>
      <c r="H8">
        <v>13.006600000000001</v>
      </c>
      <c r="I8">
        <v>11.477</v>
      </c>
      <c r="J8">
        <f t="shared" si="0"/>
        <v>13.327524614446284</v>
      </c>
      <c r="K8" t="s">
        <v>35</v>
      </c>
      <c r="L8" t="s">
        <v>41</v>
      </c>
    </row>
    <row r="9" spans="1:12" x14ac:dyDescent="0.25">
      <c r="A9">
        <v>1</v>
      </c>
      <c r="B9" t="s">
        <v>23</v>
      </c>
      <c r="C9" t="s">
        <v>14</v>
      </c>
      <c r="D9">
        <v>29120</v>
      </c>
      <c r="E9">
        <v>224</v>
      </c>
      <c r="F9">
        <v>1</v>
      </c>
      <c r="G9">
        <v>4</v>
      </c>
      <c r="H9">
        <v>42.326000000000001</v>
      </c>
      <c r="I9">
        <v>31.4</v>
      </c>
      <c r="J9">
        <f t="shared" si="0"/>
        <v>34.796178343949059</v>
      </c>
      <c r="K9" t="s">
        <v>36</v>
      </c>
    </row>
    <row r="10" spans="1:12" x14ac:dyDescent="0.25">
      <c r="A10">
        <v>4</v>
      </c>
      <c r="B10" t="s">
        <v>23</v>
      </c>
      <c r="C10" t="s">
        <v>21</v>
      </c>
      <c r="D10">
        <v>19264</v>
      </c>
      <c r="E10">
        <v>224</v>
      </c>
      <c r="F10">
        <v>1</v>
      </c>
      <c r="G10">
        <v>8</v>
      </c>
      <c r="H10">
        <v>2.3454000000000002</v>
      </c>
      <c r="I10" t="s">
        <v>43</v>
      </c>
    </row>
    <row r="11" spans="1:12" x14ac:dyDescent="0.25">
      <c r="A11">
        <v>4</v>
      </c>
      <c r="B11" t="s">
        <v>23</v>
      </c>
      <c r="C11" t="s">
        <v>18</v>
      </c>
      <c r="D11">
        <v>29040</v>
      </c>
      <c r="E11">
        <v>120</v>
      </c>
      <c r="F11">
        <v>2</v>
      </c>
      <c r="G11">
        <v>8</v>
      </c>
      <c r="H11">
        <v>41.718400000000003</v>
      </c>
      <c r="I11">
        <v>30.899000000000001</v>
      </c>
      <c r="J11">
        <f t="shared" si="0"/>
        <v>35.015372665782074</v>
      </c>
      <c r="K11" t="s">
        <v>37</v>
      </c>
    </row>
    <row r="12" spans="1:12" x14ac:dyDescent="0.25">
      <c r="A12">
        <v>4</v>
      </c>
      <c r="B12" t="s">
        <v>23</v>
      </c>
      <c r="C12" t="s">
        <v>16</v>
      </c>
      <c r="D12">
        <v>29056</v>
      </c>
      <c r="E12">
        <v>64</v>
      </c>
      <c r="F12">
        <v>2</v>
      </c>
      <c r="G12">
        <v>8</v>
      </c>
      <c r="H12">
        <v>10.045</v>
      </c>
      <c r="I12">
        <v>7.9950000000000001</v>
      </c>
      <c r="J12">
        <f t="shared" si="0"/>
        <v>25.641025641025639</v>
      </c>
      <c r="K12" t="s">
        <v>37</v>
      </c>
    </row>
    <row r="13" spans="1:12" x14ac:dyDescent="0.25">
      <c r="A13">
        <v>4</v>
      </c>
      <c r="B13" t="s">
        <v>0</v>
      </c>
      <c r="C13" t="s">
        <v>20</v>
      </c>
      <c r="D13">
        <v>28800</v>
      </c>
      <c r="E13">
        <v>96</v>
      </c>
      <c r="F13">
        <v>2</v>
      </c>
      <c r="G13">
        <v>8</v>
      </c>
      <c r="H13">
        <v>13.460800000000001</v>
      </c>
      <c r="I13">
        <v>8</v>
      </c>
      <c r="J13">
        <f t="shared" si="0"/>
        <v>68.260000000000005</v>
      </c>
      <c r="K13" t="s">
        <v>38</v>
      </c>
      <c r="L13" t="s">
        <v>39</v>
      </c>
    </row>
    <row r="14" spans="1:12" x14ac:dyDescent="0.25">
      <c r="A14">
        <v>4</v>
      </c>
      <c r="B14" t="s">
        <v>0</v>
      </c>
      <c r="C14" t="s">
        <v>8</v>
      </c>
      <c r="D14">
        <v>13440</v>
      </c>
      <c r="E14">
        <v>64</v>
      </c>
      <c r="F14">
        <v>2</v>
      </c>
      <c r="G14">
        <v>2</v>
      </c>
      <c r="H14">
        <v>1.0354000000000001</v>
      </c>
      <c r="I14">
        <v>0.64100000000000001</v>
      </c>
      <c r="J14">
        <f t="shared" si="0"/>
        <v>61.528861154446176</v>
      </c>
      <c r="K14" t="s">
        <v>31</v>
      </c>
    </row>
    <row r="15" spans="1:12" x14ac:dyDescent="0.25">
      <c r="A15">
        <v>4</v>
      </c>
      <c r="B15" t="s">
        <v>23</v>
      </c>
      <c r="C15" t="s">
        <v>10</v>
      </c>
      <c r="D15">
        <v>19584</v>
      </c>
      <c r="E15">
        <v>96</v>
      </c>
      <c r="F15">
        <v>2</v>
      </c>
      <c r="G15">
        <v>8</v>
      </c>
      <c r="H15">
        <v>13.911</v>
      </c>
      <c r="I15">
        <v>9.6329999999999991</v>
      </c>
      <c r="J15">
        <f t="shared" si="0"/>
        <v>44.409841170974772</v>
      </c>
      <c r="K15" t="s">
        <v>40</v>
      </c>
    </row>
    <row r="16" spans="1:12" x14ac:dyDescent="0.25">
      <c r="A16">
        <v>4</v>
      </c>
      <c r="B16" t="s">
        <v>23</v>
      </c>
      <c r="C16" t="s">
        <v>12</v>
      </c>
      <c r="D16">
        <v>40064</v>
      </c>
      <c r="E16">
        <v>128</v>
      </c>
      <c r="F16">
        <v>2</v>
      </c>
      <c r="G16">
        <v>8</v>
      </c>
      <c r="H16">
        <v>45.218400000000003</v>
      </c>
      <c r="I16">
        <v>38.457000000000001</v>
      </c>
      <c r="J16">
        <f t="shared" si="0"/>
        <v>17.581714642327807</v>
      </c>
      <c r="K16" t="s">
        <v>35</v>
      </c>
      <c r="L16" t="s">
        <v>42</v>
      </c>
    </row>
    <row r="17" spans="1:9" x14ac:dyDescent="0.25">
      <c r="A17">
        <v>4</v>
      </c>
      <c r="B17" t="s">
        <v>23</v>
      </c>
      <c r="C17" t="s">
        <v>14</v>
      </c>
      <c r="D17">
        <v>51968</v>
      </c>
      <c r="E17">
        <v>224</v>
      </c>
      <c r="F17">
        <v>2</v>
      </c>
      <c r="G17">
        <v>8</v>
      </c>
      <c r="H17">
        <v>150.334</v>
      </c>
      <c r="I17" t="s">
        <v>43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3</vt:i4>
      </vt:variant>
    </vt:vector>
  </HeadingPairs>
  <TitlesOfParts>
    <vt:vector size="3" baseType="lpstr">
      <vt:lpstr>Sheet1</vt:lpstr>
      <vt:lpstr>Best HPL numbers</vt:lpstr>
      <vt:lpstr>Related Work Comparison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Zdravko Krpić</dc:creator>
  <cp:keywords/>
  <dc:description/>
  <cp:lastModifiedBy>Zdravko Krpić</cp:lastModifiedBy>
  <cp:revision/>
  <dcterms:created xsi:type="dcterms:W3CDTF">2025-04-09T07:51:08Z</dcterms:created>
  <dcterms:modified xsi:type="dcterms:W3CDTF">2025-04-23T10:32:36Z</dcterms:modified>
  <cp:category/>
  <cp:contentStatus/>
</cp:coreProperties>
</file>