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tfoshr-my.sharepoint.com/personal/krpic_etfos_hr/Documents/Istraživanje/1. SBCC/Results2/"/>
    </mc:Choice>
  </mc:AlternateContent>
  <xr:revisionPtr revIDLastSave="1381" documentId="13_ncr:1_{46C4B7D4-4BEB-4161-9000-D185BCCA4EC4}" xr6:coauthVersionLast="47" xr6:coauthVersionMax="47" xr10:uidLastSave="{8FAF03C7-6A03-4522-8310-813A5479E2C0}"/>
  <bookViews>
    <workbookView xWindow="38235" yWindow="375" windowWidth="38610" windowHeight="20880" activeTab="3" xr2:uid="{A2AD9453-B2DD-442A-8FF6-DE56922957DD}"/>
  </bookViews>
  <sheets>
    <sheet name="Arch details" sheetId="6" r:id="rId1"/>
    <sheet name="ATLAS builds" sheetId="9" r:id="rId2"/>
    <sheet name="Arch flags GFLOPs" sheetId="17" r:id="rId3"/>
    <sheet name="4 nodes, builds, RAW" sheetId="12" r:id="rId4"/>
    <sheet name="1 node, params, RAW" sheetId="15" r:id="rId5"/>
    <sheet name="4 node, params, RAW" sheetId="16" r:id="rId6"/>
    <sheet name="1 node, params" sheetId="18" r:id="rId7"/>
    <sheet name="4 node, params" sheetId="19" r:id="rId8"/>
    <sheet name="Scalability analysis" sheetId="2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3" i="20" l="1"/>
  <c r="S4" i="19"/>
  <c r="Z4" i="19"/>
  <c r="S5" i="19"/>
  <c r="Z5" i="19"/>
  <c r="S6" i="19"/>
  <c r="Z6" i="19"/>
  <c r="S7" i="19"/>
  <c r="Z7" i="19"/>
  <c r="S8" i="19"/>
  <c r="Z8" i="19"/>
  <c r="S9" i="19"/>
  <c r="Z9" i="19"/>
  <c r="S10" i="19"/>
  <c r="Z10" i="19"/>
  <c r="S11" i="19"/>
  <c r="Z11" i="19"/>
  <c r="S12" i="19"/>
  <c r="Z12" i="19"/>
  <c r="S13" i="19"/>
  <c r="Z13" i="19"/>
  <c r="S14" i="19"/>
  <c r="Z14" i="19"/>
  <c r="S15" i="19"/>
  <c r="Z15" i="19"/>
  <c r="S16" i="19"/>
  <c r="Z16" i="19"/>
  <c r="S17" i="19"/>
  <c r="Z17" i="19"/>
  <c r="S18" i="19"/>
  <c r="Z18" i="19"/>
  <c r="S19" i="19"/>
  <c r="Z19" i="19"/>
  <c r="S20" i="19"/>
  <c r="Z20" i="19"/>
  <c r="S21" i="19"/>
  <c r="Z21" i="19"/>
  <c r="S22" i="19"/>
  <c r="Z22" i="19"/>
  <c r="S23" i="19"/>
  <c r="Z23" i="19"/>
  <c r="S24" i="19"/>
  <c r="Z24" i="19"/>
  <c r="S25" i="19"/>
  <c r="Z25" i="19"/>
  <c r="S26" i="19"/>
  <c r="Z26" i="19"/>
  <c r="S27" i="19"/>
  <c r="Z27" i="19"/>
  <c r="S28" i="19"/>
  <c r="Z28" i="19"/>
  <c r="S29" i="19"/>
  <c r="Z29" i="19"/>
  <c r="S30" i="19"/>
  <c r="Z30" i="19"/>
  <c r="S31" i="19"/>
  <c r="Z31" i="19"/>
  <c r="S32" i="19"/>
  <c r="Z32" i="19"/>
  <c r="S33" i="19"/>
  <c r="Z33" i="19"/>
  <c r="S34" i="19"/>
  <c r="Z34" i="19"/>
  <c r="S35" i="19"/>
  <c r="Z35" i="19"/>
  <c r="S36" i="19"/>
  <c r="Z36" i="19"/>
  <c r="S37" i="19"/>
  <c r="Z37" i="19"/>
  <c r="S38" i="19"/>
  <c r="Z38" i="19"/>
  <c r="S39" i="19"/>
  <c r="Z39" i="19"/>
  <c r="S40" i="19"/>
  <c r="Z40" i="19"/>
  <c r="S41" i="19"/>
  <c r="Z41" i="19"/>
  <c r="S42" i="19"/>
  <c r="Z42" i="19"/>
  <c r="S43" i="19"/>
  <c r="Z43" i="19"/>
  <c r="S44" i="19"/>
  <c r="Z44" i="19"/>
  <c r="S45" i="19"/>
  <c r="Z45" i="19"/>
  <c r="S46" i="19"/>
  <c r="Z46" i="19"/>
  <c r="S47" i="19"/>
  <c r="Z47" i="19"/>
  <c r="S48" i="19"/>
  <c r="Z48" i="19"/>
  <c r="S49" i="19"/>
  <c r="Z49" i="19"/>
  <c r="S50" i="19"/>
  <c r="Z50" i="19"/>
  <c r="S51" i="19"/>
  <c r="Z51" i="19"/>
  <c r="S52" i="19"/>
  <c r="Z52" i="19"/>
  <c r="S53" i="19"/>
  <c r="Z53" i="19"/>
  <c r="S54" i="19"/>
  <c r="Z54" i="19"/>
  <c r="S55" i="19"/>
  <c r="Z55" i="19"/>
  <c r="S56" i="19"/>
  <c r="Z56" i="19"/>
  <c r="S57" i="19"/>
  <c r="Z57" i="19"/>
  <c r="S58" i="19"/>
  <c r="Z58" i="19"/>
  <c r="S59" i="19"/>
  <c r="Z59" i="19"/>
  <c r="S60" i="19"/>
  <c r="Z60" i="19"/>
  <c r="S61" i="19"/>
  <c r="Z61" i="19"/>
  <c r="S62" i="19"/>
  <c r="Z62" i="19"/>
  <c r="S63" i="19"/>
  <c r="Z63" i="19"/>
  <c r="S64" i="19"/>
  <c r="Z64" i="19"/>
  <c r="S65" i="19"/>
  <c r="Z65" i="19"/>
  <c r="S66" i="19"/>
  <c r="Z66" i="19"/>
  <c r="S67" i="19"/>
  <c r="Z67" i="19"/>
  <c r="S68" i="19"/>
  <c r="Z68" i="19"/>
  <c r="S69" i="19"/>
  <c r="Z69" i="19"/>
  <c r="S70" i="19"/>
  <c r="Z70" i="19"/>
  <c r="S71" i="19"/>
  <c r="Z71" i="19"/>
  <c r="S72" i="19"/>
  <c r="Z72" i="19"/>
  <c r="S73" i="19"/>
  <c r="Z73" i="19"/>
  <c r="S74" i="19"/>
  <c r="Z74" i="19"/>
  <c r="S75" i="19"/>
  <c r="Z75" i="19"/>
  <c r="V5" i="18"/>
  <c r="V6" i="18"/>
  <c r="V7" i="18"/>
  <c r="V8" i="18"/>
  <c r="V9" i="18"/>
  <c r="V10" i="18"/>
  <c r="V11" i="18"/>
  <c r="V12" i="18"/>
  <c r="V13" i="18"/>
  <c r="V14" i="18"/>
  <c r="V15" i="18"/>
  <c r="V16" i="18"/>
  <c r="V17" i="18"/>
  <c r="V18" i="18"/>
  <c r="V19" i="18"/>
  <c r="V20" i="18"/>
  <c r="V21" i="18"/>
  <c r="V22" i="18"/>
  <c r="V23" i="18"/>
  <c r="V24" i="18"/>
  <c r="V25" i="18"/>
  <c r="V26" i="18"/>
  <c r="V27" i="18"/>
  <c r="V28" i="18"/>
  <c r="V29" i="18"/>
  <c r="V30" i="18"/>
  <c r="V31" i="18"/>
  <c r="V32" i="18"/>
  <c r="V33" i="18"/>
  <c r="V34" i="18"/>
  <c r="V35" i="18"/>
  <c r="V36" i="18"/>
  <c r="V37" i="18"/>
  <c r="V38" i="18"/>
  <c r="V39" i="18"/>
  <c r="V40" i="18"/>
  <c r="V41" i="18"/>
  <c r="V42" i="18"/>
  <c r="V43" i="18"/>
  <c r="V44" i="18"/>
  <c r="V45" i="18"/>
  <c r="V46" i="18"/>
  <c r="V47" i="18"/>
  <c r="V48" i="18"/>
  <c r="V49" i="18"/>
  <c r="V50" i="18"/>
  <c r="V51" i="18"/>
  <c r="V52" i="18"/>
  <c r="V53" i="18"/>
  <c r="V54" i="18"/>
  <c r="V55" i="18"/>
  <c r="V56" i="18"/>
  <c r="V57" i="18"/>
  <c r="V58" i="18"/>
  <c r="V59" i="18"/>
  <c r="V60" i="18"/>
  <c r="V61" i="18"/>
  <c r="V62" i="18"/>
  <c r="V63" i="18"/>
  <c r="V64" i="18"/>
  <c r="V65" i="18"/>
  <c r="V66" i="18"/>
  <c r="V67" i="18"/>
  <c r="V68" i="18"/>
  <c r="V69" i="18"/>
  <c r="V70" i="18"/>
  <c r="V71" i="18"/>
  <c r="V72" i="18"/>
  <c r="V73" i="18"/>
  <c r="V74" i="18"/>
  <c r="V75" i="18"/>
  <c r="V76" i="18"/>
  <c r="V77" i="18"/>
  <c r="V78" i="18"/>
  <c r="V79" i="18"/>
  <c r="V80" i="18"/>
  <c r="V81" i="18"/>
  <c r="V82" i="18"/>
  <c r="V83" i="18"/>
  <c r="V84" i="18"/>
  <c r="V85" i="18"/>
  <c r="V86" i="18"/>
  <c r="V87" i="18"/>
  <c r="V88" i="18"/>
  <c r="V89" i="18"/>
  <c r="V90" i="18"/>
  <c r="V91" i="18"/>
  <c r="V92" i="18"/>
  <c r="V93" i="18"/>
  <c r="V94" i="18"/>
  <c r="V95" i="18"/>
  <c r="V96" i="18"/>
  <c r="V97" i="18"/>
  <c r="V98" i="18"/>
  <c r="V99" i="18"/>
  <c r="V100" i="18"/>
  <c r="V101" i="18"/>
  <c r="V102" i="18"/>
  <c r="V103" i="18"/>
  <c r="V104" i="18"/>
  <c r="V105" i="18"/>
  <c r="V106" i="18"/>
  <c r="V107" i="18"/>
  <c r="V108" i="18"/>
  <c r="V109" i="18"/>
  <c r="V110" i="18"/>
  <c r="V111" i="18"/>
  <c r="V112" i="18"/>
  <c r="V113" i="18"/>
  <c r="V114" i="18"/>
  <c r="V115" i="18"/>
  <c r="V116" i="18"/>
  <c r="V117" i="18"/>
  <c r="V118" i="18"/>
  <c r="V119" i="18"/>
  <c r="V120" i="18"/>
  <c r="V121" i="18"/>
  <c r="V122" i="18"/>
  <c r="V123" i="18"/>
  <c r="V124" i="18"/>
  <c r="V125" i="18"/>
  <c r="V126" i="18"/>
  <c r="V127" i="18"/>
  <c r="V128" i="18"/>
  <c r="V129" i="18"/>
  <c r="V130" i="18"/>
  <c r="V131" i="18"/>
  <c r="V132" i="18"/>
  <c r="V133" i="18"/>
  <c r="V134" i="18"/>
  <c r="V135" i="18"/>
  <c r="V136" i="18"/>
  <c r="V137" i="18"/>
  <c r="V138" i="18"/>
  <c r="V139" i="18"/>
  <c r="V140" i="18"/>
  <c r="V141" i="18"/>
  <c r="V142" i="18"/>
  <c r="V143" i="18"/>
  <c r="V144" i="18"/>
  <c r="V145" i="18"/>
  <c r="V146" i="18"/>
  <c r="V147" i="18"/>
  <c r="V148" i="18"/>
  <c r="V149" i="18"/>
  <c r="V150" i="18"/>
  <c r="V151" i="18"/>
  <c r="V152" i="18"/>
  <c r="V153" i="18"/>
  <c r="V154" i="18"/>
  <c r="V155" i="18"/>
  <c r="V156" i="18"/>
  <c r="V157" i="18"/>
  <c r="V158" i="18"/>
  <c r="V159" i="18"/>
  <c r="V160" i="18"/>
  <c r="V161" i="18"/>
  <c r="V162" i="18"/>
  <c r="V163" i="18"/>
  <c r="V164" i="18"/>
  <c r="V165" i="18"/>
  <c r="V166" i="18"/>
  <c r="V167" i="18"/>
  <c r="V168" i="18"/>
  <c r="V169" i="18"/>
  <c r="V170" i="18"/>
  <c r="V171" i="18"/>
  <c r="V172" i="18"/>
  <c r="V173" i="18"/>
  <c r="V174" i="18"/>
  <c r="V175" i="18"/>
  <c r="V176" i="18"/>
  <c r="V177" i="18"/>
  <c r="V178" i="18"/>
  <c r="V179" i="18"/>
  <c r="V180" i="18"/>
  <c r="V181" i="18"/>
  <c r="V182" i="18"/>
  <c r="V183" i="18"/>
  <c r="V184" i="18"/>
  <c r="V185" i="18"/>
  <c r="V186" i="18"/>
  <c r="V187" i="18"/>
  <c r="V188" i="18"/>
  <c r="V189" i="18"/>
  <c r="V190" i="18"/>
  <c r="V191" i="18"/>
  <c r="V192" i="18"/>
  <c r="V193" i="18"/>
  <c r="V194" i="18"/>
  <c r="V195" i="18"/>
  <c r="V196" i="18"/>
  <c r="V197" i="18"/>
  <c r="V198" i="18"/>
  <c r="V199" i="18"/>
  <c r="V200" i="18"/>
  <c r="V201" i="18"/>
  <c r="V202" i="18"/>
  <c r="V203" i="18"/>
  <c r="V204" i="18"/>
  <c r="V205" i="18"/>
  <c r="V206" i="18"/>
  <c r="V207" i="18"/>
  <c r="V208" i="18"/>
  <c r="V209" i="18"/>
  <c r="V210" i="18"/>
  <c r="V211" i="18"/>
  <c r="V212" i="18"/>
  <c r="V213" i="18"/>
  <c r="V214" i="18"/>
  <c r="V215" i="18"/>
  <c r="V216" i="18"/>
  <c r="V217" i="18"/>
  <c r="V218" i="18"/>
  <c r="V219" i="18"/>
  <c r="V220" i="18"/>
  <c r="V221" i="18"/>
  <c r="V222" i="18"/>
  <c r="V223" i="18"/>
  <c r="V224" i="18"/>
  <c r="V225" i="18"/>
  <c r="V226" i="18"/>
  <c r="V227" i="18"/>
  <c r="V228" i="18"/>
  <c r="V229" i="18"/>
  <c r="V230" i="18"/>
  <c r="V231" i="18"/>
  <c r="V232" i="18"/>
  <c r="V233" i="18"/>
  <c r="V234" i="18"/>
  <c r="V235" i="18"/>
  <c r="V236" i="18"/>
  <c r="V237" i="18"/>
  <c r="V238" i="18"/>
  <c r="V239" i="18"/>
  <c r="V240" i="18"/>
  <c r="V241" i="18"/>
  <c r="V242" i="18"/>
  <c r="V243" i="18"/>
  <c r="V244" i="18"/>
  <c r="V245" i="18"/>
  <c r="V246" i="18"/>
  <c r="V247" i="18"/>
  <c r="V248" i="18"/>
  <c r="V249" i="18"/>
  <c r="V250" i="18"/>
  <c r="V251" i="18"/>
  <c r="V252" i="18"/>
  <c r="V253" i="18"/>
  <c r="V254" i="18"/>
  <c r="V255" i="18"/>
  <c r="V256" i="18"/>
  <c r="V257" i="18"/>
  <c r="V258" i="18"/>
  <c r="V259" i="18"/>
  <c r="V260" i="18"/>
  <c r="V261" i="18"/>
  <c r="V262" i="18"/>
  <c r="V263" i="18"/>
  <c r="V264" i="18"/>
  <c r="V265" i="18"/>
  <c r="V266" i="18"/>
  <c r="V267" i="18"/>
  <c r="V268" i="18"/>
  <c r="V269" i="18"/>
  <c r="V270" i="18"/>
  <c r="V271" i="18"/>
  <c r="V272" i="18"/>
  <c r="V273" i="18"/>
  <c r="V274" i="18"/>
  <c r="V275" i="18"/>
  <c r="V276" i="18"/>
  <c r="V277" i="18"/>
  <c r="V278" i="18"/>
  <c r="V279" i="18"/>
  <c r="V280" i="18"/>
  <c r="V281" i="18"/>
  <c r="V282" i="18"/>
  <c r="V283" i="18"/>
  <c r="V284" i="18"/>
  <c r="V285" i="18"/>
  <c r="V286" i="18"/>
  <c r="V287" i="18"/>
  <c r="V288" i="18"/>
  <c r="V289" i="18"/>
  <c r="V290" i="18"/>
  <c r="V291" i="18"/>
  <c r="V292" i="18"/>
  <c r="V293" i="18"/>
  <c r="V294" i="18"/>
  <c r="V295" i="18"/>
  <c r="V296" i="18"/>
  <c r="V297" i="18"/>
  <c r="V298" i="18"/>
  <c r="V299" i="18"/>
  <c r="V300" i="18"/>
  <c r="V301" i="18"/>
  <c r="V302" i="18"/>
  <c r="V303" i="18"/>
  <c r="V304" i="18"/>
  <c r="V305" i="18"/>
  <c r="V306" i="18"/>
  <c r="V307" i="18"/>
  <c r="V308" i="18"/>
  <c r="V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158" i="18"/>
  <c r="O159" i="18"/>
  <c r="O160" i="18"/>
  <c r="O161" i="18"/>
  <c r="O162" i="18"/>
  <c r="O163" i="18"/>
  <c r="O164" i="18"/>
  <c r="O165" i="18"/>
  <c r="O166" i="18"/>
  <c r="O167" i="18"/>
  <c r="O168" i="18"/>
  <c r="O169" i="18"/>
  <c r="O170" i="18"/>
  <c r="O171" i="18"/>
  <c r="O172" i="18"/>
  <c r="O173" i="18"/>
  <c r="O174" i="18"/>
  <c r="O175" i="18"/>
  <c r="O176" i="18"/>
  <c r="O177" i="18"/>
  <c r="O178" i="18"/>
  <c r="O179" i="18"/>
  <c r="O180" i="18"/>
  <c r="O181" i="18"/>
  <c r="O182" i="18"/>
  <c r="O183" i="18"/>
  <c r="O184" i="18"/>
  <c r="O185" i="18"/>
  <c r="O186" i="18"/>
  <c r="O187" i="18"/>
  <c r="O188" i="18"/>
  <c r="O189" i="18"/>
  <c r="O190" i="18"/>
  <c r="O191" i="18"/>
  <c r="O192" i="18"/>
  <c r="O193" i="18"/>
  <c r="O194" i="18"/>
  <c r="O195" i="18"/>
  <c r="O196" i="18"/>
  <c r="O197" i="18"/>
  <c r="O198" i="18"/>
  <c r="O199" i="18"/>
  <c r="O200" i="18"/>
  <c r="O201" i="18"/>
  <c r="O202" i="18"/>
  <c r="O203" i="18"/>
  <c r="O204" i="18"/>
  <c r="O205" i="18"/>
  <c r="O206" i="18"/>
  <c r="O207" i="18"/>
  <c r="O208" i="18"/>
  <c r="O209" i="18"/>
  <c r="O210" i="18"/>
  <c r="O211" i="18"/>
  <c r="O212" i="18"/>
  <c r="O213" i="18"/>
  <c r="O214" i="18"/>
  <c r="O215" i="18"/>
  <c r="O216" i="18"/>
  <c r="O217" i="18"/>
  <c r="O218" i="18"/>
  <c r="O219" i="18"/>
  <c r="O220" i="18"/>
  <c r="O221" i="18"/>
  <c r="O222" i="18"/>
  <c r="O223" i="18"/>
  <c r="O224" i="18"/>
  <c r="O225" i="18"/>
  <c r="O226" i="18"/>
  <c r="O227" i="18"/>
  <c r="O228" i="18"/>
  <c r="O229" i="18"/>
  <c r="O230" i="18"/>
  <c r="O231" i="18"/>
  <c r="O232" i="18"/>
  <c r="O233" i="18"/>
  <c r="O234" i="18"/>
  <c r="O235" i="18"/>
  <c r="O236" i="18"/>
  <c r="O237" i="18"/>
  <c r="O238" i="18"/>
  <c r="O239" i="18"/>
  <c r="O240" i="18"/>
  <c r="O241" i="18"/>
  <c r="O242" i="18"/>
  <c r="O243" i="18"/>
  <c r="O244" i="18"/>
  <c r="O245" i="18"/>
  <c r="O246" i="18"/>
  <c r="O247" i="18"/>
  <c r="O248" i="18"/>
  <c r="O249" i="18"/>
  <c r="O250" i="18"/>
  <c r="O251" i="18"/>
  <c r="O252" i="18"/>
  <c r="O253" i="18"/>
  <c r="O254" i="18"/>
  <c r="O255" i="18"/>
  <c r="O256" i="18"/>
  <c r="O257" i="18"/>
  <c r="O258" i="18"/>
  <c r="O259" i="18"/>
  <c r="O260" i="18"/>
  <c r="O261" i="18"/>
  <c r="O262" i="18"/>
  <c r="O263" i="18"/>
  <c r="O264" i="18"/>
  <c r="O265" i="18"/>
  <c r="O266" i="18"/>
  <c r="O267" i="18"/>
  <c r="O268" i="18"/>
  <c r="O269" i="18"/>
  <c r="O270" i="18"/>
  <c r="O271" i="18"/>
  <c r="O272" i="18"/>
  <c r="O273" i="18"/>
  <c r="O274" i="18"/>
  <c r="O275" i="18"/>
  <c r="O276" i="18"/>
  <c r="O277" i="18"/>
  <c r="O278" i="18"/>
  <c r="O279" i="18"/>
  <c r="O280" i="18"/>
  <c r="O281" i="18"/>
  <c r="O282" i="18"/>
  <c r="O283" i="18"/>
  <c r="O284" i="18"/>
  <c r="O285" i="18"/>
  <c r="O286" i="18"/>
  <c r="O287" i="18"/>
  <c r="O288" i="18"/>
  <c r="O289" i="18"/>
  <c r="O290" i="18"/>
  <c r="O291" i="18"/>
  <c r="O292" i="18"/>
  <c r="O293" i="18"/>
  <c r="O294" i="18"/>
  <c r="O295" i="18"/>
  <c r="O296" i="18"/>
  <c r="O297" i="18"/>
  <c r="O298" i="18"/>
  <c r="O299" i="18"/>
  <c r="O300" i="18"/>
  <c r="O301" i="18"/>
  <c r="O302" i="18"/>
  <c r="O303" i="18"/>
  <c r="O304" i="18"/>
  <c r="O305" i="18"/>
  <c r="O306" i="18"/>
  <c r="O307" i="18"/>
  <c r="O308" i="18"/>
  <c r="O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9" i="18"/>
  <c r="H140" i="18"/>
  <c r="H141" i="18"/>
  <c r="H142" i="18"/>
  <c r="H143" i="18"/>
  <c r="H144" i="18"/>
  <c r="H145" i="18"/>
  <c r="H146" i="18"/>
  <c r="H147" i="18"/>
  <c r="H148" i="18"/>
  <c r="H149" i="18"/>
  <c r="H150" i="18"/>
  <c r="H151" i="18"/>
  <c r="H152" i="18"/>
  <c r="H153" i="18"/>
  <c r="H154" i="18"/>
  <c r="H155" i="18"/>
  <c r="H156" i="18"/>
  <c r="H157" i="18"/>
  <c r="H158" i="18"/>
  <c r="H159" i="18"/>
  <c r="H160" i="18"/>
  <c r="H161" i="18"/>
  <c r="H162" i="18"/>
  <c r="H163" i="18"/>
  <c r="H164" i="18"/>
  <c r="H165" i="18"/>
  <c r="H166" i="18"/>
  <c r="H167" i="18"/>
  <c r="H168" i="18"/>
  <c r="H169" i="18"/>
  <c r="H170" i="18"/>
  <c r="H171" i="18"/>
  <c r="H172" i="18"/>
  <c r="H173" i="18"/>
  <c r="H174" i="18"/>
  <c r="H175" i="18"/>
  <c r="H176" i="18"/>
  <c r="H177" i="18"/>
  <c r="H178" i="18"/>
  <c r="H179" i="18"/>
  <c r="H180" i="18"/>
  <c r="H181" i="18"/>
  <c r="H182" i="18"/>
  <c r="H183" i="18"/>
  <c r="H184" i="18"/>
  <c r="H185" i="18"/>
  <c r="H186" i="18"/>
  <c r="H187" i="18"/>
  <c r="H188" i="18"/>
  <c r="H189" i="18"/>
  <c r="H190" i="18"/>
  <c r="H191" i="18"/>
  <c r="H192" i="18"/>
  <c r="H193" i="18"/>
  <c r="H194" i="18"/>
  <c r="H195" i="18"/>
  <c r="H196" i="18"/>
  <c r="H197" i="18"/>
  <c r="H198" i="18"/>
  <c r="H199" i="18"/>
  <c r="H200" i="18"/>
  <c r="H201" i="18"/>
  <c r="H202" i="18"/>
  <c r="H203" i="18"/>
  <c r="H204" i="18"/>
  <c r="H205" i="18"/>
  <c r="H206" i="18"/>
  <c r="H207" i="18"/>
  <c r="H208" i="18"/>
  <c r="H209" i="18"/>
  <c r="H210" i="18"/>
  <c r="H211" i="18"/>
  <c r="H212" i="18"/>
  <c r="H213" i="18"/>
  <c r="H214" i="18"/>
  <c r="H215" i="18"/>
  <c r="H216" i="18"/>
  <c r="H217" i="18"/>
  <c r="H218" i="18"/>
  <c r="H219" i="18"/>
  <c r="H220" i="18"/>
  <c r="H221" i="18"/>
  <c r="H222" i="18"/>
  <c r="H223" i="18"/>
  <c r="H224" i="18"/>
  <c r="H225" i="18"/>
  <c r="H226" i="18"/>
  <c r="H227" i="18"/>
  <c r="H228" i="18"/>
  <c r="H229" i="18"/>
  <c r="H230" i="18"/>
  <c r="H231" i="18"/>
  <c r="H232" i="18"/>
  <c r="H233" i="18"/>
  <c r="H234" i="18"/>
  <c r="H235" i="18"/>
  <c r="H236" i="18"/>
  <c r="H237" i="18"/>
  <c r="H238" i="18"/>
  <c r="H239" i="18"/>
  <c r="H240" i="18"/>
  <c r="H241" i="18"/>
  <c r="H242" i="18"/>
  <c r="H243" i="18"/>
  <c r="H244" i="18"/>
  <c r="H245" i="18"/>
  <c r="H246" i="18"/>
  <c r="H247" i="18"/>
  <c r="H248" i="18"/>
  <c r="H249" i="18"/>
  <c r="H250" i="18"/>
  <c r="H251" i="18"/>
  <c r="H252" i="18"/>
  <c r="H253" i="18"/>
  <c r="H254" i="18"/>
  <c r="H255" i="18"/>
  <c r="H256" i="18"/>
  <c r="H257" i="18"/>
  <c r="H258" i="18"/>
  <c r="H259" i="18"/>
  <c r="H260" i="18"/>
  <c r="H261" i="18"/>
  <c r="H262" i="18"/>
  <c r="H263" i="18"/>
  <c r="H264" i="18"/>
  <c r="H265" i="18"/>
  <c r="H266" i="18"/>
  <c r="H267" i="18"/>
  <c r="H268" i="18"/>
  <c r="H269" i="18"/>
  <c r="H270" i="18"/>
  <c r="H271" i="18"/>
  <c r="H272" i="18"/>
  <c r="H273" i="18"/>
  <c r="H274" i="18"/>
  <c r="H275" i="18"/>
  <c r="H276" i="18"/>
  <c r="H277" i="18"/>
  <c r="H278" i="18"/>
  <c r="H279" i="18"/>
  <c r="H280" i="18"/>
  <c r="H281" i="18"/>
  <c r="H282" i="18"/>
  <c r="H283" i="18"/>
  <c r="H284" i="18"/>
  <c r="H285" i="18"/>
  <c r="H286" i="18"/>
  <c r="H287" i="18"/>
  <c r="H288" i="18"/>
  <c r="H289" i="18"/>
  <c r="H290" i="18"/>
  <c r="H291" i="18"/>
  <c r="H292" i="18"/>
  <c r="H293" i="18"/>
  <c r="H294" i="18"/>
  <c r="H295" i="18"/>
  <c r="H296" i="18"/>
  <c r="H297" i="18"/>
  <c r="H298" i="18"/>
  <c r="H299" i="18"/>
  <c r="H300" i="18"/>
  <c r="H301" i="18"/>
  <c r="H302" i="18"/>
  <c r="H303" i="18"/>
  <c r="H304" i="18"/>
  <c r="H305" i="18"/>
  <c r="H306" i="18"/>
  <c r="H307" i="18"/>
  <c r="H308" i="18"/>
  <c r="H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A100" i="18"/>
  <c r="A101" i="18"/>
  <c r="A102" i="18"/>
  <c r="A103" i="18"/>
  <c r="A104" i="18"/>
  <c r="A105" i="18"/>
  <c r="A106" i="18"/>
  <c r="A107" i="18"/>
  <c r="A108" i="18"/>
  <c r="A109" i="18"/>
  <c r="A110" i="18"/>
  <c r="A111" i="18"/>
  <c r="A112" i="18"/>
  <c r="A113" i="18"/>
  <c r="A114" i="18"/>
  <c r="A115" i="18"/>
  <c r="A116" i="18"/>
  <c r="A117" i="18"/>
  <c r="A118" i="18"/>
  <c r="A119" i="18"/>
  <c r="A120" i="18"/>
  <c r="A121" i="18"/>
  <c r="A122" i="18"/>
  <c r="A123" i="18"/>
  <c r="A124" i="18"/>
  <c r="A125" i="18"/>
  <c r="A126" i="18"/>
  <c r="A127" i="18"/>
  <c r="A128" i="18"/>
  <c r="A129" i="18"/>
  <c r="A130" i="18"/>
  <c r="A131" i="18"/>
  <c r="A132" i="18"/>
  <c r="A133" i="18"/>
  <c r="A134" i="18"/>
  <c r="A135" i="18"/>
  <c r="A136" i="18"/>
  <c r="A137" i="18"/>
  <c r="A138" i="18"/>
  <c r="A139" i="18"/>
  <c r="A140" i="18"/>
  <c r="A141" i="18"/>
  <c r="A142" i="18"/>
  <c r="A143" i="18"/>
  <c r="A144" i="18"/>
  <c r="A145" i="18"/>
  <c r="A146" i="18"/>
  <c r="A147" i="18"/>
  <c r="A148" i="18"/>
  <c r="A149" i="18"/>
  <c r="A150" i="18"/>
  <c r="A151" i="18"/>
  <c r="A152" i="18"/>
  <c r="A153" i="18"/>
  <c r="A154" i="18"/>
  <c r="A155" i="18"/>
  <c r="A156" i="18"/>
  <c r="A157" i="18"/>
  <c r="A158" i="18"/>
  <c r="A159" i="18"/>
  <c r="A160" i="18"/>
  <c r="A161" i="18"/>
  <c r="A162" i="18"/>
  <c r="A163" i="18"/>
  <c r="A164" i="18"/>
  <c r="A165" i="18"/>
  <c r="A166" i="18"/>
  <c r="A167" i="18"/>
  <c r="A168" i="18"/>
  <c r="A169" i="18"/>
  <c r="A170" i="18"/>
  <c r="A171" i="18"/>
  <c r="A172" i="18"/>
  <c r="A173" i="18"/>
  <c r="A174" i="18"/>
  <c r="A175" i="18"/>
  <c r="A176" i="18"/>
  <c r="A177" i="18"/>
  <c r="A178" i="18"/>
  <c r="A179" i="18"/>
  <c r="A180" i="18"/>
  <c r="A181" i="18"/>
  <c r="A182" i="18"/>
  <c r="A183" i="18"/>
  <c r="A184" i="18"/>
  <c r="A185" i="18"/>
  <c r="A186" i="18"/>
  <c r="A187" i="18"/>
  <c r="A188" i="18"/>
  <c r="A189" i="18"/>
  <c r="A190" i="18"/>
  <c r="A191" i="18"/>
  <c r="A192" i="18"/>
  <c r="A193" i="18"/>
  <c r="A194" i="18"/>
  <c r="A195" i="18"/>
  <c r="A196" i="18"/>
  <c r="A197" i="18"/>
  <c r="A198" i="18"/>
  <c r="A199" i="18"/>
  <c r="A200" i="18"/>
  <c r="A201" i="18"/>
  <c r="A202" i="18"/>
  <c r="A203" i="18"/>
  <c r="A204" i="18"/>
  <c r="A205" i="18"/>
  <c r="A206" i="18"/>
  <c r="A207" i="18"/>
  <c r="A208" i="18"/>
  <c r="A209" i="18"/>
  <c r="A210" i="18"/>
  <c r="A211" i="18"/>
  <c r="A212" i="18"/>
  <c r="A213" i="18"/>
  <c r="A214" i="18"/>
  <c r="A215" i="18"/>
  <c r="A216" i="18"/>
  <c r="A217" i="18"/>
  <c r="A218" i="18"/>
  <c r="A219" i="18"/>
  <c r="A220" i="18"/>
  <c r="A221" i="18"/>
  <c r="A222" i="18"/>
  <c r="A223" i="18"/>
  <c r="A224" i="18"/>
  <c r="A225" i="18"/>
  <c r="A226" i="18"/>
  <c r="A227" i="18"/>
  <c r="A228" i="18"/>
  <c r="A229" i="18"/>
  <c r="A230" i="18"/>
  <c r="A231" i="18"/>
  <c r="A232" i="18"/>
  <c r="A233" i="18"/>
  <c r="A234" i="18"/>
  <c r="A235" i="18"/>
  <c r="A236" i="18"/>
  <c r="A237" i="18"/>
  <c r="A238" i="18"/>
  <c r="A239" i="18"/>
  <c r="A240" i="18"/>
  <c r="A241" i="18"/>
  <c r="A242" i="18"/>
  <c r="A243" i="18"/>
  <c r="A244" i="18"/>
  <c r="A245" i="18"/>
  <c r="A246" i="18"/>
  <c r="A247" i="18"/>
  <c r="A248" i="18"/>
  <c r="A249" i="18"/>
  <c r="A250" i="18"/>
  <c r="A251" i="18"/>
  <c r="A252" i="18"/>
  <c r="A253" i="18"/>
  <c r="A254" i="18"/>
  <c r="A255" i="18"/>
  <c r="A256" i="18"/>
  <c r="A257" i="18"/>
  <c r="A258" i="18"/>
  <c r="A259" i="18"/>
  <c r="A260" i="18"/>
  <c r="A261" i="18"/>
  <c r="A262" i="18"/>
  <c r="A263" i="18"/>
  <c r="A264" i="18"/>
  <c r="A265" i="18"/>
  <c r="A266" i="18"/>
  <c r="A267" i="18"/>
  <c r="A268" i="18"/>
  <c r="A269" i="18"/>
  <c r="A270" i="18"/>
  <c r="A271" i="18"/>
  <c r="A272" i="18"/>
  <c r="A273" i="18"/>
  <c r="A274" i="18"/>
  <c r="A275" i="18"/>
  <c r="A276" i="18"/>
  <c r="A277" i="18"/>
  <c r="A278" i="18"/>
  <c r="A279" i="18"/>
  <c r="A280" i="18"/>
  <c r="A281" i="18"/>
  <c r="A282" i="18"/>
  <c r="A283" i="18"/>
  <c r="A284" i="18"/>
  <c r="A285" i="18"/>
  <c r="A286" i="18"/>
  <c r="A287" i="18"/>
  <c r="A288" i="18"/>
  <c r="A289" i="18"/>
  <c r="A290" i="18"/>
  <c r="A291" i="18"/>
  <c r="A292" i="18"/>
  <c r="A293" i="18"/>
  <c r="A294" i="18"/>
  <c r="A295" i="18"/>
  <c r="A296" i="18"/>
  <c r="A297" i="18"/>
  <c r="A298" i="18"/>
  <c r="A299" i="18"/>
  <c r="A300" i="18"/>
  <c r="A301" i="18"/>
  <c r="A302" i="18"/>
  <c r="A303" i="18"/>
  <c r="A304" i="18"/>
  <c r="A305" i="18"/>
  <c r="A306" i="18"/>
  <c r="A307" i="18"/>
  <c r="A308" i="18"/>
  <c r="A4" i="18"/>
  <c r="BC4" i="20"/>
  <c r="BC5" i="20"/>
  <c r="BC6" i="20"/>
  <c r="BC7" i="20"/>
  <c r="BC8" i="20"/>
  <c r="BC9" i="20"/>
  <c r="BC10" i="20"/>
  <c r="BC11" i="20"/>
  <c r="BC12" i="20"/>
  <c r="BC13" i="20"/>
  <c r="BC14" i="20"/>
  <c r="BC15" i="20"/>
  <c r="BC16" i="20"/>
  <c r="BC17" i="20"/>
  <c r="BC18" i="20"/>
  <c r="BC19" i="20"/>
  <c r="BC20" i="20"/>
  <c r="BC21" i="20"/>
  <c r="BC22" i="20"/>
  <c r="BC23" i="20"/>
  <c r="BC24" i="20"/>
  <c r="BC25" i="20"/>
  <c r="BC26" i="20"/>
  <c r="BC3" i="20"/>
  <c r="BA4" i="20"/>
  <c r="BA5" i="20"/>
  <c r="BA6" i="20"/>
  <c r="BA7" i="20"/>
  <c r="BA8" i="20"/>
  <c r="BA9" i="20"/>
  <c r="BA10" i="20"/>
  <c r="BA11" i="20"/>
  <c r="BA12" i="20"/>
  <c r="BA13" i="20"/>
  <c r="BA14" i="20"/>
  <c r="BA15" i="20"/>
  <c r="BA16" i="20"/>
  <c r="BA17" i="20"/>
  <c r="BA18" i="20"/>
  <c r="BA19" i="20"/>
  <c r="BA20" i="20"/>
  <c r="BA21" i="20"/>
  <c r="BA22" i="20"/>
  <c r="BA23" i="20"/>
  <c r="BA24" i="20"/>
  <c r="BA25" i="20"/>
  <c r="BA26" i="20"/>
  <c r="G61" i="9" l="1"/>
  <c r="G62" i="9"/>
  <c r="G63" i="9"/>
  <c r="G64" i="9"/>
  <c r="G65" i="9"/>
  <c r="G66" i="9"/>
  <c r="G67" i="9"/>
  <c r="G60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B4" i="19" a="1"/>
  <c r="AW14" i="16"/>
  <c r="AW15" i="16" s="1"/>
  <c r="AW16" i="16" s="1"/>
  <c r="AW17" i="16" s="1"/>
  <c r="AW18" i="16" s="1"/>
  <c r="AW19" i="16"/>
  <c r="AW20" i="16" s="1"/>
  <c r="AW21" i="16" s="1"/>
  <c r="AW22" i="16" s="1"/>
  <c r="AW23" i="16" s="1"/>
  <c r="AW24" i="16"/>
  <c r="AW25" i="16"/>
  <c r="AW26" i="16" s="1"/>
  <c r="AW27" i="16" s="1"/>
  <c r="AW28" i="16" s="1"/>
  <c r="AW29" i="16"/>
  <c r="AW30" i="16" s="1"/>
  <c r="AW31" i="16" s="1"/>
  <c r="AW32" i="16" s="1"/>
  <c r="AW33" i="16" s="1"/>
  <c r="AW34" i="16"/>
  <c r="AW35" i="16"/>
  <c r="AW36" i="16" s="1"/>
  <c r="AW37" i="16" s="1"/>
  <c r="AW38" i="16" s="1"/>
  <c r="AW39" i="16"/>
  <c r="AW40" i="16" s="1"/>
  <c r="AW41" i="16" s="1"/>
  <c r="AW42" i="16" s="1"/>
  <c r="AW43" i="16" s="1"/>
  <c r="AW44" i="16"/>
  <c r="AW45" i="16" s="1"/>
  <c r="AW46" i="16" s="1"/>
  <c r="AW47" i="16" s="1"/>
  <c r="AW48" i="16" s="1"/>
  <c r="AW49" i="16"/>
  <c r="AW50" i="16" s="1"/>
  <c r="AW51" i="16" s="1"/>
  <c r="AW52" i="16" s="1"/>
  <c r="AW53" i="16" s="1"/>
  <c r="AW54" i="16"/>
  <c r="AW55" i="16" s="1"/>
  <c r="AW56" i="16" s="1"/>
  <c r="AW57" i="16" s="1"/>
  <c r="AW58" i="16" s="1"/>
  <c r="AW59" i="16"/>
  <c r="AW60" i="16" s="1"/>
  <c r="AW61" i="16" s="1"/>
  <c r="AW62" i="16" s="1"/>
  <c r="AW63" i="16" s="1"/>
  <c r="AW64" i="16"/>
  <c r="AW65" i="16" s="1"/>
  <c r="AW66" i="16" s="1"/>
  <c r="AW67" i="16" s="1"/>
  <c r="AW68" i="16" s="1"/>
  <c r="AW69" i="16"/>
  <c r="AW70" i="16" s="1"/>
  <c r="AW71" i="16" s="1"/>
  <c r="AW72" i="16" s="1"/>
  <c r="AW73" i="16" s="1"/>
  <c r="AW74" i="16"/>
  <c r="AW75" i="16" s="1"/>
  <c r="AW76" i="16" s="1"/>
  <c r="AW77" i="16" s="1"/>
  <c r="AW78" i="16" s="1"/>
  <c r="AW79" i="16"/>
  <c r="AW80" i="16" s="1"/>
  <c r="AW81" i="16" s="1"/>
  <c r="AW82" i="16" s="1"/>
  <c r="AW83" i="16" s="1"/>
  <c r="AW84" i="16"/>
  <c r="AW85" i="16" s="1"/>
  <c r="AW86" i="16" s="1"/>
  <c r="AW87" i="16" s="1"/>
  <c r="AW88" i="16" s="1"/>
  <c r="AW89" i="16"/>
  <c r="AW90" i="16"/>
  <c r="AW91" i="16" s="1"/>
  <c r="AW92" i="16" s="1"/>
  <c r="AW93" i="16" s="1"/>
  <c r="AW94" i="16"/>
  <c r="AW95" i="16" s="1"/>
  <c r="AW96" i="16" s="1"/>
  <c r="AW97" i="16" s="1"/>
  <c r="AW98" i="16" s="1"/>
  <c r="AW99" i="16"/>
  <c r="AW100" i="16" s="1"/>
  <c r="AW101" i="16" s="1"/>
  <c r="AW102" i="16" s="1"/>
  <c r="AW103" i="16" s="1"/>
  <c r="AW104" i="16"/>
  <c r="AW105" i="16"/>
  <c r="AW106" i="16" s="1"/>
  <c r="AW107" i="16" s="1"/>
  <c r="AW108" i="16" s="1"/>
  <c r="AW109" i="16"/>
  <c r="AW110" i="16" s="1"/>
  <c r="AW111" i="16" s="1"/>
  <c r="AW112" i="16" s="1"/>
  <c r="AW113" i="16" s="1"/>
  <c r="AW114" i="16"/>
  <c r="AW115" i="16" s="1"/>
  <c r="AW116" i="16" s="1"/>
  <c r="AW117" i="16" s="1"/>
  <c r="AW118" i="16" s="1"/>
  <c r="AW119" i="16"/>
  <c r="AW120" i="16" s="1"/>
  <c r="AW121" i="16" s="1"/>
  <c r="AW122" i="16" s="1"/>
  <c r="AW123" i="16" s="1"/>
  <c r="AW124" i="16"/>
  <c r="AW125" i="16" s="1"/>
  <c r="AW126" i="16" s="1"/>
  <c r="AW127" i="16" s="1"/>
  <c r="AW128" i="16" s="1"/>
  <c r="AW129" i="16"/>
  <c r="AW130" i="16" s="1"/>
  <c r="AW131" i="16" s="1"/>
  <c r="AW132" i="16" s="1"/>
  <c r="AW133" i="16" s="1"/>
  <c r="AW134" i="16"/>
  <c r="AW135" i="16" s="1"/>
  <c r="AW136" i="16" s="1"/>
  <c r="AW137" i="16" s="1"/>
  <c r="AW138" i="16" s="1"/>
  <c r="AW139" i="16"/>
  <c r="AW140" i="16" s="1"/>
  <c r="AW141" i="16" s="1"/>
  <c r="AW142" i="16" s="1"/>
  <c r="AW143" i="16" s="1"/>
  <c r="AW144" i="16"/>
  <c r="AW145" i="16" s="1"/>
  <c r="AW146" i="16" s="1"/>
  <c r="AW147" i="16" s="1"/>
  <c r="AW148" i="16" s="1"/>
  <c r="AW149" i="16"/>
  <c r="AW150" i="16"/>
  <c r="AW151" i="16" s="1"/>
  <c r="AW152" i="16" s="1"/>
  <c r="AW153" i="16" s="1"/>
  <c r="AW154" i="16"/>
  <c r="AW155" i="16"/>
  <c r="AW156" i="16" s="1"/>
  <c r="AW157" i="16" s="1"/>
  <c r="AW158" i="16" s="1"/>
  <c r="AW159" i="16"/>
  <c r="AW160" i="16" s="1"/>
  <c r="AW161" i="16" s="1"/>
  <c r="AW162" i="16" s="1"/>
  <c r="AW163" i="16" s="1"/>
  <c r="AW164" i="16"/>
  <c r="AW165" i="16" s="1"/>
  <c r="AW166" i="16" s="1"/>
  <c r="AW167" i="16" s="1"/>
  <c r="AW168" i="16" s="1"/>
  <c r="AW169" i="16"/>
  <c r="AW170" i="16" s="1"/>
  <c r="AW171" i="16" s="1"/>
  <c r="AW172" i="16" s="1"/>
  <c r="AW173" i="16" s="1"/>
  <c r="AW174" i="16"/>
  <c r="AW175" i="16" s="1"/>
  <c r="AW176" i="16" s="1"/>
  <c r="AW177" i="16" s="1"/>
  <c r="AW178" i="16" s="1"/>
  <c r="AW179" i="16"/>
  <c r="AW180" i="16" s="1"/>
  <c r="AW181" i="16" s="1"/>
  <c r="AW182" i="16" s="1"/>
  <c r="AW183" i="16" s="1"/>
  <c r="AW184" i="16"/>
  <c r="AW185" i="16" s="1"/>
  <c r="AW186" i="16" s="1"/>
  <c r="AW187" i="16" s="1"/>
  <c r="AW188" i="16" s="1"/>
  <c r="AW189" i="16"/>
  <c r="AW190" i="16" s="1"/>
  <c r="AW191" i="16" s="1"/>
  <c r="AW192" i="16" s="1"/>
  <c r="AW193" i="16" s="1"/>
  <c r="AW194" i="16"/>
  <c r="AW195" i="16" s="1"/>
  <c r="AW196" i="16" s="1"/>
  <c r="AW197" i="16" s="1"/>
  <c r="AW198" i="16" s="1"/>
  <c r="AW199" i="16"/>
  <c r="AW200" i="16" s="1"/>
  <c r="AW201" i="16" s="1"/>
  <c r="AW202" i="16" s="1"/>
  <c r="AW203" i="16" s="1"/>
  <c r="AW204" i="16"/>
  <c r="AW205" i="16" s="1"/>
  <c r="AW206" i="16" s="1"/>
  <c r="AW207" i="16" s="1"/>
  <c r="AW208" i="16" s="1"/>
  <c r="AW209" i="16"/>
  <c r="AW210" i="16" s="1"/>
  <c r="AW211" i="16" s="1"/>
  <c r="AW212" i="16" s="1"/>
  <c r="AW213" i="16" s="1"/>
  <c r="AW214" i="16"/>
  <c r="AW215" i="16" s="1"/>
  <c r="AW216" i="16" s="1"/>
  <c r="AW217" i="16" s="1"/>
  <c r="AW218" i="16" s="1"/>
  <c r="AW219" i="16"/>
  <c r="AW220" i="16" s="1"/>
  <c r="AW221" i="16" s="1"/>
  <c r="AW222" i="16" s="1"/>
  <c r="AW223" i="16" s="1"/>
  <c r="AW224" i="16"/>
  <c r="AW225" i="16"/>
  <c r="AW226" i="16" s="1"/>
  <c r="AW227" i="16" s="1"/>
  <c r="AW228" i="16" s="1"/>
  <c r="AW229" i="16"/>
  <c r="AW230" i="16" s="1"/>
  <c r="AW231" i="16" s="1"/>
  <c r="AW232" i="16" s="1"/>
  <c r="AW233" i="16" s="1"/>
  <c r="AW234" i="16"/>
  <c r="AW235" i="16" s="1"/>
  <c r="AW236" i="16" s="1"/>
  <c r="AW237" i="16" s="1"/>
  <c r="AW238" i="16" s="1"/>
  <c r="AW239" i="16"/>
  <c r="AW240" i="16" s="1"/>
  <c r="AW241" i="16" s="1"/>
  <c r="AW242" i="16" s="1"/>
  <c r="AW243" i="16" s="1"/>
  <c r="AW244" i="16"/>
  <c r="AW245" i="16" s="1"/>
  <c r="AW246" i="16" s="1"/>
  <c r="AW247" i="16" s="1"/>
  <c r="AW248" i="16" s="1"/>
  <c r="AW249" i="16"/>
  <c r="AW250" i="16" s="1"/>
  <c r="AW251" i="16" s="1"/>
  <c r="AW252" i="16" s="1"/>
  <c r="AW253" i="16" s="1"/>
  <c r="AW254" i="16"/>
  <c r="AW255" i="16" s="1"/>
  <c r="AW256" i="16" s="1"/>
  <c r="AW257" i="16" s="1"/>
  <c r="AW258" i="16" s="1"/>
  <c r="AW259" i="16"/>
  <c r="AW260" i="16" s="1"/>
  <c r="AW261" i="16" s="1"/>
  <c r="AW262" i="16" s="1"/>
  <c r="AW263" i="16" s="1"/>
  <c r="AW264" i="16"/>
  <c r="AW265" i="16" s="1"/>
  <c r="AW266" i="16" s="1"/>
  <c r="AW267" i="16" s="1"/>
  <c r="AW268" i="16" s="1"/>
  <c r="AW269" i="16"/>
  <c r="AW270" i="16" s="1"/>
  <c r="AW271" i="16" s="1"/>
  <c r="AW272" i="16" s="1"/>
  <c r="AW273" i="16" s="1"/>
  <c r="AW274" i="16"/>
  <c r="AW275" i="16" s="1"/>
  <c r="AW276" i="16" s="1"/>
  <c r="AW277" i="16" s="1"/>
  <c r="AW278" i="16" s="1"/>
  <c r="AW279" i="16"/>
  <c r="AW280" i="16" s="1"/>
  <c r="AW281" i="16" s="1"/>
  <c r="AW282" i="16" s="1"/>
  <c r="AW283" i="16" s="1"/>
  <c r="AW284" i="16"/>
  <c r="AW285" i="16" s="1"/>
  <c r="AW286" i="16" s="1"/>
  <c r="AW287" i="16" s="1"/>
  <c r="AW288" i="16" s="1"/>
  <c r="AW289" i="16"/>
  <c r="AW290" i="16" s="1"/>
  <c r="AW291" i="16" s="1"/>
  <c r="AW292" i="16" s="1"/>
  <c r="AW293" i="16" s="1"/>
  <c r="AW294" i="16"/>
  <c r="AW295" i="16" s="1"/>
  <c r="AW296" i="16" s="1"/>
  <c r="AW297" i="16" s="1"/>
  <c r="AW298" i="16" s="1"/>
  <c r="AW299" i="16"/>
  <c r="AW300" i="16" s="1"/>
  <c r="AW301" i="16" s="1"/>
  <c r="AW302" i="16" s="1"/>
  <c r="AW303" i="16" s="1"/>
  <c r="AW304" i="16"/>
  <c r="AW305" i="16" s="1"/>
  <c r="AW306" i="16" s="1"/>
  <c r="AW307" i="16" s="1"/>
  <c r="AW308" i="16" s="1"/>
  <c r="AW309" i="16"/>
  <c r="AW310" i="16" s="1"/>
  <c r="AW311" i="16" s="1"/>
  <c r="AW312" i="16" s="1"/>
  <c r="AW313" i="16" s="1"/>
  <c r="AW314" i="16"/>
  <c r="AW315" i="16" s="1"/>
  <c r="AW316" i="16" s="1"/>
  <c r="AW317" i="16" s="1"/>
  <c r="AW318" i="16" s="1"/>
  <c r="AW319" i="16"/>
  <c r="AW320" i="16" s="1"/>
  <c r="AW321" i="16" s="1"/>
  <c r="AW322" i="16" s="1"/>
  <c r="AW323" i="16" s="1"/>
  <c r="AW324" i="16"/>
  <c r="AW325" i="16" s="1"/>
  <c r="AW326" i="16" s="1"/>
  <c r="AW327" i="16" s="1"/>
  <c r="AW328" i="16" s="1"/>
  <c r="AW329" i="16"/>
  <c r="AW330" i="16" s="1"/>
  <c r="AW331" i="16" s="1"/>
  <c r="AW332" i="16" s="1"/>
  <c r="AW333" i="16" s="1"/>
  <c r="AW334" i="16"/>
  <c r="AW335" i="16"/>
  <c r="AW336" i="16" s="1"/>
  <c r="AW337" i="16" s="1"/>
  <c r="AW338" i="16" s="1"/>
  <c r="AW339" i="16"/>
  <c r="AW340" i="16" s="1"/>
  <c r="AW341" i="16" s="1"/>
  <c r="AW342" i="16" s="1"/>
  <c r="AW343" i="16" s="1"/>
  <c r="AW344" i="16"/>
  <c r="AW345" i="16"/>
  <c r="AW346" i="16" s="1"/>
  <c r="AW347" i="16" s="1"/>
  <c r="AW348" i="16" s="1"/>
  <c r="AW349" i="16"/>
  <c r="AW350" i="16" s="1"/>
  <c r="AW351" i="16" s="1"/>
  <c r="AW352" i="16" s="1"/>
  <c r="AW353" i="16" s="1"/>
  <c r="AW354" i="16"/>
  <c r="AW355" i="16" s="1"/>
  <c r="AW356" i="16" s="1"/>
  <c r="AW357" i="16" s="1"/>
  <c r="AW358" i="16" s="1"/>
  <c r="AW359" i="16"/>
  <c r="AW360" i="16" s="1"/>
  <c r="AW361" i="16" s="1"/>
  <c r="AW362" i="16" s="1"/>
  <c r="AW363" i="16" s="1"/>
  <c r="AW10" i="16"/>
  <c r="AW11" i="16" s="1"/>
  <c r="AW12" i="16" s="1"/>
  <c r="AW13" i="16" s="1"/>
  <c r="AW9" i="16"/>
  <c r="X14" i="16"/>
  <c r="X15" i="16" s="1"/>
  <c r="X16" i="16" s="1"/>
  <c r="X17" i="16" s="1"/>
  <c r="X18" i="16" s="1"/>
  <c r="X19" i="16"/>
  <c r="X20" i="16" s="1"/>
  <c r="X21" i="16" s="1"/>
  <c r="X22" i="16" s="1"/>
  <c r="X23" i="16" s="1"/>
  <c r="X24" i="16"/>
  <c r="X25" i="16" s="1"/>
  <c r="X26" i="16" s="1"/>
  <c r="X27" i="16" s="1"/>
  <c r="X28" i="16" s="1"/>
  <c r="X29" i="16"/>
  <c r="X30" i="16" s="1"/>
  <c r="X31" i="16" s="1"/>
  <c r="X32" i="16" s="1"/>
  <c r="X33" i="16" s="1"/>
  <c r="X34" i="16"/>
  <c r="X35" i="16" s="1"/>
  <c r="X36" i="16" s="1"/>
  <c r="X37" i="16" s="1"/>
  <c r="X38" i="16" s="1"/>
  <c r="X39" i="16"/>
  <c r="X40" i="16" s="1"/>
  <c r="X41" i="16" s="1"/>
  <c r="X42" i="16" s="1"/>
  <c r="X43" i="16" s="1"/>
  <c r="X44" i="16"/>
  <c r="X45" i="16" s="1"/>
  <c r="X46" i="16" s="1"/>
  <c r="X47" i="16" s="1"/>
  <c r="X48" i="16" s="1"/>
  <c r="X49" i="16"/>
  <c r="X50" i="16" s="1"/>
  <c r="X51" i="16" s="1"/>
  <c r="X52" i="16" s="1"/>
  <c r="X53" i="16" s="1"/>
  <c r="X54" i="16"/>
  <c r="X55" i="16" s="1"/>
  <c r="X56" i="16" s="1"/>
  <c r="X57" i="16" s="1"/>
  <c r="X58" i="16" s="1"/>
  <c r="X59" i="16"/>
  <c r="X60" i="16" s="1"/>
  <c r="X61" i="16" s="1"/>
  <c r="X62" i="16" s="1"/>
  <c r="X63" i="16" s="1"/>
  <c r="X64" i="16"/>
  <c r="X65" i="16"/>
  <c r="X66" i="16" s="1"/>
  <c r="X67" i="16" s="1"/>
  <c r="X68" i="16" s="1"/>
  <c r="X69" i="16"/>
  <c r="X70" i="16" s="1"/>
  <c r="X71" i="16" s="1"/>
  <c r="X72" i="16" s="1"/>
  <c r="X73" i="16" s="1"/>
  <c r="X74" i="16"/>
  <c r="X75" i="16" s="1"/>
  <c r="X76" i="16" s="1"/>
  <c r="X77" i="16" s="1"/>
  <c r="X78" i="16" s="1"/>
  <c r="X79" i="16"/>
  <c r="X80" i="16"/>
  <c r="X81" i="16" s="1"/>
  <c r="X82" i="16" s="1"/>
  <c r="X83" i="16" s="1"/>
  <c r="X84" i="16"/>
  <c r="X85" i="16" s="1"/>
  <c r="X86" i="16" s="1"/>
  <c r="X87" i="16" s="1"/>
  <c r="X88" i="16" s="1"/>
  <c r="X89" i="16"/>
  <c r="X90" i="16" s="1"/>
  <c r="X91" i="16" s="1"/>
  <c r="X92" i="16" s="1"/>
  <c r="X93" i="16" s="1"/>
  <c r="X94" i="16"/>
  <c r="X95" i="16" s="1"/>
  <c r="X96" i="16" s="1"/>
  <c r="X97" i="16" s="1"/>
  <c r="X98" i="16" s="1"/>
  <c r="X99" i="16"/>
  <c r="X100" i="16" s="1"/>
  <c r="X101" i="16" s="1"/>
  <c r="X102" i="16" s="1"/>
  <c r="X103" i="16" s="1"/>
  <c r="X104" i="16"/>
  <c r="X105" i="16"/>
  <c r="X106" i="16" s="1"/>
  <c r="X107" i="16" s="1"/>
  <c r="X108" i="16" s="1"/>
  <c r="X109" i="16"/>
  <c r="X110" i="16" s="1"/>
  <c r="X111" i="16" s="1"/>
  <c r="X112" i="16" s="1"/>
  <c r="X113" i="16" s="1"/>
  <c r="X114" i="16"/>
  <c r="X115" i="16" s="1"/>
  <c r="X116" i="16" s="1"/>
  <c r="X117" i="16" s="1"/>
  <c r="X118" i="16" s="1"/>
  <c r="X119" i="16"/>
  <c r="X120" i="16" s="1"/>
  <c r="X121" i="16" s="1"/>
  <c r="X122" i="16" s="1"/>
  <c r="X123" i="16" s="1"/>
  <c r="X124" i="16"/>
  <c r="X125" i="16" s="1"/>
  <c r="X126" i="16" s="1"/>
  <c r="X127" i="16" s="1"/>
  <c r="X128" i="16" s="1"/>
  <c r="X129" i="16"/>
  <c r="X130" i="16" s="1"/>
  <c r="X131" i="16" s="1"/>
  <c r="X132" i="16" s="1"/>
  <c r="X133" i="16" s="1"/>
  <c r="X134" i="16"/>
  <c r="X135" i="16" s="1"/>
  <c r="X136" i="16" s="1"/>
  <c r="X137" i="16" s="1"/>
  <c r="X138" i="16" s="1"/>
  <c r="X139" i="16"/>
  <c r="X140" i="16" s="1"/>
  <c r="X141" i="16" s="1"/>
  <c r="X142" i="16" s="1"/>
  <c r="X143" i="16" s="1"/>
  <c r="X144" i="16"/>
  <c r="X145" i="16" s="1"/>
  <c r="X146" i="16" s="1"/>
  <c r="X147" i="16" s="1"/>
  <c r="X148" i="16" s="1"/>
  <c r="X149" i="16"/>
  <c r="X150" i="16"/>
  <c r="X151" i="16" s="1"/>
  <c r="X152" i="16" s="1"/>
  <c r="X153" i="16" s="1"/>
  <c r="X154" i="16"/>
  <c r="X155" i="16" s="1"/>
  <c r="X156" i="16" s="1"/>
  <c r="X157" i="16" s="1"/>
  <c r="X158" i="16" s="1"/>
  <c r="X159" i="16"/>
  <c r="X160" i="16" s="1"/>
  <c r="X161" i="16" s="1"/>
  <c r="X162" i="16" s="1"/>
  <c r="X163" i="16" s="1"/>
  <c r="X164" i="16"/>
  <c r="X165" i="16" s="1"/>
  <c r="X166" i="16" s="1"/>
  <c r="X167" i="16" s="1"/>
  <c r="X168" i="16" s="1"/>
  <c r="X169" i="16"/>
  <c r="X170" i="16" s="1"/>
  <c r="X171" i="16" s="1"/>
  <c r="X172" i="16" s="1"/>
  <c r="X173" i="16" s="1"/>
  <c r="X174" i="16"/>
  <c r="X175" i="16" s="1"/>
  <c r="X176" i="16" s="1"/>
  <c r="X177" i="16" s="1"/>
  <c r="X178" i="16" s="1"/>
  <c r="X179" i="16"/>
  <c r="X180" i="16" s="1"/>
  <c r="X181" i="16" s="1"/>
  <c r="X182" i="16" s="1"/>
  <c r="X183" i="16" s="1"/>
  <c r="X184" i="16"/>
  <c r="X185" i="16"/>
  <c r="X186" i="16"/>
  <c r="X187" i="16" s="1"/>
  <c r="X188" i="16" s="1"/>
  <c r="X189" i="16"/>
  <c r="X190" i="16" s="1"/>
  <c r="X191" i="16" s="1"/>
  <c r="X192" i="16" s="1"/>
  <c r="X193" i="16" s="1"/>
  <c r="X194" i="16"/>
  <c r="X195" i="16" s="1"/>
  <c r="X196" i="16" s="1"/>
  <c r="X197" i="16" s="1"/>
  <c r="X198" i="16" s="1"/>
  <c r="X199" i="16"/>
  <c r="X200" i="16" s="1"/>
  <c r="X201" i="16" s="1"/>
  <c r="X202" i="16" s="1"/>
  <c r="X203" i="16" s="1"/>
  <c r="X204" i="16"/>
  <c r="X205" i="16" s="1"/>
  <c r="X206" i="16" s="1"/>
  <c r="X207" i="16" s="1"/>
  <c r="X208" i="16" s="1"/>
  <c r="X209" i="16"/>
  <c r="X210" i="16" s="1"/>
  <c r="X211" i="16" s="1"/>
  <c r="X212" i="16" s="1"/>
  <c r="X213" i="16" s="1"/>
  <c r="X214" i="16"/>
  <c r="X215" i="16" s="1"/>
  <c r="X216" i="16" s="1"/>
  <c r="X217" i="16" s="1"/>
  <c r="X218" i="16" s="1"/>
  <c r="X219" i="16"/>
  <c r="X220" i="16" s="1"/>
  <c r="X221" i="16" s="1"/>
  <c r="X222" i="16" s="1"/>
  <c r="X223" i="16" s="1"/>
  <c r="X224" i="16"/>
  <c r="X225" i="16"/>
  <c r="X226" i="16" s="1"/>
  <c r="X227" i="16" s="1"/>
  <c r="X228" i="16" s="1"/>
  <c r="X229" i="16"/>
  <c r="X230" i="16" s="1"/>
  <c r="X231" i="16" s="1"/>
  <c r="X232" i="16" s="1"/>
  <c r="X233" i="16" s="1"/>
  <c r="X234" i="16"/>
  <c r="X235" i="16" s="1"/>
  <c r="X236" i="16" s="1"/>
  <c r="X237" i="16" s="1"/>
  <c r="X238" i="16" s="1"/>
  <c r="X239" i="16"/>
  <c r="X240" i="16"/>
  <c r="X241" i="16" s="1"/>
  <c r="X242" i="16" s="1"/>
  <c r="X243" i="16" s="1"/>
  <c r="X244" i="16"/>
  <c r="X245" i="16" s="1"/>
  <c r="X246" i="16" s="1"/>
  <c r="X247" i="16" s="1"/>
  <c r="X248" i="16" s="1"/>
  <c r="X249" i="16"/>
  <c r="X250" i="16" s="1"/>
  <c r="X251" i="16" s="1"/>
  <c r="X252" i="16" s="1"/>
  <c r="X253" i="16" s="1"/>
  <c r="X254" i="16"/>
  <c r="X255" i="16"/>
  <c r="X256" i="16" s="1"/>
  <c r="X257" i="16" s="1"/>
  <c r="X258" i="16" s="1"/>
  <c r="X259" i="16"/>
  <c r="X260" i="16" s="1"/>
  <c r="X261" i="16" s="1"/>
  <c r="X262" i="16" s="1"/>
  <c r="X263" i="16" s="1"/>
  <c r="X264" i="16"/>
  <c r="X265" i="16" s="1"/>
  <c r="X266" i="16" s="1"/>
  <c r="X267" i="16" s="1"/>
  <c r="X268" i="16" s="1"/>
  <c r="X269" i="16"/>
  <c r="X270" i="16"/>
  <c r="X271" i="16" s="1"/>
  <c r="X272" i="16" s="1"/>
  <c r="X273" i="16" s="1"/>
  <c r="X274" i="16"/>
  <c r="X275" i="16"/>
  <c r="X276" i="16" s="1"/>
  <c r="X277" i="16" s="1"/>
  <c r="X278" i="16" s="1"/>
  <c r="X279" i="16"/>
  <c r="X280" i="16" s="1"/>
  <c r="X281" i="16" s="1"/>
  <c r="X282" i="16" s="1"/>
  <c r="X283" i="16" s="1"/>
  <c r="X284" i="16"/>
  <c r="X285" i="16" s="1"/>
  <c r="X286" i="16" s="1"/>
  <c r="X287" i="16" s="1"/>
  <c r="X288" i="16" s="1"/>
  <c r="X289" i="16"/>
  <c r="X290" i="16" s="1"/>
  <c r="X291" i="16" s="1"/>
  <c r="X292" i="16" s="1"/>
  <c r="X293" i="16" s="1"/>
  <c r="X294" i="16"/>
  <c r="X295" i="16" s="1"/>
  <c r="X296" i="16" s="1"/>
  <c r="X297" i="16" s="1"/>
  <c r="X298" i="16" s="1"/>
  <c r="X299" i="16"/>
  <c r="X300" i="16" s="1"/>
  <c r="X301" i="16" s="1"/>
  <c r="X302" i="16" s="1"/>
  <c r="X303" i="16" s="1"/>
  <c r="X304" i="16"/>
  <c r="X305" i="16" s="1"/>
  <c r="X306" i="16" s="1"/>
  <c r="X307" i="16" s="1"/>
  <c r="X308" i="16" s="1"/>
  <c r="X309" i="16"/>
  <c r="X310" i="16" s="1"/>
  <c r="X311" i="16" s="1"/>
  <c r="X312" i="16" s="1"/>
  <c r="X313" i="16" s="1"/>
  <c r="X314" i="16"/>
  <c r="X315" i="16" s="1"/>
  <c r="X316" i="16" s="1"/>
  <c r="X317" i="16" s="1"/>
  <c r="X318" i="16" s="1"/>
  <c r="X319" i="16"/>
  <c r="X320" i="16" s="1"/>
  <c r="X321" i="16" s="1"/>
  <c r="X322" i="16" s="1"/>
  <c r="X323" i="16" s="1"/>
  <c r="X324" i="16"/>
  <c r="X325" i="16" s="1"/>
  <c r="X326" i="16" s="1"/>
  <c r="X327" i="16" s="1"/>
  <c r="X328" i="16" s="1"/>
  <c r="X329" i="16"/>
  <c r="X330" i="16"/>
  <c r="X331" i="16" s="1"/>
  <c r="X332" i="16" s="1"/>
  <c r="X333" i="16" s="1"/>
  <c r="X334" i="16"/>
  <c r="X335" i="16"/>
  <c r="X336" i="16" s="1"/>
  <c r="X337" i="16" s="1"/>
  <c r="X338" i="16" s="1"/>
  <c r="X339" i="16"/>
  <c r="X340" i="16" s="1"/>
  <c r="X341" i="16" s="1"/>
  <c r="X342" i="16" s="1"/>
  <c r="X343" i="16" s="1"/>
  <c r="X344" i="16"/>
  <c r="X345" i="16" s="1"/>
  <c r="X346" i="16" s="1"/>
  <c r="X347" i="16" s="1"/>
  <c r="X348" i="16" s="1"/>
  <c r="X349" i="16"/>
  <c r="X350" i="16" s="1"/>
  <c r="X351" i="16" s="1"/>
  <c r="X352" i="16" s="1"/>
  <c r="X353" i="16" s="1"/>
  <c r="X354" i="16"/>
  <c r="X355" i="16" s="1"/>
  <c r="X356" i="16" s="1"/>
  <c r="X357" i="16" s="1"/>
  <c r="X358" i="16" s="1"/>
  <c r="X359" i="16"/>
  <c r="X360" i="16" s="1"/>
  <c r="X361" i="16" s="1"/>
  <c r="X362" i="16" s="1"/>
  <c r="X363" i="16" s="1"/>
  <c r="X9" i="16"/>
  <c r="X10" i="16" s="1"/>
  <c r="X11" i="16" s="1"/>
  <c r="X12" i="16" s="1"/>
  <c r="X13" i="16" s="1"/>
  <c r="X4" i="16"/>
  <c r="X5" i="16" s="1"/>
  <c r="X6" i="16" s="1"/>
  <c r="X7" i="16" s="1"/>
  <c r="X8" i="16" s="1"/>
  <c r="W4" i="18" a="1"/>
  <c r="W4" i="18" s="1"/>
  <c r="P4" i="18" a="1"/>
  <c r="P4" i="18" s="1"/>
  <c r="I4" i="18" a="1"/>
  <c r="I4" i="18" s="1"/>
  <c r="B4" i="18" a="1"/>
  <c r="B4" i="18" s="1"/>
  <c r="J3" i="9"/>
  <c r="J4" i="9"/>
  <c r="J5" i="9"/>
  <c r="J6" i="9"/>
  <c r="J7" i="9"/>
  <c r="J8" i="9"/>
  <c r="J9" i="9"/>
  <c r="J10" i="9"/>
  <c r="J11" i="9"/>
  <c r="J12" i="9"/>
  <c r="J13" i="9"/>
  <c r="J14" i="9"/>
  <c r="J15" i="9"/>
  <c r="J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2" i="9"/>
  <c r="B4" i="19" l="1"/>
  <c r="A4" i="19" s="1"/>
  <c r="A16" i="19"/>
  <c r="A28" i="19"/>
  <c r="A40" i="19"/>
  <c r="A52" i="19"/>
  <c r="A64" i="19"/>
  <c r="A76" i="19"/>
  <c r="A88" i="19"/>
  <c r="A100" i="19"/>
  <c r="A112" i="19"/>
  <c r="A124" i="19"/>
  <c r="A136" i="19"/>
  <c r="A148" i="19"/>
  <c r="A160" i="19"/>
  <c r="A172" i="19"/>
  <c r="A184" i="19"/>
  <c r="A196" i="19"/>
  <c r="A208" i="19"/>
  <c r="A106" i="19"/>
  <c r="A5" i="19"/>
  <c r="A17" i="19"/>
  <c r="A29" i="19"/>
  <c r="A41" i="19"/>
  <c r="A53" i="19"/>
  <c r="A65" i="19"/>
  <c r="A77" i="19"/>
  <c r="A89" i="19"/>
  <c r="A101" i="19"/>
  <c r="A113" i="19"/>
  <c r="A125" i="19"/>
  <c r="A137" i="19"/>
  <c r="A149" i="19"/>
  <c r="A161" i="19"/>
  <c r="A173" i="19"/>
  <c r="A185" i="19"/>
  <c r="A197" i="19"/>
  <c r="A209" i="19"/>
  <c r="A46" i="19"/>
  <c r="A94" i="19"/>
  <c r="A142" i="19"/>
  <c r="A190" i="19"/>
  <c r="A6" i="19"/>
  <c r="A18" i="19"/>
  <c r="A30" i="19"/>
  <c r="A42" i="19"/>
  <c r="A54" i="19"/>
  <c r="A66" i="19"/>
  <c r="A78" i="19"/>
  <c r="A90" i="19"/>
  <c r="A102" i="19"/>
  <c r="A114" i="19"/>
  <c r="A126" i="19"/>
  <c r="A138" i="19"/>
  <c r="A150" i="19"/>
  <c r="A162" i="19"/>
  <c r="A174" i="19"/>
  <c r="A186" i="19"/>
  <c r="A198" i="19"/>
  <c r="A210" i="19"/>
  <c r="A22" i="19"/>
  <c r="A70" i="19"/>
  <c r="A130" i="19"/>
  <c r="A178" i="19"/>
  <c r="A7" i="19"/>
  <c r="A19" i="19"/>
  <c r="A31" i="19"/>
  <c r="A43" i="19"/>
  <c r="A55" i="19"/>
  <c r="A67" i="19"/>
  <c r="A79" i="19"/>
  <c r="A91" i="19"/>
  <c r="A103" i="19"/>
  <c r="A115" i="19"/>
  <c r="A127" i="19"/>
  <c r="A139" i="19"/>
  <c r="A151" i="19"/>
  <c r="A163" i="19"/>
  <c r="A175" i="19"/>
  <c r="A187" i="19"/>
  <c r="A199" i="19"/>
  <c r="A211" i="19"/>
  <c r="A10" i="19"/>
  <c r="A58" i="19"/>
  <c r="A118" i="19"/>
  <c r="A166" i="19"/>
  <c r="A8" i="19"/>
  <c r="A20" i="19"/>
  <c r="A32" i="19"/>
  <c r="A44" i="19"/>
  <c r="A56" i="19"/>
  <c r="A68" i="19"/>
  <c r="A80" i="19"/>
  <c r="A92" i="19"/>
  <c r="A104" i="19"/>
  <c r="A116" i="19"/>
  <c r="A128" i="19"/>
  <c r="A140" i="19"/>
  <c r="A152" i="19"/>
  <c r="A164" i="19"/>
  <c r="A176" i="19"/>
  <c r="A188" i="19"/>
  <c r="A200" i="19"/>
  <c r="A212" i="19"/>
  <c r="A34" i="19"/>
  <c r="A82" i="19"/>
  <c r="A154" i="19"/>
  <c r="A202" i="19"/>
  <c r="A9" i="19"/>
  <c r="A21" i="19"/>
  <c r="A33" i="19"/>
  <c r="A45" i="19"/>
  <c r="A57" i="19"/>
  <c r="A69" i="19"/>
  <c r="A81" i="19"/>
  <c r="A93" i="19"/>
  <c r="A105" i="19"/>
  <c r="A117" i="19"/>
  <c r="A129" i="19"/>
  <c r="A141" i="19"/>
  <c r="A153" i="19"/>
  <c r="A165" i="19"/>
  <c r="A177" i="19"/>
  <c r="A189" i="19"/>
  <c r="A201" i="19"/>
  <c r="A11" i="19"/>
  <c r="A23" i="19"/>
  <c r="A35" i="19"/>
  <c r="A47" i="19"/>
  <c r="A59" i="19"/>
  <c r="A71" i="19"/>
  <c r="A83" i="19"/>
  <c r="A95" i="19"/>
  <c r="A107" i="19"/>
  <c r="A119" i="19"/>
  <c r="A131" i="19"/>
  <c r="A143" i="19"/>
  <c r="A155" i="19"/>
  <c r="A167" i="19"/>
  <c r="A179" i="19"/>
  <c r="A191" i="19"/>
  <c r="A203" i="19"/>
  <c r="A39" i="19"/>
  <c r="A99" i="19"/>
  <c r="A147" i="19"/>
  <c r="A195" i="19"/>
  <c r="A12" i="19"/>
  <c r="A24" i="19"/>
  <c r="A36" i="19"/>
  <c r="A48" i="19"/>
  <c r="A60" i="19"/>
  <c r="A72" i="19"/>
  <c r="A84" i="19"/>
  <c r="A96" i="19"/>
  <c r="A108" i="19"/>
  <c r="A120" i="19"/>
  <c r="A132" i="19"/>
  <c r="A144" i="19"/>
  <c r="A156" i="19"/>
  <c r="A168" i="19"/>
  <c r="A180" i="19"/>
  <c r="A192" i="19"/>
  <c r="A204" i="19"/>
  <c r="A51" i="19"/>
  <c r="A75" i="19"/>
  <c r="A123" i="19"/>
  <c r="A171" i="19"/>
  <c r="A13" i="19"/>
  <c r="A25" i="19"/>
  <c r="A37" i="19"/>
  <c r="A49" i="19"/>
  <c r="A61" i="19"/>
  <c r="A73" i="19"/>
  <c r="A85" i="19"/>
  <c r="A97" i="19"/>
  <c r="A109" i="19"/>
  <c r="A121" i="19"/>
  <c r="A133" i="19"/>
  <c r="A145" i="19"/>
  <c r="A157" i="19"/>
  <c r="A169" i="19"/>
  <c r="A181" i="19"/>
  <c r="A193" i="19"/>
  <c r="A205" i="19"/>
  <c r="A27" i="19"/>
  <c r="A63" i="19"/>
  <c r="A111" i="19"/>
  <c r="A159" i="19"/>
  <c r="A207" i="19"/>
  <c r="A14" i="19"/>
  <c r="A26" i="19"/>
  <c r="A38" i="19"/>
  <c r="A50" i="19"/>
  <c r="A62" i="19"/>
  <c r="A74" i="19"/>
  <c r="A86" i="19"/>
  <c r="A98" i="19"/>
  <c r="A110" i="19"/>
  <c r="A122" i="19"/>
  <c r="A134" i="19"/>
  <c r="A146" i="19"/>
  <c r="A158" i="19"/>
  <c r="A170" i="19"/>
  <c r="A182" i="19"/>
  <c r="A194" i="19"/>
  <c r="A206" i="19"/>
  <c r="A15" i="19"/>
  <c r="A87" i="19"/>
  <c r="A135" i="19"/>
  <c r="A183" i="19"/>
  <c r="E2" i="19"/>
  <c r="B2" i="19"/>
  <c r="D2" i="19"/>
  <c r="F2" i="19"/>
  <c r="C2" i="19"/>
  <c r="W2" i="18"/>
  <c r="X2" i="18"/>
  <c r="Y2" i="18"/>
  <c r="Z2" i="18"/>
  <c r="AA2" i="18"/>
  <c r="C2" i="18"/>
  <c r="D2" i="18"/>
  <c r="E2" i="18"/>
  <c r="I2" i="18"/>
  <c r="J2" i="18"/>
  <c r="K2" i="18"/>
  <c r="L2" i="18"/>
  <c r="P2" i="18"/>
  <c r="Q2" i="18"/>
  <c r="R2" i="18"/>
  <c r="S2" i="18"/>
  <c r="B2" i="18"/>
  <c r="T2" i="18"/>
  <c r="M2" i="18"/>
  <c r="F2" i="18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D18" i="12"/>
  <c r="AD19" i="12"/>
  <c r="AD20" i="12"/>
  <c r="AD21" i="12"/>
  <c r="AD22" i="12"/>
  <c r="AD23" i="12"/>
  <c r="AD24" i="12"/>
  <c r="AD25" i="12"/>
  <c r="AD26" i="12"/>
  <c r="AD27" i="12"/>
  <c r="AD28" i="12"/>
  <c r="AD29" i="12"/>
  <c r="AD30" i="12"/>
  <c r="AD31" i="12"/>
  <c r="AD4" i="12"/>
  <c r="AC4" i="12"/>
  <c r="AC5" i="12"/>
  <c r="AC6" i="12"/>
  <c r="AC7" i="12"/>
  <c r="AC8" i="12"/>
  <c r="AC9" i="12"/>
  <c r="AC10" i="12"/>
  <c r="AC11" i="12"/>
  <c r="AC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28" i="12"/>
  <c r="AC29" i="12"/>
  <c r="AC30" i="12"/>
  <c r="AC31" i="12"/>
  <c r="Z4" i="12" a="1"/>
  <c r="Z4" i="12" s="1"/>
  <c r="X14" i="12"/>
  <c r="X15" i="12"/>
  <c r="X16" i="12" s="1"/>
  <c r="X17" i="12" s="1"/>
  <c r="X18" i="12" s="1"/>
  <c r="X19" i="12"/>
  <c r="X20" i="12" s="1"/>
  <c r="X21" i="12" s="1"/>
  <c r="X22" i="12" s="1"/>
  <c r="X23" i="12" s="1"/>
  <c r="X24" i="12"/>
  <c r="X25" i="12" s="1"/>
  <c r="X26" i="12" s="1"/>
  <c r="X27" i="12" s="1"/>
  <c r="X28" i="12" s="1"/>
  <c r="X29" i="12"/>
  <c r="X30" i="12" s="1"/>
  <c r="X31" i="12" s="1"/>
  <c r="X32" i="12" s="1"/>
  <c r="X33" i="12" s="1"/>
  <c r="X34" i="12"/>
  <c r="X35" i="12" s="1"/>
  <c r="X36" i="12" s="1"/>
  <c r="X37" i="12" s="1"/>
  <c r="X38" i="12" s="1"/>
  <c r="X39" i="12"/>
  <c r="X40" i="12" s="1"/>
  <c r="X41" i="12" s="1"/>
  <c r="X42" i="12" s="1"/>
  <c r="X43" i="12" s="1"/>
  <c r="X44" i="12"/>
  <c r="X45" i="12" s="1"/>
  <c r="X46" i="12" s="1"/>
  <c r="X47" i="12" s="1"/>
  <c r="X48" i="12" s="1"/>
  <c r="X49" i="12"/>
  <c r="X50" i="12" s="1"/>
  <c r="X51" i="12" s="1"/>
  <c r="X52" i="12" s="1"/>
  <c r="X53" i="12" s="1"/>
  <c r="X54" i="12"/>
  <c r="X55" i="12" s="1"/>
  <c r="X56" i="12" s="1"/>
  <c r="X57" i="12" s="1"/>
  <c r="X58" i="12" s="1"/>
  <c r="X59" i="12"/>
  <c r="X60" i="12" s="1"/>
  <c r="X61" i="12" s="1"/>
  <c r="X62" i="12" s="1"/>
  <c r="X63" i="12" s="1"/>
  <c r="X64" i="12"/>
  <c r="X65" i="12" s="1"/>
  <c r="X66" i="12" s="1"/>
  <c r="X67" i="12" s="1"/>
  <c r="X68" i="12" s="1"/>
  <c r="X69" i="12"/>
  <c r="X70" i="12" s="1"/>
  <c r="X71" i="12" s="1"/>
  <c r="X72" i="12" s="1"/>
  <c r="X73" i="12" s="1"/>
  <c r="X74" i="12"/>
  <c r="X75" i="12" s="1"/>
  <c r="X76" i="12" s="1"/>
  <c r="X77" i="12" s="1"/>
  <c r="X78" i="12" s="1"/>
  <c r="X79" i="12"/>
  <c r="X80" i="12"/>
  <c r="X81" i="12" s="1"/>
  <c r="X82" i="12" s="1"/>
  <c r="X83" i="12" s="1"/>
  <c r="X84" i="12"/>
  <c r="X85" i="12" s="1"/>
  <c r="X86" i="12" s="1"/>
  <c r="X87" i="12" s="1"/>
  <c r="X88" i="12" s="1"/>
  <c r="X89" i="12"/>
  <c r="X90" i="12" s="1"/>
  <c r="X91" i="12" s="1"/>
  <c r="X92" i="12" s="1"/>
  <c r="X93" i="12" s="1"/>
  <c r="X94" i="12"/>
  <c r="X95" i="12" s="1"/>
  <c r="X96" i="12" s="1"/>
  <c r="X97" i="12" s="1"/>
  <c r="X98" i="12" s="1"/>
  <c r="X99" i="12"/>
  <c r="X100" i="12" s="1"/>
  <c r="X101" i="12" s="1"/>
  <c r="X102" i="12" s="1"/>
  <c r="X103" i="12" s="1"/>
  <c r="X104" i="12"/>
  <c r="X105" i="12" s="1"/>
  <c r="X106" i="12" s="1"/>
  <c r="X107" i="12" s="1"/>
  <c r="X108" i="12" s="1"/>
  <c r="X109" i="12"/>
  <c r="X110" i="12" s="1"/>
  <c r="X111" i="12" s="1"/>
  <c r="X112" i="12" s="1"/>
  <c r="X113" i="12" s="1"/>
  <c r="X114" i="12"/>
  <c r="X115" i="12" s="1"/>
  <c r="X116" i="12" s="1"/>
  <c r="X117" i="12" s="1"/>
  <c r="X118" i="12" s="1"/>
  <c r="X119" i="12"/>
  <c r="X120" i="12"/>
  <c r="X121" i="12" s="1"/>
  <c r="X122" i="12" s="1"/>
  <c r="X123" i="12" s="1"/>
  <c r="X124" i="12"/>
  <c r="X125" i="12" s="1"/>
  <c r="X126" i="12" s="1"/>
  <c r="X127" i="12" s="1"/>
  <c r="X128" i="12" s="1"/>
  <c r="X129" i="12"/>
  <c r="X130" i="12" s="1"/>
  <c r="X131" i="12" s="1"/>
  <c r="X132" i="12" s="1"/>
  <c r="X133" i="12" s="1"/>
  <c r="X134" i="12"/>
  <c r="X135" i="12" s="1"/>
  <c r="X136" i="12" s="1"/>
  <c r="X137" i="12" s="1"/>
  <c r="X138" i="12" s="1"/>
  <c r="X139" i="12"/>
  <c r="X140" i="12" s="1"/>
  <c r="X141" i="12" s="1"/>
  <c r="X142" i="12" s="1"/>
  <c r="X143" i="12" s="1"/>
  <c r="X9" i="12"/>
  <c r="X10" i="12" s="1"/>
  <c r="X11" i="12" s="1"/>
  <c r="X12" i="12" s="1"/>
  <c r="X13" i="12" s="1"/>
  <c r="CS29" i="16"/>
  <c r="CS30" i="16" s="1"/>
  <c r="CS31" i="16" s="1"/>
  <c r="CS32" i="16" s="1"/>
  <c r="CS33" i="16" s="1"/>
  <c r="CS19" i="16"/>
  <c r="CS20" i="16" s="1"/>
  <c r="CS21" i="16" s="1"/>
  <c r="CS22" i="16" s="1"/>
  <c r="CS23" i="16" s="1"/>
  <c r="CS44" i="16"/>
  <c r="CS45" i="16" s="1"/>
  <c r="CS46" i="16" s="1"/>
  <c r="CS47" i="16" s="1"/>
  <c r="CS48" i="16" s="1"/>
  <c r="CS24" i="16"/>
  <c r="CS25" i="16" s="1"/>
  <c r="CS26" i="16" s="1"/>
  <c r="CS27" i="16" s="1"/>
  <c r="CS28" i="16" s="1"/>
  <c r="CS14" i="16"/>
  <c r="CS15" i="16" s="1"/>
  <c r="CS16" i="16" s="1"/>
  <c r="CS17" i="16" s="1"/>
  <c r="CS18" i="16" s="1"/>
  <c r="CS4" i="16"/>
  <c r="CS5" i="16" s="1"/>
  <c r="CS6" i="16" s="1"/>
  <c r="CS7" i="16" s="1"/>
  <c r="CS8" i="16" s="1"/>
  <c r="CS9" i="16"/>
  <c r="CS10" i="16" s="1"/>
  <c r="CS11" i="16" s="1"/>
  <c r="CS12" i="16" s="1"/>
  <c r="CS13" i="16" s="1"/>
  <c r="CS39" i="16"/>
  <c r="CS34" i="16"/>
  <c r="CS35" i="16" s="1"/>
  <c r="CS36" i="16" s="1"/>
  <c r="CS37" i="16" s="1"/>
  <c r="CS38" i="16" s="1"/>
  <c r="CG24" i="16"/>
  <c r="CG25" i="16" s="1"/>
  <c r="CG26" i="16" s="1"/>
  <c r="CG27" i="16" s="1"/>
  <c r="CG28" i="16" s="1"/>
  <c r="CG34" i="16"/>
  <c r="CG35" i="16" s="1"/>
  <c r="CG36" i="16" s="1"/>
  <c r="CG37" i="16" s="1"/>
  <c r="CG38" i="16" s="1"/>
  <c r="CG39" i="16"/>
  <c r="CG40" i="16" s="1"/>
  <c r="CG41" i="16" s="1"/>
  <c r="CG42" i="16" s="1"/>
  <c r="CG43" i="16" s="1"/>
  <c r="CG14" i="16"/>
  <c r="CG15" i="16" s="1"/>
  <c r="CG16" i="16" s="1"/>
  <c r="CG17" i="16" s="1"/>
  <c r="CG18" i="16" s="1"/>
  <c r="CG19" i="16"/>
  <c r="CG20" i="16" s="1"/>
  <c r="CG21" i="16" s="1"/>
  <c r="CG22" i="16" s="1"/>
  <c r="CG23" i="16" s="1"/>
  <c r="CG4" i="16"/>
  <c r="CG5" i="16" s="1"/>
  <c r="CG6" i="16" s="1"/>
  <c r="CG7" i="16" s="1"/>
  <c r="CG8" i="16" s="1"/>
  <c r="CG9" i="16"/>
  <c r="CG10" i="16" s="1"/>
  <c r="CG11" i="16" s="1"/>
  <c r="CG12" i="16" s="1"/>
  <c r="CG13" i="16" s="1"/>
  <c r="CG44" i="16"/>
  <c r="CG45" i="16" s="1"/>
  <c r="CG46" i="16" s="1"/>
  <c r="CG47" i="16" s="1"/>
  <c r="CG48" i="16" s="1"/>
  <c r="CG29" i="16"/>
  <c r="CG30" i="16" s="1"/>
  <c r="CG31" i="16" s="1"/>
  <c r="CG32" i="16" s="1"/>
  <c r="CG33" i="16" s="1"/>
  <c r="BU44" i="16"/>
  <c r="BU45" i="16" s="1"/>
  <c r="BU46" i="16" s="1"/>
  <c r="BU47" i="16" s="1"/>
  <c r="BU48" i="16" s="1"/>
  <c r="BU9" i="16"/>
  <c r="BU10" i="16" s="1"/>
  <c r="BU11" i="16" s="1"/>
  <c r="BU12" i="16" s="1"/>
  <c r="BU13" i="16" s="1"/>
  <c r="BU4" i="16"/>
  <c r="BU5" i="16" s="1"/>
  <c r="BU6" i="16" s="1"/>
  <c r="BU7" i="16" s="1"/>
  <c r="BU8" i="16" s="1"/>
  <c r="BU24" i="16"/>
  <c r="BU25" i="16" s="1"/>
  <c r="BU26" i="16" s="1"/>
  <c r="BU27" i="16" s="1"/>
  <c r="BU28" i="16" s="1"/>
  <c r="BU29" i="16"/>
  <c r="BU30" i="16" s="1"/>
  <c r="BU31" i="16" s="1"/>
  <c r="BU32" i="16" s="1"/>
  <c r="BU33" i="16" s="1"/>
  <c r="BU39" i="16"/>
  <c r="BU40" i="16" s="1"/>
  <c r="BU41" i="16" s="1"/>
  <c r="BU42" i="16" s="1"/>
  <c r="BU43" i="16" s="1"/>
  <c r="BU14" i="16"/>
  <c r="BU15" i="16" s="1"/>
  <c r="BU16" i="16" s="1"/>
  <c r="BU17" i="16" s="1"/>
  <c r="BU18" i="16" s="1"/>
  <c r="BU19" i="16"/>
  <c r="BU20" i="16" s="1"/>
  <c r="BU21" i="16" s="1"/>
  <c r="BU22" i="16" s="1"/>
  <c r="BU23" i="16" s="1"/>
  <c r="BU34" i="16"/>
  <c r="BU35" i="16" s="1"/>
  <c r="BU36" i="16" s="1"/>
  <c r="BU37" i="16" s="1"/>
  <c r="BU38" i="16" s="1"/>
  <c r="BI9" i="16"/>
  <c r="BI10" i="16" s="1"/>
  <c r="BI11" i="16" s="1"/>
  <c r="BI12" i="16" s="1"/>
  <c r="BI13" i="16" s="1"/>
  <c r="BI4" i="16"/>
  <c r="BI5" i="16" s="1"/>
  <c r="BI6" i="16" s="1"/>
  <c r="BI7" i="16" s="1"/>
  <c r="BI8" i="16" s="1"/>
  <c r="BI14" i="16"/>
  <c r="BI15" i="16" s="1"/>
  <c r="BI16" i="16" s="1"/>
  <c r="BI17" i="16" s="1"/>
  <c r="BI18" i="16" s="1"/>
  <c r="BI19" i="16"/>
  <c r="BI20" i="16" s="1"/>
  <c r="BI21" i="16" s="1"/>
  <c r="BI22" i="16" s="1"/>
  <c r="BI23" i="16" s="1"/>
  <c r="BI39" i="16"/>
  <c r="BI40" i="16" s="1"/>
  <c r="BI41" i="16" s="1"/>
  <c r="BI42" i="16" s="1"/>
  <c r="BI43" i="16" s="1"/>
  <c r="BI24" i="16"/>
  <c r="BI25" i="16" s="1"/>
  <c r="BI26" i="16" s="1"/>
  <c r="BI27" i="16" s="1"/>
  <c r="BI28" i="16" s="1"/>
  <c r="BI34" i="16"/>
  <c r="BI35" i="16" s="1"/>
  <c r="BI36" i="16" s="1"/>
  <c r="BI37" i="16" s="1"/>
  <c r="BI38" i="16" s="1"/>
  <c r="BI44" i="16"/>
  <c r="BI45" i="16" s="1"/>
  <c r="BI46" i="16" s="1"/>
  <c r="BI47" i="16" s="1"/>
  <c r="BI48" i="16" s="1"/>
  <c r="BI29" i="16"/>
  <c r="BI30" i="16" s="1"/>
  <c r="BI31" i="16" s="1"/>
  <c r="BI32" i="16" s="1"/>
  <c r="BI33" i="16" s="1"/>
  <c r="BN244" i="15"/>
  <c r="AW244" i="15"/>
  <c r="AF244" i="15"/>
  <c r="O244" i="15"/>
  <c r="BN9" i="15"/>
  <c r="BN10" i="15" s="1"/>
  <c r="BN11" i="15" s="1"/>
  <c r="BN12" i="15" s="1"/>
  <c r="BN13" i="15" s="1"/>
  <c r="BN14" i="15"/>
  <c r="BN15" i="15"/>
  <c r="BN16" i="15" s="1"/>
  <c r="BN17" i="15" s="1"/>
  <c r="BN18" i="15" s="1"/>
  <c r="BN19" i="15"/>
  <c r="BN20" i="15"/>
  <c r="BN21" i="15" s="1"/>
  <c r="BN22" i="15" s="1"/>
  <c r="BN23" i="15" s="1"/>
  <c r="BN24" i="15"/>
  <c r="BN25" i="15"/>
  <c r="BN26" i="15" s="1"/>
  <c r="BN27" i="15" s="1"/>
  <c r="BN28" i="15" s="1"/>
  <c r="BN29" i="15"/>
  <c r="BN30" i="15" s="1"/>
  <c r="BN31" i="15" s="1"/>
  <c r="BN32" i="15" s="1"/>
  <c r="BN33" i="15" s="1"/>
  <c r="BN34" i="15"/>
  <c r="BN35" i="15" s="1"/>
  <c r="BN36" i="15" s="1"/>
  <c r="BN37" i="15" s="1"/>
  <c r="BN38" i="15" s="1"/>
  <c r="BN39" i="15"/>
  <c r="BN40" i="15" s="1"/>
  <c r="BN41" i="15" s="1"/>
  <c r="BN42" i="15" s="1"/>
  <c r="BN43" i="15" s="1"/>
  <c r="BN44" i="15"/>
  <c r="BN45" i="15" s="1"/>
  <c r="BN46" i="15" s="1"/>
  <c r="BN47" i="15" s="1"/>
  <c r="BN48" i="15" s="1"/>
  <c r="BN49" i="15"/>
  <c r="BN50" i="15" s="1"/>
  <c r="BN51" i="15" s="1"/>
  <c r="BN52" i="15" s="1"/>
  <c r="BN53" i="15" s="1"/>
  <c r="BN54" i="15"/>
  <c r="BN55" i="15"/>
  <c r="BN56" i="15"/>
  <c r="BN57" i="15" s="1"/>
  <c r="BN58" i="15" s="1"/>
  <c r="BN59" i="15"/>
  <c r="BN60" i="15"/>
  <c r="BN61" i="15"/>
  <c r="BN62" i="15" s="1"/>
  <c r="BN63" i="15" s="1"/>
  <c r="BN64" i="15"/>
  <c r="BN65" i="15" s="1"/>
  <c r="BN66" i="15" s="1"/>
  <c r="BN67" i="15" s="1"/>
  <c r="BN68" i="15" s="1"/>
  <c r="BN69" i="15"/>
  <c r="BN70" i="15" s="1"/>
  <c r="BN71" i="15" s="1"/>
  <c r="BN72" i="15" s="1"/>
  <c r="BN73" i="15" s="1"/>
  <c r="BN74" i="15"/>
  <c r="BN75" i="15"/>
  <c r="BN76" i="15" s="1"/>
  <c r="BN77" i="15" s="1"/>
  <c r="BN78" i="15" s="1"/>
  <c r="BN79" i="15"/>
  <c r="BN80" i="15"/>
  <c r="BN81" i="15" s="1"/>
  <c r="BN82" i="15" s="1"/>
  <c r="BN83" i="15" s="1"/>
  <c r="BN84" i="15"/>
  <c r="BN85" i="15"/>
  <c r="BN86" i="15" s="1"/>
  <c r="BN87" i="15" s="1"/>
  <c r="BN88" i="15" s="1"/>
  <c r="BN89" i="15"/>
  <c r="BN90" i="15" s="1"/>
  <c r="BN91" i="15" s="1"/>
  <c r="BN92" i="15" s="1"/>
  <c r="BN93" i="15" s="1"/>
  <c r="BN94" i="15"/>
  <c r="BN95" i="15" s="1"/>
  <c r="BN96" i="15" s="1"/>
  <c r="BN97" i="15" s="1"/>
  <c r="BN98" i="15" s="1"/>
  <c r="BN99" i="15"/>
  <c r="BN100" i="15" s="1"/>
  <c r="BN101" i="15" s="1"/>
  <c r="BN102" i="15" s="1"/>
  <c r="BN103" i="15" s="1"/>
  <c r="BN104" i="15"/>
  <c r="BN105" i="15"/>
  <c r="BN106" i="15"/>
  <c r="BN107" i="15" s="1"/>
  <c r="BN108" i="15" s="1"/>
  <c r="BN109" i="15"/>
  <c r="BN110" i="15" s="1"/>
  <c r="BN111" i="15" s="1"/>
  <c r="BN112" i="15" s="1"/>
  <c r="BN113" i="15" s="1"/>
  <c r="BN114" i="15"/>
  <c r="BN115" i="15"/>
  <c r="BN116" i="15"/>
  <c r="BN117" i="15"/>
  <c r="BN118" i="15"/>
  <c r="BN119" i="15"/>
  <c r="BN120" i="15"/>
  <c r="BN121" i="15"/>
  <c r="BN122" i="15" s="1"/>
  <c r="BN123" i="15" s="1"/>
  <c r="BN124" i="15"/>
  <c r="BN125" i="15" s="1"/>
  <c r="BN126" i="15" s="1"/>
  <c r="BN127" i="15" s="1"/>
  <c r="BN128" i="15" s="1"/>
  <c r="BN129" i="15"/>
  <c r="BN130" i="15"/>
  <c r="BN131" i="15" s="1"/>
  <c r="BN132" i="15" s="1"/>
  <c r="BN133" i="15" s="1"/>
  <c r="BN134" i="15"/>
  <c r="BN135" i="15"/>
  <c r="BN136" i="15" s="1"/>
  <c r="BN137" i="15" s="1"/>
  <c r="BN138" i="15" s="1"/>
  <c r="BN139" i="15"/>
  <c r="BN140" i="15"/>
  <c r="BN141" i="15"/>
  <c r="BN142" i="15"/>
  <c r="BN143" i="15" s="1"/>
  <c r="BN144" i="15"/>
  <c r="BN145" i="15"/>
  <c r="BN146" i="15" s="1"/>
  <c r="BN147" i="15" s="1"/>
  <c r="BN148" i="15" s="1"/>
  <c r="BN149" i="15"/>
  <c r="BN150" i="15" s="1"/>
  <c r="BN151" i="15" s="1"/>
  <c r="BN152" i="15" s="1"/>
  <c r="BN153" i="15" s="1"/>
  <c r="BN154" i="15"/>
  <c r="BN155" i="15" s="1"/>
  <c r="BN156" i="15" s="1"/>
  <c r="BN157" i="15" s="1"/>
  <c r="BN158" i="15" s="1"/>
  <c r="BN159" i="15"/>
  <c r="BN160" i="15" s="1"/>
  <c r="BN161" i="15" s="1"/>
  <c r="BN162" i="15" s="1"/>
  <c r="BN163" i="15" s="1"/>
  <c r="BN164" i="15"/>
  <c r="BN165" i="15"/>
  <c r="BN166" i="15"/>
  <c r="BN167" i="15" s="1"/>
  <c r="BN168" i="15" s="1"/>
  <c r="BN169" i="15"/>
  <c r="BN170" i="15" s="1"/>
  <c r="BN171" i="15" s="1"/>
  <c r="BN172" i="15" s="1"/>
  <c r="BN173" i="15" s="1"/>
  <c r="BN174" i="15"/>
  <c r="BN175" i="15"/>
  <c r="BN176" i="15"/>
  <c r="BN177" i="15"/>
  <c r="BN178" i="15"/>
  <c r="BN179" i="15"/>
  <c r="BN180" i="15"/>
  <c r="BN181" i="15"/>
  <c r="BN182" i="15" s="1"/>
  <c r="BN183" i="15" s="1"/>
  <c r="BN184" i="15"/>
  <c r="BN185" i="15" s="1"/>
  <c r="BN186" i="15" s="1"/>
  <c r="BN187" i="15" s="1"/>
  <c r="BN188" i="15" s="1"/>
  <c r="BN189" i="15"/>
  <c r="BN190" i="15" s="1"/>
  <c r="BN191" i="15" s="1"/>
  <c r="BN192" i="15" s="1"/>
  <c r="BN193" i="15" s="1"/>
  <c r="BN194" i="15"/>
  <c r="BN195" i="15"/>
  <c r="BN196" i="15" s="1"/>
  <c r="BN197" i="15" s="1"/>
  <c r="BN198" i="15" s="1"/>
  <c r="BN199" i="15"/>
  <c r="BN200" i="15"/>
  <c r="BN201" i="15"/>
  <c r="BN202" i="15"/>
  <c r="BN203" i="15" s="1"/>
  <c r="BN204" i="15"/>
  <c r="BN205" i="15"/>
  <c r="BN206" i="15" s="1"/>
  <c r="BN207" i="15" s="1"/>
  <c r="BN208" i="15" s="1"/>
  <c r="BN209" i="15"/>
  <c r="BN210" i="15" s="1"/>
  <c r="BN211" i="15" s="1"/>
  <c r="BN212" i="15" s="1"/>
  <c r="BN213" i="15" s="1"/>
  <c r="BN214" i="15"/>
  <c r="BN215" i="15" s="1"/>
  <c r="BN216" i="15" s="1"/>
  <c r="BN217" i="15" s="1"/>
  <c r="BN218" i="15" s="1"/>
  <c r="BN219" i="15"/>
  <c r="BN220" i="15" s="1"/>
  <c r="BN221" i="15" s="1"/>
  <c r="BN222" i="15" s="1"/>
  <c r="BN223" i="15" s="1"/>
  <c r="BN224" i="15"/>
  <c r="BN225" i="15"/>
  <c r="BN226" i="15"/>
  <c r="BN227" i="15" s="1"/>
  <c r="BN228" i="15" s="1"/>
  <c r="BN229" i="15"/>
  <c r="BN230" i="15" s="1"/>
  <c r="BN231" i="15" s="1"/>
  <c r="BN232" i="15" s="1"/>
  <c r="BN233" i="15" s="1"/>
  <c r="BN234" i="15"/>
  <c r="BN235" i="15"/>
  <c r="BN236" i="15"/>
  <c r="BN237" i="15"/>
  <c r="BN238" i="15"/>
  <c r="BN239" i="15"/>
  <c r="BN240" i="15"/>
  <c r="BN241" i="15"/>
  <c r="BN242" i="15" s="1"/>
  <c r="BN243" i="15" s="1"/>
  <c r="AW9" i="15"/>
  <c r="AW10" i="15" s="1"/>
  <c r="AW11" i="15" s="1"/>
  <c r="AW12" i="15" s="1"/>
  <c r="AW13" i="15" s="1"/>
  <c r="AW14" i="15"/>
  <c r="AW15" i="15" s="1"/>
  <c r="AW16" i="15" s="1"/>
  <c r="AW17" i="15" s="1"/>
  <c r="AW18" i="15" s="1"/>
  <c r="AW19" i="15"/>
  <c r="AW20" i="15"/>
  <c r="AW21" i="15" s="1"/>
  <c r="AW22" i="15" s="1"/>
  <c r="AW23" i="15" s="1"/>
  <c r="AW24" i="15"/>
  <c r="AW25" i="15" s="1"/>
  <c r="AW26" i="15" s="1"/>
  <c r="AW27" i="15" s="1"/>
  <c r="AW28" i="15" s="1"/>
  <c r="AW29" i="15"/>
  <c r="AW30" i="15"/>
  <c r="AW31" i="15" s="1"/>
  <c r="AW32" i="15" s="1"/>
  <c r="AW33" i="15" s="1"/>
  <c r="AW34" i="15"/>
  <c r="AW35" i="15" s="1"/>
  <c r="AW36" i="15" s="1"/>
  <c r="AW37" i="15" s="1"/>
  <c r="AW38" i="15" s="1"/>
  <c r="AW39" i="15"/>
  <c r="AW40" i="15"/>
  <c r="AW41" i="15"/>
  <c r="AW42" i="15"/>
  <c r="AW43" i="15" s="1"/>
  <c r="AW44" i="15"/>
  <c r="AW45" i="15" s="1"/>
  <c r="AW46" i="15" s="1"/>
  <c r="AW47" i="15" s="1"/>
  <c r="AW48" i="15" s="1"/>
  <c r="AW49" i="15"/>
  <c r="AW50" i="15" s="1"/>
  <c r="AW51" i="15" s="1"/>
  <c r="AW52" i="15" s="1"/>
  <c r="AW53" i="15" s="1"/>
  <c r="AW54" i="15"/>
  <c r="AW55" i="15" s="1"/>
  <c r="AW56" i="15" s="1"/>
  <c r="AW57" i="15" s="1"/>
  <c r="AW58" i="15" s="1"/>
  <c r="AW59" i="15"/>
  <c r="AW60" i="15"/>
  <c r="AW61" i="15" s="1"/>
  <c r="AW62" i="15" s="1"/>
  <c r="AW63" i="15" s="1"/>
  <c r="AW64" i="15"/>
  <c r="AW65" i="15" s="1"/>
  <c r="AW66" i="15" s="1"/>
  <c r="AW67" i="15" s="1"/>
  <c r="AW68" i="15" s="1"/>
  <c r="AW69" i="15"/>
  <c r="AW70" i="15" s="1"/>
  <c r="AW71" i="15" s="1"/>
  <c r="AW72" i="15" s="1"/>
  <c r="AW73" i="15" s="1"/>
  <c r="AW74" i="15"/>
  <c r="AW75" i="15" s="1"/>
  <c r="AW76" i="15" s="1"/>
  <c r="AW77" i="15" s="1"/>
  <c r="AW78" i="15" s="1"/>
  <c r="AW79" i="15"/>
  <c r="AW80" i="15"/>
  <c r="AW81" i="15" s="1"/>
  <c r="AW82" i="15" s="1"/>
  <c r="AW83" i="15" s="1"/>
  <c r="AW84" i="15"/>
  <c r="AW85" i="15" s="1"/>
  <c r="AW86" i="15" s="1"/>
  <c r="AW87" i="15" s="1"/>
  <c r="AW88" i="15" s="1"/>
  <c r="AW89" i="15"/>
  <c r="AW90" i="15"/>
  <c r="AW91" i="15" s="1"/>
  <c r="AW92" i="15" s="1"/>
  <c r="AW93" i="15" s="1"/>
  <c r="AW94" i="15"/>
  <c r="AW95" i="15" s="1"/>
  <c r="AW96" i="15" s="1"/>
  <c r="AW97" i="15" s="1"/>
  <c r="AW98" i="15" s="1"/>
  <c r="AW99" i="15"/>
  <c r="AW100" i="15"/>
  <c r="AW101" i="15"/>
  <c r="AW102" i="15"/>
  <c r="AW103" i="15" s="1"/>
  <c r="AW104" i="15"/>
  <c r="AW105" i="15" s="1"/>
  <c r="AW106" i="15" s="1"/>
  <c r="AW107" i="15" s="1"/>
  <c r="AW108" i="15" s="1"/>
  <c r="AW109" i="15"/>
  <c r="AW110" i="15" s="1"/>
  <c r="AW111" i="15" s="1"/>
  <c r="AW112" i="15" s="1"/>
  <c r="AW113" i="15" s="1"/>
  <c r="AW114" i="15"/>
  <c r="AW115" i="15" s="1"/>
  <c r="AW116" i="15" s="1"/>
  <c r="AW117" i="15" s="1"/>
  <c r="AW118" i="15" s="1"/>
  <c r="AW119" i="15"/>
  <c r="AW120" i="15"/>
  <c r="AW121" i="15" s="1"/>
  <c r="AW122" i="15" s="1"/>
  <c r="AW123" i="15" s="1"/>
  <c r="AW124" i="15"/>
  <c r="AW125" i="15" s="1"/>
  <c r="AW126" i="15" s="1"/>
  <c r="AW127" i="15" s="1"/>
  <c r="AW128" i="15" s="1"/>
  <c r="AW129" i="15"/>
  <c r="AW130" i="15" s="1"/>
  <c r="AW131" i="15" s="1"/>
  <c r="AW132" i="15" s="1"/>
  <c r="AW133" i="15" s="1"/>
  <c r="AW134" i="15"/>
  <c r="AW135" i="15" s="1"/>
  <c r="AW136" i="15" s="1"/>
  <c r="AW137" i="15" s="1"/>
  <c r="AW138" i="15" s="1"/>
  <c r="AW139" i="15"/>
  <c r="AW140" i="15"/>
  <c r="AW141" i="15" s="1"/>
  <c r="AW142" i="15" s="1"/>
  <c r="AW143" i="15" s="1"/>
  <c r="AW144" i="15"/>
  <c r="AW145" i="15" s="1"/>
  <c r="AW146" i="15" s="1"/>
  <c r="AW147" i="15" s="1"/>
  <c r="AW148" i="15" s="1"/>
  <c r="AW149" i="15"/>
  <c r="AW150" i="15"/>
  <c r="AW151" i="15" s="1"/>
  <c r="AW152" i="15" s="1"/>
  <c r="AW153" i="15" s="1"/>
  <c r="AW154" i="15"/>
  <c r="AW155" i="15" s="1"/>
  <c r="AW156" i="15" s="1"/>
  <c r="AW157" i="15" s="1"/>
  <c r="AW158" i="15" s="1"/>
  <c r="AW159" i="15"/>
  <c r="AW160" i="15"/>
  <c r="AW161" i="15"/>
  <c r="AW162" i="15"/>
  <c r="AW163" i="15" s="1"/>
  <c r="AW164" i="15"/>
  <c r="AW165" i="15" s="1"/>
  <c r="AW166" i="15" s="1"/>
  <c r="AW167" i="15" s="1"/>
  <c r="AW168" i="15" s="1"/>
  <c r="AW169" i="15"/>
  <c r="AW170" i="15" s="1"/>
  <c r="AW171" i="15" s="1"/>
  <c r="AW172" i="15" s="1"/>
  <c r="AW173" i="15" s="1"/>
  <c r="AW174" i="15"/>
  <c r="AW175" i="15" s="1"/>
  <c r="AW176" i="15" s="1"/>
  <c r="AW177" i="15" s="1"/>
  <c r="AW178" i="15" s="1"/>
  <c r="AW179" i="15"/>
  <c r="AW180" i="15"/>
  <c r="AW181" i="15" s="1"/>
  <c r="AW182" i="15" s="1"/>
  <c r="AW183" i="15" s="1"/>
  <c r="AW184" i="15"/>
  <c r="AW185" i="15" s="1"/>
  <c r="AW186" i="15" s="1"/>
  <c r="AW187" i="15" s="1"/>
  <c r="AW188" i="15" s="1"/>
  <c r="AW189" i="15"/>
  <c r="AW190" i="15" s="1"/>
  <c r="AW191" i="15" s="1"/>
  <c r="AW192" i="15" s="1"/>
  <c r="AW193" i="15" s="1"/>
  <c r="AW194" i="15"/>
  <c r="AW195" i="15" s="1"/>
  <c r="AW196" i="15" s="1"/>
  <c r="AW197" i="15" s="1"/>
  <c r="AW198" i="15" s="1"/>
  <c r="AW199" i="15"/>
  <c r="AW200" i="15"/>
  <c r="AW201" i="15" s="1"/>
  <c r="AW202" i="15" s="1"/>
  <c r="AW203" i="15" s="1"/>
  <c r="AW204" i="15"/>
  <c r="AW205" i="15" s="1"/>
  <c r="AW206" i="15" s="1"/>
  <c r="AW207" i="15" s="1"/>
  <c r="AW208" i="15" s="1"/>
  <c r="AW209" i="15"/>
  <c r="AW210" i="15"/>
  <c r="AW211" i="15" s="1"/>
  <c r="AW212" i="15" s="1"/>
  <c r="AW213" i="15" s="1"/>
  <c r="AW214" i="15"/>
  <c r="AW215" i="15" s="1"/>
  <c r="AW216" i="15" s="1"/>
  <c r="AW217" i="15" s="1"/>
  <c r="AW218" i="15" s="1"/>
  <c r="AW219" i="15"/>
  <c r="AW220" i="15" s="1"/>
  <c r="AW221" i="15" s="1"/>
  <c r="AW222" i="15" s="1"/>
  <c r="AW223" i="15" s="1"/>
  <c r="AW224" i="15"/>
  <c r="AW225" i="15" s="1"/>
  <c r="AW226" i="15" s="1"/>
  <c r="AW227" i="15" s="1"/>
  <c r="AW228" i="15" s="1"/>
  <c r="AW229" i="15"/>
  <c r="AW230" i="15" s="1"/>
  <c r="AW231" i="15" s="1"/>
  <c r="AW232" i="15" s="1"/>
  <c r="AW233" i="15" s="1"/>
  <c r="AW234" i="15"/>
  <c r="AW235" i="15" s="1"/>
  <c r="AW236" i="15" s="1"/>
  <c r="AW237" i="15" s="1"/>
  <c r="AW238" i="15" s="1"/>
  <c r="AW239" i="15"/>
  <c r="AW240" i="15"/>
  <c r="AW241" i="15" s="1"/>
  <c r="AW242" i="15" s="1"/>
  <c r="AW243" i="15" s="1"/>
  <c r="AF9" i="15"/>
  <c r="AF10" i="15" s="1"/>
  <c r="AF11" i="15" s="1"/>
  <c r="AF12" i="15" s="1"/>
  <c r="AF13" i="15" s="1"/>
  <c r="AF14" i="15"/>
  <c r="AF15" i="15" s="1"/>
  <c r="AF16" i="15" s="1"/>
  <c r="AF17" i="15" s="1"/>
  <c r="AF18" i="15" s="1"/>
  <c r="AF19" i="15"/>
  <c r="AF20" i="15"/>
  <c r="AF21" i="15" s="1"/>
  <c r="AF22" i="15" s="1"/>
  <c r="AF23" i="15" s="1"/>
  <c r="AF24" i="15"/>
  <c r="AF25" i="15"/>
  <c r="AF26" i="15"/>
  <c r="AF27" i="15" s="1"/>
  <c r="AF28" i="15" s="1"/>
  <c r="AF29" i="15"/>
  <c r="AF30" i="15" s="1"/>
  <c r="AF31" i="15" s="1"/>
  <c r="AF32" i="15" s="1"/>
  <c r="AF33" i="15" s="1"/>
  <c r="AF34" i="15"/>
  <c r="AF35" i="15"/>
  <c r="AF36" i="15" s="1"/>
  <c r="AF37" i="15" s="1"/>
  <c r="AF38" i="15" s="1"/>
  <c r="AF39" i="15"/>
  <c r="AF40" i="15"/>
  <c r="AF41" i="15" s="1"/>
  <c r="AF42" i="15" s="1"/>
  <c r="AF43" i="15" s="1"/>
  <c r="AF44" i="15"/>
  <c r="AF45" i="15" s="1"/>
  <c r="AF46" i="15" s="1"/>
  <c r="AF47" i="15" s="1"/>
  <c r="AF48" i="15" s="1"/>
  <c r="AF49" i="15"/>
  <c r="AF50" i="15"/>
  <c r="AF51" i="15"/>
  <c r="AF52" i="15"/>
  <c r="AF53" i="15" s="1"/>
  <c r="AF54" i="15"/>
  <c r="AF55" i="15"/>
  <c r="AF56" i="15"/>
  <c r="AF57" i="15" s="1"/>
  <c r="AF58" i="15" s="1"/>
  <c r="AF59" i="15"/>
  <c r="AF60" i="15" s="1"/>
  <c r="AF61" i="15" s="1"/>
  <c r="AF62" i="15" s="1"/>
  <c r="AF63" i="15" s="1"/>
  <c r="AF64" i="15"/>
  <c r="AF65" i="15" s="1"/>
  <c r="AF66" i="15" s="1"/>
  <c r="AF67" i="15" s="1"/>
  <c r="AF68" i="15" s="1"/>
  <c r="AF69" i="15"/>
  <c r="AF70" i="15" s="1"/>
  <c r="AF71" i="15" s="1"/>
  <c r="AF72" i="15" s="1"/>
  <c r="AF73" i="15" s="1"/>
  <c r="AF74" i="15"/>
  <c r="AF75" i="15"/>
  <c r="AF76" i="15"/>
  <c r="AF77" i="15" s="1"/>
  <c r="AF78" i="15" s="1"/>
  <c r="AF79" i="15"/>
  <c r="AF80" i="15"/>
  <c r="AF81" i="15" s="1"/>
  <c r="AF82" i="15" s="1"/>
  <c r="AF83" i="15" s="1"/>
  <c r="AF84" i="15"/>
  <c r="AF85" i="15"/>
  <c r="AF86" i="15"/>
  <c r="AF87" i="15"/>
  <c r="AF88" i="15"/>
  <c r="AF89" i="15"/>
  <c r="AF90" i="15" s="1"/>
  <c r="AF91" i="15" s="1"/>
  <c r="AF92" i="15" s="1"/>
  <c r="AF93" i="15" s="1"/>
  <c r="AF94" i="15"/>
  <c r="AF95" i="15"/>
  <c r="AF96" i="15" s="1"/>
  <c r="AF97" i="15" s="1"/>
  <c r="AF98" i="15" s="1"/>
  <c r="AF99" i="15"/>
  <c r="AF100" i="15"/>
  <c r="AF101" i="15" s="1"/>
  <c r="AF102" i="15" s="1"/>
  <c r="AF103" i="15" s="1"/>
  <c r="AF104" i="15"/>
  <c r="AF105" i="15" s="1"/>
  <c r="AF106" i="15" s="1"/>
  <c r="AF107" i="15" s="1"/>
  <c r="AF108" i="15" s="1"/>
  <c r="AF109" i="15"/>
  <c r="AF110" i="15"/>
  <c r="AF111" i="15"/>
  <c r="AF112" i="15"/>
  <c r="AF113" i="15" s="1"/>
  <c r="AF114" i="15"/>
  <c r="AF115" i="15"/>
  <c r="AF116" i="15"/>
  <c r="AF117" i="15" s="1"/>
  <c r="AF118" i="15" s="1"/>
  <c r="AF119" i="15"/>
  <c r="AF120" i="15" s="1"/>
  <c r="AF121" i="15" s="1"/>
  <c r="AF122" i="15" s="1"/>
  <c r="AF123" i="15" s="1"/>
  <c r="AF124" i="15"/>
  <c r="AF125" i="15" s="1"/>
  <c r="AF126" i="15" s="1"/>
  <c r="AF127" i="15" s="1"/>
  <c r="AF128" i="15" s="1"/>
  <c r="AF129" i="15"/>
  <c r="AF130" i="15" s="1"/>
  <c r="AF131" i="15" s="1"/>
  <c r="AF132" i="15" s="1"/>
  <c r="AF133" i="15" s="1"/>
  <c r="AF134" i="15"/>
  <c r="AF135" i="15"/>
  <c r="AF136" i="15"/>
  <c r="AF137" i="15" s="1"/>
  <c r="AF138" i="15" s="1"/>
  <c r="AF139" i="15"/>
  <c r="AF140" i="15"/>
  <c r="AF141" i="15" s="1"/>
  <c r="AF142" i="15" s="1"/>
  <c r="AF143" i="15" s="1"/>
  <c r="AF144" i="15"/>
  <c r="AF145" i="15"/>
  <c r="AF146" i="15"/>
  <c r="AF147" i="15"/>
  <c r="AF148" i="15"/>
  <c r="AF149" i="15"/>
  <c r="AF150" i="15" s="1"/>
  <c r="AF151" i="15" s="1"/>
  <c r="AF152" i="15" s="1"/>
  <c r="AF153" i="15" s="1"/>
  <c r="AF154" i="15"/>
  <c r="AF155" i="15"/>
  <c r="AF156" i="15" s="1"/>
  <c r="AF157" i="15" s="1"/>
  <c r="AF158" i="15" s="1"/>
  <c r="AF159" i="15"/>
  <c r="AF160" i="15"/>
  <c r="AF161" i="15" s="1"/>
  <c r="AF162" i="15" s="1"/>
  <c r="AF163" i="15" s="1"/>
  <c r="AF164" i="15"/>
  <c r="AF165" i="15" s="1"/>
  <c r="AF166" i="15" s="1"/>
  <c r="AF167" i="15" s="1"/>
  <c r="AF168" i="15" s="1"/>
  <c r="AF169" i="15"/>
  <c r="AF170" i="15"/>
  <c r="AF171" i="15"/>
  <c r="AF172" i="15"/>
  <c r="AF173" i="15" s="1"/>
  <c r="AF174" i="15"/>
  <c r="AF175" i="15"/>
  <c r="AF176" i="15"/>
  <c r="AF177" i="15" s="1"/>
  <c r="AF178" i="15" s="1"/>
  <c r="AF179" i="15"/>
  <c r="AF180" i="15" s="1"/>
  <c r="AF181" i="15" s="1"/>
  <c r="AF182" i="15" s="1"/>
  <c r="AF183" i="15" s="1"/>
  <c r="AF184" i="15"/>
  <c r="AF185" i="15" s="1"/>
  <c r="AF186" i="15" s="1"/>
  <c r="AF187" i="15" s="1"/>
  <c r="AF188" i="15" s="1"/>
  <c r="AF189" i="15"/>
  <c r="AF190" i="15" s="1"/>
  <c r="AF191" i="15" s="1"/>
  <c r="AF192" i="15" s="1"/>
  <c r="AF193" i="15" s="1"/>
  <c r="AF194" i="15"/>
  <c r="AF195" i="15"/>
  <c r="AF196" i="15"/>
  <c r="AF197" i="15" s="1"/>
  <c r="AF198" i="15" s="1"/>
  <c r="AF199" i="15"/>
  <c r="AF200" i="15"/>
  <c r="AF201" i="15" s="1"/>
  <c r="AF202" i="15" s="1"/>
  <c r="AF203" i="15" s="1"/>
  <c r="AF204" i="15"/>
  <c r="AF205" i="15"/>
  <c r="AF206" i="15"/>
  <c r="AF207" i="15"/>
  <c r="AF208" i="15"/>
  <c r="AF209" i="15"/>
  <c r="AF210" i="15" s="1"/>
  <c r="AF211" i="15" s="1"/>
  <c r="AF212" i="15" s="1"/>
  <c r="AF213" i="15" s="1"/>
  <c r="AF214" i="15"/>
  <c r="AF215" i="15"/>
  <c r="AF216" i="15" s="1"/>
  <c r="AF217" i="15" s="1"/>
  <c r="AF218" i="15" s="1"/>
  <c r="AF219" i="15"/>
  <c r="AF220" i="15"/>
  <c r="AF221" i="15" s="1"/>
  <c r="AF222" i="15" s="1"/>
  <c r="AF223" i="15" s="1"/>
  <c r="AF224" i="15"/>
  <c r="AF225" i="15" s="1"/>
  <c r="AF226" i="15" s="1"/>
  <c r="AF227" i="15" s="1"/>
  <c r="AF228" i="15" s="1"/>
  <c r="AF229" i="15"/>
  <c r="AF230" i="15"/>
  <c r="AF231" i="15"/>
  <c r="AF232" i="15"/>
  <c r="AF233" i="15"/>
  <c r="AF234" i="15"/>
  <c r="AF235" i="15"/>
  <c r="AF236" i="15"/>
  <c r="AF237" i="15" s="1"/>
  <c r="AF238" i="15" s="1"/>
  <c r="AF239" i="15"/>
  <c r="AF240" i="15" s="1"/>
  <c r="AF241" i="15" s="1"/>
  <c r="AF242" i="15" s="1"/>
  <c r="AF243" i="15" s="1"/>
  <c r="O9" i="15"/>
  <c r="O10" i="15"/>
  <c r="O11" i="15" s="1"/>
  <c r="O12" i="15" s="1"/>
  <c r="O13" i="15" s="1"/>
  <c r="O14" i="15"/>
  <c r="O15" i="15" s="1"/>
  <c r="O16" i="15" s="1"/>
  <c r="O17" i="15" s="1"/>
  <c r="O18" i="15" s="1"/>
  <c r="O19" i="15"/>
  <c r="O20" i="15"/>
  <c r="O21" i="15" s="1"/>
  <c r="O22" i="15" s="1"/>
  <c r="O23" i="15" s="1"/>
  <c r="O24" i="15"/>
  <c r="O25" i="15"/>
  <c r="O26" i="15" s="1"/>
  <c r="O27" i="15" s="1"/>
  <c r="O28" i="15" s="1"/>
  <c r="O29" i="15"/>
  <c r="O30" i="15"/>
  <c r="O31" i="15"/>
  <c r="O32" i="15"/>
  <c r="O33" i="15" s="1"/>
  <c r="O34" i="15"/>
  <c r="O35" i="15" s="1"/>
  <c r="O36" i="15" s="1"/>
  <c r="O37" i="15" s="1"/>
  <c r="O38" i="15" s="1"/>
  <c r="O39" i="15"/>
  <c r="O40" i="15" s="1"/>
  <c r="O41" i="15" s="1"/>
  <c r="O42" i="15" s="1"/>
  <c r="O43" i="15" s="1"/>
  <c r="O44" i="15"/>
  <c r="O45" i="15" s="1"/>
  <c r="O46" i="15" s="1"/>
  <c r="O47" i="15" s="1"/>
  <c r="O48" i="15" s="1"/>
  <c r="O49" i="15"/>
  <c r="O50" i="15" s="1"/>
  <c r="O51" i="15" s="1"/>
  <c r="O52" i="15" s="1"/>
  <c r="O53" i="15" s="1"/>
  <c r="O54" i="15"/>
  <c r="O55" i="15"/>
  <c r="O56" i="15"/>
  <c r="O57" i="15" s="1"/>
  <c r="O58" i="15" s="1"/>
  <c r="O59" i="15"/>
  <c r="O60" i="15"/>
  <c r="O61" i="15"/>
  <c r="O62" i="15" s="1"/>
  <c r="O63" i="15" s="1"/>
  <c r="O64" i="15"/>
  <c r="O65" i="15" s="1"/>
  <c r="O66" i="15" s="1"/>
  <c r="O67" i="15" s="1"/>
  <c r="O68" i="15" s="1"/>
  <c r="O69" i="15"/>
  <c r="O70" i="15"/>
  <c r="O71" i="15" s="1"/>
  <c r="O72" i="15" s="1"/>
  <c r="O73" i="15" s="1"/>
  <c r="O74" i="15"/>
  <c r="O75" i="15" s="1"/>
  <c r="O76" i="15" s="1"/>
  <c r="O77" i="15" s="1"/>
  <c r="O78" i="15" s="1"/>
  <c r="O79" i="15"/>
  <c r="O80" i="15"/>
  <c r="O81" i="15" s="1"/>
  <c r="O82" i="15" s="1"/>
  <c r="O83" i="15" s="1"/>
  <c r="O84" i="15"/>
  <c r="O85" i="15"/>
  <c r="O86" i="15" s="1"/>
  <c r="O87" i="15" s="1"/>
  <c r="O88" i="15" s="1"/>
  <c r="O89" i="15"/>
  <c r="O90" i="15"/>
  <c r="O91" i="15"/>
  <c r="O92" i="15"/>
  <c r="O93" i="15" s="1"/>
  <c r="O94" i="15"/>
  <c r="O95" i="15" s="1"/>
  <c r="O96" i="15" s="1"/>
  <c r="O97" i="15" s="1"/>
  <c r="O98" i="15" s="1"/>
  <c r="O99" i="15"/>
  <c r="O100" i="15" s="1"/>
  <c r="O101" i="15" s="1"/>
  <c r="O102" i="15" s="1"/>
  <c r="O103" i="15" s="1"/>
  <c r="O104" i="15"/>
  <c r="O105" i="15" s="1"/>
  <c r="O106" i="15" s="1"/>
  <c r="O107" i="15" s="1"/>
  <c r="O108" i="15" s="1"/>
  <c r="O109" i="15"/>
  <c r="O110" i="15" s="1"/>
  <c r="O111" i="15" s="1"/>
  <c r="O112" i="15" s="1"/>
  <c r="O113" i="15" s="1"/>
  <c r="O114" i="15"/>
  <c r="O115" i="15"/>
  <c r="O116" i="15"/>
  <c r="O117" i="15" s="1"/>
  <c r="O118" i="15" s="1"/>
  <c r="O119" i="15"/>
  <c r="O120" i="15"/>
  <c r="O121" i="15"/>
  <c r="O122" i="15" s="1"/>
  <c r="O123" i="15" s="1"/>
  <c r="O124" i="15"/>
  <c r="O125" i="15" s="1"/>
  <c r="O126" i="15" s="1"/>
  <c r="O127" i="15" s="1"/>
  <c r="O128" i="15" s="1"/>
  <c r="O129" i="15"/>
  <c r="O130" i="15"/>
  <c r="O131" i="15" s="1"/>
  <c r="O132" i="15" s="1"/>
  <c r="O133" i="15" s="1"/>
  <c r="O134" i="15"/>
  <c r="O135" i="15" s="1"/>
  <c r="O136" i="15" s="1"/>
  <c r="O137" i="15" s="1"/>
  <c r="O138" i="15" s="1"/>
  <c r="O139" i="15"/>
  <c r="O140" i="15"/>
  <c r="O141" i="15" s="1"/>
  <c r="O142" i="15" s="1"/>
  <c r="O143" i="15" s="1"/>
  <c r="O144" i="15"/>
  <c r="O145" i="15"/>
  <c r="O146" i="15" s="1"/>
  <c r="O147" i="15" s="1"/>
  <c r="O148" i="15" s="1"/>
  <c r="O149" i="15"/>
  <c r="O150" i="15"/>
  <c r="O151" i="15"/>
  <c r="O152" i="15"/>
  <c r="O153" i="15"/>
  <c r="O154" i="15"/>
  <c r="O155" i="15" s="1"/>
  <c r="O156" i="15" s="1"/>
  <c r="O157" i="15" s="1"/>
  <c r="O158" i="15" s="1"/>
  <c r="O159" i="15"/>
  <c r="O160" i="15" s="1"/>
  <c r="O161" i="15" s="1"/>
  <c r="O162" i="15" s="1"/>
  <c r="O163" i="15" s="1"/>
  <c r="O164" i="15"/>
  <c r="O165" i="15" s="1"/>
  <c r="O166" i="15" s="1"/>
  <c r="O167" i="15" s="1"/>
  <c r="O168" i="15" s="1"/>
  <c r="O169" i="15"/>
  <c r="O170" i="15" s="1"/>
  <c r="O171" i="15" s="1"/>
  <c r="O172" i="15" s="1"/>
  <c r="O173" i="15" s="1"/>
  <c r="O174" i="15"/>
  <c r="O175" i="15"/>
  <c r="O176" i="15"/>
  <c r="O177" i="15"/>
  <c r="O178" i="15"/>
  <c r="O179" i="15"/>
  <c r="O180" i="15"/>
  <c r="O181" i="15"/>
  <c r="O182" i="15" s="1"/>
  <c r="O183" i="15" s="1"/>
  <c r="O184" i="15"/>
  <c r="O185" i="15" s="1"/>
  <c r="O186" i="15" s="1"/>
  <c r="O187" i="15" s="1"/>
  <c r="O188" i="15" s="1"/>
  <c r="O189" i="15"/>
  <c r="O190" i="15"/>
  <c r="O191" i="15" s="1"/>
  <c r="O192" i="15" s="1"/>
  <c r="O193" i="15" s="1"/>
  <c r="O194" i="15"/>
  <c r="O195" i="15" s="1"/>
  <c r="O196" i="15" s="1"/>
  <c r="O197" i="15" s="1"/>
  <c r="O198" i="15" s="1"/>
  <c r="O199" i="15"/>
  <c r="O200" i="15"/>
  <c r="O201" i="15"/>
  <c r="O202" i="15"/>
  <c r="O203" i="15" s="1"/>
  <c r="O204" i="15"/>
  <c r="O205" i="15"/>
  <c r="O206" i="15" s="1"/>
  <c r="O207" i="15" s="1"/>
  <c r="O208" i="15" s="1"/>
  <c r="O209" i="15"/>
  <c r="O210" i="15"/>
  <c r="O211" i="15"/>
  <c r="O212" i="15"/>
  <c r="O213" i="15"/>
  <c r="O214" i="15"/>
  <c r="O215" i="15" s="1"/>
  <c r="O216" i="15" s="1"/>
  <c r="O217" i="15" s="1"/>
  <c r="O218" i="15" s="1"/>
  <c r="O219" i="15"/>
  <c r="O220" i="15" s="1"/>
  <c r="O221" i="15" s="1"/>
  <c r="O222" i="15" s="1"/>
  <c r="O223" i="15" s="1"/>
  <c r="O224" i="15"/>
  <c r="O225" i="15"/>
  <c r="O226" i="15"/>
  <c r="O227" i="15" s="1"/>
  <c r="O228" i="15" s="1"/>
  <c r="O229" i="15"/>
  <c r="O230" i="15" s="1"/>
  <c r="O231" i="15" s="1"/>
  <c r="O232" i="15" s="1"/>
  <c r="O233" i="15" s="1"/>
  <c r="O234" i="15"/>
  <c r="O235" i="15"/>
  <c r="O236" i="15"/>
  <c r="O237" i="15"/>
  <c r="O238" i="15"/>
  <c r="O239" i="15"/>
  <c r="O240" i="15"/>
  <c r="O241" i="15"/>
  <c r="O242" i="15" s="1"/>
  <c r="O243" i="15" s="1"/>
  <c r="BN4" i="15"/>
  <c r="BN5" i="15" s="1"/>
  <c r="AW4" i="15"/>
  <c r="AW5" i="15" s="1"/>
  <c r="AF4" i="15"/>
  <c r="O4" i="15"/>
  <c r="O5" i="15" s="1"/>
  <c r="BC2" i="15"/>
  <c r="AL2" i="15"/>
  <c r="U2" i="15"/>
  <c r="D2" i="15"/>
  <c r="CS40" i="16" l="1"/>
  <c r="CS41" i="16" s="1"/>
  <c r="CS42" i="16" s="1"/>
  <c r="CS43" i="16" s="1"/>
  <c r="O6" i="15"/>
  <c r="O7" i="15" s="1"/>
  <c r="O8" i="15" s="1"/>
  <c r="F1" i="15"/>
  <c r="AW6" i="15"/>
  <c r="AW7" i="15" s="1"/>
  <c r="AW8" i="15" s="1"/>
  <c r="AP1" i="15"/>
  <c r="BN6" i="15"/>
  <c r="BN7" i="15" s="1"/>
  <c r="BN8" i="15" s="1"/>
  <c r="AF5" i="15"/>
  <c r="G1" i="15" l="1"/>
  <c r="I1" i="15"/>
  <c r="J1" i="15"/>
  <c r="H1" i="15"/>
  <c r="AR1" i="15"/>
  <c r="AO1" i="15"/>
  <c r="AQ1" i="15"/>
  <c r="AN1" i="15"/>
  <c r="BE1" i="15"/>
  <c r="BH1" i="15"/>
  <c r="BI1" i="15"/>
  <c r="AF6" i="15"/>
  <c r="BG1" i="15"/>
  <c r="BF1" i="15"/>
  <c r="AF7" i="15" l="1"/>
  <c r="AF8" i="15" l="1"/>
  <c r="Z1" i="15" s="1"/>
  <c r="Y1" i="15"/>
  <c r="W1" i="15"/>
  <c r="AA1" i="15"/>
  <c r="X1" i="15"/>
  <c r="AW4" i="16" l="1"/>
  <c r="D2" i="12"/>
  <c r="AW5" i="16" l="1"/>
  <c r="AW6" i="16" s="1"/>
  <c r="AW7" i="16" s="1"/>
  <c r="AW8" i="16" s="1"/>
  <c r="I4" i="19" a="1"/>
  <c r="BJ29" i="16"/>
  <c r="BJ30" i="16" s="1"/>
  <c r="BJ31" i="16" s="1"/>
  <c r="BJ32" i="16" s="1"/>
  <c r="BJ33" i="16" s="1"/>
  <c r="CH29" i="16"/>
  <c r="CH30" i="16" s="1"/>
  <c r="CH31" i="16" s="1"/>
  <c r="CH32" i="16" s="1"/>
  <c r="CH33" i="16" s="1"/>
  <c r="CT29" i="16"/>
  <c r="CT30" i="16" s="1"/>
  <c r="CT31" i="16" s="1"/>
  <c r="CT32" i="16" s="1"/>
  <c r="CT33" i="16" s="1"/>
  <c r="BV29" i="16"/>
  <c r="BV30" i="16" s="1"/>
  <c r="BV31" i="16" s="1"/>
  <c r="BV32" i="16" s="1"/>
  <c r="BV33" i="16" s="1"/>
  <c r="BJ4" i="16"/>
  <c r="CH4" i="16"/>
  <c r="CT4" i="16"/>
  <c r="BV4" i="16"/>
  <c r="BJ19" i="16"/>
  <c r="BJ20" i="16" s="1"/>
  <c r="BJ21" i="16" s="1"/>
  <c r="BJ22" i="16" s="1"/>
  <c r="BJ23" i="16" s="1"/>
  <c r="CT19" i="16"/>
  <c r="CT20" i="16" s="1"/>
  <c r="CT21" i="16" s="1"/>
  <c r="CT22" i="16" s="1"/>
  <c r="CT23" i="16" s="1"/>
  <c r="BV19" i="16"/>
  <c r="BV20" i="16" s="1"/>
  <c r="BV21" i="16" s="1"/>
  <c r="BV22" i="16" s="1"/>
  <c r="BV23" i="16" s="1"/>
  <c r="CH19" i="16"/>
  <c r="CH20" i="16" s="1"/>
  <c r="CH21" i="16" s="1"/>
  <c r="CH22" i="16" s="1"/>
  <c r="CH23" i="16" s="1"/>
  <c r="BV24" i="16"/>
  <c r="BV25" i="16" s="1"/>
  <c r="BV26" i="16" s="1"/>
  <c r="BV27" i="16" s="1"/>
  <c r="BV28" i="16" s="1"/>
  <c r="BJ24" i="16"/>
  <c r="BJ25" i="16" s="1"/>
  <c r="BJ26" i="16" s="1"/>
  <c r="BJ27" i="16" s="1"/>
  <c r="BJ28" i="16" s="1"/>
  <c r="CH24" i="16"/>
  <c r="CH25" i="16" s="1"/>
  <c r="CH26" i="16" s="1"/>
  <c r="CH27" i="16" s="1"/>
  <c r="CH28" i="16" s="1"/>
  <c r="CT24" i="16"/>
  <c r="CT25" i="16" s="1"/>
  <c r="CT26" i="16" s="1"/>
  <c r="CT27" i="16" s="1"/>
  <c r="CT28" i="16" s="1"/>
  <c r="BJ44" i="16"/>
  <c r="BJ45" i="16" s="1"/>
  <c r="BJ46" i="16" s="1"/>
  <c r="BJ47" i="16" s="1"/>
  <c r="BJ48" i="16" s="1"/>
  <c r="BV44" i="16"/>
  <c r="BV45" i="16" s="1"/>
  <c r="BV46" i="16" s="1"/>
  <c r="BV47" i="16" s="1"/>
  <c r="BV48" i="16" s="1"/>
  <c r="CT44" i="16"/>
  <c r="CT45" i="16" s="1"/>
  <c r="CT46" i="16" s="1"/>
  <c r="CT47" i="16" s="1"/>
  <c r="CT48" i="16" s="1"/>
  <c r="CH44" i="16"/>
  <c r="CH45" i="16" s="1"/>
  <c r="CH46" i="16" s="1"/>
  <c r="CH47" i="16" s="1"/>
  <c r="CH48" i="16" s="1"/>
  <c r="CH9" i="16"/>
  <c r="CH10" i="16" s="1"/>
  <c r="CH11" i="16" s="1"/>
  <c r="CH12" i="16" s="1"/>
  <c r="CH13" i="16" s="1"/>
  <c r="BV9" i="16"/>
  <c r="BV10" i="16" s="1"/>
  <c r="BV11" i="16" s="1"/>
  <c r="BV12" i="16" s="1"/>
  <c r="BV13" i="16" s="1"/>
  <c r="CT9" i="16"/>
  <c r="CT10" i="16" s="1"/>
  <c r="CT11" i="16" s="1"/>
  <c r="CT12" i="16" s="1"/>
  <c r="CT13" i="16" s="1"/>
  <c r="BJ9" i="16"/>
  <c r="BJ10" i="16" s="1"/>
  <c r="BJ11" i="16" s="1"/>
  <c r="BJ12" i="16" s="1"/>
  <c r="BJ13" i="16" s="1"/>
  <c r="BV34" i="16"/>
  <c r="BV35" i="16" s="1"/>
  <c r="BV36" i="16" s="1"/>
  <c r="BV37" i="16" s="1"/>
  <c r="BV38" i="16" s="1"/>
  <c r="CT34" i="16"/>
  <c r="CT35" i="16" s="1"/>
  <c r="CT36" i="16" s="1"/>
  <c r="CT37" i="16" s="1"/>
  <c r="CT38" i="16" s="1"/>
  <c r="CH34" i="16"/>
  <c r="CH35" i="16" s="1"/>
  <c r="CH36" i="16" s="1"/>
  <c r="CH37" i="16" s="1"/>
  <c r="CH38" i="16" s="1"/>
  <c r="BJ34" i="16"/>
  <c r="BJ35" i="16" s="1"/>
  <c r="BJ36" i="16" s="1"/>
  <c r="BJ37" i="16" s="1"/>
  <c r="BJ38" i="16" s="1"/>
  <c r="BJ14" i="16"/>
  <c r="BJ15" i="16" s="1"/>
  <c r="BJ16" i="16" s="1"/>
  <c r="BJ17" i="16" s="1"/>
  <c r="BJ18" i="16" s="1"/>
  <c r="BV14" i="16"/>
  <c r="BV15" i="16" s="1"/>
  <c r="BV16" i="16" s="1"/>
  <c r="BV17" i="16" s="1"/>
  <c r="BV18" i="16" s="1"/>
  <c r="CH14" i="16"/>
  <c r="CH15" i="16" s="1"/>
  <c r="CH16" i="16" s="1"/>
  <c r="CH17" i="16" s="1"/>
  <c r="CH18" i="16" s="1"/>
  <c r="CT14" i="16"/>
  <c r="CT15" i="16" s="1"/>
  <c r="CT16" i="16" s="1"/>
  <c r="CT17" i="16" s="1"/>
  <c r="CT18" i="16" s="1"/>
  <c r="CT39" i="16"/>
  <c r="CT40" i="16" s="1"/>
  <c r="CT41" i="16" s="1"/>
  <c r="CT42" i="16" s="1"/>
  <c r="CT43" i="16" s="1"/>
  <c r="BV39" i="16"/>
  <c r="BV40" i="16" s="1"/>
  <c r="BV41" i="16" s="1"/>
  <c r="BV42" i="16" s="1"/>
  <c r="BV43" i="16" s="1"/>
  <c r="BJ39" i="16"/>
  <c r="BJ40" i="16" s="1"/>
  <c r="BJ41" i="16" s="1"/>
  <c r="BJ42" i="16" s="1"/>
  <c r="BJ43" i="16" s="1"/>
  <c r="CH39" i="16"/>
  <c r="CH40" i="16" s="1"/>
  <c r="CH41" i="16" s="1"/>
  <c r="CH42" i="16" s="1"/>
  <c r="CH43" i="16" s="1"/>
  <c r="F1" i="16"/>
  <c r="G1" i="16"/>
  <c r="J1" i="16"/>
  <c r="I1" i="16"/>
  <c r="H1" i="16"/>
  <c r="X4" i="12"/>
  <c r="X5" i="12" s="1"/>
  <c r="X6" i="12" s="1"/>
  <c r="X7" i="12" s="1"/>
  <c r="X8" i="12" s="1"/>
  <c r="BE14" i="12"/>
  <c r="BF18" i="12" s="1"/>
  <c r="BE19" i="12"/>
  <c r="BF22" i="12" s="1"/>
  <c r="BE24" i="12"/>
  <c r="BF28" i="12" s="1"/>
  <c r="BE29" i="12"/>
  <c r="BF33" i="12" s="1"/>
  <c r="BE34" i="12"/>
  <c r="BF35" i="12" s="1"/>
  <c r="BE39" i="12"/>
  <c r="BF39" i="12" s="1"/>
  <c r="BE44" i="12"/>
  <c r="BF46" i="12" s="1"/>
  <c r="BE49" i="12"/>
  <c r="BF53" i="12" s="1"/>
  <c r="BE54" i="12"/>
  <c r="BF55" i="12" s="1"/>
  <c r="BE59" i="12"/>
  <c r="BF63" i="12" s="1"/>
  <c r="BE64" i="12"/>
  <c r="BF65" i="12" s="1"/>
  <c r="BE69" i="12"/>
  <c r="BF71" i="12" s="1"/>
  <c r="BE74" i="12"/>
  <c r="BF78" i="12" s="1"/>
  <c r="BE79" i="12"/>
  <c r="BF83" i="12" s="1"/>
  <c r="BE84" i="12"/>
  <c r="BF86" i="12" s="1"/>
  <c r="BE89" i="12"/>
  <c r="BF90" i="12" s="1"/>
  <c r="BE94" i="12"/>
  <c r="BF97" i="12" s="1"/>
  <c r="BE99" i="12"/>
  <c r="BF103" i="12" s="1"/>
  <c r="BE104" i="12"/>
  <c r="BF108" i="12" s="1"/>
  <c r="BE109" i="12"/>
  <c r="BF110" i="12" s="1"/>
  <c r="BE114" i="12"/>
  <c r="BF118" i="12" s="1"/>
  <c r="BE119" i="12"/>
  <c r="BF123" i="12" s="1"/>
  <c r="BE124" i="12"/>
  <c r="BF128" i="12" s="1"/>
  <c r="BE129" i="12"/>
  <c r="BF129" i="12" s="1"/>
  <c r="BE134" i="12"/>
  <c r="BF137" i="12" s="1"/>
  <c r="BE139" i="12"/>
  <c r="BF143" i="12" s="1"/>
  <c r="BE9" i="12"/>
  <c r="BF12" i="12" s="1"/>
  <c r="BE4" i="12"/>
  <c r="D2" i="16"/>
  <c r="I4" i="19" l="1"/>
  <c r="H4" i="19" s="1"/>
  <c r="H9" i="19"/>
  <c r="H21" i="19"/>
  <c r="H33" i="19"/>
  <c r="H45" i="19"/>
  <c r="H57" i="19"/>
  <c r="H69" i="19"/>
  <c r="H81" i="19"/>
  <c r="H93" i="19"/>
  <c r="H105" i="19"/>
  <c r="H117" i="19"/>
  <c r="H129" i="19"/>
  <c r="H141" i="19"/>
  <c r="H153" i="19"/>
  <c r="H165" i="19"/>
  <c r="H177" i="19"/>
  <c r="H189" i="19"/>
  <c r="H201" i="19"/>
  <c r="H24" i="19"/>
  <c r="H60" i="19"/>
  <c r="H84" i="19"/>
  <c r="H108" i="19"/>
  <c r="H132" i="19"/>
  <c r="H180" i="19"/>
  <c r="H10" i="19"/>
  <c r="H22" i="19"/>
  <c r="H34" i="19"/>
  <c r="H46" i="19"/>
  <c r="H58" i="19"/>
  <c r="H70" i="19"/>
  <c r="H82" i="19"/>
  <c r="H94" i="19"/>
  <c r="H106" i="19"/>
  <c r="H118" i="19"/>
  <c r="H130" i="19"/>
  <c r="H142" i="19"/>
  <c r="H154" i="19"/>
  <c r="H166" i="19"/>
  <c r="H178" i="19"/>
  <c r="H190" i="19"/>
  <c r="H202" i="19"/>
  <c r="H48" i="19"/>
  <c r="H96" i="19"/>
  <c r="H144" i="19"/>
  <c r="H192" i="19"/>
  <c r="H20" i="19"/>
  <c r="H188" i="19"/>
  <c r="H11" i="19"/>
  <c r="H23" i="19"/>
  <c r="H35" i="19"/>
  <c r="H47" i="19"/>
  <c r="H59" i="19"/>
  <c r="H71" i="19"/>
  <c r="H83" i="19"/>
  <c r="H95" i="19"/>
  <c r="H107" i="19"/>
  <c r="H119" i="19"/>
  <c r="H131" i="19"/>
  <c r="H143" i="19"/>
  <c r="H155" i="19"/>
  <c r="H167" i="19"/>
  <c r="H179" i="19"/>
  <c r="H191" i="19"/>
  <c r="H203" i="19"/>
  <c r="H36" i="19"/>
  <c r="H72" i="19"/>
  <c r="H120" i="19"/>
  <c r="H168" i="19"/>
  <c r="H204" i="19"/>
  <c r="H32" i="19"/>
  <c r="H152" i="19"/>
  <c r="H12" i="19"/>
  <c r="H156" i="19"/>
  <c r="H8" i="19"/>
  <c r="H164" i="19"/>
  <c r="H13" i="19"/>
  <c r="H25" i="19"/>
  <c r="H37" i="19"/>
  <c r="H49" i="19"/>
  <c r="H61" i="19"/>
  <c r="H73" i="19"/>
  <c r="H85" i="19"/>
  <c r="H97" i="19"/>
  <c r="H109" i="19"/>
  <c r="H121" i="19"/>
  <c r="H133" i="19"/>
  <c r="H145" i="19"/>
  <c r="H157" i="19"/>
  <c r="H169" i="19"/>
  <c r="H181" i="19"/>
  <c r="H193" i="19"/>
  <c r="H205" i="19"/>
  <c r="H17" i="19"/>
  <c r="H161" i="19"/>
  <c r="H80" i="19"/>
  <c r="H128" i="19"/>
  <c r="H212" i="19"/>
  <c r="H14" i="19"/>
  <c r="H26" i="19"/>
  <c r="H38" i="19"/>
  <c r="H50" i="19"/>
  <c r="H62" i="19"/>
  <c r="H74" i="19"/>
  <c r="H86" i="19"/>
  <c r="H98" i="19"/>
  <c r="H110" i="19"/>
  <c r="H122" i="19"/>
  <c r="H134" i="19"/>
  <c r="H146" i="19"/>
  <c r="H158" i="19"/>
  <c r="H170" i="19"/>
  <c r="H182" i="19"/>
  <c r="H194" i="19"/>
  <c r="H206" i="19"/>
  <c r="H29" i="19"/>
  <c r="H44" i="19"/>
  <c r="H15" i="19"/>
  <c r="H27" i="19"/>
  <c r="H39" i="19"/>
  <c r="H51" i="19"/>
  <c r="H63" i="19"/>
  <c r="H75" i="19"/>
  <c r="H87" i="19"/>
  <c r="H99" i="19"/>
  <c r="H111" i="19"/>
  <c r="H123" i="19"/>
  <c r="H135" i="19"/>
  <c r="H147" i="19"/>
  <c r="H159" i="19"/>
  <c r="H171" i="19"/>
  <c r="H183" i="19"/>
  <c r="H195" i="19"/>
  <c r="H207" i="19"/>
  <c r="H41" i="19"/>
  <c r="H65" i="19"/>
  <c r="H77" i="19"/>
  <c r="H101" i="19"/>
  <c r="H125" i="19"/>
  <c r="H173" i="19"/>
  <c r="H197" i="19"/>
  <c r="H211" i="19"/>
  <c r="H116" i="19"/>
  <c r="H16" i="19"/>
  <c r="H28" i="19"/>
  <c r="H40" i="19"/>
  <c r="H52" i="19"/>
  <c r="H64" i="19"/>
  <c r="H76" i="19"/>
  <c r="H88" i="19"/>
  <c r="H100" i="19"/>
  <c r="H112" i="19"/>
  <c r="H124" i="19"/>
  <c r="H136" i="19"/>
  <c r="H148" i="19"/>
  <c r="H160" i="19"/>
  <c r="H172" i="19"/>
  <c r="H184" i="19"/>
  <c r="H196" i="19"/>
  <c r="H208" i="19"/>
  <c r="H53" i="19"/>
  <c r="H89" i="19"/>
  <c r="H113" i="19"/>
  <c r="H137" i="19"/>
  <c r="H185" i="19"/>
  <c r="H209" i="19"/>
  <c r="H92" i="19"/>
  <c r="H176" i="19"/>
  <c r="H5" i="19"/>
  <c r="H149" i="19"/>
  <c r="H56" i="19"/>
  <c r="H200" i="19"/>
  <c r="H6" i="19"/>
  <c r="H18" i="19"/>
  <c r="H30" i="19"/>
  <c r="H42" i="19"/>
  <c r="H54" i="19"/>
  <c r="H66" i="19"/>
  <c r="H78" i="19"/>
  <c r="H90" i="19"/>
  <c r="H102" i="19"/>
  <c r="H114" i="19"/>
  <c r="H126" i="19"/>
  <c r="H138" i="19"/>
  <c r="H150" i="19"/>
  <c r="H162" i="19"/>
  <c r="H174" i="19"/>
  <c r="H186" i="19"/>
  <c r="H198" i="19"/>
  <c r="H210" i="19"/>
  <c r="H139" i="19"/>
  <c r="H175" i="19"/>
  <c r="H199" i="19"/>
  <c r="H68" i="19"/>
  <c r="H140" i="19"/>
  <c r="H7" i="19"/>
  <c r="H19" i="19"/>
  <c r="H31" i="19"/>
  <c r="H43" i="19"/>
  <c r="H55" i="19"/>
  <c r="H67" i="19"/>
  <c r="H79" i="19"/>
  <c r="H91" i="19"/>
  <c r="H103" i="19"/>
  <c r="H115" i="19"/>
  <c r="H127" i="19"/>
  <c r="H151" i="19"/>
  <c r="H163" i="19"/>
  <c r="H187" i="19"/>
  <c r="H104" i="19"/>
  <c r="M2" i="19"/>
  <c r="L2" i="19"/>
  <c r="I2" i="19"/>
  <c r="K2" i="19"/>
  <c r="J2" i="19"/>
  <c r="CT5" i="16"/>
  <c r="CT6" i="16" s="1"/>
  <c r="CT7" i="16" s="1"/>
  <c r="CT8" i="16" s="1"/>
  <c r="BV5" i="16"/>
  <c r="BV6" i="16" s="1"/>
  <c r="BV7" i="16" s="1"/>
  <c r="BV8" i="16" s="1"/>
  <c r="BV49" i="16"/>
  <c r="BJ5" i="16"/>
  <c r="BJ6" i="16" s="1"/>
  <c r="BJ7" i="16" s="1"/>
  <c r="BJ8" i="16" s="1"/>
  <c r="CH5" i="16"/>
  <c r="CH6" i="16" s="1"/>
  <c r="CH7" i="16" s="1"/>
  <c r="CH8" i="16" s="1"/>
  <c r="BF91" i="12"/>
  <c r="BF96" i="12"/>
  <c r="BF88" i="12"/>
  <c r="BF56" i="12"/>
  <c r="BF9" i="12"/>
  <c r="BF13" i="12"/>
  <c r="BF23" i="12"/>
  <c r="BF27" i="12"/>
  <c r="BF25" i="12"/>
  <c r="BF68" i="12"/>
  <c r="BF17" i="12"/>
  <c r="BF138" i="12"/>
  <c r="BF67" i="12"/>
  <c r="BF117" i="12"/>
  <c r="BF52" i="12"/>
  <c r="BF139" i="12"/>
  <c r="BF48" i="12"/>
  <c r="BF7" i="12"/>
  <c r="J1" i="12"/>
  <c r="I1" i="12"/>
  <c r="G1" i="12"/>
  <c r="B1" i="12"/>
  <c r="H1" i="12"/>
  <c r="F1" i="12"/>
  <c r="BF142" i="12"/>
  <c r="BF102" i="12"/>
  <c r="BF34" i="12"/>
  <c r="BF70" i="12"/>
  <c r="BF57" i="12"/>
  <c r="BF59" i="12"/>
  <c r="BF111" i="12"/>
  <c r="BF98" i="12"/>
  <c r="BF130" i="12"/>
  <c r="BF92" i="12"/>
  <c r="BF79" i="12"/>
  <c r="BF36" i="12"/>
  <c r="BF8" i="12"/>
  <c r="BF40" i="12"/>
  <c r="BF72" i="12"/>
  <c r="BF6" i="12"/>
  <c r="BF58" i="12"/>
  <c r="BF60" i="12"/>
  <c r="BF112" i="12"/>
  <c r="BF119" i="12"/>
  <c r="BF131" i="12"/>
  <c r="BF93" i="12"/>
  <c r="BF80" i="12"/>
  <c r="BF37" i="12"/>
  <c r="BF124" i="12"/>
  <c r="BF41" i="12"/>
  <c r="BF73" i="12"/>
  <c r="BF104" i="12"/>
  <c r="BF61" i="12"/>
  <c r="BF113" i="12"/>
  <c r="BF120" i="12"/>
  <c r="BF132" i="12"/>
  <c r="BF74" i="12"/>
  <c r="BF81" i="12"/>
  <c r="BF38" i="12"/>
  <c r="BF125" i="12"/>
  <c r="BF42" i="12"/>
  <c r="BF29" i="12"/>
  <c r="BF105" i="12"/>
  <c r="BF62" i="12"/>
  <c r="BF99" i="12"/>
  <c r="BF121" i="12"/>
  <c r="BF133" i="12"/>
  <c r="BF75" i="12"/>
  <c r="BF82" i="12"/>
  <c r="BF14" i="12"/>
  <c r="BF126" i="12"/>
  <c r="BF43" i="12"/>
  <c r="BF30" i="12"/>
  <c r="BF109" i="12"/>
  <c r="BF114" i="12"/>
  <c r="BF106" i="12"/>
  <c r="BF100" i="12"/>
  <c r="BF122" i="12"/>
  <c r="BF134" i="12"/>
  <c r="BF76" i="12"/>
  <c r="BF15" i="12"/>
  <c r="BF127" i="12"/>
  <c r="BF19" i="12"/>
  <c r="BF31" i="12"/>
  <c r="BF115" i="12"/>
  <c r="BF107" i="12"/>
  <c r="BF84" i="12"/>
  <c r="BF101" i="12"/>
  <c r="BF135" i="12"/>
  <c r="BF77" i="12"/>
  <c r="BF44" i="12"/>
  <c r="BF16" i="12"/>
  <c r="BF20" i="12"/>
  <c r="BF32" i="12"/>
  <c r="BF116" i="12"/>
  <c r="BF85" i="12"/>
  <c r="BF64" i="12"/>
  <c r="BF136" i="12"/>
  <c r="BF45" i="12"/>
  <c r="BF24" i="12"/>
  <c r="BF21" i="12"/>
  <c r="BF49" i="12"/>
  <c r="BF140" i="12"/>
  <c r="BF87" i="12"/>
  <c r="BF94" i="12"/>
  <c r="BF66" i="12"/>
  <c r="BF10" i="12"/>
  <c r="BF47" i="12"/>
  <c r="BF4" i="12"/>
  <c r="BF26" i="12"/>
  <c r="BF50" i="12"/>
  <c r="BF54" i="12"/>
  <c r="BF141" i="12"/>
  <c r="BF95" i="12"/>
  <c r="BF89" i="12"/>
  <c r="BF11" i="12"/>
  <c r="BF5" i="12"/>
  <c r="BF69" i="12"/>
  <c r="BF51" i="12"/>
  <c r="AC2" i="16"/>
  <c r="AK2" i="12"/>
  <c r="CT49" i="16" l="1"/>
  <c r="CH49" i="16"/>
  <c r="BJ49" i="16"/>
  <c r="AI1" i="16"/>
  <c r="AF1" i="16"/>
  <c r="AE1" i="16"/>
  <c r="AG1" i="16"/>
  <c r="AH1" i="16"/>
  <c r="H14" i="6" l="1"/>
  <c r="I14" i="6" s="1"/>
  <c r="F14" i="6"/>
  <c r="G14" i="6" s="1"/>
  <c r="O14" i="6" s="1"/>
  <c r="H13" i="6"/>
  <c r="I13" i="6" s="1"/>
  <c r="F13" i="6"/>
  <c r="G13" i="6" s="1"/>
  <c r="O13" i="6" s="1"/>
  <c r="AP1" i="12" l="1"/>
  <c r="AO1" i="12"/>
  <c r="AN1" i="12"/>
  <c r="AM1" i="12"/>
  <c r="AQ1" i="12"/>
  <c r="AI1" i="12"/>
  <c r="M13" i="6"/>
  <c r="N13" i="6" s="1"/>
  <c r="P13" i="6" s="1"/>
  <c r="Q13" i="6" s="1"/>
  <c r="M14" i="6"/>
  <c r="N14" i="6" s="1"/>
  <c r="P14" i="6" s="1"/>
  <c r="Q14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<sst xmlns="http://schemas.openxmlformats.org/spreadsheetml/2006/main" count="4979" uniqueCount="254">
  <si>
    <t>Cubieboard2</t>
  </si>
  <si>
    <t>N</t>
  </si>
  <si>
    <t>NB</t>
  </si>
  <si>
    <t>P</t>
  </si>
  <si>
    <t>Q</t>
  </si>
  <si>
    <t>Time</t>
  </si>
  <si>
    <t>GFLOPS</t>
  </si>
  <si>
    <t>WR00L2L2</t>
  </si>
  <si>
    <t>SBC</t>
  </si>
  <si>
    <t>Cores</t>
  </si>
  <si>
    <t>march</t>
  </si>
  <si>
    <t>mcpu</t>
  </si>
  <si>
    <t>mtune</t>
  </si>
  <si>
    <t>fpu</t>
  </si>
  <si>
    <t>mfloat-abi</t>
  </si>
  <si>
    <t>ostalo</t>
  </si>
  <si>
    <t>ostalo (Thumb)</t>
  </si>
  <si>
    <t>Rpi 1B</t>
  </si>
  <si>
    <t>armv6</t>
  </si>
  <si>
    <t>arm1176jzf-s</t>
  </si>
  <si>
    <t>vfpv2 (alias is vfp)</t>
  </si>
  <si>
    <t>hard</t>
  </si>
  <si>
    <t>Thumb</t>
  </si>
  <si>
    <t>16KB L1 and no L2</t>
  </si>
  <si>
    <t>armv7-a</t>
  </si>
  <si>
    <t>cortex-a7</t>
  </si>
  <si>
    <t>neon-vfpv4</t>
  </si>
  <si>
    <t>-funsafe-math-optimizations</t>
  </si>
  <si>
    <t>Thumb-2</t>
  </si>
  <si>
    <t>OdroidU3</t>
  </si>
  <si>
    <t>cortex-a9</t>
  </si>
  <si>
    <t>neon-vfpv3 (alias is neon)</t>
  </si>
  <si>
    <t>Thumb or Thumb-2</t>
  </si>
  <si>
    <t>1MB L2 cache total? From paper…</t>
  </si>
  <si>
    <t>OdroidMC1</t>
  </si>
  <si>
    <t>LITTLE</t>
  </si>
  <si>
    <t>2 sockets, 2,5MB L2 cache per socket</t>
  </si>
  <si>
    <t>Big</t>
  </si>
  <si>
    <t>cortex-a15</t>
  </si>
  <si>
    <t>Flags used for flagsearching - mandatory</t>
  </si>
  <si>
    <t>NOTE</t>
  </si>
  <si>
    <t>HPL Runs (fixed parameters)</t>
  </si>
  <si>
    <t>Node</t>
  </si>
  <si>
    <t>Total memory of a node (kB)</t>
  </si>
  <si>
    <t>N, alpha</t>
  </si>
  <si>
    <t>N, alpha (NB round)</t>
  </si>
  <si>
    <t>N, beta</t>
  </si>
  <si>
    <t>N, beta (NB round)</t>
  </si>
  <si>
    <t>Ns difference</t>
  </si>
  <si>
    <t>Half of the Ns difference</t>
  </si>
  <si>
    <t>N1</t>
  </si>
  <si>
    <t>N2</t>
  </si>
  <si>
    <t>N3</t>
  </si>
  <si>
    <t>Number of nodes</t>
  </si>
  <si>
    <t>Percentage of mem</t>
  </si>
  <si>
    <t>atlarch</t>
  </si>
  <si>
    <t>Flags used for flagsearching - optional</t>
  </si>
  <si>
    <t>Machine originally
built on</t>
  </si>
  <si>
    <t>TODO</t>
  </si>
  <si>
    <t>In progress</t>
  </si>
  <si>
    <t>Freshly finished</t>
  </si>
  <si>
    <t>Done</t>
  </si>
  <si>
    <t>TODO with the same settings!</t>
  </si>
  <si>
    <t>https://gist.github.com/fm4dd/c663217935dc17f0fc73c9c81b0aa845</t>
  </si>
  <si>
    <t>Raspberry Pi 4B</t>
  </si>
  <si>
    <t>-D c -DWALL -b 64 -A ARM64xgene1</t>
  </si>
  <si>
    <t>cpu</t>
  </si>
  <si>
    <t>cpu-tune</t>
  </si>
  <si>
    <t>atlarch-cpu</t>
  </si>
  <si>
    <t>atlarch-cpu-tune</t>
  </si>
  <si>
    <t>-D c -DWALL -Si archdef 1</t>
  </si>
  <si>
    <t>-D c -DWALL -Si archdef 0</t>
  </si>
  <si>
    <t>generic</t>
  </si>
  <si>
    <t>noarch</t>
  </si>
  <si>
    <t>Max avg. GFLOPS (and params):</t>
  </si>
  <si>
    <t>ATLAS</t>
  </si>
  <si>
    <t>Average GFLOPs</t>
  </si>
  <si>
    <t>MAX GFLOPS:</t>
  </si>
  <si>
    <t>Build</t>
  </si>
  <si>
    <t>RUN</t>
  </si>
  <si>
    <t>Date</t>
  </si>
  <si>
    <t>Average GFLOP/s</t>
  </si>
  <si>
    <t>OpenBLAS</t>
  </si>
  <si>
    <t>Raspberry Pi 5</t>
  </si>
  <si>
    <t>armv8.2-a+crypto+fp16+rcpc+dotprod</t>
  </si>
  <si>
    <t>-mcpu=cortex-a76+crypto</t>
  </si>
  <si>
    <t>Rpi 5B</t>
  </si>
  <si>
    <t>cortex-a76+crypto</t>
  </si>
  <si>
    <t>cortex-a76</t>
  </si>
  <si>
    <t>mabi</t>
  </si>
  <si>
    <t>lp64</t>
  </si>
  <si>
    <t>cpu-crc</t>
  </si>
  <si>
    <t>-D c -DWALL -b 64 -Fa alg "-mcpu=cortex-a76+crypto"</t>
  </si>
  <si>
    <t>-D c -DWALL -b 64 -Fa alg "-mcpu=cortex-a76+crc+crypto"</t>
  </si>
  <si>
    <t>atlarch-native</t>
  </si>
  <si>
    <t>-D c -DWALL -b 64 -Fa alg "-mcpu=cortex-a76+crypto -mtune=cortex-a76"</t>
  </si>
  <si>
    <t>-D c -DWALL -b 64 -A ARM64xgene1 -Fa alg "-mcpu=cortex-a76+crypto"</t>
  </si>
  <si>
    <t>-D c -DWALL -b 64 -A ARM64xgene1 -Fa alg "-mcpu=cortex-a76+crypto -mtune=cortex-a76"</t>
  </si>
  <si>
    <t>arch-native</t>
  </si>
  <si>
    <t>-D c -DWALL -b 64 -A ARM64xgene1 -Fa alg "-march=native -mtune=native -mcpu=native"</t>
  </si>
  <si>
    <t>-D c -DWALL -b 64 -Fa alg "-march=native -mtune=native -mcpu=native"</t>
  </si>
  <si>
    <t>According to some reddit posts: https://www.reddit.com/r/Gentoo/comments/1c5y19x/getting_a_pi_5_have_questions/</t>
  </si>
  <si>
    <t>all-spec</t>
  </si>
  <si>
    <t>atlarch-all-spec</t>
  </si>
  <si>
    <t>cpu-tune-abi</t>
  </si>
  <si>
    <t>-D c -DWALL -b 64 -Fa alg "-mcpu=cortex-a76+crypto -mtune=cortex-a76 -mabi=lp64"</t>
  </si>
  <si>
    <t>-pipe</t>
  </si>
  <si>
    <t>-march=native -mtune=native -mcpu=native</t>
  </si>
  <si>
    <t>-mcpu=cortex-a76+crc+crypto</t>
  </si>
  <si>
    <t>-mcpu=cortex-a76+crypto -mtune=cortex-a76</t>
  </si>
  <si>
    <t>-mcpu=cortex-a76+crypto -mtune=cortex-a76 -mabi=lp64</t>
  </si>
  <si>
    <t>cpu-tune-clean-flagsearch</t>
  </si>
  <si>
    <t>-march=armv8.2-a+crypto+fp16+rcpc+dotprod -mtune=cortex-a76 -mcpu=cortex-a76+crypto</t>
  </si>
  <si>
    <t>-march=native
-mtune=native
-mcpu=native
-march=armv8.2-a+crypto+fp16+rcpc+dotprod
-mtune=cortex-a76
-mcpu=cortex-a76+crypto
-mcpu=cortex-a76+crc+crypto
-mabi=lp64
-march=-march=armv8.2-a
-mlittle-endian</t>
  </si>
  <si>
    <t>-D c -DWALL -b 64 -Fa alg "-march=armv8.2-a+crypto+fp16+rcpc+dotprod -mtune=cortex-a76 -mcpu=cortex-a76+crypto"</t>
  </si>
  <si>
    <t>-D c -DWALL -b 64 -A ARM64xgene1 -Fa alg "-march=armv8.2-a+crypto+fp16+rcpc+dotprod -mtune=cortex-a76 -mcpu=cortex-a76+crypto"</t>
  </si>
  <si>
    <t>raspi32</t>
  </si>
  <si>
    <t>raspi33</t>
  </si>
  <si>
    <t>raspi34</t>
  </si>
  <si>
    <t>raspi31</t>
  </si>
  <si>
    <t>atlarch-flags</t>
  </si>
  <si>
    <t>atlarch-native-flags</t>
  </si>
  <si>
    <t>arch-native-flags</t>
  </si>
  <si>
    <t>all-spec-flags</t>
  </si>
  <si>
    <t>atlarch-all-spec-flags</t>
  </si>
  <si>
    <t>cpu-flags</t>
  </si>
  <si>
    <t>cpu-crc-flags</t>
  </si>
  <si>
    <t>cpu-tune-flags</t>
  </si>
  <si>
    <t>cpu-tune-abi-flags</t>
  </si>
  <si>
    <t>atlarch-cpu-flags</t>
  </si>
  <si>
    <t>atlarch-cpu-tune-flags</t>
  </si>
  <si>
    <t>cpu-tune-clean-flagsearch-flags</t>
  </si>
  <si>
    <t>generic-flags</t>
  </si>
  <si>
    <t>noarch-flags</t>
  </si>
  <si>
    <t>ATLAS (small problem size - by mistake)</t>
  </si>
  <si>
    <t>2100MHz</t>
  </si>
  <si>
    <t>2200MHz</t>
  </si>
  <si>
    <t>2300MHz</t>
  </si>
  <si>
    <t>raspi31 throttling time [1/100s]</t>
  </si>
  <si>
    <t>raspi32 throttling time [1/100s]</t>
  </si>
  <si>
    <t>raspi33 throttling time [1/100s]</t>
  </si>
  <si>
    <t>raspi34 throttling time [1/100s]</t>
  </si>
  <si>
    <t>-D c -DWALL -b 64  -Fa alg "-O2 -pipe"</t>
  </si>
  <si>
    <t>-D c -DWALL -b 64  -Fa alg "-O2 -march=native -mtune=native -mcpu=native"</t>
  </si>
  <si>
    <t>-D c -DWALL -b 64  -Fa alg "-O2 -march=armv8.2-a+crypto+fp16+rcpc+dotprod -mtune=cortex-a76 -mcpu=cortex-a76+crypto"</t>
  </si>
  <si>
    <t>-D c -DWALL -b 64  -Fa alg "-O2 -mcpu=cortex-a76+crypto"</t>
  </si>
  <si>
    <t>-D c -DWALL -b 64  -Fa alg "-O2 -mcpu=cortex-a76+crc+crypto"</t>
  </si>
  <si>
    <t>-D c -DWALL -b 64  -Fa alg "-O2 -mcpu=cortex-a76+crypto -mtune=cortex-a76"</t>
  </si>
  <si>
    <t>-D c -DWALL -b 64  -Fa alg "-O2 -mcpu=cortex-a76+crypto -mtune=cortex-a76 -mabi=lp64"</t>
  </si>
  <si>
    <t>-D c -DWALL -b 64  -Fa alg "-O2 -pipe -mtune=native"</t>
  </si>
  <si>
    <t>Flagsearch benchmark results</t>
  </si>
  <si>
    <t>Čudno da je ovaj najbolji, a uopće nema -O definiran. Jedino ako po defaultu koristi ono što je predefinirano za sve ATLAS kompajlere.</t>
  </si>
  <si>
    <t>Malo bolji od cpu-tune-abi, no s flagsima malo veća razlika (cpu-tune-flags vs- cpu-tune-abi-flags)</t>
  </si>
  <si>
    <t xml:space="preserve"> </t>
  </si>
  <si>
    <t>linux_OpenBLAS</t>
  </si>
  <si>
    <t>raspi11 throttling time [1/100s]</t>
  </si>
  <si>
    <t>900MHz</t>
  </si>
  <si>
    <t>1000MHz</t>
  </si>
  <si>
    <t>1100MHz</t>
  </si>
  <si>
    <t>ATLAS - no OMP modifications</t>
  </si>
  <si>
    <t>OpenBLAS, OMP flags</t>
  </si>
  <si>
    <t>ATLAS, OMP flags</t>
  </si>
  <si>
    <t>-O2 march=armv8.2-a+crypto+FP16+rcpc+dotprod -mtune=cortex-A76 -mcpu=cortex-A76+crypto</t>
  </si>
  <si>
    <t>CCFLAGS parameter for HPL build</t>
  </si>
  <si>
    <t>No CCFLAGS parameter for HPL build defined</t>
  </si>
  <si>
    <t>-Os -fschedule-insns2 -mcpu=cortex-a72 -fno-tree-ter</t>
  </si>
  <si>
    <t>CCFLAGS parameter for HPL build (Rpi 4B parameters)</t>
  </si>
  <si>
    <t>-Os -march=armv8.2-a+crypto+FP16+rcpc+dotprod -mtune=cortex-A76 -mcpu=cortex-A76+crypto</t>
  </si>
  <si>
    <t>% difference vs. Best</t>
  </si>
  <si>
    <t>Repetitive flags</t>
  </si>
  <si>
    <t>-D c -DWALL</t>
  </si>
  <si>
    <t>-Si archdef 1</t>
  </si>
  <si>
    <t>-Si archdef 0</t>
  </si>
  <si>
    <t>-b 64</t>
  </si>
  <si>
    <t>32/64 build (or none)</t>
  </si>
  <si>
    <t>-A ARM64xgene1</t>
  </si>
  <si>
    <t>Other ATLAS config flags</t>
  </si>
  <si>
    <t>Compiler append flag</t>
  </si>
  <si>
    <t>-Fa alg</t>
  </si>
  <si>
    <t>Compiler flags used for building</t>
  </si>
  <si>
    <t xml:space="preserve"> -O2</t>
  </si>
  <si>
    <t xml:space="preserve"> -O2 -march=native -mtune=native -mcpu=native</t>
  </si>
  <si>
    <t xml:space="preserve"> -O2 -march=armv8.2-a+crypto+fp16+rcpc+dotprod -mtune=cortex-a76 -mcpu=cortex-a76+crypto</t>
  </si>
  <si>
    <t xml:space="preserve"> -O2 -mcpu=cortex-a76+crypto</t>
  </si>
  <si>
    <t xml:space="preserve"> -O2 -mcpu=cortex-a76+crc+crypto</t>
  </si>
  <si>
    <t xml:space="preserve"> -O2 -mcpu=cortex-a76+crypto -mtune=cortex-a76</t>
  </si>
  <si>
    <t xml:space="preserve"> -O2 -mcpu=cortex-a76+crypto -mtune=cortex-a76 -mabi=lp64</t>
  </si>
  <si>
    <t xml:space="preserve"> -O2 -mtune=native</t>
  </si>
  <si>
    <t>-O2</t>
  </si>
  <si>
    <t>-march=native</t>
  </si>
  <si>
    <t>-mcpu=native</t>
  </si>
  <si>
    <t>-mtune=native</t>
  </si>
  <si>
    <t>-march=armv8.2-a+crypto+fp16+rcpc+dotprod</t>
  </si>
  <si>
    <t>-mtune=cortex-a76</t>
  </si>
  <si>
    <t>-mcpu=cortex-A76+crypto</t>
  </si>
  <si>
    <t>-mabi=LP64</t>
  </si>
  <si>
    <t>ATLAS build</t>
  </si>
  <si>
    <t>ATLAS config flags</t>
  </si>
  <si>
    <t>gcc flags</t>
  </si>
  <si>
    <t>Main ATLAS flags</t>
  </si>
  <si>
    <t>Performance of the build [GFLOP/s]</t>
  </si>
  <si>
    <t>-b 64-A ARM64xgene1</t>
  </si>
  <si>
    <t>-b 64-A ARM64xgene1-Fa alg-march=native -mtune=native -mcpu=native</t>
  </si>
  <si>
    <t>-b 64-Fa alg-march=native -mtune=native -mcpu=native</t>
  </si>
  <si>
    <t>-b 64-Fa alg-march=armv8.2-a+crypto+fp16+rcpc+dotprod -mtune=cortex-a76 -mcpu=cortex-a76+crypto</t>
  </si>
  <si>
    <t>-b 64-A ARM64xgene1-Fa alg-march=armv8.2-a+crypto+fp16+rcpc+dotprod -mtune=cortex-a76 -mcpu=cortex-a76+crypto</t>
  </si>
  <si>
    <t>-b 64-Fa alg-mcpu=cortex-a76+crypto</t>
  </si>
  <si>
    <t>-b 64-Fa alg-mcpu=cortex-a76+crc+crypto</t>
  </si>
  <si>
    <t>-b 64-Fa alg-mcpu=cortex-a76+crypto -mtune=cortex-a76</t>
  </si>
  <si>
    <t>-b 64-Fa alg-mcpu=cortex-a76+crypto -mtune=cortex-a76 -mabi=lp64</t>
  </si>
  <si>
    <t>-b 64-A ARM64xgene1-Fa alg-mcpu=cortex-a76+crypto</t>
  </si>
  <si>
    <t>-b 64-A ARM64xgene1-Fa alg-mcpu=cortex-a76+crypto -mtune=cortex-a76</t>
  </si>
  <si>
    <t>-b 64-Fa alg -O2</t>
  </si>
  <si>
    <t>-b 64-Fa alg -O2 -march=native -mtune=native -mcpu=native</t>
  </si>
  <si>
    <t>-b 64-Fa alg -O2 -march=armv8.2-a+crypto+fp16+rcpc+dotprod -mtune=cortex-a76 -mcpu=cortex-a76+crypto</t>
  </si>
  <si>
    <t>-b 64-Fa alg -O2 -mcpu=cortex-a76+crypto</t>
  </si>
  <si>
    <t>-b 64-Fa alg -O2 -mcpu=cortex-a76+crc+crypto</t>
  </si>
  <si>
    <t>-b 64-Fa alg -O2 -mcpu=cortex-a76+crypto -mtune=cortex-a76</t>
  </si>
  <si>
    <t>-b 64-Fa alg -O2 -mcpu=cortex-a76+crypto -mtune=cortex-a76 -mabi=lp64</t>
  </si>
  <si>
    <t>-b 64-Fa alg -O2 -mtune=native</t>
  </si>
  <si>
    <t>Build no.</t>
  </si>
  <si>
    <t>Build name</t>
  </si>
  <si>
    <t>Performance of the build before flagsearch [GFLOP/s]</t>
  </si>
  <si>
    <t>Performance of the build after flagsearch [GFLOP/s]</t>
  </si>
  <si>
    <t>Main ATLAS flags after flagsearch</t>
  </si>
  <si>
    <t>ATLAS flags</t>
  </si>
  <si>
    <t>GCC flags</t>
  </si>
  <si>
    <t>N/A</t>
  </si>
  <si>
    <t>-march=armv8.2-a+crypto+FP16+rcpc+dotprod -mtune=cortex-A76 -mcpu=cortex-A76+crypto</t>
  </si>
  <si>
    <t>-mcpu=cortex-A76+crc+crypto</t>
  </si>
  <si>
    <t>-mcpu=cortex-A76+crypto -mtune=cortex-A76</t>
  </si>
  <si>
    <t>-mcpu=cortex-A76+crypto -mtune=cortex-A76 -mabi=LP64</t>
  </si>
  <si>
    <t>-O2 -march=armv8.2-a+crypto+FP16+rcpc+dotprod -mtune=cortex-A76 -mcpu=cortex-A76+crypto</t>
  </si>
  <si>
    <t>-O2 -march=native -mtune=native -mcpu=native</t>
  </si>
  <si>
    <t>-O2 -mcpu=cortex-A76+crc+crypto</t>
  </si>
  <si>
    <t>-O2 -mcpu=cortex-A76+crypto -mtune=cortex-A76 -mabi=LP64</t>
  </si>
  <si>
    <t>-O2 -mcpu=cortex-A76+crypto -mtune=cortex-A76</t>
  </si>
  <si>
    <t>-O2 -mcpu=cortex-A76+crypto</t>
  </si>
  <si>
    <t>-D c -DWALL -b 64  -Fa alg "-O2 -mtune=native"</t>
  </si>
  <si>
    <t>-O2 -mtune=native</t>
  </si>
  <si>
    <t>-D c -DWALL -b 64  -Fa alg "-O2 "</t>
  </si>
  <si>
    <t xml:space="preserve">-O2 </t>
  </si>
  <si>
    <t>Real N</t>
  </si>
  <si>
    <t>4-node ATLAS</t>
  </si>
  <si>
    <t>4-node OpenBLAS</t>
  </si>
  <si>
    <t>1-node ATLAS</t>
  </si>
  <si>
    <t>1-node OpenBLAS</t>
  </si>
  <si>
    <t>ATLAS speedup</t>
  </si>
  <si>
    <t>OpenBLAS speedup</t>
  </si>
  <si>
    <t>N(alpha)</t>
  </si>
  <si>
    <t>N(beta)</t>
  </si>
  <si>
    <t>N(mid)</t>
  </si>
  <si>
    <t>N (roundeed)</t>
  </si>
  <si>
    <t>N (round)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</si>
</sst>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[$-F400]h:mm:ss\ AM/PM"/>
    <numFmt numFmtId="167" formatCode="0.0000"/>
  </numFmts>
  <fonts count="10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color theme="1"/>
      <name val="Arial Unicode MS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1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4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 vertical="center"/>
    </xf>
    <xf numFmtId="49" fontId="0" fillId="0" borderId="0" xfId="0" applyNumberFormat="1" applyAlignment="1">
      <alignment wrapText="1"/>
    </xf>
    <xf numFmtId="0" fontId="0" fillId="0" borderId="0" xfId="0" applyAlignment="1">
      <alignment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164" fontId="0" fillId="0" borderId="0" xfId="0" applyNumberFormat="1"/>
    <xf numFmtId="0" fontId="4" fillId="0" borderId="0" xfId="1" applyAlignment="1">
      <alignment wrapText="1"/>
    </xf>
    <xf numFmtId="49" fontId="5" fillId="0" borderId="0" xfId="0" applyNumberFormat="1" applyFont="1" applyAlignment="1">
      <alignment wrapText="1"/>
    </xf>
    <xf numFmtId="14" fontId="0" fillId="0" borderId="0" xfId="0" applyNumberFormat="1"/>
    <xf numFmtId="0" fontId="6" fillId="0" borderId="0" xfId="0" quotePrefix="1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165" fontId="7" fillId="0" borderId="1" xfId="0" applyNumberFormat="1" applyFont="1" applyBorder="1"/>
    <xf numFmtId="1" fontId="0" fillId="0" borderId="1" xfId="0" applyNumberFormat="1" applyBorder="1"/>
    <xf numFmtId="166" fontId="0" fillId="0" borderId="1" xfId="0" applyNumberFormat="1" applyBorder="1"/>
    <xf numFmtId="167" fontId="2" fillId="0" borderId="1" xfId="0" applyNumberFormat="1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0" fontId="8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/>
    <xf numFmtId="164" fontId="1" fillId="0" borderId="1" xfId="0" applyNumberFormat="1" applyFont="1" applyBorder="1"/>
    <xf numFmtId="167" fontId="1" fillId="0" borderId="1" xfId="0" applyNumberFormat="1" applyFont="1" applyBorder="1"/>
    <xf numFmtId="166" fontId="1" fillId="0" borderId="1" xfId="0" applyNumberFormat="1" applyFont="1" applyBorder="1"/>
    <xf numFmtId="1" fontId="1" fillId="0" borderId="1" xfId="0" applyNumberFormat="1" applyFont="1" applyBorder="1"/>
    <xf numFmtId="1" fontId="0" fillId="0" borderId="0" xfId="0" applyNumberFormat="1"/>
    <xf numFmtId="14" fontId="0" fillId="0" borderId="1" xfId="0" applyNumberFormat="1" applyBorder="1"/>
    <xf numFmtId="14" fontId="1" fillId="0" borderId="1" xfId="0" applyNumberFormat="1" applyFont="1" applyBorder="1"/>
    <xf numFmtId="166" fontId="0" fillId="0" borderId="0" xfId="0" applyNumberFormat="1"/>
    <xf numFmtId="2" fontId="1" fillId="0" borderId="0" xfId="0" applyNumberFormat="1" applyFont="1" applyAlignment="1">
      <alignment vertical="center"/>
    </xf>
    <xf numFmtId="21" fontId="0" fillId="0" borderId="0" xfId="0" applyNumberFormat="1"/>
    <xf numFmtId="0" fontId="0" fillId="0" borderId="0" xfId="0" quotePrefix="1"/>
    <xf numFmtId="49" fontId="5" fillId="0" borderId="0" xfId="0" quotePrefix="1" applyNumberFormat="1" applyFont="1" applyAlignment="1">
      <alignment vertical="center" wrapText="1"/>
    </xf>
    <xf numFmtId="11" fontId="0" fillId="0" borderId="0" xfId="0" applyNumberFormat="1"/>
    <xf numFmtId="164" fontId="0" fillId="0" borderId="2" xfId="0" applyNumberFormat="1" applyBorder="1" applyAlignment="1">
      <alignment vertical="center"/>
    </xf>
    <xf numFmtId="164" fontId="0" fillId="0" borderId="0" xfId="0" applyNumberFormat="1" applyAlignment="1">
      <alignment vertical="center"/>
    </xf>
    <xf numFmtId="0" fontId="0" fillId="6" borderId="0" xfId="0" applyFill="1"/>
    <xf numFmtId="0" fontId="5" fillId="6" borderId="0" xfId="0" applyFont="1" applyFill="1"/>
    <xf numFmtId="164" fontId="0" fillId="0" borderId="0" xfId="0" quotePrefix="1" applyNumberFormat="1"/>
    <xf numFmtId="167" fontId="0" fillId="0" borderId="0" xfId="0" applyNumberFormat="1"/>
    <xf numFmtId="0" fontId="8" fillId="0" borderId="5" xfId="0" applyFont="1" applyBorder="1" applyAlignment="1">
      <alignment horizontal="left" vertical="center"/>
    </xf>
    <xf numFmtId="167" fontId="0" fillId="0" borderId="0" xfId="0" applyNumberFormat="1" applyAlignment="1">
      <alignment vertical="center"/>
    </xf>
    <xf numFmtId="1" fontId="1" fillId="0" borderId="0" xfId="0" applyNumberFormat="1" applyFont="1" applyAlignment="1">
      <alignment vertical="center"/>
    </xf>
    <xf numFmtId="167" fontId="7" fillId="0" borderId="1" xfId="0" applyNumberFormat="1" applyFont="1" applyBorder="1"/>
    <xf numFmtId="2" fontId="0" fillId="0" borderId="0" xfId="0" quotePrefix="1" applyNumberFormat="1"/>
    <xf numFmtId="0" fontId="5" fillId="0" borderId="0" xfId="0" applyFont="1" applyAlignment="1">
      <alignment wrapText="1"/>
    </xf>
    <xf numFmtId="164" fontId="1" fillId="0" borderId="0" xfId="0" applyNumberFormat="1" applyFont="1" applyAlignment="1">
      <alignment vertical="center"/>
    </xf>
    <xf numFmtId="0" fontId="1" fillId="0" borderId="8" xfId="0" applyFont="1" applyBorder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5" fillId="0" borderId="0" xfId="0" quotePrefix="1" applyNumberFormat="1" applyFont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1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Hiperveza" xfId="1" builtinId="8"/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r-HR"/>
              <a:t>2 x 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'4 node, params'!$AA$44:$AA$51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cat>
          <c:val>
            <c:numRef>
              <c:f>'4 node, params'!$W$28:$W$35</c:f>
              <c:numCache>
                <c:formatCode>General</c:formatCode>
                <c:ptCount val="8"/>
                <c:pt idx="0">
                  <c:v>47.740399999999994</c:v>
                </c:pt>
                <c:pt idx="1">
                  <c:v>88.404399999999995</c:v>
                </c:pt>
                <c:pt idx="2">
                  <c:v>118.45399999999999</c:v>
                </c:pt>
                <c:pt idx="3">
                  <c:v>135.816</c:v>
                </c:pt>
                <c:pt idx="4">
                  <c:v>143.07599999999999</c:v>
                </c:pt>
                <c:pt idx="5">
                  <c:v>147.72200000000001</c:v>
                </c:pt>
                <c:pt idx="6">
                  <c:v>150.334</c:v>
                </c:pt>
                <c:pt idx="7">
                  <c:v>146.26799999999997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4-4C77-B97B-AA252CE622D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'4 node, params'!$AA$44:$AA$51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cat>
          <c:val>
            <c:numRef>
              <c:f>'4 node, params'!$W$36:$W$43</c:f>
              <c:numCache>
                <c:formatCode>General</c:formatCode>
                <c:ptCount val="8"/>
                <c:pt idx="0">
                  <c:v>47.497599999999998</c:v>
                </c:pt>
                <c:pt idx="1">
                  <c:v>87.488599999999991</c:v>
                </c:pt>
                <c:pt idx="2">
                  <c:v>112.9</c:v>
                </c:pt>
                <c:pt idx="3">
                  <c:v>131.11600000000001</c:v>
                </c:pt>
                <c:pt idx="4">
                  <c:v>141.84200000000001</c:v>
                </c:pt>
                <c:pt idx="5">
                  <c:v>146.39400000000001</c:v>
                </c:pt>
                <c:pt idx="6">
                  <c:v>149.41399999999999</c:v>
                </c:pt>
                <c:pt idx="7">
                  <c:v>148.73399999999998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04-4C77-B97B-AA252CE622D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'4 node, params'!$AA$44:$AA$51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cat>
          <c:val>
            <c:numRef>
              <c:f>'4 node, params'!$W$44:$W$51</c:f>
              <c:numCache>
                <c:formatCode>General</c:formatCode>
                <c:ptCount val="8"/>
                <c:pt idx="0">
                  <c:v>47.271999999999998</c:v>
                </c:pt>
                <c:pt idx="1">
                  <c:v>87.895399999999995</c:v>
                </c:pt>
                <c:pt idx="2">
                  <c:v>118.63999999999999</c:v>
                </c:pt>
                <c:pt idx="3">
                  <c:v>136.57599999999996</c:v>
                </c:pt>
                <c:pt idx="4">
                  <c:v>142.92199999999997</c:v>
                </c:pt>
                <c:pt idx="5">
                  <c:v>149.90799999999999</c:v>
                </c:pt>
                <c:pt idx="6">
                  <c:v>148.58200000000002</c:v>
                </c:pt>
                <c:pt idx="7">
                  <c:v>149.07599999999999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04-4C77-B97B-AA252CE622D3}"/>
            </c:ext>
          </c:extLst>
        </c:ser>
        <c:ser>
          <c:idx val="3"/>
          <c:order val="3"/>
          <c:tx>
            <c:v>ATLAS, N = 52000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'4 node, params'!$AA$44:$AA$51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cat>
          <c:val>
            <c:numRef>
              <c:f>'4 node, params'!$AD$28:$AD$35</c:f>
              <c:numCache>
                <c:formatCode>General</c:formatCode>
                <c:ptCount val="8"/>
                <c:pt idx="0">
                  <c:v>48.067800000000005</c:v>
                </c:pt>
                <c:pt idx="1">
                  <c:v>90.080799999999996</c:v>
                </c:pt>
                <c:pt idx="2">
                  <c:v>98.373199999999997</c:v>
                </c:pt>
                <c:pt idx="3">
                  <c:v>119.91</c:v>
                </c:pt>
                <c:pt idx="4">
                  <c:v>131.19400000000002</c:v>
                </c:pt>
                <c:pt idx="5">
                  <c:v>121.28999999999999</c:v>
                </c:pt>
                <c:pt idx="6">
                  <c:v>129.67799999999997</c:v>
                </c:pt>
                <c:pt idx="7">
                  <c:v>119.92999999999999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104-4C77-B97B-AA252CE622D3}"/>
            </c:ext>
          </c:extLst>
        </c:ser>
        <c:ser>
          <c:idx val="4"/>
          <c:order val="4"/>
          <c:tx>
            <c:v>ATLAS, N = 55200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'4 node, params'!$AA$44:$AA$51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cat>
          <c:val>
            <c:numRef>
              <c:f>'4 node, params'!$AD$36:$AD$43</c:f>
              <c:numCache>
                <c:formatCode>General</c:formatCode>
                <c:ptCount val="8"/>
                <c:pt idx="0">
                  <c:v>47.016200000000005</c:v>
                </c:pt>
                <c:pt idx="1">
                  <c:v>86.747200000000007</c:v>
                </c:pt>
                <c:pt idx="2">
                  <c:v>96.59020000000001</c:v>
                </c:pt>
                <c:pt idx="3">
                  <c:v>117.31200000000001</c:v>
                </c:pt>
                <c:pt idx="4">
                  <c:v>131.10200000000003</c:v>
                </c:pt>
                <c:pt idx="5">
                  <c:v>110.17600000000002</c:v>
                </c:pt>
                <c:pt idx="6">
                  <c:v>128.64600000000002</c:v>
                </c:pt>
                <c:pt idx="7">
                  <c:v>112.28800000000001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104-4C77-B97B-AA252CE622D3}"/>
            </c:ext>
          </c:extLst>
        </c:ser>
        <c:ser>
          <c:idx val="5"/>
          <c:order val="5"/>
          <c:tx>
            <c:v>ATLAS, N = 58400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'4 node, params'!$AA$44:$AA$51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cat>
          <c:val>
            <c:numRef>
              <c:f>'4 node, params'!$AD$44:$AD$51</c:f>
              <c:numCache>
                <c:formatCode>General</c:formatCode>
                <c:ptCount val="8"/>
                <c:pt idx="0">
                  <c:v>47.021799999999999</c:v>
                </c:pt>
                <c:pt idx="1">
                  <c:v>87.531000000000006</c:v>
                </c:pt>
                <c:pt idx="2">
                  <c:v>97.734999999999985</c:v>
                </c:pt>
                <c:pt idx="3">
                  <c:v>118.11199999999999</c:v>
                </c:pt>
                <c:pt idx="4">
                  <c:v>131.02000000000001</c:v>
                </c:pt>
                <c:pt idx="5">
                  <c:v>120.32599999999999</c:v>
                </c:pt>
                <c:pt idx="6">
                  <c:v>127.44399999999999</c:v>
                </c:pt>
                <c:pt idx="7">
                  <c:v>119.91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104-4C77-B97B-AA252CE62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5440176"/>
        <c:axId val="1025438736"/>
      </c:barChart>
      <c:catAx>
        <c:axId val="102544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1025438736"/>
        <c:crosses val="autoZero"/>
        <c:auto val="1"/>
        <c:lblAlgn val="ctr"/>
        <c:lblOffset val="100"/>
        <c:noMultiLvlLbl val="0"/>
      </c:catAx>
      <c:valAx>
        <c:axId val="102543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102544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r-HR"/>
              <a:t>1 x 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'4 node, params'!$T$20:$T$27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cat>
          <c:val>
            <c:numRef>
              <c:f>'4 node, params'!$W$4:$W$11</c:f>
              <c:numCache>
                <c:formatCode>General</c:formatCode>
                <c:ptCount val="8"/>
                <c:pt idx="0">
                  <c:v>50.691400000000002</c:v>
                </c:pt>
                <c:pt idx="1">
                  <c:v>90.708999999999989</c:v>
                </c:pt>
                <c:pt idx="2">
                  <c:v>116.33599999999998</c:v>
                </c:pt>
                <c:pt idx="3">
                  <c:v>127.83</c:v>
                </c:pt>
                <c:pt idx="4">
                  <c:v>132.55799999999999</c:v>
                </c:pt>
                <c:pt idx="5">
                  <c:v>136.39400000000001</c:v>
                </c:pt>
                <c:pt idx="6">
                  <c:v>137.63200000000001</c:v>
                </c:pt>
                <c:pt idx="7">
                  <c:v>134.71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A-4CC0-A627-283374BD8C8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'4 node, params'!$T$20:$T$27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cat>
          <c:val>
            <c:numRef>
              <c:f>'4 node, params'!$W$12:$W$19</c:f>
              <c:numCache>
                <c:formatCode>General</c:formatCode>
                <c:ptCount val="8"/>
                <c:pt idx="0">
                  <c:v>46.394199999999998</c:v>
                </c:pt>
                <c:pt idx="1">
                  <c:v>85.496200000000002</c:v>
                </c:pt>
                <c:pt idx="2">
                  <c:v>111.20399999999999</c:v>
                </c:pt>
                <c:pt idx="3">
                  <c:v>126.532</c:v>
                </c:pt>
                <c:pt idx="4">
                  <c:v>130.86399999999998</c:v>
                </c:pt>
                <c:pt idx="5">
                  <c:v>126.66600000000001</c:v>
                </c:pt>
                <c:pt idx="6">
                  <c:v>136.99200000000002</c:v>
                </c:pt>
                <c:pt idx="7">
                  <c:v>130.17600000000002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1A-4CC0-A627-283374BD8C8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'4 node, params'!$T$20:$T$27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cat>
          <c:val>
            <c:numRef>
              <c:f>'4 node, params'!$W$20:$W$27</c:f>
              <c:numCache>
                <c:formatCode>General</c:formatCode>
                <c:ptCount val="8"/>
                <c:pt idx="0">
                  <c:v>49.457599999999999</c:v>
                </c:pt>
                <c:pt idx="1">
                  <c:v>83.711199999999991</c:v>
                </c:pt>
                <c:pt idx="2">
                  <c:v>111.306</c:v>
                </c:pt>
                <c:pt idx="3">
                  <c:v>125.40799999999999</c:v>
                </c:pt>
                <c:pt idx="4">
                  <c:v>134.03</c:v>
                </c:pt>
                <c:pt idx="5">
                  <c:v>138.31399999999999</c:v>
                </c:pt>
                <c:pt idx="6">
                  <c:v>138.142</c:v>
                </c:pt>
                <c:pt idx="7">
                  <c:v>137.64000000000001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1A-4CC0-A627-283374BD8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5440176"/>
        <c:axId val="1025438736"/>
      </c:barChart>
      <c:catAx>
        <c:axId val="102544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1025438736"/>
        <c:crosses val="autoZero"/>
        <c:auto val="1"/>
        <c:lblAlgn val="ctr"/>
        <c:lblOffset val="100"/>
        <c:noMultiLvlLbl val="0"/>
      </c:catAx>
      <c:valAx>
        <c:axId val="102543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102544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r-HR"/>
              <a:t>4 x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'4 node, params'!$T$68:$T$75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cat>
          <c:val>
            <c:numRef>
              <c:f>'4 node, params'!$W$52:$W$59</c:f>
              <c:numCache>
                <c:formatCode>General</c:formatCode>
                <c:ptCount val="8"/>
                <c:pt idx="0">
                  <c:v>43.922000000000004</c:v>
                </c:pt>
                <c:pt idx="1">
                  <c:v>78.921400000000006</c:v>
                </c:pt>
                <c:pt idx="2">
                  <c:v>104.44200000000001</c:v>
                </c:pt>
                <c:pt idx="3">
                  <c:v>120.47799999999999</c:v>
                </c:pt>
                <c:pt idx="4">
                  <c:v>127.10599999999999</c:v>
                </c:pt>
                <c:pt idx="5">
                  <c:v>130.928</c:v>
                </c:pt>
                <c:pt idx="6">
                  <c:v>132.94400000000002</c:v>
                </c:pt>
                <c:pt idx="7">
                  <c:v>130.48399999999998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D-4046-B6A8-C34797F833F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'4 node, params'!$T$68:$T$75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cat>
          <c:val>
            <c:numRef>
              <c:f>'4 node, params'!$W$60:$W$67</c:f>
              <c:numCache>
                <c:formatCode>General</c:formatCode>
                <c:ptCount val="8"/>
                <c:pt idx="0">
                  <c:v>44.470800000000004</c:v>
                </c:pt>
                <c:pt idx="1">
                  <c:v>80.348600000000005</c:v>
                </c:pt>
                <c:pt idx="2">
                  <c:v>105.874</c:v>
                </c:pt>
                <c:pt idx="3">
                  <c:v>121.88399999999999</c:v>
                </c:pt>
                <c:pt idx="4">
                  <c:v>128.98400000000001</c:v>
                </c:pt>
                <c:pt idx="5">
                  <c:v>133.054</c:v>
                </c:pt>
                <c:pt idx="6">
                  <c:v>132.70599999999999</c:v>
                </c:pt>
                <c:pt idx="7">
                  <c:v>132.38999999999999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9D-4046-B6A8-C34797F833F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'4 node, params'!$T$68:$T$75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cat>
          <c:val>
            <c:numRef>
              <c:f>'4 node, params'!$W$68:$W$75</c:f>
              <c:numCache>
                <c:formatCode>General</c:formatCode>
                <c:ptCount val="8"/>
                <c:pt idx="0">
                  <c:v>42.922000000000004</c:v>
                </c:pt>
                <c:pt idx="1">
                  <c:v>77.747199999999992</c:v>
                </c:pt>
                <c:pt idx="2">
                  <c:v>103.476</c:v>
                </c:pt>
                <c:pt idx="3">
                  <c:v>120.502</c:v>
                </c:pt>
                <c:pt idx="4">
                  <c:v>129.102</c:v>
                </c:pt>
                <c:pt idx="5">
                  <c:v>132.63600000000002</c:v>
                </c:pt>
                <c:pt idx="6">
                  <c:v>134.26599999999999</c:v>
                </c:pt>
                <c:pt idx="7">
                  <c:v>132.202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9D-4046-B6A8-C34797F83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5440176"/>
        <c:axId val="1025438736"/>
      </c:barChart>
      <c:catAx>
        <c:axId val="102544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1025438736"/>
        <c:crosses val="autoZero"/>
        <c:auto val="1"/>
        <c:lblAlgn val="ctr"/>
        <c:lblOffset val="100"/>
        <c:noMultiLvlLbl val="0"/>
      </c:catAx>
      <c:valAx>
        <c:axId val="102543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102544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ATLAS - N(beta)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'Scalability analysis'!$AZ$3:$AZ$10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'Scalability analysis'!$BA$3:$BA$10</c:f>
              <c:numCache>
                <c:formatCode>General</c:formatCode>
                <c:ptCount val="8"/>
                <c:pt idx="0">
                  <c:v>3.8467416024476839</c:v>
                </c:pt>
                <c:pt idx="1">
                  <c:v>3.8390115962877847</c:v>
                </c:pt>
                <c:pt idx="2">
                  <c:v>3.8562150815946454</c:v>
                </c:pt>
                <c:pt idx="3">
                  <c:v>3.6993466508810506</c:v>
                </c:pt>
                <c:pt idx="4">
                  <c:v>3.6418318675576216</c:v>
                </c:pt>
                <c:pt idx="5">
                  <c:v>3.6577254654004694</c:v>
                </c:pt>
                <c:pt idx="6">
                  <c:v>3.6292081717270097</c:v>
                </c:pt>
                <c:pt idx="7">
                  <c:v>3.6766193866475341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8E-4BEC-A846-D56FBA51B4AA}"/>
            </c:ext>
          </c:extLst>
        </c:ser>
        <c:ser>
          <c:idx val="1"/>
          <c:order val="1"/>
          <c:tx>
            <c:v>ATLAS - N(mid)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'Scalability analysis'!$AZ$11:$AZ$18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'Scalability analysis'!$BA$11:$BA$18</c:f>
              <c:numCache>
                <c:formatCode>General</c:formatCode>
                <c:ptCount val="8"/>
                <c:pt idx="0">
                  <c:v>3.8449623814196929</c:v>
                </c:pt>
                <c:pt idx="1">
                  <c:v>3.7754585099623101</c:v>
                </c:pt>
                <c:pt idx="2">
                  <c:v>3.7573209062052659</c:v>
                </c:pt>
                <c:pt idx="3">
                  <c:v>3.7212135053861672</c:v>
                </c:pt>
                <c:pt idx="4">
                  <c:v>3.6286791366587887</c:v>
                </c:pt>
                <c:pt idx="5">
                  <c:v>3.6987947762446711</c:v>
                </c:pt>
                <c:pt idx="6">
                  <c:v>3.6375614997455186</c:v>
                </c:pt>
                <c:pt idx="7">
                  <c:v>3.7160292813364575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8E-4BEC-A846-D56FBA51B4AA}"/>
            </c:ext>
          </c:extLst>
        </c:ser>
        <c:ser>
          <c:idx val="2"/>
          <c:order val="2"/>
          <c:tx>
            <c:v>ATLAS - N(alpha)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'Scalability analysis'!$AZ$19:$AZ$26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'Scalability analysis'!$BA$19:$BA$26</c:f>
              <c:numCache>
                <c:formatCode>General</c:formatCode>
                <c:ptCount val="8"/>
                <c:pt idx="0">
                  <c:v>3.837687222559321</c:v>
                </c:pt>
                <c:pt idx="1">
                  <c:v>3.83498799448257</c:v>
                </c:pt>
                <c:pt idx="2">
                  <c:v>3.7567957716895677</c:v>
                </c:pt>
                <c:pt idx="3">
                  <c:v>3.6580901419794145</c:v>
                </c:pt>
                <c:pt idx="4">
                  <c:v>3.6040129442726001</c:v>
                </c:pt>
                <c:pt idx="5">
                  <c:v>3.5877821950873208</c:v>
                </c:pt>
                <c:pt idx="6">
                  <c:v>3.6386338638353264</c:v>
                </c:pt>
                <c:pt idx="7">
                  <c:v>3.607850451545362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8E-4BEC-A846-D56FBA51B4AA}"/>
            </c:ext>
          </c:extLst>
        </c:ser>
        <c:ser>
          <c:idx val="3"/>
          <c:order val="3"/>
          <c:tx>
            <c:v>OpenBLAS - N(beta)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'Scalability analysis'!$AZ$3:$AZ$10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'Scalability analysis'!$BC$3:$BC$10</c:f>
              <c:numCache>
                <c:formatCode>General</c:formatCode>
                <c:ptCount val="8"/>
                <c:pt idx="0">
                  <c:v>3.78030836158915</c:v>
                </c:pt>
                <c:pt idx="1">
                  <c:v>3.7112347784965118</c:v>
                </c:pt>
                <c:pt idx="2">
                  <c:v>3.6656882434728875</c:v>
                </c:pt>
                <c:pt idx="3">
                  <c:v>3.5744271013263815</c:v>
                </c:pt>
                <c:pt idx="4">
                  <c:v>3.5318684142893848</c:v>
                </c:pt>
                <c:pt idx="5">
                  <c:v>3.5819454732264462</c:v>
                </c:pt>
                <c:pt idx="6">
                  <c:v>3.5104191277229133</c:v>
                </c:pt>
                <c:pt idx="7">
                  <c:v>3.5866615340198247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8E-4BEC-A846-D56FBA51B4AA}"/>
            </c:ext>
          </c:extLst>
        </c:ser>
        <c:ser>
          <c:idx val="4"/>
          <c:order val="4"/>
          <c:tx>
            <c:v>OpenBLAS - N(mid)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'Scalability analysis'!$AZ$11:$AZ$18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'Scalability analysis'!$BC$11:$BC$18</c:f>
              <c:numCache>
                <c:formatCode>General</c:formatCode>
                <c:ptCount val="8"/>
                <c:pt idx="0">
                  <c:v>3.8438430661659981</c:v>
                </c:pt>
                <c:pt idx="1">
                  <c:v>3.7485046873125505</c:v>
                </c:pt>
                <c:pt idx="2">
                  <c:v>3.4675086150236183</c:v>
                </c:pt>
                <c:pt idx="3">
                  <c:v>3.5889154093765745</c:v>
                </c:pt>
                <c:pt idx="4">
                  <c:v>3.4982637176173474</c:v>
                </c:pt>
                <c:pt idx="5">
                  <c:v>3.5619671429127573</c:v>
                </c:pt>
                <c:pt idx="6">
                  <c:v>3.5435718893484611</c:v>
                </c:pt>
                <c:pt idx="7">
                  <c:v>3.5906832568043221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8E-4BEC-A846-D56FBA51B4AA}"/>
            </c:ext>
          </c:extLst>
        </c:ser>
        <c:ser>
          <c:idx val="5"/>
          <c:order val="5"/>
          <c:tx>
            <c:v>OpenBLAS - N(alpha)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'Scalability analysis'!$AZ$19:$AZ$26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'Scalability analysis'!$BC$19:$BC$26</c:f>
              <c:numCache>
                <c:formatCode>General</c:formatCode>
                <c:ptCount val="8"/>
                <c:pt idx="0">
                  <c:v>3.7823765231583448</c:v>
                </c:pt>
                <c:pt idx="1">
                  <c:v>3.6617597110501769</c:v>
                </c:pt>
                <c:pt idx="2">
                  <c:v>3.582242114494814</c:v>
                </c:pt>
                <c:pt idx="3">
                  <c:v>3.5104188744203841</c:v>
                </c:pt>
                <c:pt idx="4">
                  <c:v>3.4928617463820477</c:v>
                </c:pt>
                <c:pt idx="5">
                  <c:v>3.5093362474461918</c:v>
                </c:pt>
                <c:pt idx="6">
                  <c:v>3.5619106288205469</c:v>
                </c:pt>
                <c:pt idx="7">
                  <c:v>3.4768759745939981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A8E-4BEC-A846-D56FBA51B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5141951"/>
        <c:axId val="1335143871"/>
      </c:scatterChart>
      <c:valAx>
        <c:axId val="1335141951"/>
        <c:scaling>
          <c:orientation val="minMax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1335143871"/>
        <c:crosses val="autoZero"/>
        <c:crossBetween val="midCat"/>
        <c:majorUnit val="32"/>
      </c:valAx>
      <c:valAx>
        <c:axId val="1335143871"/>
        <c:scaling>
          <c:orientation val="minMax"/>
          <c:max val="4"/>
          <c:min val="3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1335141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438150</xdr:colOff>
      <xdr:row>10</xdr:row>
      <xdr:rowOff>119062</xdr:rowOff>
    </xdr:from>
    <xdr:to>
      <xdr:col>41</xdr:col>
      <xdr:colOff>133350</xdr:colOff>
      <xdr:row>25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CC7006-BC9E-F211-3C67-426C5267A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438150</xdr:colOff>
      <xdr:row>26</xdr:row>
      <xdr:rowOff>9525</xdr:rowOff>
    </xdr:from>
    <xdr:to>
      <xdr:col>41</xdr:col>
      <xdr:colOff>133350</xdr:colOff>
      <xdr:row>40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444C13-C310-4831-8BD0-655AA43E8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438150</xdr:colOff>
      <xdr:row>42</xdr:row>
      <xdr:rowOff>28575</xdr:rowOff>
    </xdr:from>
    <xdr:to>
      <xdr:col>41</xdr:col>
      <xdr:colOff>133350</xdr:colOff>
      <xdr:row>56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0FE09C-CC41-45F2-ADE8-85EC4D94A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590550</xdr:colOff>
      <xdr:row>29</xdr:row>
      <xdr:rowOff>80962</xdr:rowOff>
    </xdr:from>
    <xdr:to>
      <xdr:col>37</xdr:col>
      <xdr:colOff>38100</xdr:colOff>
      <xdr:row>52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3AA10C-0B7D-3525-187C-5F09981C5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74416C-58D4-41DC-8EFB-B2DB58C47459}" name="Table1" displayName="Table1" ref="A2:E74" totalsRowShown="0">
  <autoFilter ref="A2:E74" xr:uid="{9D74416C-58D4-41DC-8EFB-B2DB58C47459}"/>
  <sortState xmlns:xlrd2="http://schemas.microsoft.com/office/spreadsheetml/2017/richdata2" ref="A3:E74">
    <sortCondition ref="C3:C74"/>
    <sortCondition descending="1" ref="A3:A74"/>
    <sortCondition ref="B3:B74"/>
  </sortState>
  <tableColumns count="5">
    <tableColumn id="1" xr3:uid="{9D667A98-6BC6-4905-BFBF-D1583A0E56CD}" name="N"/>
    <tableColumn id="2" xr3:uid="{03A85AC9-9D00-4863-AA27-D97E6771101C}" name="NB"/>
    <tableColumn id="3" xr3:uid="{6F7E806B-5F3A-410F-8DCD-1C2F12761D2A}" name="P"/>
    <tableColumn id="4" xr3:uid="{B7F7D4B0-5E0E-49A6-90E8-2DF79FB0A1ED}" name="Q"/>
    <tableColumn id="5" xr3:uid="{488E081A-9B80-4CE5-8E73-3BFF1A221752}" name="Average GFLOP/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8ADEDC-7D06-4A49-A42D-7CFF0A6B8134}" name="Table2" displayName="Table2" ref="G2:K74" totalsRowShown="0">
  <autoFilter ref="G2:K74" xr:uid="{748ADEDC-7D06-4A49-A42D-7CFF0A6B8134}"/>
  <sortState xmlns:xlrd2="http://schemas.microsoft.com/office/spreadsheetml/2017/richdata2" ref="G3:K74">
    <sortCondition ref="I3:I74"/>
    <sortCondition descending="1" ref="G3:G74"/>
    <sortCondition ref="H3:H74"/>
  </sortState>
  <tableColumns count="5">
    <tableColumn id="1" xr3:uid="{8D40B892-7B9E-42BB-A44E-C87906531E6C}" name="N"/>
    <tableColumn id="2" xr3:uid="{8AF456CE-CB74-44FD-BFD0-3864020B533D}" name="NB"/>
    <tableColumn id="3" xr3:uid="{B974876E-DD73-45D2-9D44-480FBA575D5F}" name="P"/>
    <tableColumn id="4" xr3:uid="{1F85FF02-9D15-4E42-A2A3-2F33F08AC1FE}" name="Q"/>
    <tableColumn id="5" xr3:uid="{97D12380-72E0-4F3C-9A21-1D7FC05CA700}" name="Average GFLOP/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A02721-CF12-49E2-9E4C-0594906B21BF}" name="Table3" displayName="Table3" ref="N2:R50" totalsRowShown="0">
  <autoFilter ref="N2:R50" xr:uid="{DEA02721-CF12-49E2-9E4C-0594906B21BF}"/>
  <sortState xmlns:xlrd2="http://schemas.microsoft.com/office/spreadsheetml/2017/richdata2" ref="N3:R50">
    <sortCondition ref="P3:P50"/>
    <sortCondition descending="1" ref="N3:N50"/>
    <sortCondition ref="O3:O50"/>
  </sortState>
  <tableColumns count="5">
    <tableColumn id="1" xr3:uid="{A09D3B62-642A-4C67-BA4D-7FE7F0611E51}" name="N"/>
    <tableColumn id="2" xr3:uid="{2D16374F-709E-4628-AC91-1F0ED854A543}" name="NB"/>
    <tableColumn id="3" xr3:uid="{AD325768-D809-470D-B96D-66809C1020A5}" name="P"/>
    <tableColumn id="4" xr3:uid="{D6688CA9-A886-4A01-BF85-522941053444}" name="Q"/>
    <tableColumn id="5" xr3:uid="{9532B448-6AC9-407E-AF02-69AE7434AEE0}" name="Average GFLOP/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A9FE7E-5194-4A1D-8064-728F0102AFD1}" name="Table4" displayName="Table4" ref="T2:X50" totalsRowShown="0">
  <autoFilter ref="T2:X50" xr:uid="{46A9FE7E-5194-4A1D-8064-728F0102AFD1}"/>
  <sortState xmlns:xlrd2="http://schemas.microsoft.com/office/spreadsheetml/2017/richdata2" ref="T3:X50">
    <sortCondition ref="V3:V50"/>
    <sortCondition descending="1" ref="T3:T50"/>
    <sortCondition ref="U3:U50"/>
  </sortState>
  <tableColumns count="5">
    <tableColumn id="1" xr3:uid="{A79330C8-BA7C-42AF-A298-8502C00341DF}" name="N"/>
    <tableColumn id="2" xr3:uid="{193BBC3A-EE45-4735-8E09-FECF75E06224}" name="NB"/>
    <tableColumn id="3" xr3:uid="{D5D1190B-902F-4D62-96F2-2C46300CDDDB}" name="P"/>
    <tableColumn id="4" xr3:uid="{7EB87EE3-3956-4F29-B099-8EDBD006D995}" name="Q"/>
    <tableColumn id="5" xr3:uid="{D0912410-CD9E-44A7-A700-C89D90495351}" name="Average GFLOP/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sustav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st.github.com/fm4dd/c663217935dc17f0fc73c9c81b0aa84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A4B5-93CF-4B8A-8DFF-B002923152E4}">
  <dimension ref="A1:Q14"/>
  <sheetViews>
    <sheetView workbookViewId="0">
      <selection activeCell="O13" sqref="O13:Q13"/>
    </sheetView>
  </sheetViews>
  <sheetFormatPr defaultColWidth="8.85546875" defaultRowHeight="15"/>
  <cols>
    <col min="1" max="1" width="12.28515625" bestFit="1" customWidth="1"/>
    <col min="2" max="2" width="6.28515625" bestFit="1" customWidth="1"/>
    <col min="3" max="3" width="8.140625" bestFit="1" customWidth="1"/>
    <col min="4" max="4" width="15.140625" bestFit="1" customWidth="1"/>
    <col min="5" max="5" width="12.140625" bestFit="1" customWidth="1"/>
    <col min="6" max="6" width="26.28515625" customWidth="1"/>
    <col min="7" max="7" width="10.42578125" customWidth="1"/>
    <col min="10" max="10" width="27.140625" bestFit="1" customWidth="1"/>
    <col min="11" max="11" width="18" bestFit="1" customWidth="1"/>
    <col min="12" max="12" width="31.140625" bestFit="1" customWidth="1"/>
  </cols>
  <sheetData>
    <row r="1" spans="1:17">
      <c r="A1" s="6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89</v>
      </c>
      <c r="I1" s="5"/>
      <c r="J1" s="5" t="s">
        <v>15</v>
      </c>
      <c r="K1" t="s">
        <v>16</v>
      </c>
    </row>
    <row r="2" spans="1:17">
      <c r="A2" s="6" t="s">
        <v>17</v>
      </c>
      <c r="C2" t="s">
        <v>18</v>
      </c>
      <c r="D2" t="s">
        <v>19</v>
      </c>
      <c r="E2" t="s">
        <v>19</v>
      </c>
      <c r="F2" t="s">
        <v>20</v>
      </c>
      <c r="G2" t="s">
        <v>21</v>
      </c>
      <c r="K2" t="s">
        <v>22</v>
      </c>
      <c r="L2" t="s">
        <v>23</v>
      </c>
    </row>
    <row r="3" spans="1:17">
      <c r="A3" s="6" t="s">
        <v>0</v>
      </c>
      <c r="C3" t="s">
        <v>24</v>
      </c>
      <c r="D3" t="s">
        <v>25</v>
      </c>
      <c r="E3" t="s">
        <v>25</v>
      </c>
      <c r="F3" t="s">
        <v>26</v>
      </c>
      <c r="G3" t="s">
        <v>21</v>
      </c>
      <c r="J3" t="s">
        <v>27</v>
      </c>
      <c r="K3" t="s">
        <v>28</v>
      </c>
    </row>
    <row r="4" spans="1:17">
      <c r="A4" s="6" t="s">
        <v>29</v>
      </c>
      <c r="C4" t="s">
        <v>24</v>
      </c>
      <c r="D4" t="s">
        <v>30</v>
      </c>
      <c r="E4" t="s">
        <v>30</v>
      </c>
      <c r="F4" t="s">
        <v>31</v>
      </c>
      <c r="G4" t="s">
        <v>21</v>
      </c>
      <c r="J4" t="s">
        <v>27</v>
      </c>
      <c r="K4" t="s">
        <v>32</v>
      </c>
      <c r="L4" t="s">
        <v>33</v>
      </c>
    </row>
    <row r="5" spans="1:17">
      <c r="A5" s="64" t="s">
        <v>34</v>
      </c>
      <c r="B5" s="2" t="s">
        <v>35</v>
      </c>
      <c r="C5" t="s">
        <v>24</v>
      </c>
      <c r="D5" t="s">
        <v>25</v>
      </c>
      <c r="E5" t="s">
        <v>25</v>
      </c>
      <c r="F5" t="s">
        <v>26</v>
      </c>
      <c r="G5" t="s">
        <v>21</v>
      </c>
      <c r="J5" t="s">
        <v>27</v>
      </c>
      <c r="K5" t="s">
        <v>28</v>
      </c>
      <c r="L5" s="65" t="s">
        <v>36</v>
      </c>
    </row>
    <row r="6" spans="1:17">
      <c r="A6" s="64"/>
      <c r="B6" s="2" t="s">
        <v>37</v>
      </c>
      <c r="C6" t="s">
        <v>24</v>
      </c>
      <c r="D6" t="s">
        <v>38</v>
      </c>
      <c r="E6" t="s">
        <v>38</v>
      </c>
      <c r="F6" t="s">
        <v>26</v>
      </c>
      <c r="G6" t="s">
        <v>21</v>
      </c>
      <c r="J6" t="s">
        <v>27</v>
      </c>
      <c r="K6" t="s">
        <v>28</v>
      </c>
      <c r="L6" s="65"/>
    </row>
    <row r="7" spans="1:17">
      <c r="A7" s="6" t="s">
        <v>86</v>
      </c>
      <c r="C7" t="s">
        <v>84</v>
      </c>
      <c r="D7" t="s">
        <v>87</v>
      </c>
      <c r="E7" t="s">
        <v>88</v>
      </c>
      <c r="G7" t="s">
        <v>21</v>
      </c>
      <c r="H7" t="s">
        <v>90</v>
      </c>
    </row>
    <row r="12" spans="1:17" ht="60">
      <c r="A12" s="66" t="s">
        <v>41</v>
      </c>
      <c r="B12" s="66"/>
      <c r="C12" s="10" t="s">
        <v>53</v>
      </c>
      <c r="D12" s="10" t="s">
        <v>42</v>
      </c>
      <c r="E12" s="10" t="s">
        <v>43</v>
      </c>
      <c r="F12" s="10" t="s">
        <v>44</v>
      </c>
      <c r="G12" s="10" t="s">
        <v>45</v>
      </c>
      <c r="H12" s="10" t="s">
        <v>46</v>
      </c>
      <c r="I12" s="10" t="s">
        <v>47</v>
      </c>
      <c r="J12" s="10" t="s">
        <v>2</v>
      </c>
      <c r="K12" s="10" t="s">
        <v>3</v>
      </c>
      <c r="L12" s="10" t="s">
        <v>4</v>
      </c>
      <c r="M12" s="10" t="s">
        <v>48</v>
      </c>
      <c r="N12" s="10" t="s">
        <v>49</v>
      </c>
      <c r="O12" s="10" t="s">
        <v>50</v>
      </c>
      <c r="P12" s="10" t="s">
        <v>51</v>
      </c>
      <c r="Q12" s="10" t="s">
        <v>52</v>
      </c>
    </row>
    <row r="13" spans="1:17">
      <c r="A13" t="s">
        <v>53</v>
      </c>
      <c r="B13">
        <v>4</v>
      </c>
      <c r="C13">
        <v>1</v>
      </c>
      <c r="D13" t="s">
        <v>83</v>
      </c>
      <c r="E13">
        <v>8245648</v>
      </c>
      <c r="F13">
        <f>$B$14*SQRT(($C13*$E13*1024)/8)</f>
        <v>25990.06510495886</v>
      </c>
      <c r="G13">
        <f>_xlfn.CEILING.MATH(F13/J13)*J13</f>
        <v>26048</v>
      </c>
      <c r="H13">
        <f>SQRT($B$14*($C13*$E13*1024)/8)</f>
        <v>29057.776157166605</v>
      </c>
      <c r="I13">
        <f>_xlfn.CEILING.MATH(H13/J13)*J13</f>
        <v>29120</v>
      </c>
      <c r="J13">
        <v>64</v>
      </c>
      <c r="K13">
        <v>2</v>
      </c>
      <c r="L13">
        <v>2</v>
      </c>
      <c r="M13">
        <f>I13-G13</f>
        <v>3072</v>
      </c>
      <c r="N13">
        <f>M13/2</f>
        <v>1536</v>
      </c>
      <c r="O13">
        <f>G13</f>
        <v>26048</v>
      </c>
      <c r="P13">
        <f>_xlfn.CEILING.MATH((O13+N13)/J13)*J13</f>
        <v>27584</v>
      </c>
      <c r="Q13">
        <f>_xlfn.CEILING.MATH((P13+N13)/J13)*J13</f>
        <v>29120</v>
      </c>
    </row>
    <row r="14" spans="1:17">
      <c r="A14" t="s">
        <v>54</v>
      </c>
      <c r="B14">
        <v>0.8</v>
      </c>
      <c r="C14">
        <v>4</v>
      </c>
      <c r="D14" t="s">
        <v>83</v>
      </c>
      <c r="E14">
        <v>8245648</v>
      </c>
      <c r="F14">
        <f>$B$14*SQRT(($B$13*$E14*1024)/8)</f>
        <v>51980.130209917719</v>
      </c>
      <c r="G14">
        <f>_xlfn.CEILING.MATH(F14/J14)*J14</f>
        <v>52000</v>
      </c>
      <c r="H14">
        <f>SQRT($B$14*($B$13*$E14*1024)/8)</f>
        <v>58115.55231433321</v>
      </c>
      <c r="I14">
        <f>_xlfn.CEILING.MATH(H14/J14)*J14</f>
        <v>58240</v>
      </c>
      <c r="J14">
        <v>160</v>
      </c>
      <c r="K14">
        <v>2</v>
      </c>
      <c r="L14">
        <v>8</v>
      </c>
      <c r="M14">
        <f>I14-G14</f>
        <v>6240</v>
      </c>
      <c r="N14">
        <f>M14/2</f>
        <v>3120</v>
      </c>
      <c r="O14">
        <f>G14</f>
        <v>52000</v>
      </c>
      <c r="P14">
        <f>_xlfn.CEILING.MATH((O14+N14)/J14)*J14</f>
        <v>55200</v>
      </c>
      <c r="Q14">
        <f>_xlfn.CEILING.MATH((P14+N14)/J14)*J14</f>
        <v>58400</v>
      </c>
    </row>
  </sheetData>
  <mergeCells count="3">
    <mergeCell ref="A5:A6"/>
    <mergeCell ref="L5:L6"/>
    <mergeCell ref="A12:B12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2C3B-9CE2-42F1-979D-DD3786550C7D}">
  <dimension ref="A1:R81"/>
  <sheetViews>
    <sheetView zoomScale="85" zoomScaleNormal="85" workbookViewId="0">
      <selection activeCell="G60" activeCellId="1" sqref="B60:C81 G60:G81"/>
    </sheetView>
  </sheetViews>
  <sheetFormatPr defaultColWidth="8.85546875" defaultRowHeight="15"/>
  <cols>
    <col min="2" max="2" width="32.28515625" bestFit="1" customWidth="1"/>
    <col min="3" max="3" width="110.42578125" bestFit="1" customWidth="1"/>
    <col min="4" max="4" width="46.42578125" customWidth="1"/>
    <col min="5" max="5" width="84" bestFit="1" customWidth="1"/>
    <col min="6" max="6" width="27.7109375" customWidth="1"/>
    <col min="7" max="7" width="56.28515625" style="7" customWidth="1"/>
    <col min="8" max="9" width="57.7109375" style="3" customWidth="1"/>
    <col min="10" max="10" width="33.28515625" style="3" bestFit="1" customWidth="1"/>
    <col min="11" max="11" width="33.28515625" style="3" customWidth="1"/>
    <col min="12" max="12" width="34.140625" style="7" bestFit="1" customWidth="1"/>
    <col min="13" max="13" width="51" style="4" customWidth="1"/>
    <col min="14" max="14" width="17.42578125" bestFit="1" customWidth="1"/>
    <col min="15" max="15" width="12.7109375" bestFit="1" customWidth="1"/>
    <col min="16" max="16" width="79.140625" style="3" customWidth="1"/>
    <col min="18" max="18" width="16.140625" bestFit="1" customWidth="1"/>
  </cols>
  <sheetData>
    <row r="1" spans="1:18" s="12" customFormat="1" ht="45">
      <c r="A1" s="64" t="s">
        <v>64</v>
      </c>
      <c r="B1" s="64"/>
      <c r="C1" s="6" t="s">
        <v>169</v>
      </c>
      <c r="D1" s="6" t="s">
        <v>174</v>
      </c>
      <c r="E1" s="6" t="s">
        <v>176</v>
      </c>
      <c r="F1" s="6" t="s">
        <v>177</v>
      </c>
      <c r="G1" s="9" t="s">
        <v>179</v>
      </c>
      <c r="H1" s="10" t="s">
        <v>199</v>
      </c>
      <c r="I1" s="10" t="s">
        <v>224</v>
      </c>
      <c r="J1" s="10" t="s">
        <v>222</v>
      </c>
      <c r="K1" s="10" t="s">
        <v>223</v>
      </c>
      <c r="L1" s="9" t="s">
        <v>39</v>
      </c>
      <c r="M1" s="9" t="s">
        <v>56</v>
      </c>
      <c r="N1" s="10" t="s">
        <v>57</v>
      </c>
      <c r="O1" s="10" t="s">
        <v>150</v>
      </c>
      <c r="P1" s="11" t="s">
        <v>40</v>
      </c>
      <c r="Q1" s="13"/>
      <c r="R1" s="14" t="s">
        <v>58</v>
      </c>
    </row>
    <row r="2" spans="1:18" s="8" customFormat="1">
      <c r="A2">
        <v>1</v>
      </c>
      <c r="B2" t="s">
        <v>55</v>
      </c>
      <c r="C2" s="47" t="s">
        <v>170</v>
      </c>
      <c r="D2" s="47" t="s">
        <v>173</v>
      </c>
      <c r="E2" s="22" t="s">
        <v>175</v>
      </c>
      <c r="F2" s="61"/>
      <c r="G2" s="22"/>
      <c r="H2" s="61" t="str">
        <f>D2&amp;E2&amp;F2&amp;G2</f>
        <v>-b 64-A ARM64xgene1</v>
      </c>
      <c r="I2" s="61" t="s">
        <v>212</v>
      </c>
      <c r="J2" s="61">
        <f>VLOOKUP(B2,'4 nodes, builds, RAW'!$Z$4:$AB$31,3,FALSE)</f>
        <v>127.78599999999999</v>
      </c>
      <c r="K2" s="61">
        <v>129.37799999999999</v>
      </c>
      <c r="L2" s="48" t="s">
        <v>106</v>
      </c>
      <c r="M2" s="67" t="s">
        <v>113</v>
      </c>
      <c r="N2" t="s">
        <v>119</v>
      </c>
      <c r="O2"/>
      <c r="P2" s="21" t="s">
        <v>63</v>
      </c>
      <c r="Q2" s="15"/>
      <c r="R2" s="14" t="s">
        <v>59</v>
      </c>
    </row>
    <row r="3" spans="1:18" s="8" customFormat="1" ht="30">
      <c r="A3">
        <v>2</v>
      </c>
      <c r="B3" t="s">
        <v>94</v>
      </c>
      <c r="C3" s="47" t="s">
        <v>170</v>
      </c>
      <c r="D3" s="47" t="s">
        <v>173</v>
      </c>
      <c r="E3" s="22" t="s">
        <v>175</v>
      </c>
      <c r="F3" s="61" t="s">
        <v>178</v>
      </c>
      <c r="G3" s="47" t="s">
        <v>107</v>
      </c>
      <c r="H3" s="61" t="str">
        <f t="shared" ref="H3:H29" si="0">D3&amp;E3&amp;F3&amp;G3</f>
        <v>-b 64-A ARM64xgene1-Fa alg-march=native -mtune=native -mcpu=native</v>
      </c>
      <c r="I3" s="61" t="s">
        <v>213</v>
      </c>
      <c r="J3" s="61">
        <f>VLOOKUP(B3,'4 nodes, builds, RAW'!$Z$4:$AB$31,3,FALSE)</f>
        <v>130.52200000000002</v>
      </c>
      <c r="K3" s="61">
        <v>129.85399999999998</v>
      </c>
      <c r="L3" s="48" t="s">
        <v>107</v>
      </c>
      <c r="M3" s="67"/>
      <c r="N3" t="s">
        <v>116</v>
      </c>
      <c r="O3"/>
      <c r="P3" s="3"/>
      <c r="Q3" s="17"/>
      <c r="R3" s="14" t="s">
        <v>60</v>
      </c>
    </row>
    <row r="4" spans="1:18" s="8" customFormat="1" ht="30">
      <c r="A4">
        <v>3</v>
      </c>
      <c r="B4" t="s">
        <v>98</v>
      </c>
      <c r="C4" s="47" t="s">
        <v>170</v>
      </c>
      <c r="D4" s="47" t="s">
        <v>173</v>
      </c>
      <c r="E4" s="47"/>
      <c r="F4" s="61" t="s">
        <v>178</v>
      </c>
      <c r="G4" s="47" t="s">
        <v>107</v>
      </c>
      <c r="H4" s="61" t="str">
        <f t="shared" si="0"/>
        <v>-b 64-Fa alg-march=native -mtune=native -mcpu=native</v>
      </c>
      <c r="I4" s="61" t="s">
        <v>213</v>
      </c>
      <c r="J4" s="61">
        <f>VLOOKUP(B4,'4 nodes, builds, RAW'!$Z$4:$AB$31,3,FALSE)</f>
        <v>129.18</v>
      </c>
      <c r="K4" s="61">
        <v>127.78399999999999</v>
      </c>
      <c r="L4" s="48" t="s">
        <v>107</v>
      </c>
      <c r="M4" s="67"/>
      <c r="N4" t="s">
        <v>117</v>
      </c>
      <c r="O4"/>
      <c r="P4" s="3"/>
      <c r="Q4" s="16"/>
      <c r="R4" s="14" t="s">
        <v>61</v>
      </c>
    </row>
    <row r="5" spans="1:18" s="8" customFormat="1" ht="60">
      <c r="A5">
        <v>4</v>
      </c>
      <c r="B5" t="s">
        <v>102</v>
      </c>
      <c r="C5" s="47" t="s">
        <v>170</v>
      </c>
      <c r="D5" s="47" t="s">
        <v>173</v>
      </c>
      <c r="E5" s="47"/>
      <c r="F5" s="61" t="s">
        <v>178</v>
      </c>
      <c r="G5" s="47" t="s">
        <v>112</v>
      </c>
      <c r="H5" s="61" t="str">
        <f t="shared" si="0"/>
        <v>-b 64-Fa alg-march=armv8.2-a+crypto+fp16+rcpc+dotprod -mtune=cortex-a76 -mcpu=cortex-a76+crypto</v>
      </c>
      <c r="I5" s="61" t="s">
        <v>214</v>
      </c>
      <c r="J5" s="61">
        <f>VLOOKUP(B5,'4 nodes, builds, RAW'!$Z$4:$AB$31,3,FALSE)</f>
        <v>102.922</v>
      </c>
      <c r="K5" s="61">
        <v>129.732</v>
      </c>
      <c r="L5" s="48" t="s">
        <v>112</v>
      </c>
      <c r="M5" s="67"/>
      <c r="N5" t="s">
        <v>118</v>
      </c>
      <c r="O5"/>
      <c r="P5" s="3"/>
      <c r="Q5" s="18"/>
      <c r="R5" s="19" t="s">
        <v>62</v>
      </c>
    </row>
    <row r="6" spans="1:18" s="8" customFormat="1" ht="60">
      <c r="A6">
        <v>5</v>
      </c>
      <c r="B6" t="s">
        <v>103</v>
      </c>
      <c r="C6" s="47" t="s">
        <v>170</v>
      </c>
      <c r="D6" s="47" t="s">
        <v>173</v>
      </c>
      <c r="E6" s="22" t="s">
        <v>175</v>
      </c>
      <c r="F6" s="61" t="s">
        <v>178</v>
      </c>
      <c r="G6" s="47" t="s">
        <v>112</v>
      </c>
      <c r="H6" s="61" t="str">
        <f t="shared" si="0"/>
        <v>-b 64-A ARM64xgene1-Fa alg-march=armv8.2-a+crypto+fp16+rcpc+dotprod -mtune=cortex-a76 -mcpu=cortex-a76+crypto</v>
      </c>
      <c r="I6" s="61" t="s">
        <v>214</v>
      </c>
      <c r="J6" s="61">
        <f>VLOOKUP(B6,'4 nodes, builds, RAW'!$Z$4:$AB$31,3,FALSE)</f>
        <v>130.66799999999998</v>
      </c>
      <c r="K6" s="61">
        <v>129.83199999999997</v>
      </c>
      <c r="L6" s="48" t="s">
        <v>112</v>
      </c>
      <c r="M6" s="67"/>
      <c r="N6" t="s">
        <v>119</v>
      </c>
      <c r="O6"/>
      <c r="P6" s="3" t="s">
        <v>151</v>
      </c>
    </row>
    <row r="7" spans="1:18" ht="45">
      <c r="A7">
        <v>6</v>
      </c>
      <c r="B7" t="s">
        <v>66</v>
      </c>
      <c r="C7" s="47" t="s">
        <v>170</v>
      </c>
      <c r="D7" s="47" t="s">
        <v>173</v>
      </c>
      <c r="E7" s="47"/>
      <c r="F7" s="61" t="s">
        <v>178</v>
      </c>
      <c r="G7" t="s">
        <v>85</v>
      </c>
      <c r="H7" s="61" t="str">
        <f t="shared" si="0"/>
        <v>-b 64-Fa alg-mcpu=cortex-a76+crypto</v>
      </c>
      <c r="I7" s="61" t="s">
        <v>215</v>
      </c>
      <c r="J7" s="61">
        <f>VLOOKUP(B7,'4 nodes, builds, RAW'!$Z$4:$AB$31,3,FALSE)</f>
        <v>129.464</v>
      </c>
      <c r="K7" s="61">
        <v>129.91</v>
      </c>
      <c r="L7" s="48" t="s">
        <v>85</v>
      </c>
      <c r="M7" s="67"/>
      <c r="N7" t="s">
        <v>116</v>
      </c>
      <c r="P7" s="3" t="s">
        <v>101</v>
      </c>
    </row>
    <row r="8" spans="1:18">
      <c r="A8">
        <v>7</v>
      </c>
      <c r="B8" t="s">
        <v>91</v>
      </c>
      <c r="C8" s="47" t="s">
        <v>170</v>
      </c>
      <c r="D8" s="47" t="s">
        <v>173</v>
      </c>
      <c r="E8" s="47"/>
      <c r="F8" s="61" t="s">
        <v>178</v>
      </c>
      <c r="G8" s="22" t="s">
        <v>108</v>
      </c>
      <c r="H8" s="61" t="str">
        <f t="shared" si="0"/>
        <v>-b 64-Fa alg-mcpu=cortex-a76+crc+crypto</v>
      </c>
      <c r="I8" s="61" t="s">
        <v>216</v>
      </c>
      <c r="J8" s="61">
        <f>VLOOKUP(B8,'4 nodes, builds, RAW'!$Z$4:$AB$31,3,FALSE)</f>
        <v>129.13000000000002</v>
      </c>
      <c r="K8" s="61">
        <v>129.822</v>
      </c>
      <c r="L8" s="48" t="s">
        <v>108</v>
      </c>
      <c r="M8" s="67"/>
      <c r="N8" t="s">
        <v>117</v>
      </c>
    </row>
    <row r="9" spans="1:18" ht="30">
      <c r="A9">
        <v>8</v>
      </c>
      <c r="B9" t="s">
        <v>67</v>
      </c>
      <c r="C9" s="47" t="s">
        <v>170</v>
      </c>
      <c r="D9" s="47" t="s">
        <v>173</v>
      </c>
      <c r="E9" s="47"/>
      <c r="F9" s="61" t="s">
        <v>178</v>
      </c>
      <c r="G9" s="22" t="s">
        <v>109</v>
      </c>
      <c r="H9" s="61" t="str">
        <f t="shared" si="0"/>
        <v>-b 64-Fa alg-mcpu=cortex-a76+crypto -mtune=cortex-a76</v>
      </c>
      <c r="I9" s="61" t="s">
        <v>217</v>
      </c>
      <c r="J9" s="61">
        <f>VLOOKUP(B9,'4 nodes, builds, RAW'!$Z$4:$AB$31,3,FALSE)</f>
        <v>129.35999999999999</v>
      </c>
      <c r="K9" s="61">
        <v>103.114</v>
      </c>
      <c r="L9" s="48" t="s">
        <v>109</v>
      </c>
      <c r="M9" s="67"/>
      <c r="N9" t="s">
        <v>118</v>
      </c>
      <c r="P9" s="3" t="s">
        <v>152</v>
      </c>
    </row>
    <row r="10" spans="1:18" ht="30">
      <c r="A10">
        <v>9</v>
      </c>
      <c r="B10" t="s">
        <v>104</v>
      </c>
      <c r="C10" s="47" t="s">
        <v>170</v>
      </c>
      <c r="D10" s="47" t="s">
        <v>173</v>
      </c>
      <c r="E10" s="47"/>
      <c r="F10" s="61" t="s">
        <v>178</v>
      </c>
      <c r="G10" s="22" t="s">
        <v>110</v>
      </c>
      <c r="H10" s="61" t="str">
        <f t="shared" si="0"/>
        <v>-b 64-Fa alg-mcpu=cortex-a76+crypto -mtune=cortex-a76 -mabi=lp64</v>
      </c>
      <c r="I10" s="61" t="s">
        <v>218</v>
      </c>
      <c r="J10" s="61">
        <f>VLOOKUP(B10,'4 nodes, builds, RAW'!$Z$4:$AB$31,3,FALSE)</f>
        <v>129.06199999999998</v>
      </c>
      <c r="K10" s="61">
        <v>129.756</v>
      </c>
      <c r="L10" s="48" t="s">
        <v>110</v>
      </c>
      <c r="M10" s="67"/>
      <c r="N10" t="s">
        <v>119</v>
      </c>
      <c r="P10" s="3" t="s">
        <v>153</v>
      </c>
    </row>
    <row r="11" spans="1:18">
      <c r="A11">
        <v>10</v>
      </c>
      <c r="B11" t="s">
        <v>68</v>
      </c>
      <c r="C11" s="47" t="s">
        <v>170</v>
      </c>
      <c r="D11" s="47" t="s">
        <v>173</v>
      </c>
      <c r="E11" s="22" t="s">
        <v>175</v>
      </c>
      <c r="F11" s="61" t="s">
        <v>178</v>
      </c>
      <c r="G11" s="22" t="s">
        <v>85</v>
      </c>
      <c r="H11" s="61" t="str">
        <f t="shared" si="0"/>
        <v>-b 64-A ARM64xgene1-Fa alg-mcpu=cortex-a76+crypto</v>
      </c>
      <c r="I11" s="61" t="s">
        <v>215</v>
      </c>
      <c r="J11" s="61">
        <f>VLOOKUP(B11,'4 nodes, builds, RAW'!$Z$4:$AB$31,3,FALSE)</f>
        <v>104.59400000000001</v>
      </c>
      <c r="K11" s="61">
        <v>129.69800000000001</v>
      </c>
      <c r="L11" s="48" t="s">
        <v>85</v>
      </c>
      <c r="M11" s="67"/>
      <c r="N11" t="s">
        <v>116</v>
      </c>
    </row>
    <row r="12" spans="1:18" ht="30">
      <c r="A12">
        <v>11</v>
      </c>
      <c r="B12" t="s">
        <v>69</v>
      </c>
      <c r="C12" s="47" t="s">
        <v>170</v>
      </c>
      <c r="D12" s="47" t="s">
        <v>173</v>
      </c>
      <c r="E12" s="22" t="s">
        <v>175</v>
      </c>
      <c r="F12" s="61" t="s">
        <v>178</v>
      </c>
      <c r="G12" s="22" t="s">
        <v>109</v>
      </c>
      <c r="H12" s="61" t="str">
        <f t="shared" si="0"/>
        <v>-b 64-A ARM64xgene1-Fa alg-mcpu=cortex-a76+crypto -mtune=cortex-a76</v>
      </c>
      <c r="I12" s="61" t="s">
        <v>217</v>
      </c>
      <c r="J12" s="61">
        <f>VLOOKUP(B12,'4 nodes, builds, RAW'!$Z$4:$AB$31,3,FALSE)</f>
        <v>130.22800000000001</v>
      </c>
      <c r="K12" s="61">
        <v>130.084</v>
      </c>
      <c r="L12" s="48" t="s">
        <v>109</v>
      </c>
      <c r="M12" s="67"/>
      <c r="N12" t="s">
        <v>117</v>
      </c>
    </row>
    <row r="13" spans="1:18">
      <c r="A13">
        <v>12</v>
      </c>
      <c r="B13" t="s">
        <v>111</v>
      </c>
      <c r="C13" s="47" t="s">
        <v>170</v>
      </c>
      <c r="D13" s="47" t="s">
        <v>173</v>
      </c>
      <c r="E13" s="47"/>
      <c r="F13" s="61" t="s">
        <v>178</v>
      </c>
      <c r="G13" s="22" t="s">
        <v>109</v>
      </c>
      <c r="H13" s="61" t="str">
        <f t="shared" si="0"/>
        <v>-b 64-Fa alg-mcpu=cortex-a76+crypto -mtune=cortex-a76</v>
      </c>
      <c r="I13" s="61" t="s">
        <v>219</v>
      </c>
      <c r="J13" s="61">
        <f>VLOOKUP(B13,'4 nodes, builds, RAW'!$Z$4:$AB$31,3,FALSE)</f>
        <v>103.44800000000001</v>
      </c>
      <c r="K13" s="61">
        <v>129.62599999999998</v>
      </c>
      <c r="L13" s="48" t="s">
        <v>106</v>
      </c>
      <c r="M13" s="67"/>
      <c r="N13" t="s">
        <v>118</v>
      </c>
    </row>
    <row r="14" spans="1:18">
      <c r="A14">
        <v>13</v>
      </c>
      <c r="B14" t="s">
        <v>72</v>
      </c>
      <c r="C14" s="47" t="s">
        <v>170</v>
      </c>
      <c r="D14" s="47"/>
      <c r="E14" s="24" t="s">
        <v>171</v>
      </c>
      <c r="F14" s="24"/>
      <c r="H14" s="61" t="str">
        <f t="shared" si="0"/>
        <v>-Si archdef 1</v>
      </c>
      <c r="I14" s="61" t="s">
        <v>219</v>
      </c>
      <c r="J14" s="61">
        <f>VLOOKUP(B14,'4 nodes, builds, RAW'!$Z$4:$AB$31,3,FALSE)</f>
        <v>103.38800000000001</v>
      </c>
      <c r="K14" s="61">
        <v>129.85599999999999</v>
      </c>
      <c r="L14" s="48" t="s">
        <v>106</v>
      </c>
      <c r="M14" s="67"/>
      <c r="N14" t="s">
        <v>119</v>
      </c>
    </row>
    <row r="15" spans="1:18">
      <c r="A15">
        <v>14</v>
      </c>
      <c r="B15" t="s">
        <v>73</v>
      </c>
      <c r="C15" s="47" t="s">
        <v>170</v>
      </c>
      <c r="D15" s="47"/>
      <c r="E15" s="24" t="s">
        <v>172</v>
      </c>
      <c r="F15" s="24"/>
      <c r="H15" s="61" t="str">
        <f t="shared" si="0"/>
        <v>-Si archdef 0</v>
      </c>
      <c r="I15" s="61" t="s">
        <v>219</v>
      </c>
      <c r="J15" s="61">
        <f>VLOOKUP(B15,'4 nodes, builds, RAW'!$Z$4:$AB$31,3,FALSE)</f>
        <v>128.52199999999999</v>
      </c>
      <c r="K15" s="61">
        <v>129.74799999999999</v>
      </c>
      <c r="L15" s="48" t="s">
        <v>106</v>
      </c>
      <c r="M15" s="67"/>
      <c r="N15" t="s">
        <v>116</v>
      </c>
    </row>
    <row r="16" spans="1:18">
      <c r="A16" s="52">
        <v>15</v>
      </c>
      <c r="B16" s="52" t="s">
        <v>120</v>
      </c>
      <c r="C16" s="47" t="s">
        <v>170</v>
      </c>
      <c r="D16" s="47" t="s">
        <v>173</v>
      </c>
      <c r="E16" s="47"/>
      <c r="F16" s="61" t="s">
        <v>178</v>
      </c>
      <c r="G16" s="7" t="s">
        <v>180</v>
      </c>
      <c r="H16" s="61" t="str">
        <f t="shared" si="0"/>
        <v>-b 64-Fa alg -O2</v>
      </c>
      <c r="I16" s="61"/>
      <c r="J16" s="61"/>
      <c r="K16" s="61"/>
      <c r="L16" s="48"/>
      <c r="M16" s="48"/>
      <c r="O16">
        <v>877991</v>
      </c>
    </row>
    <row r="17" spans="1:16">
      <c r="A17" s="52">
        <v>16</v>
      </c>
      <c r="B17" s="53" t="s">
        <v>121</v>
      </c>
      <c r="C17" s="47" t="s">
        <v>170</v>
      </c>
      <c r="D17" s="47" t="s">
        <v>173</v>
      </c>
      <c r="E17" s="47"/>
      <c r="F17" s="61" t="s">
        <v>178</v>
      </c>
      <c r="G17" s="22" t="s">
        <v>181</v>
      </c>
      <c r="H17" s="61" t="str">
        <f t="shared" si="0"/>
        <v>-b 64-Fa alg -O2 -march=native -mtune=native -mcpu=native</v>
      </c>
      <c r="I17" s="61"/>
      <c r="J17" s="61"/>
      <c r="K17" s="61"/>
      <c r="L17" s="48"/>
      <c r="M17" s="48"/>
      <c r="O17">
        <v>872141</v>
      </c>
    </row>
    <row r="18" spans="1:16">
      <c r="A18" s="52">
        <v>17</v>
      </c>
      <c r="B18" s="53" t="s">
        <v>122</v>
      </c>
      <c r="C18" s="47" t="s">
        <v>170</v>
      </c>
      <c r="D18" s="47" t="s">
        <v>173</v>
      </c>
      <c r="E18" s="47"/>
      <c r="F18" s="61" t="s">
        <v>178</v>
      </c>
      <c r="G18" s="22" t="s">
        <v>181</v>
      </c>
      <c r="H18" s="61" t="str">
        <f t="shared" si="0"/>
        <v>-b 64-Fa alg -O2 -march=native -mtune=native -mcpu=native</v>
      </c>
      <c r="I18" s="61"/>
      <c r="J18" s="61"/>
      <c r="K18" s="61"/>
      <c r="L18" s="48"/>
      <c r="M18" s="48"/>
      <c r="O18">
        <v>880685</v>
      </c>
    </row>
    <row r="19" spans="1:16" ht="30">
      <c r="A19" s="52">
        <v>18</v>
      </c>
      <c r="B19" s="52" t="s">
        <v>123</v>
      </c>
      <c r="C19" s="47" t="s">
        <v>170</v>
      </c>
      <c r="D19" s="47" t="s">
        <v>173</v>
      </c>
      <c r="E19" s="47"/>
      <c r="F19" s="61" t="s">
        <v>178</v>
      </c>
      <c r="G19" s="7" t="s">
        <v>182</v>
      </c>
      <c r="H19" s="61" t="str">
        <f t="shared" si="0"/>
        <v>-b 64-Fa alg -O2 -march=armv8.2-a+crypto+fp16+rcpc+dotprod -mtune=cortex-a76 -mcpu=cortex-a76+crypto</v>
      </c>
      <c r="I19" s="61"/>
      <c r="J19" s="61"/>
      <c r="K19" s="61"/>
      <c r="L19" s="48"/>
      <c r="M19" s="48"/>
      <c r="O19">
        <v>878809</v>
      </c>
    </row>
    <row r="20" spans="1:16" ht="30">
      <c r="A20" s="52">
        <v>19</v>
      </c>
      <c r="B20" s="52" t="s">
        <v>124</v>
      </c>
      <c r="C20" s="47" t="s">
        <v>170</v>
      </c>
      <c r="D20" s="47" t="s">
        <v>173</v>
      </c>
      <c r="E20" s="47"/>
      <c r="F20" s="61" t="s">
        <v>178</v>
      </c>
      <c r="G20" s="7" t="s">
        <v>182</v>
      </c>
      <c r="H20" s="61" t="str">
        <f t="shared" si="0"/>
        <v>-b 64-Fa alg -O2 -march=armv8.2-a+crypto+fp16+rcpc+dotprod -mtune=cortex-a76 -mcpu=cortex-a76+crypto</v>
      </c>
      <c r="I20" s="61"/>
      <c r="J20" s="61"/>
      <c r="K20" s="61"/>
      <c r="L20" s="48"/>
      <c r="M20" s="48"/>
      <c r="O20">
        <v>873161</v>
      </c>
    </row>
    <row r="21" spans="1:16">
      <c r="A21" s="52">
        <v>20</v>
      </c>
      <c r="B21" s="52" t="s">
        <v>125</v>
      </c>
      <c r="C21" s="47" t="s">
        <v>170</v>
      </c>
      <c r="D21" s="47" t="s">
        <v>173</v>
      </c>
      <c r="E21" s="47"/>
      <c r="F21" s="61" t="s">
        <v>178</v>
      </c>
      <c r="G21" t="s">
        <v>183</v>
      </c>
      <c r="H21" s="61" t="str">
        <f t="shared" si="0"/>
        <v>-b 64-Fa alg -O2 -mcpu=cortex-a76+crypto</v>
      </c>
      <c r="I21" s="61"/>
      <c r="J21" s="61"/>
      <c r="K21" s="61"/>
      <c r="L21"/>
      <c r="M21"/>
      <c r="O21">
        <v>880663</v>
      </c>
      <c r="P21"/>
    </row>
    <row r="22" spans="1:16">
      <c r="A22" s="52">
        <v>21</v>
      </c>
      <c r="B22" s="52" t="s">
        <v>126</v>
      </c>
      <c r="C22" s="47" t="s">
        <v>170</v>
      </c>
      <c r="D22" s="47" t="s">
        <v>173</v>
      </c>
      <c r="E22" s="47"/>
      <c r="F22" s="61" t="s">
        <v>178</v>
      </c>
      <c r="G22" t="s">
        <v>184</v>
      </c>
      <c r="H22" s="61" t="str">
        <f t="shared" si="0"/>
        <v>-b 64-Fa alg -O2 -mcpu=cortex-a76+crc+crypto</v>
      </c>
      <c r="I22" s="61"/>
      <c r="J22" s="61"/>
      <c r="K22" s="61"/>
      <c r="L22"/>
      <c r="M22"/>
      <c r="O22">
        <v>877576</v>
      </c>
      <c r="P22"/>
    </row>
    <row r="23" spans="1:16">
      <c r="A23" s="52">
        <v>22</v>
      </c>
      <c r="B23" s="52" t="s">
        <v>127</v>
      </c>
      <c r="C23" s="47" t="s">
        <v>170</v>
      </c>
      <c r="D23" s="47" t="s">
        <v>173</v>
      </c>
      <c r="E23" s="47"/>
      <c r="F23" s="61" t="s">
        <v>178</v>
      </c>
      <c r="G23" t="s">
        <v>185</v>
      </c>
      <c r="H23" s="61" t="str">
        <f t="shared" si="0"/>
        <v>-b 64-Fa alg -O2 -mcpu=cortex-a76+crypto -mtune=cortex-a76</v>
      </c>
      <c r="I23" s="61"/>
      <c r="J23" s="61"/>
      <c r="K23" s="61"/>
      <c r="L23"/>
      <c r="M23"/>
      <c r="O23">
        <v>877442</v>
      </c>
      <c r="P23"/>
    </row>
    <row r="24" spans="1:16" ht="30">
      <c r="A24" s="52">
        <v>23</v>
      </c>
      <c r="B24" s="52" t="s">
        <v>128</v>
      </c>
      <c r="C24" s="47" t="s">
        <v>170</v>
      </c>
      <c r="D24" s="47" t="s">
        <v>173</v>
      </c>
      <c r="E24" s="47"/>
      <c r="F24" s="61" t="s">
        <v>178</v>
      </c>
      <c r="G24" t="s">
        <v>186</v>
      </c>
      <c r="H24" s="61" t="str">
        <f t="shared" si="0"/>
        <v>-b 64-Fa alg -O2 -mcpu=cortex-a76+crypto -mtune=cortex-a76 -mabi=lp64</v>
      </c>
      <c r="I24" s="61"/>
      <c r="J24" s="61"/>
      <c r="K24" s="61"/>
      <c r="L24"/>
      <c r="M24"/>
      <c r="O24">
        <v>877622</v>
      </c>
      <c r="P24"/>
    </row>
    <row r="25" spans="1:16">
      <c r="A25" s="52">
        <v>24</v>
      </c>
      <c r="B25" s="52" t="s">
        <v>129</v>
      </c>
      <c r="C25" s="47" t="s">
        <v>170</v>
      </c>
      <c r="D25" s="47" t="s">
        <v>173</v>
      </c>
      <c r="E25" s="47"/>
      <c r="F25" s="61" t="s">
        <v>178</v>
      </c>
      <c r="G25" t="s">
        <v>183</v>
      </c>
      <c r="H25" s="61" t="str">
        <f t="shared" si="0"/>
        <v>-b 64-Fa alg -O2 -mcpu=cortex-a76+crypto</v>
      </c>
      <c r="I25" s="61"/>
      <c r="J25" s="61"/>
      <c r="K25" s="61"/>
      <c r="L25"/>
      <c r="M25"/>
      <c r="O25">
        <v>879875</v>
      </c>
      <c r="P25"/>
    </row>
    <row r="26" spans="1:16">
      <c r="A26" s="52">
        <v>25</v>
      </c>
      <c r="B26" s="52" t="s">
        <v>130</v>
      </c>
      <c r="C26" s="47" t="s">
        <v>170</v>
      </c>
      <c r="D26" s="47" t="s">
        <v>173</v>
      </c>
      <c r="E26" s="47"/>
      <c r="F26" s="61" t="s">
        <v>178</v>
      </c>
      <c r="G26" t="s">
        <v>185</v>
      </c>
      <c r="H26" s="61" t="str">
        <f t="shared" si="0"/>
        <v>-b 64-Fa alg -O2 -mcpu=cortex-a76+crypto -mtune=cortex-a76</v>
      </c>
      <c r="I26" s="61"/>
      <c r="J26" s="61"/>
      <c r="K26" s="61"/>
      <c r="L26"/>
      <c r="M26"/>
      <c r="O26">
        <v>872986</v>
      </c>
      <c r="P26"/>
    </row>
    <row r="27" spans="1:16">
      <c r="A27" s="52">
        <v>26</v>
      </c>
      <c r="B27" s="52" t="s">
        <v>131</v>
      </c>
      <c r="C27" s="47" t="s">
        <v>170</v>
      </c>
      <c r="D27" s="47" t="s">
        <v>173</v>
      </c>
      <c r="E27" s="47"/>
      <c r="F27" s="61" t="s">
        <v>178</v>
      </c>
      <c r="G27" t="s">
        <v>187</v>
      </c>
      <c r="H27" s="61" t="str">
        <f t="shared" si="0"/>
        <v>-b 64-Fa alg -O2 -mtune=native</v>
      </c>
      <c r="I27" s="61"/>
      <c r="J27" s="61"/>
      <c r="K27" s="61"/>
      <c r="L27"/>
      <c r="M27"/>
      <c r="O27">
        <v>877668</v>
      </c>
      <c r="P27"/>
    </row>
    <row r="28" spans="1:16">
      <c r="A28" s="52">
        <v>27</v>
      </c>
      <c r="B28" s="52" t="s">
        <v>132</v>
      </c>
      <c r="C28" s="47" t="s">
        <v>170</v>
      </c>
      <c r="D28" s="47" t="s">
        <v>173</v>
      </c>
      <c r="E28" s="47"/>
      <c r="F28" s="61" t="s">
        <v>178</v>
      </c>
      <c r="G28" t="s">
        <v>187</v>
      </c>
      <c r="H28" s="61" t="str">
        <f t="shared" si="0"/>
        <v>-b 64-Fa alg -O2 -mtune=native</v>
      </c>
      <c r="I28" s="61"/>
      <c r="J28" s="61"/>
      <c r="K28" s="61"/>
      <c r="L28"/>
      <c r="M28"/>
      <c r="O28">
        <v>877744</v>
      </c>
      <c r="P28"/>
    </row>
    <row r="29" spans="1:16">
      <c r="A29" s="52">
        <v>28</v>
      </c>
      <c r="B29" s="52" t="s">
        <v>133</v>
      </c>
      <c r="C29" s="47" t="s">
        <v>170</v>
      </c>
      <c r="D29" s="47" t="s">
        <v>173</v>
      </c>
      <c r="E29" s="47"/>
      <c r="F29" s="61" t="s">
        <v>178</v>
      </c>
      <c r="G29" t="s">
        <v>187</v>
      </c>
      <c r="H29" s="61" t="str">
        <f t="shared" si="0"/>
        <v>-b 64-Fa alg -O2 -mtune=native</v>
      </c>
      <c r="I29" s="61"/>
      <c r="J29" s="61"/>
      <c r="K29" s="61"/>
      <c r="L29"/>
      <c r="M29"/>
      <c r="O29">
        <v>877641</v>
      </c>
      <c r="P29"/>
    </row>
    <row r="30" spans="1:16">
      <c r="G30"/>
      <c r="H30"/>
      <c r="I30"/>
      <c r="J30"/>
      <c r="K30"/>
      <c r="L30"/>
      <c r="M30"/>
      <c r="P30"/>
    </row>
    <row r="31" spans="1:16">
      <c r="G31"/>
      <c r="H31"/>
      <c r="I31"/>
      <c r="J31"/>
      <c r="K31"/>
      <c r="L31"/>
      <c r="M31"/>
      <c r="P31"/>
    </row>
    <row r="32" spans="1:16">
      <c r="G32"/>
      <c r="H32"/>
      <c r="I32"/>
      <c r="J32"/>
      <c r="K32"/>
      <c r="L32"/>
      <c r="M32"/>
      <c r="P32"/>
    </row>
    <row r="33" spans="1:18">
      <c r="G33"/>
      <c r="H33"/>
      <c r="I33"/>
      <c r="J33"/>
      <c r="K33"/>
      <c r="L33"/>
      <c r="M33"/>
      <c r="P33"/>
    </row>
    <row r="34" spans="1:18">
      <c r="G34"/>
      <c r="H34"/>
      <c r="I34"/>
      <c r="J34"/>
      <c r="K34"/>
      <c r="L34"/>
      <c r="M34"/>
      <c r="P34"/>
    </row>
    <row r="35" spans="1:18">
      <c r="A35" t="s">
        <v>220</v>
      </c>
      <c r="B35" t="s">
        <v>221</v>
      </c>
      <c r="C35" t="s">
        <v>199</v>
      </c>
      <c r="D35" t="s">
        <v>225</v>
      </c>
      <c r="E35" t="s">
        <v>226</v>
      </c>
      <c r="F35" t="s">
        <v>200</v>
      </c>
      <c r="G35"/>
      <c r="H35"/>
      <c r="I35"/>
      <c r="J35"/>
      <c r="K35"/>
      <c r="L35"/>
      <c r="M35"/>
      <c r="P35"/>
    </row>
    <row r="36" spans="1:18">
      <c r="A36">
        <v>1</v>
      </c>
      <c r="B36" t="s">
        <v>55</v>
      </c>
      <c r="C36" t="s">
        <v>201</v>
      </c>
      <c r="D36" s="22" t="s">
        <v>175</v>
      </c>
      <c r="E36" s="47" t="s">
        <v>227</v>
      </c>
      <c r="F36">
        <v>127.78599999999999</v>
      </c>
      <c r="G36"/>
      <c r="H36"/>
      <c r="I36"/>
      <c r="J36"/>
      <c r="K36"/>
      <c r="L36"/>
      <c r="M36"/>
      <c r="P36"/>
    </row>
    <row r="37" spans="1:18">
      <c r="A37">
        <v>2</v>
      </c>
      <c r="B37" t="s">
        <v>94</v>
      </c>
      <c r="C37" t="s">
        <v>202</v>
      </c>
      <c r="D37" s="22" t="s">
        <v>175</v>
      </c>
      <c r="E37" s="47" t="s">
        <v>107</v>
      </c>
      <c r="F37">
        <v>130.52200000000002</v>
      </c>
      <c r="G37"/>
      <c r="H37"/>
      <c r="I37"/>
      <c r="J37"/>
      <c r="K37"/>
      <c r="L37"/>
      <c r="M37"/>
      <c r="P37"/>
    </row>
    <row r="38" spans="1:18">
      <c r="A38">
        <v>3</v>
      </c>
      <c r="B38" t="s">
        <v>98</v>
      </c>
      <c r="C38" t="s">
        <v>203</v>
      </c>
      <c r="D38" s="47" t="s">
        <v>227</v>
      </c>
      <c r="E38" s="47" t="s">
        <v>107</v>
      </c>
      <c r="F38">
        <v>129.18</v>
      </c>
      <c r="G38"/>
      <c r="H38"/>
      <c r="I38"/>
      <c r="J38"/>
      <c r="K38"/>
      <c r="L38"/>
      <c r="M38"/>
      <c r="P38"/>
    </row>
    <row r="39" spans="1:18">
      <c r="A39">
        <v>4</v>
      </c>
      <c r="B39" t="s">
        <v>102</v>
      </c>
      <c r="C39" t="s">
        <v>204</v>
      </c>
      <c r="D39" s="47" t="s">
        <v>227</v>
      </c>
      <c r="E39" s="47" t="s">
        <v>112</v>
      </c>
      <c r="F39">
        <v>102.922</v>
      </c>
      <c r="G39"/>
      <c r="H39"/>
      <c r="I39" s="7"/>
      <c r="L39" s="3"/>
      <c r="M39" s="3"/>
      <c r="N39" s="7"/>
      <c r="O39" s="4"/>
      <c r="P39"/>
      <c r="R39" s="3"/>
    </row>
    <row r="40" spans="1:18">
      <c r="A40">
        <v>5</v>
      </c>
      <c r="B40" t="s">
        <v>103</v>
      </c>
      <c r="C40" t="s">
        <v>205</v>
      </c>
      <c r="D40" s="22" t="s">
        <v>175</v>
      </c>
      <c r="E40" s="47" t="s">
        <v>112</v>
      </c>
      <c r="F40">
        <v>130.66799999999998</v>
      </c>
      <c r="G40"/>
      <c r="H40"/>
      <c r="I40" s="7"/>
      <c r="L40" s="3"/>
      <c r="M40" s="3"/>
      <c r="N40" s="7"/>
      <c r="O40" s="4"/>
      <c r="P40"/>
      <c r="R40" s="3"/>
    </row>
    <row r="41" spans="1:18">
      <c r="A41">
        <v>6</v>
      </c>
      <c r="B41" t="s">
        <v>66</v>
      </c>
      <c r="C41" t="s">
        <v>206</v>
      </c>
      <c r="D41" s="47" t="s">
        <v>227</v>
      </c>
      <c r="E41" t="s">
        <v>85</v>
      </c>
      <c r="F41">
        <v>129.464</v>
      </c>
      <c r="G41"/>
      <c r="H41"/>
      <c r="I41" s="7"/>
      <c r="L41" s="3"/>
      <c r="M41" s="3"/>
      <c r="N41" s="7"/>
      <c r="O41" s="4"/>
      <c r="P41"/>
      <c r="R41" s="3"/>
    </row>
    <row r="42" spans="1:18">
      <c r="A42">
        <v>7</v>
      </c>
      <c r="B42" t="s">
        <v>91</v>
      </c>
      <c r="C42" t="s">
        <v>207</v>
      </c>
      <c r="D42" s="47" t="s">
        <v>227</v>
      </c>
      <c r="E42" s="22" t="s">
        <v>108</v>
      </c>
      <c r="F42">
        <v>129.13000000000002</v>
      </c>
      <c r="G42"/>
      <c r="H42"/>
      <c r="I42" s="7"/>
      <c r="L42" s="3"/>
      <c r="M42" s="3"/>
      <c r="N42" s="7"/>
      <c r="O42" s="4"/>
      <c r="P42"/>
      <c r="R42" s="3"/>
    </row>
    <row r="43" spans="1:18">
      <c r="A43">
        <v>8</v>
      </c>
      <c r="B43" t="s">
        <v>67</v>
      </c>
      <c r="C43" t="s">
        <v>208</v>
      </c>
      <c r="D43" s="47" t="s">
        <v>227</v>
      </c>
      <c r="E43" s="22" t="s">
        <v>109</v>
      </c>
      <c r="F43">
        <v>129.35999999999999</v>
      </c>
      <c r="G43"/>
      <c r="H43"/>
      <c r="I43" s="7"/>
      <c r="L43" s="3"/>
      <c r="M43" s="3"/>
      <c r="N43" s="7"/>
      <c r="O43" s="4"/>
      <c r="P43" s="4"/>
      <c r="Q43" s="4"/>
      <c r="R43" s="3"/>
    </row>
    <row r="44" spans="1:18">
      <c r="A44">
        <v>9</v>
      </c>
      <c r="B44" t="s">
        <v>104</v>
      </c>
      <c r="C44" t="s">
        <v>209</v>
      </c>
      <c r="D44" s="47" t="s">
        <v>227</v>
      </c>
      <c r="E44" s="22" t="s">
        <v>110</v>
      </c>
      <c r="F44">
        <v>129.06199999999998</v>
      </c>
      <c r="G44"/>
      <c r="H44"/>
      <c r="I44" s="7"/>
      <c r="L44" s="3"/>
      <c r="M44" s="3"/>
      <c r="N44" s="7"/>
      <c r="O44" s="4"/>
      <c r="P44" s="4"/>
      <c r="Q44" s="4"/>
      <c r="R44" s="3"/>
    </row>
    <row r="45" spans="1:18">
      <c r="A45">
        <v>10</v>
      </c>
      <c r="B45" t="s">
        <v>68</v>
      </c>
      <c r="C45" t="s">
        <v>210</v>
      </c>
      <c r="D45" s="22" t="s">
        <v>175</v>
      </c>
      <c r="E45" s="22" t="s">
        <v>85</v>
      </c>
      <c r="F45">
        <v>104.59400000000001</v>
      </c>
      <c r="G45"/>
      <c r="H45"/>
      <c r="I45" s="7"/>
      <c r="L45" s="3"/>
      <c r="M45" s="3"/>
      <c r="N45" s="7"/>
      <c r="O45" s="4"/>
      <c r="P45" s="4"/>
      <c r="Q45" s="4"/>
      <c r="R45" s="3"/>
    </row>
    <row r="46" spans="1:18">
      <c r="A46">
        <v>11</v>
      </c>
      <c r="B46" t="s">
        <v>69</v>
      </c>
      <c r="C46" t="s">
        <v>211</v>
      </c>
      <c r="D46" s="22" t="s">
        <v>175</v>
      </c>
      <c r="E46" s="22" t="s">
        <v>109</v>
      </c>
      <c r="F46">
        <v>130.22800000000001</v>
      </c>
      <c r="G46"/>
      <c r="H46"/>
      <c r="I46" s="7"/>
      <c r="L46" s="3"/>
      <c r="M46" s="3"/>
      <c r="N46" s="7"/>
      <c r="O46" s="4"/>
      <c r="P46" s="4"/>
      <c r="Q46" s="4"/>
      <c r="R46" s="3"/>
    </row>
    <row r="47" spans="1:18">
      <c r="A47">
        <v>12</v>
      </c>
      <c r="B47" t="s">
        <v>111</v>
      </c>
      <c r="C47" t="s">
        <v>208</v>
      </c>
      <c r="D47" s="47" t="s">
        <v>227</v>
      </c>
      <c r="E47" s="22" t="s">
        <v>109</v>
      </c>
      <c r="F47">
        <v>103.44800000000001</v>
      </c>
      <c r="G47"/>
      <c r="H47"/>
      <c r="I47" s="7"/>
      <c r="L47" s="3"/>
      <c r="M47" s="3"/>
      <c r="N47" s="7"/>
      <c r="O47" s="4"/>
      <c r="P47" s="4"/>
      <c r="Q47" s="4"/>
      <c r="R47" s="3"/>
    </row>
    <row r="48" spans="1:18">
      <c r="A48">
        <v>13</v>
      </c>
      <c r="B48" t="s">
        <v>72</v>
      </c>
      <c r="C48" t="s">
        <v>171</v>
      </c>
      <c r="D48" s="24" t="s">
        <v>171</v>
      </c>
      <c r="E48" s="47" t="s">
        <v>227</v>
      </c>
      <c r="F48">
        <v>103.38800000000001</v>
      </c>
      <c r="G48"/>
      <c r="H48"/>
      <c r="I48" s="7"/>
      <c r="L48" s="3"/>
      <c r="M48" s="3"/>
      <c r="N48" s="7"/>
      <c r="O48" s="4"/>
      <c r="P48" s="4"/>
      <c r="Q48" s="4"/>
      <c r="R48" s="3"/>
    </row>
    <row r="49" spans="1:18">
      <c r="A49">
        <v>14</v>
      </c>
      <c r="B49" t="s">
        <v>73</v>
      </c>
      <c r="C49" t="s">
        <v>172</v>
      </c>
      <c r="D49" s="24" t="s">
        <v>172</v>
      </c>
      <c r="E49" s="47" t="s">
        <v>227</v>
      </c>
      <c r="F49">
        <v>128.52199999999999</v>
      </c>
      <c r="G49"/>
      <c r="H49"/>
      <c r="I49" s="7"/>
      <c r="L49" s="3"/>
      <c r="M49" s="3"/>
      <c r="N49" s="7"/>
      <c r="O49" s="4"/>
      <c r="P49" s="4"/>
      <c r="Q49" s="4"/>
      <c r="R49" s="3"/>
    </row>
    <row r="50" spans="1:18">
      <c r="A50">
        <v>15</v>
      </c>
      <c r="B50" t="s">
        <v>120</v>
      </c>
      <c r="C50" t="s">
        <v>212</v>
      </c>
      <c r="D50" s="47" t="s">
        <v>227</v>
      </c>
      <c r="E50" s="7" t="s">
        <v>180</v>
      </c>
      <c r="F50">
        <v>129.37799999999999</v>
      </c>
      <c r="G50"/>
      <c r="H50"/>
      <c r="I50" s="7"/>
      <c r="L50" s="3"/>
      <c r="M50" s="3"/>
      <c r="N50" s="7"/>
      <c r="O50" s="4"/>
      <c r="P50" s="4"/>
      <c r="Q50" s="4"/>
      <c r="R50" s="3"/>
    </row>
    <row r="51" spans="1:18">
      <c r="A51">
        <v>16</v>
      </c>
      <c r="B51" t="s">
        <v>121</v>
      </c>
      <c r="C51" t="s">
        <v>213</v>
      </c>
      <c r="D51" s="47" t="s">
        <v>227</v>
      </c>
      <c r="E51" s="22" t="s">
        <v>181</v>
      </c>
      <c r="F51">
        <v>129.85399999999998</v>
      </c>
      <c r="G51"/>
      <c r="H51"/>
      <c r="I51" s="7"/>
      <c r="L51" s="3"/>
      <c r="M51" s="3"/>
      <c r="N51" s="7"/>
      <c r="O51" s="4"/>
      <c r="P51" s="4"/>
      <c r="Q51" s="4"/>
      <c r="R51" s="3"/>
    </row>
    <row r="52" spans="1:18" ht="30">
      <c r="A52">
        <v>18</v>
      </c>
      <c r="B52" t="s">
        <v>123</v>
      </c>
      <c r="C52" t="s">
        <v>214</v>
      </c>
      <c r="D52" s="47" t="s">
        <v>227</v>
      </c>
      <c r="E52" s="7" t="s">
        <v>182</v>
      </c>
      <c r="F52">
        <v>129.732</v>
      </c>
      <c r="G52"/>
      <c r="H52"/>
      <c r="I52" s="7"/>
      <c r="L52" s="3"/>
      <c r="M52" s="3"/>
      <c r="N52" s="7"/>
      <c r="O52" s="4"/>
      <c r="P52" s="4"/>
      <c r="Q52" s="4"/>
      <c r="R52" s="3"/>
    </row>
    <row r="53" spans="1:18">
      <c r="A53">
        <v>21</v>
      </c>
      <c r="B53" t="s">
        <v>126</v>
      </c>
      <c r="C53" t="s">
        <v>216</v>
      </c>
      <c r="D53" s="47" t="s">
        <v>227</v>
      </c>
      <c r="E53" t="s">
        <v>184</v>
      </c>
      <c r="F53">
        <v>129.822</v>
      </c>
      <c r="G53"/>
      <c r="H53"/>
      <c r="I53" s="7"/>
      <c r="L53" s="3"/>
      <c r="M53" s="3"/>
      <c r="N53" s="7"/>
      <c r="O53" s="4"/>
      <c r="P53" s="4"/>
      <c r="Q53" s="4"/>
      <c r="R53" s="3"/>
    </row>
    <row r="54" spans="1:18">
      <c r="A54">
        <v>22</v>
      </c>
      <c r="B54" t="s">
        <v>127</v>
      </c>
      <c r="C54" t="s">
        <v>217</v>
      </c>
      <c r="D54" s="47" t="s">
        <v>227</v>
      </c>
      <c r="E54" t="s">
        <v>185</v>
      </c>
      <c r="F54">
        <v>103.114</v>
      </c>
      <c r="G54"/>
      <c r="H54"/>
      <c r="I54" s="7"/>
      <c r="L54" s="3"/>
      <c r="M54" s="3"/>
      <c r="N54" s="7"/>
      <c r="O54" s="4"/>
      <c r="P54"/>
      <c r="R54" s="3"/>
    </row>
    <row r="55" spans="1:18">
      <c r="A55">
        <v>23</v>
      </c>
      <c r="B55" t="s">
        <v>128</v>
      </c>
      <c r="C55" t="s">
        <v>218</v>
      </c>
      <c r="D55" s="47" t="s">
        <v>227</v>
      </c>
      <c r="E55" t="s">
        <v>186</v>
      </c>
      <c r="F55">
        <v>129.756</v>
      </c>
      <c r="G55"/>
      <c r="H55"/>
      <c r="I55" s="7"/>
      <c r="L55" s="3"/>
      <c r="M55" s="3"/>
      <c r="N55" s="7"/>
      <c r="O55" s="4"/>
      <c r="P55"/>
      <c r="R55" s="3"/>
    </row>
    <row r="56" spans="1:18">
      <c r="A56">
        <v>24</v>
      </c>
      <c r="B56" t="s">
        <v>129</v>
      </c>
      <c r="C56" t="s">
        <v>215</v>
      </c>
      <c r="D56" s="47" t="s">
        <v>227</v>
      </c>
      <c r="E56" t="s">
        <v>183</v>
      </c>
      <c r="F56">
        <v>129.69800000000001</v>
      </c>
      <c r="G56"/>
      <c r="H56"/>
      <c r="I56" s="7"/>
      <c r="L56" s="3"/>
      <c r="M56" s="3"/>
      <c r="N56" s="7"/>
      <c r="O56" s="4"/>
      <c r="P56"/>
      <c r="R56" s="3"/>
    </row>
    <row r="57" spans="1:18">
      <c r="A57">
        <v>26</v>
      </c>
      <c r="B57" t="s">
        <v>131</v>
      </c>
      <c r="C57" t="s">
        <v>219</v>
      </c>
      <c r="D57" s="47" t="s">
        <v>227</v>
      </c>
      <c r="E57" t="s">
        <v>187</v>
      </c>
      <c r="F57">
        <v>129.62599999999998</v>
      </c>
      <c r="G57"/>
      <c r="H57"/>
      <c r="I57" s="7"/>
      <c r="L57" s="3"/>
      <c r="M57" s="3"/>
      <c r="N57" s="7"/>
      <c r="O57" s="4"/>
      <c r="P57"/>
      <c r="R57" s="3"/>
    </row>
    <row r="60" spans="1:18">
      <c r="A60">
        <v>15</v>
      </c>
      <c r="B60" t="s">
        <v>120</v>
      </c>
      <c r="C60" t="s">
        <v>240</v>
      </c>
      <c r="D60" t="s">
        <v>188</v>
      </c>
      <c r="E60" t="s">
        <v>227</v>
      </c>
      <c r="F60" s="4" t="s">
        <v>241</v>
      </c>
      <c r="G60" s="3">
        <f>VLOOKUP(B60,'4 nodes, builds, RAW'!$Z$4:$AB$31,3,FALSE)</f>
        <v>129.37799999999999</v>
      </c>
    </row>
    <row r="61" spans="1:18">
      <c r="A61">
        <v>19</v>
      </c>
      <c r="B61" t="s">
        <v>124</v>
      </c>
      <c r="C61" t="s">
        <v>144</v>
      </c>
      <c r="D61" t="s">
        <v>188</v>
      </c>
      <c r="E61" t="s">
        <v>227</v>
      </c>
      <c r="F61" s="4" t="s">
        <v>232</v>
      </c>
      <c r="G61" s="3">
        <f>VLOOKUP(B61,'4 nodes, builds, RAW'!$Z$4:$AB$31,3,FALSE)</f>
        <v>129.83199999999997</v>
      </c>
    </row>
    <row r="62" spans="1:18">
      <c r="A62">
        <v>16</v>
      </c>
      <c r="B62" t="s">
        <v>121</v>
      </c>
      <c r="C62" t="s">
        <v>143</v>
      </c>
      <c r="D62" t="s">
        <v>188</v>
      </c>
      <c r="E62" t="s">
        <v>227</v>
      </c>
      <c r="F62" s="4" t="s">
        <v>233</v>
      </c>
      <c r="G62" s="3">
        <f>VLOOKUP(B62,'4 nodes, builds, RAW'!$Z$4:$AB$31,3,FALSE)</f>
        <v>129.85399999999998</v>
      </c>
    </row>
    <row r="63" spans="1:18">
      <c r="A63">
        <v>21</v>
      </c>
      <c r="B63" t="s">
        <v>126</v>
      </c>
      <c r="C63" t="s">
        <v>146</v>
      </c>
      <c r="D63" t="s">
        <v>188</v>
      </c>
      <c r="E63" t="s">
        <v>227</v>
      </c>
      <c r="F63" s="4" t="s">
        <v>234</v>
      </c>
      <c r="G63" s="3">
        <f>VLOOKUP(B63,'4 nodes, builds, RAW'!$Z$4:$AB$31,3,FALSE)</f>
        <v>129.822</v>
      </c>
    </row>
    <row r="64" spans="1:18">
      <c r="A64">
        <v>23</v>
      </c>
      <c r="B64" t="s">
        <v>128</v>
      </c>
      <c r="C64" t="s">
        <v>148</v>
      </c>
      <c r="D64" t="s">
        <v>188</v>
      </c>
      <c r="E64" t="s">
        <v>227</v>
      </c>
      <c r="F64" s="4" t="s">
        <v>235</v>
      </c>
      <c r="G64" s="3">
        <f>VLOOKUP(B64,'4 nodes, builds, RAW'!$Z$4:$AB$31,3,FALSE)</f>
        <v>129.756</v>
      </c>
    </row>
    <row r="65" spans="1:7">
      <c r="A65">
        <v>25</v>
      </c>
      <c r="B65" t="s">
        <v>130</v>
      </c>
      <c r="C65" t="s">
        <v>147</v>
      </c>
      <c r="D65" t="s">
        <v>188</v>
      </c>
      <c r="E65" t="s">
        <v>227</v>
      </c>
      <c r="F65" s="4" t="s">
        <v>236</v>
      </c>
      <c r="G65" s="3">
        <f>VLOOKUP(B65,'4 nodes, builds, RAW'!$Z$4:$AB$31,3,FALSE)</f>
        <v>130.084</v>
      </c>
    </row>
    <row r="66" spans="1:7">
      <c r="A66">
        <v>20</v>
      </c>
      <c r="B66" t="s">
        <v>125</v>
      </c>
      <c r="C66" t="s">
        <v>145</v>
      </c>
      <c r="D66" t="s">
        <v>188</v>
      </c>
      <c r="E66" t="s">
        <v>227</v>
      </c>
      <c r="F66" s="4" t="s">
        <v>237</v>
      </c>
      <c r="G66" s="3">
        <f>VLOOKUP(B66,'4 nodes, builds, RAW'!$Z$4:$AB$31,3,FALSE)</f>
        <v>129.91</v>
      </c>
    </row>
    <row r="67" spans="1:7">
      <c r="A67">
        <v>27</v>
      </c>
      <c r="B67" t="s">
        <v>132</v>
      </c>
      <c r="C67" t="s">
        <v>238</v>
      </c>
      <c r="D67" t="s">
        <v>188</v>
      </c>
      <c r="E67" t="s">
        <v>227</v>
      </c>
      <c r="F67" s="4" t="s">
        <v>239</v>
      </c>
      <c r="G67" s="3">
        <f>VLOOKUP(B67,'4 nodes, builds, RAW'!$Z$4:$AB$31,3,FALSE)</f>
        <v>129.85599999999999</v>
      </c>
    </row>
    <row r="68" spans="1:7">
      <c r="A68">
        <v>1</v>
      </c>
      <c r="B68" t="s">
        <v>55</v>
      </c>
      <c r="C68" t="s">
        <v>65</v>
      </c>
      <c r="E68" s="47" t="s">
        <v>175</v>
      </c>
      <c r="F68" t="s">
        <v>227</v>
      </c>
      <c r="G68" s="3">
        <f>VLOOKUP(B68,'4 nodes, builds, RAW'!$Z$4:$AB$31,3,FALSE)</f>
        <v>127.78599999999999</v>
      </c>
    </row>
    <row r="69" spans="1:7">
      <c r="A69">
        <v>5</v>
      </c>
      <c r="B69" t="s">
        <v>103</v>
      </c>
      <c r="C69" t="s">
        <v>115</v>
      </c>
      <c r="E69" s="47" t="s">
        <v>175</v>
      </c>
      <c r="F69" s="4" t="s">
        <v>228</v>
      </c>
      <c r="G69" s="3">
        <f>VLOOKUP(B69,'4 nodes, builds, RAW'!$Z$4:$AB$31,3,FALSE)</f>
        <v>130.66799999999998</v>
      </c>
    </row>
    <row r="70" spans="1:7">
      <c r="A70">
        <v>2</v>
      </c>
      <c r="B70" t="s">
        <v>94</v>
      </c>
      <c r="C70" t="s">
        <v>99</v>
      </c>
      <c r="E70" s="47" t="s">
        <v>175</v>
      </c>
      <c r="F70" s="4" t="s">
        <v>107</v>
      </c>
      <c r="G70" s="3">
        <f>VLOOKUP(B70,'4 nodes, builds, RAW'!$Z$4:$AB$31,3,FALSE)</f>
        <v>130.52200000000002</v>
      </c>
    </row>
    <row r="71" spans="1:7">
      <c r="A71">
        <v>11</v>
      </c>
      <c r="B71" t="s">
        <v>69</v>
      </c>
      <c r="C71" t="s">
        <v>97</v>
      </c>
      <c r="E71" s="47" t="s">
        <v>175</v>
      </c>
      <c r="F71" s="4" t="s">
        <v>230</v>
      </c>
      <c r="G71" s="3">
        <f>VLOOKUP(B71,'4 nodes, builds, RAW'!$Z$4:$AB$31,3,FALSE)</f>
        <v>130.22800000000001</v>
      </c>
    </row>
    <row r="72" spans="1:7">
      <c r="A72">
        <v>10</v>
      </c>
      <c r="B72" t="s">
        <v>68</v>
      </c>
      <c r="C72" t="s">
        <v>96</v>
      </c>
      <c r="E72" s="47" t="s">
        <v>175</v>
      </c>
      <c r="F72" s="4" t="s">
        <v>194</v>
      </c>
      <c r="G72" s="3">
        <f>VLOOKUP(B72,'4 nodes, builds, RAW'!$Z$4:$AB$31,3,FALSE)</f>
        <v>104.59400000000001</v>
      </c>
    </row>
    <row r="73" spans="1:7">
      <c r="A73">
        <v>4</v>
      </c>
      <c r="B73" t="s">
        <v>102</v>
      </c>
      <c r="C73" t="s">
        <v>114</v>
      </c>
      <c r="E73" t="s">
        <v>227</v>
      </c>
      <c r="F73" s="4" t="s">
        <v>228</v>
      </c>
      <c r="G73" s="3">
        <f>VLOOKUP(B73,'4 nodes, builds, RAW'!$Z$4:$AB$31,3,FALSE)</f>
        <v>102.922</v>
      </c>
    </row>
    <row r="74" spans="1:7">
      <c r="A74">
        <v>3</v>
      </c>
      <c r="B74" t="s">
        <v>98</v>
      </c>
      <c r="C74" t="s">
        <v>100</v>
      </c>
      <c r="E74" t="s">
        <v>227</v>
      </c>
      <c r="F74" s="4" t="s">
        <v>107</v>
      </c>
      <c r="G74" s="3">
        <f>VLOOKUP(B74,'4 nodes, builds, RAW'!$Z$4:$AB$31,3,FALSE)</f>
        <v>129.18</v>
      </c>
    </row>
    <row r="75" spans="1:7">
      <c r="A75">
        <v>7</v>
      </c>
      <c r="B75" t="s">
        <v>91</v>
      </c>
      <c r="C75" t="s">
        <v>93</v>
      </c>
      <c r="E75" t="s">
        <v>227</v>
      </c>
      <c r="F75" s="4" t="s">
        <v>229</v>
      </c>
      <c r="G75" s="3">
        <f>VLOOKUP(B75,'4 nodes, builds, RAW'!$Z$4:$AB$31,3,FALSE)</f>
        <v>129.13000000000002</v>
      </c>
    </row>
    <row r="76" spans="1:7">
      <c r="A76">
        <v>9</v>
      </c>
      <c r="B76" t="s">
        <v>104</v>
      </c>
      <c r="C76" t="s">
        <v>105</v>
      </c>
      <c r="E76" t="s">
        <v>227</v>
      </c>
      <c r="F76" s="4" t="s">
        <v>231</v>
      </c>
      <c r="G76" s="3">
        <f>VLOOKUP(B76,'4 nodes, builds, RAW'!$Z$4:$AB$31,3,FALSE)</f>
        <v>129.06199999999998</v>
      </c>
    </row>
    <row r="77" spans="1:7">
      <c r="A77">
        <v>8</v>
      </c>
      <c r="B77" t="s">
        <v>67</v>
      </c>
      <c r="C77" t="s">
        <v>95</v>
      </c>
      <c r="E77" t="s">
        <v>227</v>
      </c>
      <c r="F77" s="4" t="s">
        <v>230</v>
      </c>
      <c r="G77" s="3">
        <f>VLOOKUP(B77,'4 nodes, builds, RAW'!$Z$4:$AB$31,3,FALSE)</f>
        <v>129.35999999999999</v>
      </c>
    </row>
    <row r="78" spans="1:7">
      <c r="A78">
        <v>12</v>
      </c>
      <c r="B78" t="s">
        <v>111</v>
      </c>
      <c r="C78" t="s">
        <v>95</v>
      </c>
      <c r="E78" t="s">
        <v>227</v>
      </c>
      <c r="F78" t="s">
        <v>227</v>
      </c>
      <c r="G78" s="3">
        <f>VLOOKUP(B78,'4 nodes, builds, RAW'!$Z$4:$AB$31,3,FALSE)</f>
        <v>103.44800000000001</v>
      </c>
    </row>
    <row r="79" spans="1:7">
      <c r="A79">
        <v>6</v>
      </c>
      <c r="B79" t="s">
        <v>66</v>
      </c>
      <c r="C79" t="s">
        <v>92</v>
      </c>
      <c r="E79" t="s">
        <v>227</v>
      </c>
      <c r="F79" s="4" t="s">
        <v>194</v>
      </c>
      <c r="G79" s="3">
        <f>VLOOKUP(B79,'4 nodes, builds, RAW'!$Z$4:$AB$31,3,FALSE)</f>
        <v>129.464</v>
      </c>
    </row>
    <row r="80" spans="1:7">
      <c r="A80">
        <v>14</v>
      </c>
      <c r="B80" t="s">
        <v>73</v>
      </c>
      <c r="C80" t="s">
        <v>71</v>
      </c>
      <c r="E80" s="47" t="s">
        <v>172</v>
      </c>
      <c r="F80" t="s">
        <v>227</v>
      </c>
      <c r="G80" s="3">
        <f>VLOOKUP(B80,'4 nodes, builds, RAW'!$Z$4:$AB$31,3,FALSE)</f>
        <v>128.52199999999999</v>
      </c>
    </row>
    <row r="81" spans="1:7">
      <c r="A81">
        <v>13</v>
      </c>
      <c r="B81" t="s">
        <v>72</v>
      </c>
      <c r="C81" t="s">
        <v>70</v>
      </c>
      <c r="E81" s="47" t="s">
        <v>171</v>
      </c>
      <c r="F81" t="s">
        <v>227</v>
      </c>
      <c r="G81" s="3">
        <f>VLOOKUP(B81,'4 nodes, builds, RAW'!$Z$4:$AB$31,3,FALSE)</f>
        <v>103.38800000000001</v>
      </c>
    </row>
  </sheetData>
  <sortState xmlns:xlrd2="http://schemas.microsoft.com/office/spreadsheetml/2017/richdata2" ref="A60:G81">
    <sortCondition ref="C60:C81"/>
  </sortState>
  <mergeCells count="2">
    <mergeCell ref="A1:B1"/>
    <mergeCell ref="M2:M15"/>
  </mergeCells>
  <phoneticPr fontId="3" type="noConversion"/>
  <conditionalFormatting sqref="O16:O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5:O38 M21:M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P2" r:id="rId1" xr:uid="{EBEEBBE2-D5FC-435B-B5C5-8945488398B2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38A7-7FED-47AC-84F4-082D423AF347}">
  <dimension ref="A1:E29"/>
  <sheetViews>
    <sheetView workbookViewId="0">
      <selection activeCell="C32" sqref="C32"/>
    </sheetView>
  </sheetViews>
  <sheetFormatPr defaultColWidth="8.85546875" defaultRowHeight="15"/>
  <cols>
    <col min="1" max="1" width="3" bestFit="1" customWidth="1"/>
    <col min="2" max="2" width="29.7109375" bestFit="1" customWidth="1"/>
    <col min="3" max="3" width="124" bestFit="1" customWidth="1"/>
    <col min="4" max="4" width="16.140625" bestFit="1" customWidth="1"/>
  </cols>
  <sheetData>
    <row r="1" spans="1:5">
      <c r="C1" t="s">
        <v>196</v>
      </c>
      <c r="D1" t="s">
        <v>197</v>
      </c>
      <c r="E1" t="s">
        <v>198</v>
      </c>
    </row>
    <row r="2" spans="1:5">
      <c r="A2">
        <v>1</v>
      </c>
      <c r="B2" t="s">
        <v>55</v>
      </c>
      <c r="C2" s="22" t="s">
        <v>65</v>
      </c>
      <c r="D2" s="47" t="s">
        <v>175</v>
      </c>
      <c r="E2" s="47" t="s">
        <v>188</v>
      </c>
    </row>
    <row r="3" spans="1:5">
      <c r="A3">
        <v>2</v>
      </c>
      <c r="B3" t="s">
        <v>94</v>
      </c>
      <c r="C3" s="47" t="s">
        <v>99</v>
      </c>
      <c r="D3" s="47" t="s">
        <v>171</v>
      </c>
      <c r="E3" s="47" t="s">
        <v>189</v>
      </c>
    </row>
    <row r="4" spans="1:5">
      <c r="A4">
        <v>3</v>
      </c>
      <c r="B4" t="s">
        <v>98</v>
      </c>
      <c r="C4" s="47" t="s">
        <v>100</v>
      </c>
      <c r="D4" s="47" t="s">
        <v>172</v>
      </c>
      <c r="E4" s="47" t="s">
        <v>191</v>
      </c>
    </row>
    <row r="5" spans="1:5">
      <c r="A5">
        <v>4</v>
      </c>
      <c r="B5" t="s">
        <v>102</v>
      </c>
      <c r="C5" s="47" t="s">
        <v>114</v>
      </c>
      <c r="E5" s="47" t="s">
        <v>190</v>
      </c>
    </row>
    <row r="6" spans="1:5">
      <c r="A6">
        <v>5</v>
      </c>
      <c r="B6" t="s">
        <v>103</v>
      </c>
      <c r="C6" s="47" t="s">
        <v>115</v>
      </c>
      <c r="E6" s="47" t="s">
        <v>192</v>
      </c>
    </row>
    <row r="7" spans="1:5">
      <c r="A7">
        <v>6</v>
      </c>
      <c r="B7" t="s">
        <v>66</v>
      </c>
      <c r="C7" t="s">
        <v>92</v>
      </c>
      <c r="E7" s="47" t="s">
        <v>193</v>
      </c>
    </row>
    <row r="8" spans="1:5">
      <c r="A8">
        <v>7</v>
      </c>
      <c r="B8" t="s">
        <v>91</v>
      </c>
      <c r="C8" s="22" t="s">
        <v>93</v>
      </c>
      <c r="E8" s="47" t="s">
        <v>194</v>
      </c>
    </row>
    <row r="9" spans="1:5">
      <c r="A9">
        <v>8</v>
      </c>
      <c r="B9" t="s">
        <v>67</v>
      </c>
      <c r="C9" s="22" t="s">
        <v>95</v>
      </c>
      <c r="E9" s="47" t="s">
        <v>195</v>
      </c>
    </row>
    <row r="10" spans="1:5">
      <c r="A10">
        <v>9</v>
      </c>
      <c r="B10" t="s">
        <v>104</v>
      </c>
      <c r="C10" s="22" t="s">
        <v>105</v>
      </c>
      <c r="E10" s="47" t="s">
        <v>108</v>
      </c>
    </row>
    <row r="11" spans="1:5">
      <c r="A11">
        <v>10</v>
      </c>
      <c r="B11" t="s">
        <v>68</v>
      </c>
      <c r="C11" s="22" t="s">
        <v>96</v>
      </c>
    </row>
    <row r="12" spans="1:5">
      <c r="A12">
        <v>11</v>
      </c>
      <c r="B12" t="s">
        <v>69</v>
      </c>
      <c r="C12" s="22" t="s">
        <v>97</v>
      </c>
    </row>
    <row r="13" spans="1:5">
      <c r="A13">
        <v>12</v>
      </c>
      <c r="B13" t="s">
        <v>111</v>
      </c>
      <c r="C13" s="22" t="s">
        <v>95</v>
      </c>
    </row>
    <row r="14" spans="1:5">
      <c r="A14">
        <v>13</v>
      </c>
      <c r="B14" t="s">
        <v>72</v>
      </c>
      <c r="C14" s="24" t="s">
        <v>70</v>
      </c>
    </row>
    <row r="15" spans="1:5">
      <c r="A15">
        <v>14</v>
      </c>
      <c r="B15" t="s">
        <v>73</v>
      </c>
      <c r="C15" s="24" t="s">
        <v>71</v>
      </c>
    </row>
    <row r="16" spans="1:5">
      <c r="A16" s="52">
        <v>15</v>
      </c>
      <c r="B16" s="52" t="s">
        <v>120</v>
      </c>
      <c r="C16" s="7" t="s">
        <v>142</v>
      </c>
    </row>
    <row r="17" spans="1:3">
      <c r="A17" s="52">
        <v>16</v>
      </c>
      <c r="B17" s="53" t="s">
        <v>121</v>
      </c>
      <c r="C17" s="22" t="s">
        <v>143</v>
      </c>
    </row>
    <row r="18" spans="1:3">
      <c r="A18" s="52">
        <v>17</v>
      </c>
      <c r="B18" s="53" t="s">
        <v>122</v>
      </c>
      <c r="C18" s="22" t="s">
        <v>143</v>
      </c>
    </row>
    <row r="19" spans="1:3">
      <c r="A19" s="52">
        <v>18</v>
      </c>
      <c r="B19" s="52" t="s">
        <v>123</v>
      </c>
      <c r="C19" s="7" t="s">
        <v>144</v>
      </c>
    </row>
    <row r="20" spans="1:3">
      <c r="A20" s="52">
        <v>19</v>
      </c>
      <c r="B20" s="52" t="s">
        <v>124</v>
      </c>
      <c r="C20" s="7" t="s">
        <v>144</v>
      </c>
    </row>
    <row r="21" spans="1:3">
      <c r="A21" s="52">
        <v>20</v>
      </c>
      <c r="B21" s="52" t="s">
        <v>125</v>
      </c>
      <c r="C21" t="s">
        <v>145</v>
      </c>
    </row>
    <row r="22" spans="1:3">
      <c r="A22" s="52">
        <v>21</v>
      </c>
      <c r="B22" s="52" t="s">
        <v>126</v>
      </c>
      <c r="C22" t="s">
        <v>146</v>
      </c>
    </row>
    <row r="23" spans="1:3">
      <c r="A23" s="52">
        <v>22</v>
      </c>
      <c r="B23" s="52" t="s">
        <v>127</v>
      </c>
      <c r="C23" t="s">
        <v>147</v>
      </c>
    </row>
    <row r="24" spans="1:3">
      <c r="A24" s="52">
        <v>23</v>
      </c>
      <c r="B24" s="52" t="s">
        <v>128</v>
      </c>
      <c r="C24" t="s">
        <v>148</v>
      </c>
    </row>
    <row r="25" spans="1:3">
      <c r="A25" s="52">
        <v>24</v>
      </c>
      <c r="B25" s="52" t="s">
        <v>129</v>
      </c>
      <c r="C25" t="s">
        <v>145</v>
      </c>
    </row>
    <row r="26" spans="1:3">
      <c r="A26" s="52">
        <v>25</v>
      </c>
      <c r="B26" s="52" t="s">
        <v>130</v>
      </c>
      <c r="C26" t="s">
        <v>147</v>
      </c>
    </row>
    <row r="27" spans="1:3">
      <c r="A27" s="52">
        <v>26</v>
      </c>
      <c r="B27" s="52" t="s">
        <v>131</v>
      </c>
      <c r="C27" t="s">
        <v>149</v>
      </c>
    </row>
    <row r="28" spans="1:3">
      <c r="A28" s="52">
        <v>27</v>
      </c>
      <c r="B28" s="52" t="s">
        <v>132</v>
      </c>
      <c r="C28" t="s">
        <v>149</v>
      </c>
    </row>
    <row r="29" spans="1:3">
      <c r="A29" s="52">
        <v>28</v>
      </c>
      <c r="B29" s="52" t="s">
        <v>133</v>
      </c>
      <c r="C29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1260-EAAF-4A97-9410-92857D597ED2}">
  <dimension ref="A1:BF388"/>
  <sheetViews>
    <sheetView tabSelected="1" zoomScale="85" zoomScaleNormal="85" workbookViewId="0">
      <selection activeCell="A9" sqref="A9:XFD9"/>
    </sheetView>
  </sheetViews>
  <sheetFormatPr defaultColWidth="8.85546875" defaultRowHeight="15"/>
  <cols>
    <col min="1" max="1" width="31.28515625" bestFit="1" customWidth="1"/>
    <col min="6" max="6" width="9.7109375" bestFit="1" customWidth="1"/>
    <col min="26" max="26" width="31.28515625" bestFit="1" customWidth="1"/>
    <col min="29" max="29" width="17.7109375" customWidth="1"/>
    <col min="30" max="30" width="84" bestFit="1" customWidth="1"/>
    <col min="34" max="34" width="26.140625" bestFit="1" customWidth="1"/>
    <col min="39" max="39" width="9.7109375" bestFit="1" customWidth="1"/>
    <col min="40" max="40" width="10.7109375" style="41" bestFit="1" customWidth="1"/>
    <col min="41" max="41" width="9.140625" style="1"/>
    <col min="42" max="42" width="9.140625" style="20"/>
    <col min="43" max="43" width="9.140625" style="23"/>
    <col min="44" max="44" width="9.140625" style="44"/>
  </cols>
  <sheetData>
    <row r="1" spans="1:58">
      <c r="A1" s="25" t="s">
        <v>74</v>
      </c>
      <c r="B1" s="71" t="str">
        <f>INDEX(A:A,MATCH(MAX($BE:$BE),$BE:$BE,0))</f>
        <v>atlarch-all-spec</v>
      </c>
      <c r="C1" s="71"/>
      <c r="D1" s="71"/>
      <c r="E1" s="71"/>
      <c r="F1" s="26">
        <f>MAX(X:X)</f>
        <v>130.66799999999998</v>
      </c>
      <c r="G1" s="27">
        <f>INDEX(D:D,MATCH(MAX($BE:$BE),$BE:$BE,0))</f>
        <v>52000</v>
      </c>
      <c r="H1" s="31">
        <f>INDEX(E:E,MATCH(MAX($BE:$BE),$BE:$BE,0))</f>
        <v>160</v>
      </c>
      <c r="I1" s="32">
        <f>INDEX(F:F,MATCH(MAX($BE:$BE),$BE:$BE,0))</f>
        <v>2</v>
      </c>
      <c r="J1" s="42">
        <f>INDEX(G:G,MATCH(MAX($BE:$BE),$BE:$BE,0))</f>
        <v>8</v>
      </c>
      <c r="K1" s="28"/>
      <c r="L1" s="72" t="s">
        <v>75</v>
      </c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3" t="s">
        <v>76</v>
      </c>
      <c r="AH1" s="25" t="s">
        <v>74</v>
      </c>
      <c r="AI1" s="71" t="str">
        <f>INDEX(AH:AH,MATCH(MAX($BE:$BE),$BE:$BE,0))</f>
        <v>cpu-crc-flags</v>
      </c>
      <c r="AJ1" s="71"/>
      <c r="AK1" s="71"/>
      <c r="AL1" s="71"/>
      <c r="AM1" s="26">
        <f>MAX(BE:BE)</f>
        <v>100.762</v>
      </c>
      <c r="AN1" s="27">
        <f>INDEX(AK:AK,MATCH(MAX($BE:$BE),$BE:$BE,0))</f>
        <v>26080</v>
      </c>
      <c r="AO1" s="31">
        <f>INDEX(AL:AL,MATCH(MAX($BE:$BE),$BE:$BE,0))</f>
        <v>160</v>
      </c>
      <c r="AP1" s="32">
        <f>INDEX(AM:AM,MATCH(MAX($BE:$BE),$BE:$BE,0))</f>
        <v>2</v>
      </c>
      <c r="AQ1" s="42">
        <f>INDEX(AN:AN,MATCH(MAX($BE:$BE),$BE:$BE,0))</f>
        <v>8</v>
      </c>
      <c r="AR1" s="28"/>
      <c r="AS1" s="72" t="s">
        <v>134</v>
      </c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 t="s">
        <v>76</v>
      </c>
    </row>
    <row r="2" spans="1:58">
      <c r="A2" s="74" t="s">
        <v>77</v>
      </c>
      <c r="B2" s="74"/>
      <c r="C2" s="74"/>
      <c r="D2" s="29">
        <f>MAX(I4:I686)</f>
        <v>130.85</v>
      </c>
      <c r="E2" s="30"/>
      <c r="F2" s="30"/>
      <c r="G2" s="27"/>
      <c r="H2" s="31"/>
      <c r="I2" s="32"/>
      <c r="J2" s="42"/>
      <c r="K2" s="28"/>
      <c r="L2" s="75" t="s">
        <v>138</v>
      </c>
      <c r="M2" s="75"/>
      <c r="N2" s="75"/>
      <c r="O2" s="75" t="s">
        <v>139</v>
      </c>
      <c r="P2" s="75"/>
      <c r="Q2" s="75"/>
      <c r="R2" s="75" t="s">
        <v>140</v>
      </c>
      <c r="S2" s="75"/>
      <c r="T2" s="75"/>
      <c r="U2" s="75" t="s">
        <v>141</v>
      </c>
      <c r="V2" s="75"/>
      <c r="W2" s="75"/>
      <c r="X2" s="73"/>
      <c r="AH2" s="74" t="s">
        <v>77</v>
      </c>
      <c r="AI2" s="74"/>
      <c r="AJ2" s="74"/>
      <c r="AK2" s="29">
        <f>MAX(AP4:AP686)</f>
        <v>100.91</v>
      </c>
      <c r="AL2" s="30"/>
      <c r="AM2" s="30"/>
      <c r="AN2" s="27"/>
      <c r="AO2" s="31"/>
      <c r="AP2" s="32"/>
      <c r="AQ2" s="42"/>
      <c r="AR2" s="28"/>
      <c r="AS2" s="75" t="s">
        <v>138</v>
      </c>
      <c r="AT2" s="75"/>
      <c r="AU2" s="75"/>
      <c r="AV2" s="75" t="s">
        <v>139</v>
      </c>
      <c r="AW2" s="75"/>
      <c r="AX2" s="75"/>
      <c r="AY2" s="75" t="s">
        <v>140</v>
      </c>
      <c r="AZ2" s="75"/>
      <c r="BA2" s="75"/>
      <c r="BB2" s="75" t="s">
        <v>141</v>
      </c>
      <c r="BC2" s="75"/>
      <c r="BD2" s="75"/>
      <c r="BE2" s="73"/>
    </row>
    <row r="3" spans="1:58">
      <c r="A3" s="34" t="s">
        <v>78</v>
      </c>
      <c r="B3" s="35" t="s">
        <v>79</v>
      </c>
      <c r="C3" s="35"/>
      <c r="D3" s="35" t="s">
        <v>1</v>
      </c>
      <c r="E3" s="35" t="s">
        <v>2</v>
      </c>
      <c r="F3" s="35" t="s">
        <v>3</v>
      </c>
      <c r="G3" s="40" t="s">
        <v>4</v>
      </c>
      <c r="H3" s="36" t="s">
        <v>5</v>
      </c>
      <c r="I3" s="37" t="s">
        <v>6</v>
      </c>
      <c r="J3" s="43" t="s">
        <v>80</v>
      </c>
      <c r="K3" s="39" t="s">
        <v>5</v>
      </c>
      <c r="L3" s="33" t="s">
        <v>135</v>
      </c>
      <c r="M3" s="33" t="s">
        <v>136</v>
      </c>
      <c r="N3" s="33" t="s">
        <v>137</v>
      </c>
      <c r="O3" s="33" t="s">
        <v>135</v>
      </c>
      <c r="P3" s="33" t="s">
        <v>136</v>
      </c>
      <c r="Q3" s="33" t="s">
        <v>137</v>
      </c>
      <c r="R3" s="33" t="s">
        <v>135</v>
      </c>
      <c r="S3" s="33" t="s">
        <v>136</v>
      </c>
      <c r="T3" s="33" t="s">
        <v>137</v>
      </c>
      <c r="U3" s="33" t="s">
        <v>135</v>
      </c>
      <c r="V3" s="33" t="s">
        <v>136</v>
      </c>
      <c r="W3" s="33" t="s">
        <v>137</v>
      </c>
      <c r="X3" s="73"/>
      <c r="AH3" s="34" t="s">
        <v>78</v>
      </c>
      <c r="AI3" s="35" t="s">
        <v>79</v>
      </c>
      <c r="AJ3" s="35"/>
      <c r="AK3" s="35" t="s">
        <v>1</v>
      </c>
      <c r="AL3" s="35" t="s">
        <v>2</v>
      </c>
      <c r="AM3" s="35" t="s">
        <v>3</v>
      </c>
      <c r="AN3" s="40" t="s">
        <v>4</v>
      </c>
      <c r="AO3" s="36" t="s">
        <v>5</v>
      </c>
      <c r="AP3" s="37" t="s">
        <v>6</v>
      </c>
      <c r="AQ3" s="43" t="s">
        <v>80</v>
      </c>
      <c r="AR3" s="39" t="s">
        <v>5</v>
      </c>
      <c r="AS3" s="33" t="s">
        <v>135</v>
      </c>
      <c r="AT3" s="33" t="s">
        <v>136</v>
      </c>
      <c r="AU3" s="33" t="s">
        <v>137</v>
      </c>
      <c r="AV3" s="33" t="s">
        <v>135</v>
      </c>
      <c r="AW3" s="33" t="s">
        <v>136</v>
      </c>
      <c r="AX3" s="33" t="s">
        <v>137</v>
      </c>
      <c r="AY3" s="33" t="s">
        <v>135</v>
      </c>
      <c r="AZ3" s="33" t="s">
        <v>136</v>
      </c>
      <c r="BA3" s="33" t="s">
        <v>137</v>
      </c>
      <c r="BB3" s="33" t="s">
        <v>135</v>
      </c>
      <c r="BC3" s="33" t="s">
        <v>136</v>
      </c>
      <c r="BD3" s="33" t="s">
        <v>137</v>
      </c>
      <c r="BE3" s="73"/>
    </row>
    <row r="4" spans="1:58">
      <c r="A4" t="s">
        <v>103</v>
      </c>
      <c r="B4">
        <v>0</v>
      </c>
      <c r="C4" t="s">
        <v>7</v>
      </c>
      <c r="D4">
        <v>52000</v>
      </c>
      <c r="E4">
        <v>160</v>
      </c>
      <c r="F4">
        <v>2</v>
      </c>
      <c r="G4">
        <v>8</v>
      </c>
      <c r="H4">
        <v>716.86</v>
      </c>
      <c r="I4" s="49">
        <v>130.77000000000001</v>
      </c>
      <c r="J4" s="23">
        <v>45545</v>
      </c>
      <c r="K4" s="46">
        <v>6.8726851851851858E-2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 s="50">
        <f>AVERAGE(I4:I8)</f>
        <v>130.66799999999998</v>
      </c>
      <c r="Y4" s="20"/>
      <c r="Z4" s="20" t="str" cm="1">
        <f t="array" ref="Z4:AB388">_xlfn.CHOOSECOLS(_xlfn._xlws.FILTER(A4:X500,B4:B500=0),1,8,24)</f>
        <v>atlarch-all-spec</v>
      </c>
      <c r="AA4" s="20">
        <v>716.86</v>
      </c>
      <c r="AB4" s="20">
        <v>130.66799999999998</v>
      </c>
      <c r="AC4" s="20" t="str">
        <f>IF(VLOOKUP($Z4,'ATLAS builds'!$B$2:$G$50,4,FALSE)=0,"",IFERROR(VLOOKUP($Z4,'ATLAS builds'!$B$2:$G$50,4,FALSE),""))</f>
        <v>-A ARM64xgene1</v>
      </c>
      <c r="AD4" s="20" t="str">
        <f>IF(VLOOKUP($Z4,'ATLAS builds'!$B$2:$G$50,6,FALSE)=0,"",IFERROR(VLOOKUP($Z4,'ATLAS builds'!$B$2:$G$50,6,FALSE),""))</f>
        <v>-march=armv8.2-a+crypto+fp16+rcpc+dotprod -mtune=cortex-a76 -mcpu=cortex-a76+crypto</v>
      </c>
      <c r="AE4" s="20"/>
      <c r="AH4" t="s">
        <v>126</v>
      </c>
      <c r="AI4">
        <v>0</v>
      </c>
      <c r="AJ4" t="s">
        <v>7</v>
      </c>
      <c r="AK4">
        <v>26080</v>
      </c>
      <c r="AL4">
        <v>160</v>
      </c>
      <c r="AM4">
        <v>2</v>
      </c>
      <c r="AN4" s="41">
        <v>8</v>
      </c>
      <c r="AO4" s="1">
        <v>117.2</v>
      </c>
      <c r="AP4" s="20">
        <v>100.91</v>
      </c>
      <c r="AQ4" s="23">
        <v>45544</v>
      </c>
      <c r="AR4" s="44">
        <v>0.64509259259259255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 s="68">
        <f>AVERAGE(AP4:AP8)</f>
        <v>100.762</v>
      </c>
      <c r="BF4" s="20">
        <f>BE4</f>
        <v>100.762</v>
      </c>
    </row>
    <row r="5" spans="1:58">
      <c r="A5" t="s">
        <v>103</v>
      </c>
      <c r="B5">
        <v>1</v>
      </c>
      <c r="C5" t="s">
        <v>7</v>
      </c>
      <c r="D5">
        <v>52000</v>
      </c>
      <c r="E5">
        <v>160</v>
      </c>
      <c r="F5">
        <v>2</v>
      </c>
      <c r="G5">
        <v>8</v>
      </c>
      <c r="H5">
        <v>719.98</v>
      </c>
      <c r="I5" s="49">
        <v>130.19999999999999</v>
      </c>
      <c r="J5" s="23">
        <v>45545</v>
      </c>
      <c r="K5" s="46">
        <v>7.7731481481481485E-2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s="51">
        <f>X4</f>
        <v>130.66799999999998</v>
      </c>
      <c r="Y5" s="20"/>
      <c r="Z5" s="20" t="str">
        <v>atlarch-native</v>
      </c>
      <c r="AA5" s="20">
        <v>718.56</v>
      </c>
      <c r="AB5" s="20">
        <v>130.52200000000002</v>
      </c>
      <c r="AC5" s="20" t="str">
        <f>IF(VLOOKUP(Z5,'ATLAS builds'!$B$2:$G$50,4,FALSE)=0,"",IFERROR(VLOOKUP(Z5,'ATLAS builds'!$B$2:$G$50,4,FALSE),""))</f>
        <v>-A ARM64xgene1</v>
      </c>
      <c r="AD5" s="20" t="str">
        <f>IF(VLOOKUP($Z5,'ATLAS builds'!$B$2:$G$50,6,FALSE)=0,"",IFERROR(VLOOKUP($Z5,'ATLAS builds'!$B$2:$G$50,6,FALSE),""))</f>
        <v>-march=native -mtune=native -mcpu=native</v>
      </c>
      <c r="AE5" s="20"/>
      <c r="AH5" t="s">
        <v>126</v>
      </c>
      <c r="AI5">
        <v>1</v>
      </c>
      <c r="AJ5" t="s">
        <v>7</v>
      </c>
      <c r="AK5">
        <v>26080</v>
      </c>
      <c r="AL5">
        <v>160</v>
      </c>
      <c r="AM5">
        <v>2</v>
      </c>
      <c r="AN5" s="41">
        <v>8</v>
      </c>
      <c r="AO5" s="1">
        <v>117.52</v>
      </c>
      <c r="AP5" s="20">
        <v>100.63</v>
      </c>
      <c r="AQ5" s="23">
        <v>45544</v>
      </c>
      <c r="AR5" s="44">
        <v>0.64652777777777781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 s="69"/>
      <c r="BF5" s="20">
        <f>BE4</f>
        <v>100.762</v>
      </c>
    </row>
    <row r="6" spans="1:58">
      <c r="A6" t="s">
        <v>103</v>
      </c>
      <c r="B6">
        <v>2</v>
      </c>
      <c r="C6" t="s">
        <v>7</v>
      </c>
      <c r="D6">
        <v>52000</v>
      </c>
      <c r="E6">
        <v>160</v>
      </c>
      <c r="F6">
        <v>2</v>
      </c>
      <c r="G6">
        <v>8</v>
      </c>
      <c r="H6">
        <v>717.22</v>
      </c>
      <c r="I6" s="49">
        <v>130.69999999999999</v>
      </c>
      <c r="J6" s="23">
        <v>45545</v>
      </c>
      <c r="K6" s="46">
        <v>8.6712962962962964E-2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s="51">
        <f t="shared" ref="X6:X8" si="0">X5</f>
        <v>130.66799999999998</v>
      </c>
      <c r="Y6" s="20"/>
      <c r="Z6" s="20" t="str">
        <v>atlarch-cpu-tune</v>
      </c>
      <c r="AA6" s="20">
        <v>720.87</v>
      </c>
      <c r="AB6" s="20">
        <v>130.22800000000001</v>
      </c>
      <c r="AC6" s="20" t="str">
        <f>IF(VLOOKUP(Z6,'ATLAS builds'!$B$2:$G$50,4,FALSE)=0,"",IFERROR(VLOOKUP(Z6,'ATLAS builds'!$B$2:$G$50,4,FALSE),""))</f>
        <v>-A ARM64xgene1</v>
      </c>
      <c r="AD6" s="20" t="str">
        <f>IF(VLOOKUP($Z6,'ATLAS builds'!$B$2:$G$50,6,FALSE)=0,"",IFERROR(VLOOKUP($Z6,'ATLAS builds'!$B$2:$G$50,6,FALSE),""))</f>
        <v>-mcpu=cortex-a76+crypto -mtune=cortex-a76</v>
      </c>
      <c r="AE6" s="20"/>
      <c r="AH6" t="s">
        <v>126</v>
      </c>
      <c r="AI6">
        <v>2</v>
      </c>
      <c r="AJ6" t="s">
        <v>7</v>
      </c>
      <c r="AK6">
        <v>26080</v>
      </c>
      <c r="AL6">
        <v>160</v>
      </c>
      <c r="AM6">
        <v>2</v>
      </c>
      <c r="AN6" s="41">
        <v>8</v>
      </c>
      <c r="AO6" s="1">
        <v>117.22</v>
      </c>
      <c r="AP6" s="20">
        <v>100.9</v>
      </c>
      <c r="AQ6" s="23">
        <v>45544</v>
      </c>
      <c r="AR6" s="44">
        <v>0.64796296296296296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 s="69"/>
      <c r="BF6" s="20">
        <f>BE4</f>
        <v>100.762</v>
      </c>
    </row>
    <row r="7" spans="1:58">
      <c r="A7" t="s">
        <v>103</v>
      </c>
      <c r="B7">
        <v>3</v>
      </c>
      <c r="C7" t="s">
        <v>7</v>
      </c>
      <c r="D7">
        <v>52000</v>
      </c>
      <c r="E7">
        <v>160</v>
      </c>
      <c r="F7">
        <v>2</v>
      </c>
      <c r="G7">
        <v>8</v>
      </c>
      <c r="H7">
        <v>716.43</v>
      </c>
      <c r="I7" s="49">
        <v>130.85</v>
      </c>
      <c r="J7" s="23">
        <v>45545</v>
      </c>
      <c r="K7" s="46">
        <v>9.5671296296296296E-2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s="51">
        <f t="shared" si="0"/>
        <v>130.66799999999998</v>
      </c>
      <c r="Y7" s="20"/>
      <c r="Z7" s="20" t="str">
        <v>atlarch-cpu-tune-flags</v>
      </c>
      <c r="AA7" s="20">
        <v>718.53</v>
      </c>
      <c r="AB7" s="20">
        <v>130.084</v>
      </c>
      <c r="AC7" s="20" t="str">
        <f>IF(VLOOKUP(Z7,'ATLAS builds'!$B$2:$G$50,4,FALSE)=0,"",IFERROR(VLOOKUP(Z7,'ATLAS builds'!$B$2:$G$50,4,FALSE),""))</f>
        <v/>
      </c>
      <c r="AD7" s="20" t="str">
        <f>IF(VLOOKUP($Z7,'ATLAS builds'!$B$2:$G$50,6,FALSE)=0,"",IFERROR(VLOOKUP($Z7,'ATLAS builds'!$B$2:$G$50,6,FALSE),""))</f>
        <v xml:space="preserve"> -O2 -mcpu=cortex-a76+crypto -mtune=cortex-a76</v>
      </c>
      <c r="AE7" s="20"/>
      <c r="AH7" t="s">
        <v>126</v>
      </c>
      <c r="AI7">
        <v>3</v>
      </c>
      <c r="AJ7" t="s">
        <v>7</v>
      </c>
      <c r="AK7">
        <v>26080</v>
      </c>
      <c r="AL7">
        <v>160</v>
      </c>
      <c r="AM7">
        <v>2</v>
      </c>
      <c r="AN7" s="41">
        <v>8</v>
      </c>
      <c r="AO7" s="1">
        <v>117.47</v>
      </c>
      <c r="AP7" s="20">
        <v>100.68</v>
      </c>
      <c r="AQ7" s="23">
        <v>45544</v>
      </c>
      <c r="AR7" s="44">
        <v>0.64939814814814811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 s="69"/>
      <c r="BF7" s="20">
        <f>BE4</f>
        <v>100.762</v>
      </c>
    </row>
    <row r="8" spans="1:58">
      <c r="A8" t="s">
        <v>103</v>
      </c>
      <c r="B8">
        <v>4</v>
      </c>
      <c r="C8" t="s">
        <v>7</v>
      </c>
      <c r="D8">
        <v>52000</v>
      </c>
      <c r="E8">
        <v>160</v>
      </c>
      <c r="F8">
        <v>2</v>
      </c>
      <c r="G8">
        <v>8</v>
      </c>
      <c r="H8">
        <v>716.57</v>
      </c>
      <c r="I8" s="49">
        <v>130.82</v>
      </c>
      <c r="J8" s="23">
        <v>45545</v>
      </c>
      <c r="K8" s="46">
        <v>0.10464120370370371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s="51">
        <f t="shared" si="0"/>
        <v>130.66799999999998</v>
      </c>
      <c r="Y8" s="20"/>
      <c r="Z8" s="20" t="str">
        <v>cpu-flags</v>
      </c>
      <c r="AA8" s="20">
        <v>722.32</v>
      </c>
      <c r="AB8" s="20">
        <v>129.91</v>
      </c>
      <c r="AC8" s="20" t="str">
        <f>IF(VLOOKUP(Z8,'ATLAS builds'!$B$2:$G$50,4,FALSE)=0,"",IFERROR(VLOOKUP(Z8,'ATLAS builds'!$B$2:$G$50,4,FALSE),""))</f>
        <v/>
      </c>
      <c r="AD8" s="20" t="str">
        <f>IF(VLOOKUP($Z8,'ATLAS builds'!$B$2:$G$50,6,FALSE)=0,"",IFERROR(VLOOKUP($Z8,'ATLAS builds'!$B$2:$G$50,6,FALSE),""))</f>
        <v xml:space="preserve"> -O2 -mcpu=cortex-a76+crypto</v>
      </c>
      <c r="AE8" s="20"/>
      <c r="AH8" t="s">
        <v>126</v>
      </c>
      <c r="AI8">
        <v>4</v>
      </c>
      <c r="AJ8" t="s">
        <v>7</v>
      </c>
      <c r="AK8">
        <v>26080</v>
      </c>
      <c r="AL8">
        <v>160</v>
      </c>
      <c r="AM8">
        <v>2</v>
      </c>
      <c r="AN8" s="41">
        <v>8</v>
      </c>
      <c r="AO8" s="1">
        <v>117.46</v>
      </c>
      <c r="AP8" s="20">
        <v>100.69</v>
      </c>
      <c r="AQ8" s="23">
        <v>45544</v>
      </c>
      <c r="AR8" s="44">
        <v>0.65083333333333337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 s="70"/>
      <c r="BF8" s="20">
        <f>BE4</f>
        <v>100.762</v>
      </c>
    </row>
    <row r="9" spans="1:58">
      <c r="A9" t="s">
        <v>94</v>
      </c>
      <c r="B9">
        <v>0</v>
      </c>
      <c r="C9" t="s">
        <v>7</v>
      </c>
      <c r="D9">
        <v>52000</v>
      </c>
      <c r="E9">
        <v>160</v>
      </c>
      <c r="F9">
        <v>2</v>
      </c>
      <c r="G9">
        <v>8</v>
      </c>
      <c r="H9">
        <v>718.56</v>
      </c>
      <c r="I9" s="49">
        <v>130.46</v>
      </c>
      <c r="J9" s="23">
        <v>45544</v>
      </c>
      <c r="K9" s="46">
        <v>0.92234953703703704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s="50">
        <f>AVERAGE(I9:I13)</f>
        <v>130.52200000000002</v>
      </c>
      <c r="Y9" s="20"/>
      <c r="Z9" s="20" t="str">
        <v>generic-flags</v>
      </c>
      <c r="AA9" s="20">
        <v>720.67</v>
      </c>
      <c r="AB9" s="20">
        <v>129.85599999999999</v>
      </c>
      <c r="AC9" s="20" t="str">
        <f>IF(VLOOKUP(Z9,'ATLAS builds'!$B$2:$G$50,4,FALSE)=0,"",IFERROR(VLOOKUP(Z9,'ATLAS builds'!$B$2:$G$50,4,FALSE),""))</f>
        <v/>
      </c>
      <c r="AD9" s="20" t="str">
        <f>IF(VLOOKUP($Z9,'ATLAS builds'!$B$2:$G$50,6,FALSE)=0,"",IFERROR(VLOOKUP($Z9,'ATLAS builds'!$B$2:$G$50,6,FALSE),""))</f>
        <v xml:space="preserve"> -O2 -mtune=native</v>
      </c>
      <c r="AE9" s="20"/>
      <c r="AH9" t="s">
        <v>121</v>
      </c>
      <c r="AI9">
        <v>0</v>
      </c>
      <c r="AJ9" t="s">
        <v>7</v>
      </c>
      <c r="AK9">
        <v>26080</v>
      </c>
      <c r="AL9">
        <v>160</v>
      </c>
      <c r="AM9">
        <v>2</v>
      </c>
      <c r="AN9" s="41">
        <v>8</v>
      </c>
      <c r="AO9" s="1">
        <v>117.27</v>
      </c>
      <c r="AP9" s="20">
        <v>100.85</v>
      </c>
      <c r="AQ9" s="23">
        <v>45544</v>
      </c>
      <c r="AR9" s="44">
        <v>0.60892361111111115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 s="68">
        <f>AVERAGE(AP9:AP13)</f>
        <v>100.712</v>
      </c>
      <c r="BF9" s="20">
        <f>BE9</f>
        <v>100.712</v>
      </c>
    </row>
    <row r="10" spans="1:58">
      <c r="A10" t="s">
        <v>94</v>
      </c>
      <c r="B10">
        <v>1</v>
      </c>
      <c r="C10" t="s">
        <v>7</v>
      </c>
      <c r="D10">
        <v>52000</v>
      </c>
      <c r="E10">
        <v>160</v>
      </c>
      <c r="F10">
        <v>2</v>
      </c>
      <c r="G10">
        <v>8</v>
      </c>
      <c r="H10">
        <v>719.18</v>
      </c>
      <c r="I10" s="49">
        <v>130.35</v>
      </c>
      <c r="J10" s="23">
        <v>45544</v>
      </c>
      <c r="K10" s="46">
        <v>0.93134259259259256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s="51">
        <f>X9</f>
        <v>130.52200000000002</v>
      </c>
      <c r="Y10" s="20"/>
      <c r="Z10" s="20" t="str">
        <v>atlarch-native-flags</v>
      </c>
      <c r="AA10" s="20">
        <v>723.13</v>
      </c>
      <c r="AB10" s="20">
        <v>129.85399999999998</v>
      </c>
      <c r="AC10" s="20" t="str">
        <f>IF(VLOOKUP(Z10,'ATLAS builds'!$B$2:$G$50,4,FALSE)=0,"",IFERROR(VLOOKUP(Z10,'ATLAS builds'!$B$2:$G$50,4,FALSE),""))</f>
        <v/>
      </c>
      <c r="AD10" s="20" t="str">
        <f>IF(VLOOKUP($Z10,'ATLAS builds'!$B$2:$G$50,6,FALSE)=0,"",IFERROR(VLOOKUP($Z10,'ATLAS builds'!$B$2:$G$50,6,FALSE),""))</f>
        <v xml:space="preserve"> -O2 -march=native -mtune=native -mcpu=native</v>
      </c>
      <c r="AE10" s="20"/>
      <c r="AH10" t="s">
        <v>121</v>
      </c>
      <c r="AI10">
        <v>1</v>
      </c>
      <c r="AJ10" t="s">
        <v>7</v>
      </c>
      <c r="AK10">
        <v>26080</v>
      </c>
      <c r="AL10">
        <v>160</v>
      </c>
      <c r="AM10">
        <v>2</v>
      </c>
      <c r="AN10" s="41">
        <v>8</v>
      </c>
      <c r="AO10" s="1">
        <v>117.53</v>
      </c>
      <c r="AP10" s="20">
        <v>100.63</v>
      </c>
      <c r="AQ10" s="23">
        <v>45544</v>
      </c>
      <c r="AR10" s="44">
        <v>0.6103587962962963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 s="69"/>
      <c r="BF10" s="20">
        <f>BE9</f>
        <v>100.712</v>
      </c>
    </row>
    <row r="11" spans="1:58">
      <c r="A11" t="s">
        <v>94</v>
      </c>
      <c r="B11">
        <v>2</v>
      </c>
      <c r="C11" t="s">
        <v>7</v>
      </c>
      <c r="D11">
        <v>52000</v>
      </c>
      <c r="E11">
        <v>160</v>
      </c>
      <c r="F11">
        <v>2</v>
      </c>
      <c r="G11">
        <v>8</v>
      </c>
      <c r="H11">
        <v>718.21</v>
      </c>
      <c r="I11" s="49">
        <v>130.52000000000001</v>
      </c>
      <c r="J11" s="23">
        <v>45544</v>
      </c>
      <c r="K11" s="46">
        <v>0.94033564814814818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s="51">
        <f t="shared" ref="X11:X13" si="1">X10</f>
        <v>130.52200000000002</v>
      </c>
      <c r="Y11" s="20"/>
      <c r="Z11" s="20" t="str">
        <v>atlarch-all-spec-flags</v>
      </c>
      <c r="AA11" s="20">
        <v>721.23</v>
      </c>
      <c r="AB11" s="20">
        <v>129.83199999999997</v>
      </c>
      <c r="AC11" s="20" t="str">
        <f>IF(VLOOKUP(Z11,'ATLAS builds'!$B$2:$G$50,4,FALSE)=0,"",IFERROR(VLOOKUP(Z11,'ATLAS builds'!$B$2:$G$50,4,FALSE),""))</f>
        <v/>
      </c>
      <c r="AD11" s="20" t="str">
        <f>IF(VLOOKUP($Z11,'ATLAS builds'!$B$2:$G$50,6,FALSE)=0,"",IFERROR(VLOOKUP($Z11,'ATLAS builds'!$B$2:$G$50,6,FALSE),""))</f>
        <v xml:space="preserve"> -O2 -march=armv8.2-a+crypto+fp16+rcpc+dotprod -mtune=cortex-a76 -mcpu=cortex-a76+crypto</v>
      </c>
      <c r="AE11" s="20"/>
      <c r="AH11" t="s">
        <v>121</v>
      </c>
      <c r="AI11">
        <v>2</v>
      </c>
      <c r="AJ11" t="s">
        <v>7</v>
      </c>
      <c r="AK11">
        <v>26080</v>
      </c>
      <c r="AL11">
        <v>160</v>
      </c>
      <c r="AM11">
        <v>2</v>
      </c>
      <c r="AN11" s="41">
        <v>8</v>
      </c>
      <c r="AO11" s="1">
        <v>117.23</v>
      </c>
      <c r="AP11" s="20">
        <v>100.89</v>
      </c>
      <c r="AQ11" s="23">
        <v>45544</v>
      </c>
      <c r="AR11" s="44">
        <v>0.61179398148148145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 s="69"/>
      <c r="BF11" s="20">
        <f>BE9</f>
        <v>100.712</v>
      </c>
    </row>
    <row r="12" spans="1:58">
      <c r="A12" t="s">
        <v>94</v>
      </c>
      <c r="B12">
        <v>3</v>
      </c>
      <c r="C12" t="s">
        <v>7</v>
      </c>
      <c r="D12">
        <v>52000</v>
      </c>
      <c r="E12">
        <v>160</v>
      </c>
      <c r="F12">
        <v>2</v>
      </c>
      <c r="G12">
        <v>8</v>
      </c>
      <c r="H12">
        <v>718.03</v>
      </c>
      <c r="I12" s="49">
        <v>130.56</v>
      </c>
      <c r="J12" s="23">
        <v>45544</v>
      </c>
      <c r="K12" s="46">
        <v>0.94931712962962966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s="51">
        <f t="shared" si="1"/>
        <v>130.52200000000002</v>
      </c>
      <c r="Y12" s="20"/>
      <c r="Z12" s="20" t="str">
        <v>cpu-crc-flags</v>
      </c>
      <c r="AA12" s="20">
        <v>722.52</v>
      </c>
      <c r="AB12" s="20">
        <v>129.822</v>
      </c>
      <c r="AC12" s="20" t="str">
        <f>IF(VLOOKUP(Z12,'ATLAS builds'!$B$2:$G$50,4,FALSE)=0,"",IFERROR(VLOOKUP(Z12,'ATLAS builds'!$B$2:$G$50,4,FALSE),""))</f>
        <v/>
      </c>
      <c r="AD12" s="20" t="str">
        <f>IF(VLOOKUP($Z12,'ATLAS builds'!$B$2:$G$50,6,FALSE)=0,"",IFERROR(VLOOKUP($Z12,'ATLAS builds'!$B$2:$G$50,6,FALSE),""))</f>
        <v xml:space="preserve"> -O2 -mcpu=cortex-a76+crc+crypto</v>
      </c>
      <c r="AE12" s="20"/>
      <c r="AH12" t="s">
        <v>121</v>
      </c>
      <c r="AI12">
        <v>3</v>
      </c>
      <c r="AJ12" t="s">
        <v>7</v>
      </c>
      <c r="AK12">
        <v>26080</v>
      </c>
      <c r="AL12">
        <v>160</v>
      </c>
      <c r="AM12">
        <v>2</v>
      </c>
      <c r="AN12" s="41">
        <v>8</v>
      </c>
      <c r="AO12" s="1">
        <v>117.69</v>
      </c>
      <c r="AP12" s="20">
        <v>100.5</v>
      </c>
      <c r="AQ12" s="23">
        <v>45544</v>
      </c>
      <c r="AR12" s="44">
        <v>0.61324074074074075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 s="69"/>
      <c r="BF12" s="20">
        <f>BE9</f>
        <v>100.712</v>
      </c>
    </row>
    <row r="13" spans="1:58">
      <c r="A13" t="s">
        <v>94</v>
      </c>
      <c r="B13">
        <v>4</v>
      </c>
      <c r="C13" t="s">
        <v>7</v>
      </c>
      <c r="D13">
        <v>52000</v>
      </c>
      <c r="E13">
        <v>160</v>
      </c>
      <c r="F13">
        <v>2</v>
      </c>
      <c r="G13">
        <v>8</v>
      </c>
      <c r="H13">
        <v>717.12</v>
      </c>
      <c r="I13" s="49">
        <v>130.72</v>
      </c>
      <c r="J13" s="23">
        <v>45544</v>
      </c>
      <c r="K13" s="46">
        <v>0.95828703703703699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s="51">
        <f t="shared" si="1"/>
        <v>130.52200000000002</v>
      </c>
      <c r="Y13" s="20"/>
      <c r="Z13" s="20" t="str">
        <v>cpu-tune-abi-flags</v>
      </c>
      <c r="AA13" s="20">
        <v>723.28</v>
      </c>
      <c r="AB13" s="20">
        <v>129.756</v>
      </c>
      <c r="AC13" s="20" t="str">
        <f>IF(VLOOKUP(Z13,'ATLAS builds'!$B$2:$G$50,4,FALSE)=0,"",IFERROR(VLOOKUP(Z13,'ATLAS builds'!$B$2:$G$50,4,FALSE),""))</f>
        <v/>
      </c>
      <c r="AD13" s="20" t="str">
        <f>IF(VLOOKUP($Z13,'ATLAS builds'!$B$2:$G$50,6,FALSE)=0,"",IFERROR(VLOOKUP($Z13,'ATLAS builds'!$B$2:$G$50,6,FALSE),""))</f>
        <v xml:space="preserve"> -O2 -mcpu=cortex-a76+crypto -mtune=cortex-a76 -mabi=lp64</v>
      </c>
      <c r="AE13" s="20"/>
      <c r="AH13" t="s">
        <v>121</v>
      </c>
      <c r="AI13">
        <v>4</v>
      </c>
      <c r="AJ13" t="s">
        <v>7</v>
      </c>
      <c r="AK13">
        <v>26080</v>
      </c>
      <c r="AL13">
        <v>160</v>
      </c>
      <c r="AM13">
        <v>2</v>
      </c>
      <c r="AN13" s="41">
        <v>8</v>
      </c>
      <c r="AO13" s="1">
        <v>117.45</v>
      </c>
      <c r="AP13" s="20">
        <v>100.69</v>
      </c>
      <c r="AQ13" s="23">
        <v>45544</v>
      </c>
      <c r="AR13" s="44">
        <v>0.6146759259259259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 s="70"/>
      <c r="BF13" s="20">
        <f>BE9</f>
        <v>100.712</v>
      </c>
    </row>
    <row r="14" spans="1:58">
      <c r="A14" t="s">
        <v>69</v>
      </c>
      <c r="B14">
        <v>0</v>
      </c>
      <c r="C14" t="s">
        <v>7</v>
      </c>
      <c r="D14">
        <v>52000</v>
      </c>
      <c r="E14">
        <v>160</v>
      </c>
      <c r="F14">
        <v>2</v>
      </c>
      <c r="G14">
        <v>8</v>
      </c>
      <c r="H14">
        <v>720.87</v>
      </c>
      <c r="I14" s="49">
        <v>130.04</v>
      </c>
      <c r="J14" s="23">
        <v>45545</v>
      </c>
      <c r="K14" s="46">
        <v>0.35030092592592593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s="50">
        <f t="shared" ref="X14" si="2">AVERAGE(I14:I18)</f>
        <v>130.22800000000001</v>
      </c>
      <c r="Y14" s="20"/>
      <c r="Z14" s="20" t="str">
        <v>noarch-flags</v>
      </c>
      <c r="AA14" s="20">
        <v>721.94</v>
      </c>
      <c r="AB14" s="20">
        <v>129.74799999999999</v>
      </c>
      <c r="AC14" s="20" t="str">
        <f>IF(VLOOKUP(Z14,'ATLAS builds'!$B$2:$G$50,4,FALSE)=0,"",IFERROR(VLOOKUP(Z14,'ATLAS builds'!$B$2:$G$50,4,FALSE),""))</f>
        <v/>
      </c>
      <c r="AD14" s="20" t="str">
        <f>IF(VLOOKUP($Z14,'ATLAS builds'!$B$2:$G$50,6,FALSE)=0,"",IFERROR(VLOOKUP($Z14,'ATLAS builds'!$B$2:$G$50,6,FALSE),""))</f>
        <v xml:space="preserve"> -O2 -mtune=native</v>
      </c>
      <c r="AE14" s="20"/>
      <c r="AH14" t="s">
        <v>125</v>
      </c>
      <c r="AI14">
        <v>0</v>
      </c>
      <c r="AJ14" t="s">
        <v>7</v>
      </c>
      <c r="AK14">
        <v>26080</v>
      </c>
      <c r="AL14">
        <v>160</v>
      </c>
      <c r="AM14">
        <v>2</v>
      </c>
      <c r="AN14" s="41">
        <v>8</v>
      </c>
      <c r="AO14" s="1">
        <v>117.91</v>
      </c>
      <c r="AP14" s="20">
        <v>100.3</v>
      </c>
      <c r="AQ14" s="23">
        <v>45544</v>
      </c>
      <c r="AR14" s="44">
        <v>0.63790509259259254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 s="68">
        <f t="shared" ref="BE14" si="3">AVERAGE(AP14:AP18)</f>
        <v>100.53800000000001</v>
      </c>
      <c r="BF14" s="20">
        <f>BE14</f>
        <v>100.53800000000001</v>
      </c>
    </row>
    <row r="15" spans="1:58">
      <c r="A15" t="s">
        <v>69</v>
      </c>
      <c r="B15">
        <v>1</v>
      </c>
      <c r="C15" t="s">
        <v>7</v>
      </c>
      <c r="D15">
        <v>52000</v>
      </c>
      <c r="E15">
        <v>160</v>
      </c>
      <c r="F15">
        <v>2</v>
      </c>
      <c r="G15">
        <v>8</v>
      </c>
      <c r="H15">
        <v>717.68</v>
      </c>
      <c r="I15" s="49">
        <v>130.62</v>
      </c>
      <c r="J15" s="23">
        <v>45545</v>
      </c>
      <c r="K15" s="46">
        <v>0.35928240740740741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s="51">
        <f t="shared" ref="X15:X78" si="4">X14</f>
        <v>130.22800000000001</v>
      </c>
      <c r="Y15" s="20"/>
      <c r="Z15" s="20" t="str">
        <v>all-spec-flags</v>
      </c>
      <c r="AA15" s="20">
        <v>720.69</v>
      </c>
      <c r="AB15" s="20">
        <v>129.732</v>
      </c>
      <c r="AC15" s="20" t="str">
        <f>IF(VLOOKUP(Z15,'ATLAS builds'!$B$2:$G$50,4,FALSE)=0,"",IFERROR(VLOOKUP(Z15,'ATLAS builds'!$B$2:$G$50,4,FALSE),""))</f>
        <v/>
      </c>
      <c r="AD15" s="20" t="str">
        <f>IF(VLOOKUP($Z15,'ATLAS builds'!$B$2:$G$50,6,FALSE)=0,"",IFERROR(VLOOKUP($Z15,'ATLAS builds'!$B$2:$G$50,6,FALSE),""))</f>
        <v xml:space="preserve"> -O2 -march=armv8.2-a+crypto+fp16+rcpc+dotprod -mtune=cortex-a76 -mcpu=cortex-a76+crypto</v>
      </c>
      <c r="AE15" s="20"/>
      <c r="AH15" t="s">
        <v>125</v>
      </c>
      <c r="AI15">
        <v>1</v>
      </c>
      <c r="AJ15" t="s">
        <v>7</v>
      </c>
      <c r="AK15">
        <v>26080</v>
      </c>
      <c r="AL15">
        <v>160</v>
      </c>
      <c r="AM15">
        <v>2</v>
      </c>
      <c r="AN15" s="41">
        <v>8</v>
      </c>
      <c r="AO15" s="1">
        <v>117.35</v>
      </c>
      <c r="AP15" s="20">
        <v>100.79</v>
      </c>
      <c r="AQ15" s="23">
        <v>45544</v>
      </c>
      <c r="AR15" s="44">
        <v>0.6393402777777778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 s="69"/>
      <c r="BF15" s="20">
        <f>BE14</f>
        <v>100.53800000000001</v>
      </c>
    </row>
    <row r="16" spans="1:58">
      <c r="A16" t="s">
        <v>69</v>
      </c>
      <c r="B16">
        <v>2</v>
      </c>
      <c r="C16" t="s">
        <v>7</v>
      </c>
      <c r="D16">
        <v>52000</v>
      </c>
      <c r="E16">
        <v>160</v>
      </c>
      <c r="F16">
        <v>2</v>
      </c>
      <c r="G16">
        <v>8</v>
      </c>
      <c r="H16">
        <v>720.04</v>
      </c>
      <c r="I16" s="49">
        <v>130.19</v>
      </c>
      <c r="J16" s="23">
        <v>45545</v>
      </c>
      <c r="K16" s="46">
        <v>0.36828703703703702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s="51">
        <f t="shared" si="4"/>
        <v>130.22800000000001</v>
      </c>
      <c r="Y16" s="20"/>
      <c r="Z16" s="20" t="str">
        <v>atlarch-cpu-flags</v>
      </c>
      <c r="AA16" s="20">
        <v>721.99</v>
      </c>
      <c r="AB16" s="20">
        <v>129.69800000000001</v>
      </c>
      <c r="AC16" s="20" t="str">
        <f>IF(VLOOKUP(Z16,'ATLAS builds'!$B$2:$G$50,4,FALSE)=0,"",IFERROR(VLOOKUP(Z16,'ATLAS builds'!$B$2:$G$50,4,FALSE),""))</f>
        <v/>
      </c>
      <c r="AD16" s="20" t="str">
        <f>IF(VLOOKUP($Z16,'ATLAS builds'!$B$2:$G$50,6,FALSE)=0,"",IFERROR(VLOOKUP($Z16,'ATLAS builds'!$B$2:$G$50,6,FALSE),""))</f>
        <v xml:space="preserve"> -O2 -mcpu=cortex-a76+crypto</v>
      </c>
      <c r="AE16" s="20"/>
      <c r="AH16" t="s">
        <v>125</v>
      </c>
      <c r="AI16">
        <v>2</v>
      </c>
      <c r="AJ16" t="s">
        <v>7</v>
      </c>
      <c r="AK16">
        <v>26080</v>
      </c>
      <c r="AL16">
        <v>160</v>
      </c>
      <c r="AM16">
        <v>2</v>
      </c>
      <c r="AN16" s="41">
        <v>8</v>
      </c>
      <c r="AO16" s="1">
        <v>117.37</v>
      </c>
      <c r="AP16" s="20">
        <v>100.77</v>
      </c>
      <c r="AQ16" s="23">
        <v>45544</v>
      </c>
      <c r="AR16" s="44">
        <v>0.64077546296296295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 s="69"/>
      <c r="BF16" s="20">
        <f>BE14</f>
        <v>100.53800000000001</v>
      </c>
    </row>
    <row r="17" spans="1:58">
      <c r="A17" t="s">
        <v>69</v>
      </c>
      <c r="B17">
        <v>3</v>
      </c>
      <c r="C17" t="s">
        <v>7</v>
      </c>
      <c r="D17">
        <v>52000</v>
      </c>
      <c r="E17">
        <v>160</v>
      </c>
      <c r="F17">
        <v>2</v>
      </c>
      <c r="G17">
        <v>8</v>
      </c>
      <c r="H17">
        <v>720.27</v>
      </c>
      <c r="I17" s="49">
        <v>130.15</v>
      </c>
      <c r="J17" s="23">
        <v>45545</v>
      </c>
      <c r="K17" s="46">
        <v>0.37730324074074073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s="51">
        <f t="shared" si="4"/>
        <v>130.22800000000001</v>
      </c>
      <c r="Y17" s="20"/>
      <c r="Z17" s="20" t="str">
        <v>cpu-tune-clean-flagsearch-flags</v>
      </c>
      <c r="AA17" s="20">
        <v>722.15</v>
      </c>
      <c r="AB17" s="20">
        <v>129.62599999999998</v>
      </c>
      <c r="AC17" s="20" t="str">
        <f>IF(VLOOKUP(Z17,'ATLAS builds'!$B$2:$G$50,4,FALSE)=0,"",IFERROR(VLOOKUP(Z17,'ATLAS builds'!$B$2:$G$50,4,FALSE),""))</f>
        <v/>
      </c>
      <c r="AD17" s="20" t="str">
        <f>IF(VLOOKUP($Z17,'ATLAS builds'!$B$2:$G$50,6,FALSE)=0,"",IFERROR(VLOOKUP($Z17,'ATLAS builds'!$B$2:$G$50,6,FALSE),""))</f>
        <v xml:space="preserve"> -O2 -mtune=native</v>
      </c>
      <c r="AE17" s="20"/>
      <c r="AH17" t="s">
        <v>125</v>
      </c>
      <c r="AI17">
        <v>3</v>
      </c>
      <c r="AJ17" t="s">
        <v>7</v>
      </c>
      <c r="AK17">
        <v>26080</v>
      </c>
      <c r="AL17">
        <v>160</v>
      </c>
      <c r="AM17">
        <v>2</v>
      </c>
      <c r="AN17" s="41">
        <v>8</v>
      </c>
      <c r="AO17" s="1">
        <v>118.01</v>
      </c>
      <c r="AP17" s="20">
        <v>100.22</v>
      </c>
      <c r="AQ17" s="23">
        <v>45544</v>
      </c>
      <c r="AR17" s="44">
        <v>0.64222222222222225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 s="69"/>
      <c r="BF17" s="20">
        <f>BE14</f>
        <v>100.53800000000001</v>
      </c>
    </row>
    <row r="18" spans="1:58">
      <c r="A18" t="s">
        <v>69</v>
      </c>
      <c r="B18">
        <v>4</v>
      </c>
      <c r="C18" t="s">
        <v>7</v>
      </c>
      <c r="D18">
        <v>52000</v>
      </c>
      <c r="E18">
        <v>160</v>
      </c>
      <c r="F18">
        <v>2</v>
      </c>
      <c r="G18">
        <v>8</v>
      </c>
      <c r="H18">
        <v>720.3</v>
      </c>
      <c r="I18" s="49">
        <v>130.13999999999999</v>
      </c>
      <c r="J18" s="23">
        <v>45545</v>
      </c>
      <c r="K18" s="46">
        <v>0.38630787037037034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s="51">
        <f t="shared" si="4"/>
        <v>130.22800000000001</v>
      </c>
      <c r="Y18" s="20"/>
      <c r="Z18" s="20" t="str">
        <v>cpu</v>
      </c>
      <c r="AA18" s="20">
        <v>724.23</v>
      </c>
      <c r="AB18" s="20">
        <v>129.464</v>
      </c>
      <c r="AC18" s="20" t="str">
        <f>IF(VLOOKUP(Z18,'ATLAS builds'!$B$2:$G$50,4,FALSE)=0,"",IFERROR(VLOOKUP(Z18,'ATLAS builds'!$B$2:$G$50,4,FALSE),""))</f>
        <v/>
      </c>
      <c r="AD18" s="20" t="str">
        <f>IF(VLOOKUP($Z18,'ATLAS builds'!$B$2:$G$50,6,FALSE)=0,"",IFERROR(VLOOKUP($Z18,'ATLAS builds'!$B$2:$G$50,6,FALSE),""))</f>
        <v>-mcpu=cortex-a76+crypto</v>
      </c>
      <c r="AE18" s="20"/>
      <c r="AH18" t="s">
        <v>125</v>
      </c>
      <c r="AI18">
        <v>4</v>
      </c>
      <c r="AJ18" t="s">
        <v>7</v>
      </c>
      <c r="AK18">
        <v>26080</v>
      </c>
      <c r="AL18">
        <v>160</v>
      </c>
      <c r="AM18">
        <v>2</v>
      </c>
      <c r="AN18" s="41">
        <v>8</v>
      </c>
      <c r="AO18" s="1">
        <v>117.55</v>
      </c>
      <c r="AP18" s="20">
        <v>100.61</v>
      </c>
      <c r="AQ18" s="23">
        <v>45544</v>
      </c>
      <c r="AR18" s="44">
        <v>0.6436574074074074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 s="70"/>
      <c r="BF18" s="20">
        <f>BE14</f>
        <v>100.53800000000001</v>
      </c>
    </row>
    <row r="19" spans="1:58">
      <c r="A19" t="s">
        <v>130</v>
      </c>
      <c r="B19">
        <v>0</v>
      </c>
      <c r="C19" t="s">
        <v>7</v>
      </c>
      <c r="D19">
        <v>52000</v>
      </c>
      <c r="E19">
        <v>160</v>
      </c>
      <c r="F19">
        <v>2</v>
      </c>
      <c r="G19">
        <v>8</v>
      </c>
      <c r="H19">
        <v>718.53</v>
      </c>
      <c r="I19" s="49">
        <v>130.47</v>
      </c>
      <c r="J19" s="23">
        <v>45545</v>
      </c>
      <c r="K19" s="46">
        <v>0.99353009259259262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s="50">
        <f t="shared" ref="X19" si="5">AVERAGE(I19:I23)</f>
        <v>130.084</v>
      </c>
      <c r="Y19" s="20"/>
      <c r="Z19" s="20" t="str">
        <v>atlarch-flags</v>
      </c>
      <c r="AA19" s="20">
        <v>724.79</v>
      </c>
      <c r="AB19" s="20">
        <v>129.37799999999999</v>
      </c>
      <c r="AC19" s="20" t="str">
        <f>IF(VLOOKUP(Z19,'ATLAS builds'!$B$2:$G$50,4,FALSE)=0,"",IFERROR(VLOOKUP(Z19,'ATLAS builds'!$B$2:$G$50,4,FALSE),""))</f>
        <v/>
      </c>
      <c r="AD19" s="20" t="str">
        <f>IF(VLOOKUP($Z19,'ATLAS builds'!$B$2:$G$50,6,FALSE)=0,"",IFERROR(VLOOKUP($Z19,'ATLAS builds'!$B$2:$G$50,6,FALSE),""))</f>
        <v xml:space="preserve"> -O2</v>
      </c>
      <c r="AE19" s="20"/>
      <c r="AH19" t="s">
        <v>130</v>
      </c>
      <c r="AI19">
        <v>0</v>
      </c>
      <c r="AJ19" t="s">
        <v>7</v>
      </c>
      <c r="AK19">
        <v>26080</v>
      </c>
      <c r="AL19">
        <v>160</v>
      </c>
      <c r="AM19">
        <v>2</v>
      </c>
      <c r="AN19" s="41">
        <v>8</v>
      </c>
      <c r="AO19" s="1">
        <v>117.83</v>
      </c>
      <c r="AP19" s="20">
        <v>100.38</v>
      </c>
      <c r="AQ19" s="23">
        <v>45544</v>
      </c>
      <c r="AR19" s="44">
        <v>0.67605324074074069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 s="68">
        <f t="shared" ref="BE19" si="6">AVERAGE(AP19:AP23)</f>
        <v>100.46599999999999</v>
      </c>
      <c r="BF19" s="20">
        <f>BE19</f>
        <v>100.46599999999999</v>
      </c>
    </row>
    <row r="20" spans="1:58">
      <c r="A20" t="s">
        <v>130</v>
      </c>
      <c r="B20">
        <v>1</v>
      </c>
      <c r="C20" t="s">
        <v>7</v>
      </c>
      <c r="D20">
        <v>52000</v>
      </c>
      <c r="E20">
        <v>160</v>
      </c>
      <c r="F20">
        <v>2</v>
      </c>
      <c r="G20">
        <v>8</v>
      </c>
      <c r="H20">
        <v>720.9</v>
      </c>
      <c r="I20" s="49">
        <v>130.04</v>
      </c>
      <c r="J20" s="23">
        <v>45546</v>
      </c>
      <c r="K20" s="46">
        <v>2.0949074074074073E-3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s="51">
        <f t="shared" ref="X20" si="7">X19</f>
        <v>130.084</v>
      </c>
      <c r="Y20" s="20"/>
      <c r="Z20" s="20" t="str">
        <v>cpu-tune</v>
      </c>
      <c r="AA20" s="20">
        <v>724.37</v>
      </c>
      <c r="AB20" s="20">
        <v>129.35999999999999</v>
      </c>
      <c r="AC20" s="20" t="str">
        <f>IF(VLOOKUP(Z20,'ATLAS builds'!$B$2:$G$50,4,FALSE)=0,"",IFERROR(VLOOKUP(Z20,'ATLAS builds'!$B$2:$G$50,4,FALSE),""))</f>
        <v/>
      </c>
      <c r="AD20" s="20" t="str">
        <f>IF(VLOOKUP($Z20,'ATLAS builds'!$B$2:$G$50,6,FALSE)=0,"",IFERROR(VLOOKUP($Z20,'ATLAS builds'!$B$2:$G$50,6,FALSE),""))</f>
        <v>-mcpu=cortex-a76+crypto -mtune=cortex-a76</v>
      </c>
      <c r="AE20" s="20"/>
      <c r="AH20" t="s">
        <v>130</v>
      </c>
      <c r="AI20">
        <v>1</v>
      </c>
      <c r="AJ20" t="s">
        <v>7</v>
      </c>
      <c r="AK20">
        <v>26080</v>
      </c>
      <c r="AL20">
        <v>160</v>
      </c>
      <c r="AM20">
        <v>2</v>
      </c>
      <c r="AN20" s="41">
        <v>8</v>
      </c>
      <c r="AO20" s="1">
        <v>117.65</v>
      </c>
      <c r="AP20" s="20">
        <v>100.53</v>
      </c>
      <c r="AQ20" s="23">
        <v>45544</v>
      </c>
      <c r="AR20" s="44">
        <v>0.67748842592592595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 s="69"/>
      <c r="BF20" s="20">
        <f>BE19</f>
        <v>100.46599999999999</v>
      </c>
    </row>
    <row r="21" spans="1:58">
      <c r="A21" t="s">
        <v>130</v>
      </c>
      <c r="B21">
        <v>2</v>
      </c>
      <c r="C21" t="s">
        <v>7</v>
      </c>
      <c r="D21">
        <v>52000</v>
      </c>
      <c r="E21">
        <v>160</v>
      </c>
      <c r="F21">
        <v>2</v>
      </c>
      <c r="G21">
        <v>8</v>
      </c>
      <c r="H21">
        <v>719.86</v>
      </c>
      <c r="I21" s="49">
        <v>130.22</v>
      </c>
      <c r="J21" s="23">
        <v>45546</v>
      </c>
      <c r="K21" s="46">
        <v>1.0648148148148148E-2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s="51">
        <f t="shared" si="4"/>
        <v>130.084</v>
      </c>
      <c r="Y21" s="20"/>
      <c r="Z21" s="20" t="str">
        <v>arch-native</v>
      </c>
      <c r="AA21" s="20">
        <v>725.29</v>
      </c>
      <c r="AB21" s="20">
        <v>129.18</v>
      </c>
      <c r="AC21" s="20" t="str">
        <f>IF(VLOOKUP(Z21,'ATLAS builds'!$B$2:$G$50,4,FALSE)=0,"",IFERROR(VLOOKUP(Z21,'ATLAS builds'!$B$2:$G$50,4,FALSE),""))</f>
        <v/>
      </c>
      <c r="AD21" s="20" t="str">
        <f>IF(VLOOKUP($Z21,'ATLAS builds'!$B$2:$G$50,6,FALSE)=0,"",IFERROR(VLOOKUP($Z21,'ATLAS builds'!$B$2:$G$50,6,FALSE),""))</f>
        <v>-march=native -mtune=native -mcpu=native</v>
      </c>
      <c r="AE21" s="20"/>
      <c r="AH21" t="s">
        <v>130</v>
      </c>
      <c r="AI21">
        <v>2</v>
      </c>
      <c r="AJ21" t="s">
        <v>7</v>
      </c>
      <c r="AK21">
        <v>26080</v>
      </c>
      <c r="AL21">
        <v>160</v>
      </c>
      <c r="AM21">
        <v>2</v>
      </c>
      <c r="AN21" s="41">
        <v>8</v>
      </c>
      <c r="AO21" s="1">
        <v>118.01</v>
      </c>
      <c r="AP21" s="20">
        <v>100.22</v>
      </c>
      <c r="AQ21" s="23">
        <v>45544</v>
      </c>
      <c r="AR21" s="44">
        <v>0.67893518518518514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 s="69"/>
      <c r="BF21" s="20">
        <f>BE19</f>
        <v>100.46599999999999</v>
      </c>
    </row>
    <row r="22" spans="1:58">
      <c r="A22" t="s">
        <v>130</v>
      </c>
      <c r="B22">
        <v>3</v>
      </c>
      <c r="C22" t="s">
        <v>7</v>
      </c>
      <c r="D22">
        <v>52000</v>
      </c>
      <c r="E22">
        <v>160</v>
      </c>
      <c r="F22">
        <v>2</v>
      </c>
      <c r="G22">
        <v>8</v>
      </c>
      <c r="H22">
        <v>721.98</v>
      </c>
      <c r="I22" s="49">
        <v>129.84</v>
      </c>
      <c r="J22" s="23">
        <v>45546</v>
      </c>
      <c r="K22" s="46">
        <v>1.9224537037037037E-2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s="51">
        <f t="shared" si="4"/>
        <v>130.084</v>
      </c>
      <c r="Y22" s="20"/>
      <c r="Z22" s="20" t="str">
        <v>cpu-crc</v>
      </c>
      <c r="AA22" s="20">
        <v>726.07</v>
      </c>
      <c r="AB22" s="20">
        <v>129.13000000000002</v>
      </c>
      <c r="AC22" s="20" t="str">
        <f>IF(VLOOKUP(Z22,'ATLAS builds'!$B$2:$G$50,4,FALSE)=0,"",IFERROR(VLOOKUP(Z22,'ATLAS builds'!$B$2:$G$50,4,FALSE),""))</f>
        <v/>
      </c>
      <c r="AD22" s="20" t="str">
        <f>IF(VLOOKUP($Z22,'ATLAS builds'!$B$2:$G$50,6,FALSE)=0,"",IFERROR(VLOOKUP($Z22,'ATLAS builds'!$B$2:$G$50,6,FALSE),""))</f>
        <v>-mcpu=cortex-a76+crc+crypto</v>
      </c>
      <c r="AE22" s="20"/>
      <c r="AH22" t="s">
        <v>130</v>
      </c>
      <c r="AI22">
        <v>3</v>
      </c>
      <c r="AJ22" t="s">
        <v>7</v>
      </c>
      <c r="AK22">
        <v>26080</v>
      </c>
      <c r="AL22">
        <v>160</v>
      </c>
      <c r="AM22">
        <v>2</v>
      </c>
      <c r="AN22" s="41">
        <v>8</v>
      </c>
      <c r="AO22" s="1">
        <v>117.24</v>
      </c>
      <c r="AP22" s="20">
        <v>100.88</v>
      </c>
      <c r="AQ22" s="23">
        <v>45544</v>
      </c>
      <c r="AR22" s="44">
        <v>0.6803703703703704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 s="69"/>
      <c r="BF22" s="20">
        <f>BE19</f>
        <v>100.46599999999999</v>
      </c>
    </row>
    <row r="23" spans="1:58">
      <c r="A23" t="s">
        <v>130</v>
      </c>
      <c r="B23">
        <v>4</v>
      </c>
      <c r="C23" t="s">
        <v>7</v>
      </c>
      <c r="D23">
        <v>52000</v>
      </c>
      <c r="E23">
        <v>160</v>
      </c>
      <c r="F23">
        <v>2</v>
      </c>
      <c r="G23">
        <v>8</v>
      </c>
      <c r="H23">
        <v>721.93</v>
      </c>
      <c r="I23" s="49">
        <v>129.85</v>
      </c>
      <c r="J23" s="23">
        <v>45546</v>
      </c>
      <c r="K23" s="46">
        <v>2.7800925925925927E-2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s="51">
        <f t="shared" si="4"/>
        <v>130.084</v>
      </c>
      <c r="Y23" s="20"/>
      <c r="Z23" s="20" t="str">
        <v>cpu-tune-abi</v>
      </c>
      <c r="AA23" s="20">
        <v>726.53</v>
      </c>
      <c r="AB23" s="20">
        <v>129.06199999999998</v>
      </c>
      <c r="AC23" s="20" t="str">
        <f>IF(VLOOKUP(Z23,'ATLAS builds'!$B$2:$G$50,4,FALSE)=0,"",IFERROR(VLOOKUP(Z23,'ATLAS builds'!$B$2:$G$50,4,FALSE),""))</f>
        <v/>
      </c>
      <c r="AD23" s="20" t="str">
        <f>IF(VLOOKUP($Z23,'ATLAS builds'!$B$2:$G$50,6,FALSE)=0,"",IFERROR(VLOOKUP($Z23,'ATLAS builds'!$B$2:$G$50,6,FALSE),""))</f>
        <v>-mcpu=cortex-a76+crypto -mtune=cortex-a76 -mabi=lp64</v>
      </c>
      <c r="AE23" s="20"/>
      <c r="AH23" t="s">
        <v>130</v>
      </c>
      <c r="AI23">
        <v>4</v>
      </c>
      <c r="AJ23" t="s">
        <v>7</v>
      </c>
      <c r="AK23">
        <v>26080</v>
      </c>
      <c r="AL23">
        <v>160</v>
      </c>
      <c r="AM23">
        <v>2</v>
      </c>
      <c r="AN23" s="41">
        <v>8</v>
      </c>
      <c r="AO23" s="1">
        <v>117.89</v>
      </c>
      <c r="AP23" s="20">
        <v>100.32</v>
      </c>
      <c r="AQ23" s="23">
        <v>45544</v>
      </c>
      <c r="AR23" s="44">
        <v>0.68181712962962959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 s="70"/>
      <c r="BF23" s="20">
        <f>BE19</f>
        <v>100.46599999999999</v>
      </c>
    </row>
    <row r="24" spans="1:58">
      <c r="A24" t="s">
        <v>125</v>
      </c>
      <c r="B24">
        <v>0</v>
      </c>
      <c r="C24" t="s">
        <v>7</v>
      </c>
      <c r="D24">
        <v>52000</v>
      </c>
      <c r="E24">
        <v>160</v>
      </c>
      <c r="F24">
        <v>2</v>
      </c>
      <c r="G24">
        <v>8</v>
      </c>
      <c r="H24">
        <v>722.32</v>
      </c>
      <c r="I24" s="49">
        <v>129.78</v>
      </c>
      <c r="J24" s="23">
        <v>45545</v>
      </c>
      <c r="K24" s="46">
        <v>0.76826388888888886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s="50">
        <f t="shared" ref="X24" si="8">AVERAGE(I24:I28)</f>
        <v>129.91</v>
      </c>
      <c r="Y24" s="20"/>
      <c r="Z24" s="20" t="str">
        <v>noarch</v>
      </c>
      <c r="AA24" s="20">
        <v>730.11</v>
      </c>
      <c r="AB24" s="20">
        <v>128.52199999999999</v>
      </c>
      <c r="AC24" s="20" t="str">
        <f>IF(VLOOKUP(Z24,'ATLAS builds'!$B$2:$G$50,4,FALSE)=0,"",IFERROR(VLOOKUP(Z24,'ATLAS builds'!$B$2:$G$50,4,FALSE),""))</f>
        <v>-Si archdef 0</v>
      </c>
      <c r="AD24" s="20" t="str">
        <f>IF(VLOOKUP($Z24,'ATLAS builds'!$B$2:$G$50,6,FALSE)=0,"",IFERROR(VLOOKUP($Z24,'ATLAS builds'!$B$2:$G$50,6,FALSE),""))</f>
        <v/>
      </c>
      <c r="AE24" s="20"/>
      <c r="AH24" t="s">
        <v>128</v>
      </c>
      <c r="AI24">
        <v>0</v>
      </c>
      <c r="AJ24" t="s">
        <v>7</v>
      </c>
      <c r="AK24">
        <v>26080</v>
      </c>
      <c r="AL24">
        <v>160</v>
      </c>
      <c r="AM24">
        <v>2</v>
      </c>
      <c r="AN24" s="41">
        <v>8</v>
      </c>
      <c r="AO24" s="1">
        <v>117.88</v>
      </c>
      <c r="AP24" s="20">
        <v>100.33</v>
      </c>
      <c r="AQ24" s="23">
        <v>45544</v>
      </c>
      <c r="AR24" s="44">
        <v>0.66160879629629632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 s="68">
        <f t="shared" ref="BE24" si="9">AVERAGE(AP24:AP28)</f>
        <v>100.3492</v>
      </c>
      <c r="BF24" s="20">
        <f>BE24</f>
        <v>100.3492</v>
      </c>
    </row>
    <row r="25" spans="1:58">
      <c r="A25" t="s">
        <v>125</v>
      </c>
      <c r="B25">
        <v>1</v>
      </c>
      <c r="C25" t="s">
        <v>7</v>
      </c>
      <c r="D25">
        <v>52000</v>
      </c>
      <c r="E25">
        <v>160</v>
      </c>
      <c r="F25">
        <v>2</v>
      </c>
      <c r="G25">
        <v>8</v>
      </c>
      <c r="H25">
        <v>721.58</v>
      </c>
      <c r="I25" s="49">
        <v>129.91</v>
      </c>
      <c r="J25" s="23">
        <v>45545</v>
      </c>
      <c r="K25" s="46">
        <v>0.77682870370370372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s="51">
        <f t="shared" ref="X25" si="10">X24</f>
        <v>129.91</v>
      </c>
      <c r="Y25" s="20"/>
      <c r="Z25" s="20" t="str">
        <v>atlarch</v>
      </c>
      <c r="AA25" s="20">
        <v>731.89</v>
      </c>
      <c r="AB25" s="20">
        <v>127.78599999999999</v>
      </c>
      <c r="AC25" s="20" t="str">
        <f>IF(VLOOKUP(Z25,'ATLAS builds'!$B$2:$G$50,4,FALSE)=0,"",IFERROR(VLOOKUP(Z25,'ATLAS builds'!$B$2:$G$50,4,FALSE),""))</f>
        <v>-A ARM64xgene1</v>
      </c>
      <c r="AD25" s="20" t="str">
        <f>IF(VLOOKUP($Z25,'ATLAS builds'!$B$2:$G$50,6,FALSE)=0,"",IFERROR(VLOOKUP($Z25,'ATLAS builds'!$B$2:$G$50,6,FALSE),""))</f>
        <v/>
      </c>
      <c r="AE25" s="20"/>
      <c r="AH25" t="s">
        <v>128</v>
      </c>
      <c r="AI25">
        <v>1</v>
      </c>
      <c r="AJ25" t="s">
        <v>7</v>
      </c>
      <c r="AK25">
        <v>26080</v>
      </c>
      <c r="AL25">
        <v>160</v>
      </c>
      <c r="AM25">
        <v>2</v>
      </c>
      <c r="AN25" s="41">
        <v>8</v>
      </c>
      <c r="AO25" s="1">
        <v>118.32</v>
      </c>
      <c r="AP25" s="20">
        <v>99.956000000000003</v>
      </c>
      <c r="AQ25" s="23">
        <v>45544</v>
      </c>
      <c r="AR25" s="44">
        <v>0.66305555555555551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 s="69"/>
      <c r="BF25" s="20">
        <f>BE24</f>
        <v>100.3492</v>
      </c>
    </row>
    <row r="26" spans="1:58">
      <c r="A26" t="s">
        <v>125</v>
      </c>
      <c r="B26">
        <v>2</v>
      </c>
      <c r="C26" t="s">
        <v>7</v>
      </c>
      <c r="D26">
        <v>52000</v>
      </c>
      <c r="E26">
        <v>160</v>
      </c>
      <c r="F26">
        <v>2</v>
      </c>
      <c r="G26">
        <v>8</v>
      </c>
      <c r="H26">
        <v>721.61</v>
      </c>
      <c r="I26" s="49">
        <v>129.91</v>
      </c>
      <c r="J26" s="23">
        <v>45545</v>
      </c>
      <c r="K26" s="46">
        <v>0.78540509259259261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s="51">
        <f t="shared" si="4"/>
        <v>129.91</v>
      </c>
      <c r="Y26" s="20"/>
      <c r="Z26" s="20" t="str">
        <v>arch-native-flags</v>
      </c>
      <c r="AA26" s="20">
        <v>734.4</v>
      </c>
      <c r="AB26" s="20">
        <v>127.78399999999999</v>
      </c>
      <c r="AC26" s="20" t="str">
        <f>IF(VLOOKUP(Z26,'ATLAS builds'!$B$2:$G$50,4,FALSE)=0,"",IFERROR(VLOOKUP(Z26,'ATLAS builds'!$B$2:$G$50,4,FALSE),""))</f>
        <v/>
      </c>
      <c r="AD26" s="20" t="str">
        <f>IF(VLOOKUP($Z26,'ATLAS builds'!$B$2:$G$50,6,FALSE)=0,"",IFERROR(VLOOKUP($Z26,'ATLAS builds'!$B$2:$G$50,6,FALSE),""))</f>
        <v xml:space="preserve"> -O2 -march=native -mtune=native -mcpu=native</v>
      </c>
      <c r="AE26" s="20"/>
      <c r="AH26" t="s">
        <v>128</v>
      </c>
      <c r="AI26">
        <v>2</v>
      </c>
      <c r="AJ26" t="s">
        <v>7</v>
      </c>
      <c r="AK26">
        <v>26080</v>
      </c>
      <c r="AL26">
        <v>160</v>
      </c>
      <c r="AM26">
        <v>2</v>
      </c>
      <c r="AN26" s="41">
        <v>8</v>
      </c>
      <c r="AO26" s="1">
        <v>117.93</v>
      </c>
      <c r="AP26" s="20">
        <v>100.29</v>
      </c>
      <c r="AQ26" s="23">
        <v>45544</v>
      </c>
      <c r="AR26" s="44">
        <v>0.66450231481481481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 s="69"/>
      <c r="BF26" s="20">
        <f>BE24</f>
        <v>100.3492</v>
      </c>
    </row>
    <row r="27" spans="1:58">
      <c r="A27" t="s">
        <v>125</v>
      </c>
      <c r="B27">
        <v>3</v>
      </c>
      <c r="C27" t="s">
        <v>7</v>
      </c>
      <c r="D27">
        <v>52000</v>
      </c>
      <c r="E27">
        <v>160</v>
      </c>
      <c r="F27">
        <v>2</v>
      </c>
      <c r="G27">
        <v>8</v>
      </c>
      <c r="H27">
        <v>721.11</v>
      </c>
      <c r="I27" s="49">
        <v>130</v>
      </c>
      <c r="J27" s="23">
        <v>45545</v>
      </c>
      <c r="K27" s="46">
        <v>0.79396990740740736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s="51">
        <f t="shared" si="4"/>
        <v>129.91</v>
      </c>
      <c r="Y27" s="20"/>
      <c r="Z27" s="20" t="str">
        <v>atlarch-cpu</v>
      </c>
      <c r="AA27" s="20">
        <v>897.67</v>
      </c>
      <c r="AB27" s="20">
        <v>104.59400000000001</v>
      </c>
      <c r="AC27" s="20" t="str">
        <f>IF(VLOOKUP(Z27,'ATLAS builds'!$B$2:$G$50,4,FALSE)=0,"",IFERROR(VLOOKUP(Z27,'ATLAS builds'!$B$2:$G$50,4,FALSE),""))</f>
        <v>-A ARM64xgene1</v>
      </c>
      <c r="AD27" s="20" t="str">
        <f>IF(VLOOKUP($Z27,'ATLAS builds'!$B$2:$G$50,6,FALSE)=0,"",IFERROR(VLOOKUP($Z27,'ATLAS builds'!$B$2:$G$50,6,FALSE),""))</f>
        <v>-mcpu=cortex-a76+crypto</v>
      </c>
      <c r="AE27" s="20"/>
      <c r="AH27" t="s">
        <v>128</v>
      </c>
      <c r="AI27">
        <v>3</v>
      </c>
      <c r="AJ27" t="s">
        <v>7</v>
      </c>
      <c r="AK27">
        <v>26080</v>
      </c>
      <c r="AL27">
        <v>160</v>
      </c>
      <c r="AM27">
        <v>2</v>
      </c>
      <c r="AN27" s="41">
        <v>8</v>
      </c>
      <c r="AO27" s="1">
        <v>117.79</v>
      </c>
      <c r="AP27" s="20">
        <v>100.41</v>
      </c>
      <c r="AQ27" s="23">
        <v>45544</v>
      </c>
      <c r="AR27" s="44">
        <v>0.66593749999999996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 s="69"/>
      <c r="BF27" s="20">
        <f>BE24</f>
        <v>100.3492</v>
      </c>
    </row>
    <row r="28" spans="1:58">
      <c r="A28" t="s">
        <v>125</v>
      </c>
      <c r="B28">
        <v>4</v>
      </c>
      <c r="C28" t="s">
        <v>7</v>
      </c>
      <c r="D28">
        <v>52000</v>
      </c>
      <c r="E28">
        <v>160</v>
      </c>
      <c r="F28">
        <v>2</v>
      </c>
      <c r="G28">
        <v>8</v>
      </c>
      <c r="H28">
        <v>721.36</v>
      </c>
      <c r="I28" s="49">
        <v>129.94999999999999</v>
      </c>
      <c r="J28" s="23">
        <v>45545</v>
      </c>
      <c r="K28" s="46">
        <v>0.80253472222222222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s="51">
        <f t="shared" si="4"/>
        <v>129.91</v>
      </c>
      <c r="Y28" s="20"/>
      <c r="Z28" s="20" t="str">
        <v>cpu-tune-clean-flagsearch</v>
      </c>
      <c r="AA28" s="20">
        <v>904.45</v>
      </c>
      <c r="AB28" s="20">
        <v>103.44800000000001</v>
      </c>
      <c r="AC28" s="20" t="str">
        <f>IF(VLOOKUP(Z28,'ATLAS builds'!$B$2:$G$50,4,FALSE)=0,"",IFERROR(VLOOKUP(Z28,'ATLAS builds'!$B$2:$G$50,4,FALSE),""))</f>
        <v/>
      </c>
      <c r="AD28" s="20" t="str">
        <f>IF(VLOOKUP($Z28,'ATLAS builds'!$B$2:$G$50,6,FALSE)=0,"",IFERROR(VLOOKUP($Z28,'ATLAS builds'!$B$2:$G$50,6,FALSE),""))</f>
        <v>-mcpu=cortex-a76+crypto -mtune=cortex-a76</v>
      </c>
      <c r="AE28" s="20"/>
      <c r="AH28" t="s">
        <v>128</v>
      </c>
      <c r="AI28">
        <v>4</v>
      </c>
      <c r="AJ28" t="s">
        <v>7</v>
      </c>
      <c r="AK28">
        <v>26080</v>
      </c>
      <c r="AL28">
        <v>160</v>
      </c>
      <c r="AM28">
        <v>2</v>
      </c>
      <c r="AN28" s="41">
        <v>8</v>
      </c>
      <c r="AO28" s="1">
        <v>117.37</v>
      </c>
      <c r="AP28" s="20">
        <v>100.76</v>
      </c>
      <c r="AQ28" s="23">
        <v>45544</v>
      </c>
      <c r="AR28" s="44">
        <v>0.66737268518518522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 s="70"/>
      <c r="BF28" s="20">
        <f>BE24</f>
        <v>100.3492</v>
      </c>
    </row>
    <row r="29" spans="1:58">
      <c r="A29" t="s">
        <v>132</v>
      </c>
      <c r="B29">
        <v>0</v>
      </c>
      <c r="C29" t="s">
        <v>7</v>
      </c>
      <c r="D29">
        <v>52000</v>
      </c>
      <c r="E29">
        <v>160</v>
      </c>
      <c r="F29">
        <v>2</v>
      </c>
      <c r="G29">
        <v>8</v>
      </c>
      <c r="H29">
        <v>720.67</v>
      </c>
      <c r="I29" s="49">
        <v>130.08000000000001</v>
      </c>
      <c r="J29" s="23">
        <v>45546</v>
      </c>
      <c r="K29" s="46">
        <v>7.9340277777777773E-2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s="50">
        <f t="shared" ref="X29" si="11">AVERAGE(I29:I33)</f>
        <v>129.85599999999999</v>
      </c>
      <c r="Y29" s="20"/>
      <c r="Z29" s="20" t="str">
        <v>generic</v>
      </c>
      <c r="AA29" s="20">
        <v>902.33</v>
      </c>
      <c r="AB29" s="20">
        <v>103.38800000000001</v>
      </c>
      <c r="AC29" s="20" t="str">
        <f>IF(VLOOKUP(Z29,'ATLAS builds'!$B$2:$G$50,4,FALSE)=0,"",IFERROR(VLOOKUP(Z29,'ATLAS builds'!$B$2:$G$50,4,FALSE),""))</f>
        <v>-Si archdef 1</v>
      </c>
      <c r="AD29" s="20" t="str">
        <f>IF(VLOOKUP($Z29,'ATLAS builds'!$B$2:$G$50,6,FALSE)=0,"",IFERROR(VLOOKUP($Z29,'ATLAS builds'!$B$2:$G$50,6,FALSE),""))</f>
        <v/>
      </c>
      <c r="AE29" s="20"/>
      <c r="AH29" t="s">
        <v>132</v>
      </c>
      <c r="AI29">
        <v>0</v>
      </c>
      <c r="AJ29" t="s">
        <v>7</v>
      </c>
      <c r="AK29">
        <v>26080</v>
      </c>
      <c r="AL29">
        <v>160</v>
      </c>
      <c r="AM29">
        <v>2</v>
      </c>
      <c r="AN29" s="41">
        <v>8</v>
      </c>
      <c r="AO29" s="1">
        <v>117.76</v>
      </c>
      <c r="AP29" s="20">
        <v>100.43</v>
      </c>
      <c r="AQ29" s="23">
        <v>45544</v>
      </c>
      <c r="AR29" s="44">
        <v>0.69050925925925921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 s="68">
        <f t="shared" ref="BE29" si="12">AVERAGE(AP29:AP33)</f>
        <v>100.28880000000001</v>
      </c>
      <c r="BF29" s="20">
        <f>BE29</f>
        <v>100.28880000000001</v>
      </c>
    </row>
    <row r="30" spans="1:58">
      <c r="A30" t="s">
        <v>132</v>
      </c>
      <c r="B30">
        <v>1</v>
      </c>
      <c r="C30" t="s">
        <v>7</v>
      </c>
      <c r="D30">
        <v>52000</v>
      </c>
      <c r="E30">
        <v>160</v>
      </c>
      <c r="F30">
        <v>2</v>
      </c>
      <c r="G30">
        <v>8</v>
      </c>
      <c r="H30">
        <v>721.75</v>
      </c>
      <c r="I30" s="49">
        <v>129.88</v>
      </c>
      <c r="J30" s="23">
        <v>45546</v>
      </c>
      <c r="K30" s="46">
        <v>8.7916666666666671E-2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s="51">
        <f t="shared" ref="X30" si="13">X29</f>
        <v>129.85599999999999</v>
      </c>
      <c r="Y30" s="20"/>
      <c r="Z30" s="20" t="str">
        <v>cpu-tune-flags</v>
      </c>
      <c r="AA30" s="20">
        <v>911.46</v>
      </c>
      <c r="AB30" s="20">
        <v>103.114</v>
      </c>
      <c r="AC30" s="20" t="str">
        <f>IF(VLOOKUP(Z30,'ATLAS builds'!$B$2:$G$50,4,FALSE)=0,"",IFERROR(VLOOKUP(Z30,'ATLAS builds'!$B$2:$G$50,4,FALSE),""))</f>
        <v/>
      </c>
      <c r="AD30" s="20" t="str">
        <f>IF(VLOOKUP($Z30,'ATLAS builds'!$B$2:$G$50,6,FALSE)=0,"",IFERROR(VLOOKUP($Z30,'ATLAS builds'!$B$2:$G$50,6,FALSE),""))</f>
        <v xml:space="preserve"> -O2 -mcpu=cortex-a76+crypto -mtune=cortex-a76</v>
      </c>
      <c r="AE30" s="20"/>
      <c r="AH30" t="s">
        <v>132</v>
      </c>
      <c r="AI30">
        <v>1</v>
      </c>
      <c r="AJ30" t="s">
        <v>7</v>
      </c>
      <c r="AK30">
        <v>26080</v>
      </c>
      <c r="AL30">
        <v>160</v>
      </c>
      <c r="AM30">
        <v>2</v>
      </c>
      <c r="AN30" s="41">
        <v>8</v>
      </c>
      <c r="AO30" s="1">
        <v>117.5</v>
      </c>
      <c r="AP30" s="20">
        <v>100.65</v>
      </c>
      <c r="AQ30" s="23">
        <v>45544</v>
      </c>
      <c r="AR30" s="44">
        <v>0.69195601851851851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 s="69"/>
      <c r="BF30" s="20">
        <f>BE29</f>
        <v>100.28880000000001</v>
      </c>
    </row>
    <row r="31" spans="1:58">
      <c r="A31" t="s">
        <v>132</v>
      </c>
      <c r="B31">
        <v>2</v>
      </c>
      <c r="C31" t="s">
        <v>7</v>
      </c>
      <c r="D31">
        <v>52000</v>
      </c>
      <c r="E31">
        <v>160</v>
      </c>
      <c r="F31">
        <v>2</v>
      </c>
      <c r="G31">
        <v>8</v>
      </c>
      <c r="H31">
        <v>721.31</v>
      </c>
      <c r="I31" s="49">
        <v>129.96</v>
      </c>
      <c r="J31" s="23">
        <v>45546</v>
      </c>
      <c r="K31" s="46">
        <v>9.6493055555555554E-2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s="51">
        <f t="shared" si="4"/>
        <v>129.85599999999999</v>
      </c>
      <c r="Y31" s="20"/>
      <c r="Z31" s="20" t="str">
        <v>all-spec</v>
      </c>
      <c r="AA31" s="20">
        <v>912.39</v>
      </c>
      <c r="AB31" s="20">
        <v>102.922</v>
      </c>
      <c r="AC31" s="20" t="str">
        <f>IF(VLOOKUP(Z31,'ATLAS builds'!$B$2:$G$50,4,FALSE)=0,"",IFERROR(VLOOKUP(Z31,'ATLAS builds'!$B$2:$G$50,4,FALSE),""))</f>
        <v/>
      </c>
      <c r="AD31" s="20" t="str">
        <f>IF(VLOOKUP($Z31,'ATLAS builds'!$B$2:$G$50,6,FALSE)=0,"",IFERROR(VLOOKUP($Z31,'ATLAS builds'!$B$2:$G$50,6,FALSE),""))</f>
        <v>-march=armv8.2-a+crypto+fp16+rcpc+dotprod -mtune=cortex-a76 -mcpu=cortex-a76+crypto</v>
      </c>
      <c r="AE31" s="20"/>
      <c r="AH31" t="s">
        <v>132</v>
      </c>
      <c r="AI31">
        <v>2</v>
      </c>
      <c r="AJ31" t="s">
        <v>7</v>
      </c>
      <c r="AK31">
        <v>26080</v>
      </c>
      <c r="AL31">
        <v>160</v>
      </c>
      <c r="AM31">
        <v>2</v>
      </c>
      <c r="AN31" s="41">
        <v>8</v>
      </c>
      <c r="AO31" s="1">
        <v>117.87</v>
      </c>
      <c r="AP31" s="20">
        <v>100.34</v>
      </c>
      <c r="AQ31" s="23">
        <v>45544</v>
      </c>
      <c r="AR31" s="44">
        <v>0.69339120370370366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 s="69"/>
      <c r="BF31" s="20">
        <f>BE29</f>
        <v>100.28880000000001</v>
      </c>
    </row>
    <row r="32" spans="1:58">
      <c r="A32" t="s">
        <v>132</v>
      </c>
      <c r="B32">
        <v>3</v>
      </c>
      <c r="C32" t="s">
        <v>7</v>
      </c>
      <c r="D32">
        <v>52000</v>
      </c>
      <c r="E32">
        <v>160</v>
      </c>
      <c r="F32">
        <v>2</v>
      </c>
      <c r="G32">
        <v>8</v>
      </c>
      <c r="H32">
        <v>724.32</v>
      </c>
      <c r="I32" s="49">
        <v>129.41999999999999</v>
      </c>
      <c r="J32" s="23">
        <v>45546</v>
      </c>
      <c r="K32" s="46">
        <v>0.10510416666666667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s="51">
        <f t="shared" si="4"/>
        <v>129.85599999999999</v>
      </c>
      <c r="Y32" s="20"/>
      <c r="Z32" s="20">
        <v>0</v>
      </c>
      <c r="AA32" s="20">
        <v>0</v>
      </c>
      <c r="AB32" s="20">
        <v>0</v>
      </c>
      <c r="AC32" s="20"/>
      <c r="AD32" s="20"/>
      <c r="AE32" s="20"/>
      <c r="AH32" t="s">
        <v>132</v>
      </c>
      <c r="AI32">
        <v>3</v>
      </c>
      <c r="AJ32" t="s">
        <v>7</v>
      </c>
      <c r="AK32">
        <v>26080</v>
      </c>
      <c r="AL32">
        <v>160</v>
      </c>
      <c r="AM32">
        <v>2</v>
      </c>
      <c r="AN32" s="41">
        <v>8</v>
      </c>
      <c r="AO32" s="1">
        <v>118.19</v>
      </c>
      <c r="AP32" s="20">
        <v>100.07</v>
      </c>
      <c r="AQ32" s="23">
        <v>45544</v>
      </c>
      <c r="AR32" s="44">
        <v>0.69483796296296296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 s="69"/>
      <c r="BF32" s="20">
        <f>BE29</f>
        <v>100.28880000000001</v>
      </c>
    </row>
    <row r="33" spans="1:58">
      <c r="A33" t="s">
        <v>132</v>
      </c>
      <c r="B33">
        <v>4</v>
      </c>
      <c r="C33" t="s">
        <v>7</v>
      </c>
      <c r="D33">
        <v>52000</v>
      </c>
      <c r="E33">
        <v>160</v>
      </c>
      <c r="F33">
        <v>2</v>
      </c>
      <c r="G33">
        <v>8</v>
      </c>
      <c r="H33">
        <v>721.42</v>
      </c>
      <c r="I33" s="49">
        <v>129.94</v>
      </c>
      <c r="J33" s="23">
        <v>45546</v>
      </c>
      <c r="K33" s="46">
        <v>0.11368055555555556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s="51">
        <f t="shared" si="4"/>
        <v>129.85599999999999</v>
      </c>
      <c r="Y33" s="20"/>
      <c r="Z33" s="20">
        <v>0</v>
      </c>
      <c r="AA33" s="20">
        <v>0</v>
      </c>
      <c r="AB33" s="20">
        <v>0</v>
      </c>
      <c r="AC33" s="20"/>
      <c r="AD33" s="20"/>
      <c r="AE33" s="20"/>
      <c r="AH33" t="s">
        <v>132</v>
      </c>
      <c r="AI33">
        <v>4</v>
      </c>
      <c r="AJ33" t="s">
        <v>7</v>
      </c>
      <c r="AK33">
        <v>26080</v>
      </c>
      <c r="AL33">
        <v>160</v>
      </c>
      <c r="AM33">
        <v>2</v>
      </c>
      <c r="AN33" s="41">
        <v>8</v>
      </c>
      <c r="AO33" s="1">
        <v>118.32</v>
      </c>
      <c r="AP33" s="20">
        <v>99.953999999999994</v>
      </c>
      <c r="AQ33" s="23">
        <v>45544</v>
      </c>
      <c r="AR33" s="44">
        <v>0.69628472222222226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 s="70"/>
      <c r="BF33" s="20">
        <f>BE29</f>
        <v>100.28880000000001</v>
      </c>
    </row>
    <row r="34" spans="1:58">
      <c r="A34" t="s">
        <v>121</v>
      </c>
      <c r="B34">
        <v>0</v>
      </c>
      <c r="C34" t="s">
        <v>7</v>
      </c>
      <c r="D34">
        <v>52000</v>
      </c>
      <c r="E34">
        <v>160</v>
      </c>
      <c r="F34">
        <v>2</v>
      </c>
      <c r="G34">
        <v>8</v>
      </c>
      <c r="H34">
        <v>723.13</v>
      </c>
      <c r="I34" s="49">
        <v>129.63</v>
      </c>
      <c r="J34" s="23">
        <v>45545</v>
      </c>
      <c r="K34" s="46">
        <v>0.59597222222222224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s="50">
        <f t="shared" ref="X34" si="14">AVERAGE(I34:I38)</f>
        <v>129.85399999999998</v>
      </c>
      <c r="Y34" s="20"/>
      <c r="Z34" s="20">
        <v>0</v>
      </c>
      <c r="AA34" s="20">
        <v>0</v>
      </c>
      <c r="AB34" s="20">
        <v>0</v>
      </c>
      <c r="AC34" s="20"/>
      <c r="AD34" s="20"/>
      <c r="AE34" s="20"/>
      <c r="AH34" t="s">
        <v>124</v>
      </c>
      <c r="AI34">
        <v>0</v>
      </c>
      <c r="AJ34" t="s">
        <v>7</v>
      </c>
      <c r="AK34">
        <v>26080</v>
      </c>
      <c r="AL34">
        <v>160</v>
      </c>
      <c r="AM34">
        <v>2</v>
      </c>
      <c r="AN34" s="41">
        <v>8</v>
      </c>
      <c r="AO34" s="1">
        <v>118.16</v>
      </c>
      <c r="AP34" s="20">
        <v>100.09</v>
      </c>
      <c r="AQ34" s="23">
        <v>45544</v>
      </c>
      <c r="AR34" s="44">
        <v>0.63067129629629626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 s="68">
        <f t="shared" ref="BE34" si="15">AVERAGE(AP34:AP38)</f>
        <v>100.0586</v>
      </c>
      <c r="BF34" s="20">
        <f>BE34</f>
        <v>100.0586</v>
      </c>
    </row>
    <row r="35" spans="1:58">
      <c r="A35" t="s">
        <v>121</v>
      </c>
      <c r="B35">
        <v>1</v>
      </c>
      <c r="C35" t="s">
        <v>7</v>
      </c>
      <c r="D35">
        <v>52000</v>
      </c>
      <c r="E35">
        <v>160</v>
      </c>
      <c r="F35">
        <v>2</v>
      </c>
      <c r="G35">
        <v>8</v>
      </c>
      <c r="H35">
        <v>722.34</v>
      </c>
      <c r="I35" s="49">
        <v>129.78</v>
      </c>
      <c r="J35" s="23">
        <v>45545</v>
      </c>
      <c r="K35" s="46">
        <v>0.60454861111111113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s="51">
        <f t="shared" ref="X35" si="16">X34</f>
        <v>129.85399999999998</v>
      </c>
      <c r="Y35" s="20"/>
      <c r="Z35" s="20">
        <v>0</v>
      </c>
      <c r="AA35" s="20">
        <v>0</v>
      </c>
      <c r="AB35" s="20">
        <v>0</v>
      </c>
      <c r="AC35" s="20"/>
      <c r="AD35" s="20"/>
      <c r="AE35" s="20"/>
      <c r="AH35" t="s">
        <v>124</v>
      </c>
      <c r="AI35">
        <v>1</v>
      </c>
      <c r="AJ35" t="s">
        <v>7</v>
      </c>
      <c r="AK35">
        <v>26080</v>
      </c>
      <c r="AL35">
        <v>160</v>
      </c>
      <c r="AM35">
        <v>2</v>
      </c>
      <c r="AN35" s="41">
        <v>8</v>
      </c>
      <c r="AO35" s="1">
        <v>118.12</v>
      </c>
      <c r="AP35" s="20">
        <v>100.12</v>
      </c>
      <c r="AQ35" s="23">
        <v>45544</v>
      </c>
      <c r="AR35" s="44">
        <v>0.63211805555555556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 s="69"/>
      <c r="BF35" s="20">
        <f>BE34</f>
        <v>100.0586</v>
      </c>
    </row>
    <row r="36" spans="1:58">
      <c r="A36" t="s">
        <v>121</v>
      </c>
      <c r="B36">
        <v>2</v>
      </c>
      <c r="C36" t="s">
        <v>7</v>
      </c>
      <c r="D36">
        <v>52000</v>
      </c>
      <c r="E36">
        <v>160</v>
      </c>
      <c r="F36">
        <v>2</v>
      </c>
      <c r="G36">
        <v>8</v>
      </c>
      <c r="H36">
        <v>721.93</v>
      </c>
      <c r="I36" s="49">
        <v>129.85</v>
      </c>
      <c r="J36" s="23">
        <v>45545</v>
      </c>
      <c r="K36" s="46">
        <v>0.61312500000000003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51">
        <f t="shared" si="4"/>
        <v>129.85399999999998</v>
      </c>
      <c r="Y36" s="20"/>
      <c r="Z36" s="20">
        <v>0</v>
      </c>
      <c r="AA36" s="20">
        <v>0</v>
      </c>
      <c r="AB36" s="20">
        <v>0</v>
      </c>
      <c r="AC36" s="20"/>
      <c r="AD36" s="20"/>
      <c r="AE36" s="20"/>
      <c r="AH36" t="s">
        <v>124</v>
      </c>
      <c r="AI36">
        <v>2</v>
      </c>
      <c r="AJ36" t="s">
        <v>7</v>
      </c>
      <c r="AK36">
        <v>26080</v>
      </c>
      <c r="AL36">
        <v>160</v>
      </c>
      <c r="AM36">
        <v>2</v>
      </c>
      <c r="AN36" s="41">
        <v>8</v>
      </c>
      <c r="AO36" s="1">
        <v>118.14</v>
      </c>
      <c r="AP36" s="20">
        <v>100.1</v>
      </c>
      <c r="AQ36" s="23">
        <v>45544</v>
      </c>
      <c r="AR36" s="44">
        <v>0.63356481481481486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 s="69"/>
      <c r="BF36" s="20">
        <f>BE34</f>
        <v>100.0586</v>
      </c>
    </row>
    <row r="37" spans="1:58">
      <c r="A37" t="s">
        <v>121</v>
      </c>
      <c r="B37">
        <v>3</v>
      </c>
      <c r="C37" t="s">
        <v>7</v>
      </c>
      <c r="D37">
        <v>52000</v>
      </c>
      <c r="E37">
        <v>160</v>
      </c>
      <c r="F37">
        <v>2</v>
      </c>
      <c r="G37">
        <v>8</v>
      </c>
      <c r="H37">
        <v>720.91</v>
      </c>
      <c r="I37" s="49">
        <v>130.03</v>
      </c>
      <c r="J37" s="23">
        <v>45545</v>
      </c>
      <c r="K37" s="46">
        <v>0.62168981481481478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s="51">
        <f t="shared" si="4"/>
        <v>129.85399999999998</v>
      </c>
      <c r="Y37" s="20"/>
      <c r="Z37" s="20">
        <v>0</v>
      </c>
      <c r="AA37" s="20">
        <v>0</v>
      </c>
      <c r="AB37" s="20">
        <v>0</v>
      </c>
      <c r="AC37" s="20"/>
      <c r="AD37" s="20"/>
      <c r="AE37" s="20"/>
      <c r="AH37" t="s">
        <v>124</v>
      </c>
      <c r="AI37">
        <v>3</v>
      </c>
      <c r="AJ37" t="s">
        <v>7</v>
      </c>
      <c r="AK37">
        <v>26080</v>
      </c>
      <c r="AL37">
        <v>160</v>
      </c>
      <c r="AM37">
        <v>2</v>
      </c>
      <c r="AN37" s="41">
        <v>8</v>
      </c>
      <c r="AO37" s="1">
        <v>118.31</v>
      </c>
      <c r="AP37" s="20">
        <v>99.962999999999994</v>
      </c>
      <c r="AQ37" s="23">
        <v>45544</v>
      </c>
      <c r="AR37" s="44">
        <v>0.63501157407407405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 s="69"/>
      <c r="BF37" s="20">
        <f>BE34</f>
        <v>100.0586</v>
      </c>
    </row>
    <row r="38" spans="1:58">
      <c r="A38" t="s">
        <v>121</v>
      </c>
      <c r="B38">
        <v>4</v>
      </c>
      <c r="C38" t="s">
        <v>7</v>
      </c>
      <c r="D38">
        <v>52000</v>
      </c>
      <c r="E38">
        <v>160</v>
      </c>
      <c r="F38">
        <v>2</v>
      </c>
      <c r="G38">
        <v>8</v>
      </c>
      <c r="H38">
        <v>721.23</v>
      </c>
      <c r="I38" s="49">
        <v>129.97999999999999</v>
      </c>
      <c r="J38" s="23">
        <v>45545</v>
      </c>
      <c r="K38" s="46">
        <v>0.63026620370370368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51">
        <f t="shared" si="4"/>
        <v>129.85399999999998</v>
      </c>
      <c r="Y38" s="20"/>
      <c r="Z38" s="20">
        <v>0</v>
      </c>
      <c r="AA38" s="20">
        <v>0</v>
      </c>
      <c r="AB38" s="20">
        <v>0</v>
      </c>
      <c r="AC38" s="20"/>
      <c r="AD38" s="20"/>
      <c r="AE38" s="20"/>
      <c r="AH38" t="s">
        <v>124</v>
      </c>
      <c r="AI38">
        <v>4</v>
      </c>
      <c r="AJ38" t="s">
        <v>7</v>
      </c>
      <c r="AK38">
        <v>26080</v>
      </c>
      <c r="AL38">
        <v>160</v>
      </c>
      <c r="AM38">
        <v>2</v>
      </c>
      <c r="AN38" s="41">
        <v>8</v>
      </c>
      <c r="AO38" s="1">
        <v>118.24</v>
      </c>
      <c r="AP38" s="20">
        <v>100.02</v>
      </c>
      <c r="AQ38" s="23">
        <v>45544</v>
      </c>
      <c r="AR38" s="44">
        <v>0.63645833333333335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 s="70"/>
      <c r="BF38" s="20">
        <f>BE34</f>
        <v>100.0586</v>
      </c>
    </row>
    <row r="39" spans="1:58">
      <c r="A39" t="s">
        <v>124</v>
      </c>
      <c r="B39">
        <v>0</v>
      </c>
      <c r="C39" t="s">
        <v>7</v>
      </c>
      <c r="D39">
        <v>52000</v>
      </c>
      <c r="E39">
        <v>160</v>
      </c>
      <c r="F39">
        <v>2</v>
      </c>
      <c r="G39">
        <v>8</v>
      </c>
      <c r="H39">
        <v>721.23</v>
      </c>
      <c r="I39" s="49">
        <v>129.97999999999999</v>
      </c>
      <c r="J39" s="23">
        <v>45545</v>
      </c>
      <c r="K39" s="46">
        <v>0.72535879629629629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50">
        <f t="shared" ref="X39" si="17">AVERAGE(I39:I43)</f>
        <v>129.83199999999997</v>
      </c>
      <c r="Y39" s="20"/>
      <c r="Z39" s="20">
        <v>0</v>
      </c>
      <c r="AA39" s="20">
        <v>0</v>
      </c>
      <c r="AB39" s="20">
        <v>0</v>
      </c>
      <c r="AC39" s="20"/>
      <c r="AD39" s="20"/>
      <c r="AE39" s="20"/>
      <c r="AH39" t="s">
        <v>129</v>
      </c>
      <c r="AI39">
        <v>0</v>
      </c>
      <c r="AJ39" t="s">
        <v>7</v>
      </c>
      <c r="AK39">
        <v>26080</v>
      </c>
      <c r="AL39">
        <v>160</v>
      </c>
      <c r="AM39">
        <v>2</v>
      </c>
      <c r="AN39" s="41">
        <v>8</v>
      </c>
      <c r="AO39" s="1">
        <v>118.55</v>
      </c>
      <c r="AP39" s="20">
        <v>99.763999999999996</v>
      </c>
      <c r="AQ39" s="23">
        <v>45544</v>
      </c>
      <c r="AR39" s="44">
        <v>0.66883101851851856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 s="68">
        <f t="shared" ref="BE39" si="18">AVERAGE(AP39:AP43)</f>
        <v>100.05419999999999</v>
      </c>
      <c r="BF39" s="20">
        <f>BE39</f>
        <v>100.05419999999999</v>
      </c>
    </row>
    <row r="40" spans="1:58">
      <c r="A40" t="s">
        <v>124</v>
      </c>
      <c r="B40">
        <v>1</v>
      </c>
      <c r="C40" t="s">
        <v>7</v>
      </c>
      <c r="D40">
        <v>52000</v>
      </c>
      <c r="E40">
        <v>160</v>
      </c>
      <c r="F40">
        <v>2</v>
      </c>
      <c r="G40">
        <v>8</v>
      </c>
      <c r="H40">
        <v>721.39</v>
      </c>
      <c r="I40" s="49">
        <v>129.94999999999999</v>
      </c>
      <c r="J40" s="23">
        <v>45545</v>
      </c>
      <c r="K40" s="46">
        <v>0.73393518518518519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51">
        <f t="shared" ref="X40" si="19">X39</f>
        <v>129.83199999999997</v>
      </c>
      <c r="Y40" s="20"/>
      <c r="Z40" s="20">
        <v>0</v>
      </c>
      <c r="AA40" s="20">
        <v>0</v>
      </c>
      <c r="AB40" s="20">
        <v>0</v>
      </c>
      <c r="AC40" s="20"/>
      <c r="AD40" s="20"/>
      <c r="AE40" s="20"/>
      <c r="AH40" t="s">
        <v>129</v>
      </c>
      <c r="AI40">
        <v>1</v>
      </c>
      <c r="AJ40" t="s">
        <v>7</v>
      </c>
      <c r="AK40">
        <v>26080</v>
      </c>
      <c r="AL40">
        <v>160</v>
      </c>
      <c r="AM40">
        <v>2</v>
      </c>
      <c r="AN40" s="41">
        <v>8</v>
      </c>
      <c r="AO40" s="1">
        <v>117.85</v>
      </c>
      <c r="AP40" s="20">
        <v>100.36</v>
      </c>
      <c r="AQ40" s="23">
        <v>45544</v>
      </c>
      <c r="AR40" s="44">
        <v>0.67026620370370371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 s="69"/>
      <c r="BF40" s="20">
        <f>BE39</f>
        <v>100.05419999999999</v>
      </c>
    </row>
    <row r="41" spans="1:58">
      <c r="A41" t="s">
        <v>124</v>
      </c>
      <c r="B41">
        <v>2</v>
      </c>
      <c r="C41" t="s">
        <v>7</v>
      </c>
      <c r="D41">
        <v>52000</v>
      </c>
      <c r="E41">
        <v>160</v>
      </c>
      <c r="F41">
        <v>2</v>
      </c>
      <c r="G41">
        <v>8</v>
      </c>
      <c r="H41">
        <v>721.75</v>
      </c>
      <c r="I41" s="49">
        <v>129.88</v>
      </c>
      <c r="J41" s="23">
        <v>45545</v>
      </c>
      <c r="K41" s="46">
        <v>0.74250000000000005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51">
        <f t="shared" si="4"/>
        <v>129.83199999999997</v>
      </c>
      <c r="Y41" s="20"/>
      <c r="Z41" s="20">
        <v>0</v>
      </c>
      <c r="AA41" s="20">
        <v>0</v>
      </c>
      <c r="AB41" s="20">
        <v>0</v>
      </c>
      <c r="AC41" s="20"/>
      <c r="AD41" s="20"/>
      <c r="AE41" s="20"/>
      <c r="AH41" t="s">
        <v>129</v>
      </c>
      <c r="AI41">
        <v>2</v>
      </c>
      <c r="AJ41" t="s">
        <v>7</v>
      </c>
      <c r="AK41">
        <v>26080</v>
      </c>
      <c r="AL41">
        <v>160</v>
      </c>
      <c r="AM41">
        <v>2</v>
      </c>
      <c r="AN41" s="41">
        <v>8</v>
      </c>
      <c r="AO41" s="1">
        <v>117.94</v>
      </c>
      <c r="AP41" s="20">
        <v>100.28</v>
      </c>
      <c r="AQ41" s="23">
        <v>45544</v>
      </c>
      <c r="AR41" s="44">
        <v>0.67171296296296301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 s="69"/>
      <c r="BF41" s="20">
        <f>BE39</f>
        <v>100.05419999999999</v>
      </c>
    </row>
    <row r="42" spans="1:58">
      <c r="A42" t="s">
        <v>124</v>
      </c>
      <c r="B42">
        <v>3</v>
      </c>
      <c r="C42" t="s">
        <v>7</v>
      </c>
      <c r="D42">
        <v>52000</v>
      </c>
      <c r="E42">
        <v>160</v>
      </c>
      <c r="F42">
        <v>2</v>
      </c>
      <c r="G42">
        <v>8</v>
      </c>
      <c r="H42">
        <v>722.99</v>
      </c>
      <c r="I42" s="49">
        <v>129.66</v>
      </c>
      <c r="J42" s="23">
        <v>45545</v>
      </c>
      <c r="K42" s="46">
        <v>0.75108796296296299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51">
        <f t="shared" si="4"/>
        <v>129.83199999999997</v>
      </c>
      <c r="Y42" s="20"/>
      <c r="Z42" s="20">
        <v>0</v>
      </c>
      <c r="AA42" s="20">
        <v>0</v>
      </c>
      <c r="AB42" s="20">
        <v>0</v>
      </c>
      <c r="AC42" s="20"/>
      <c r="AD42" s="20"/>
      <c r="AE42" s="20"/>
      <c r="AH42" t="s">
        <v>129</v>
      </c>
      <c r="AI42">
        <v>3</v>
      </c>
      <c r="AJ42" t="s">
        <v>7</v>
      </c>
      <c r="AK42">
        <v>26080</v>
      </c>
      <c r="AL42">
        <v>160</v>
      </c>
      <c r="AM42">
        <v>2</v>
      </c>
      <c r="AN42" s="41">
        <v>8</v>
      </c>
      <c r="AO42" s="1">
        <v>118.17</v>
      </c>
      <c r="AP42" s="20">
        <v>100.08</v>
      </c>
      <c r="AQ42" s="23">
        <v>45544</v>
      </c>
      <c r="AR42" s="44">
        <v>0.6731597222222222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 s="69"/>
      <c r="BF42" s="20">
        <f>BE39</f>
        <v>100.05419999999999</v>
      </c>
    </row>
    <row r="43" spans="1:58">
      <c r="A43" t="s">
        <v>124</v>
      </c>
      <c r="B43">
        <v>4</v>
      </c>
      <c r="C43" t="s">
        <v>7</v>
      </c>
      <c r="D43">
        <v>52000</v>
      </c>
      <c r="E43">
        <v>160</v>
      </c>
      <c r="F43">
        <v>2</v>
      </c>
      <c r="G43">
        <v>8</v>
      </c>
      <c r="H43">
        <v>722.81</v>
      </c>
      <c r="I43" s="49">
        <v>129.69</v>
      </c>
      <c r="J43" s="23">
        <v>45545</v>
      </c>
      <c r="K43" s="46">
        <v>0.75967592592592592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51">
        <f t="shared" si="4"/>
        <v>129.83199999999997</v>
      </c>
      <c r="Y43" s="20"/>
      <c r="Z43" s="20">
        <v>0</v>
      </c>
      <c r="AA43" s="20">
        <v>0</v>
      </c>
      <c r="AB43" s="20">
        <v>0</v>
      </c>
      <c r="AC43" s="20"/>
      <c r="AD43" s="20"/>
      <c r="AE43" s="20"/>
      <c r="AH43" t="s">
        <v>129</v>
      </c>
      <c r="AI43">
        <v>4</v>
      </c>
      <c r="AJ43" t="s">
        <v>7</v>
      </c>
      <c r="AK43">
        <v>26080</v>
      </c>
      <c r="AL43">
        <v>160</v>
      </c>
      <c r="AM43">
        <v>2</v>
      </c>
      <c r="AN43" s="41">
        <v>8</v>
      </c>
      <c r="AO43" s="1">
        <v>118.52</v>
      </c>
      <c r="AP43" s="20">
        <v>99.787000000000006</v>
      </c>
      <c r="AQ43" s="23">
        <v>45544</v>
      </c>
      <c r="AR43" s="44">
        <v>0.6746064814814815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 s="70"/>
      <c r="BF43" s="20">
        <f>BE39</f>
        <v>100.05419999999999</v>
      </c>
    </row>
    <row r="44" spans="1:58">
      <c r="A44" t="s">
        <v>126</v>
      </c>
      <c r="B44">
        <v>0</v>
      </c>
      <c r="C44" t="s">
        <v>7</v>
      </c>
      <c r="D44">
        <v>52000</v>
      </c>
      <c r="E44">
        <v>160</v>
      </c>
      <c r="F44">
        <v>2</v>
      </c>
      <c r="G44">
        <v>8</v>
      </c>
      <c r="H44">
        <v>722.52</v>
      </c>
      <c r="I44" s="49">
        <v>129.74</v>
      </c>
      <c r="J44" s="23">
        <v>45545</v>
      </c>
      <c r="K44" s="46">
        <v>0.81111111111111112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50">
        <f t="shared" ref="X44" si="20">AVERAGE(I44:I48)</f>
        <v>129.822</v>
      </c>
      <c r="Y44" s="20"/>
      <c r="Z44" s="20">
        <v>0</v>
      </c>
      <c r="AA44" s="20">
        <v>0</v>
      </c>
      <c r="AB44" s="20">
        <v>0</v>
      </c>
      <c r="AC44" s="20"/>
      <c r="AD44" s="20"/>
      <c r="AE44" s="20"/>
      <c r="AH44" t="s">
        <v>123</v>
      </c>
      <c r="AI44">
        <v>0</v>
      </c>
      <c r="AJ44" t="s">
        <v>7</v>
      </c>
      <c r="AK44">
        <v>26080</v>
      </c>
      <c r="AL44">
        <v>160</v>
      </c>
      <c r="AM44">
        <v>2</v>
      </c>
      <c r="AN44" s="41">
        <v>8</v>
      </c>
      <c r="AO44" s="1">
        <v>118.55</v>
      </c>
      <c r="AP44" s="20">
        <v>99.760999999999996</v>
      </c>
      <c r="AQ44" s="23">
        <v>45544</v>
      </c>
      <c r="AR44" s="44">
        <v>0.62343749999999998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 s="68">
        <f t="shared" ref="BE44" si="21">AVERAGE(AP44:AP48)</f>
        <v>100.04599999999999</v>
      </c>
      <c r="BF44" s="20">
        <f>BE44</f>
        <v>100.04599999999999</v>
      </c>
    </row>
    <row r="45" spans="1:58">
      <c r="A45" t="s">
        <v>126</v>
      </c>
      <c r="B45">
        <v>1</v>
      </c>
      <c r="C45" t="s">
        <v>7</v>
      </c>
      <c r="D45">
        <v>52000</v>
      </c>
      <c r="E45">
        <v>160</v>
      </c>
      <c r="F45">
        <v>2</v>
      </c>
      <c r="G45">
        <v>8</v>
      </c>
      <c r="H45">
        <v>721.43</v>
      </c>
      <c r="I45" s="49">
        <v>129.94</v>
      </c>
      <c r="J45" s="23">
        <v>45545</v>
      </c>
      <c r="K45" s="46">
        <v>0.81968750000000001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51">
        <f t="shared" ref="X45" si="22">X44</f>
        <v>129.822</v>
      </c>
      <c r="Y45" s="20"/>
      <c r="Z45" s="20">
        <v>0</v>
      </c>
      <c r="AA45" s="20">
        <v>0</v>
      </c>
      <c r="AB45" s="20">
        <v>0</v>
      </c>
      <c r="AC45" s="20"/>
      <c r="AD45" s="20"/>
      <c r="AE45" s="20"/>
      <c r="AH45" t="s">
        <v>123</v>
      </c>
      <c r="AI45">
        <v>1</v>
      </c>
      <c r="AJ45" t="s">
        <v>7</v>
      </c>
      <c r="AK45">
        <v>26080</v>
      </c>
      <c r="AL45">
        <v>160</v>
      </c>
      <c r="AM45">
        <v>2</v>
      </c>
      <c r="AN45" s="41">
        <v>8</v>
      </c>
      <c r="AO45" s="1">
        <v>117.86</v>
      </c>
      <c r="AP45" s="20">
        <v>100.35</v>
      </c>
      <c r="AQ45" s="23">
        <v>45544</v>
      </c>
      <c r="AR45" s="44">
        <v>0.62488425925925928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 s="69"/>
      <c r="BF45" s="20">
        <f>BE44</f>
        <v>100.04599999999999</v>
      </c>
    </row>
    <row r="46" spans="1:58">
      <c r="A46" t="s">
        <v>126</v>
      </c>
      <c r="B46">
        <v>2</v>
      </c>
      <c r="C46" t="s">
        <v>7</v>
      </c>
      <c r="D46">
        <v>52000</v>
      </c>
      <c r="E46">
        <v>160</v>
      </c>
      <c r="F46">
        <v>2</v>
      </c>
      <c r="G46">
        <v>8</v>
      </c>
      <c r="H46">
        <v>722.11</v>
      </c>
      <c r="I46" s="49">
        <v>129.82</v>
      </c>
      <c r="J46" s="23">
        <v>45545</v>
      </c>
      <c r="K46" s="46">
        <v>0.82826388888888891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51">
        <f t="shared" si="4"/>
        <v>129.822</v>
      </c>
      <c r="Y46" s="20"/>
      <c r="Z46" s="20">
        <v>0</v>
      </c>
      <c r="AA46" s="20">
        <v>0</v>
      </c>
      <c r="AB46" s="20">
        <v>0</v>
      </c>
      <c r="AC46" s="20"/>
      <c r="AD46" s="20"/>
      <c r="AE46" s="20"/>
      <c r="AH46" t="s">
        <v>123</v>
      </c>
      <c r="AI46">
        <v>2</v>
      </c>
      <c r="AJ46" t="s">
        <v>7</v>
      </c>
      <c r="AK46">
        <v>26080</v>
      </c>
      <c r="AL46">
        <v>160</v>
      </c>
      <c r="AM46">
        <v>2</v>
      </c>
      <c r="AN46" s="41">
        <v>8</v>
      </c>
      <c r="AO46" s="1">
        <v>118.36</v>
      </c>
      <c r="AP46" s="20">
        <v>99.921000000000006</v>
      </c>
      <c r="AQ46" s="23">
        <v>45544</v>
      </c>
      <c r="AR46" s="44">
        <v>0.62633101851851847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 s="69"/>
      <c r="BF46" s="20">
        <f>BE44</f>
        <v>100.04599999999999</v>
      </c>
    </row>
    <row r="47" spans="1:58">
      <c r="A47" t="s">
        <v>126</v>
      </c>
      <c r="B47">
        <v>3</v>
      </c>
      <c r="C47" t="s">
        <v>7</v>
      </c>
      <c r="D47">
        <v>52000</v>
      </c>
      <c r="E47">
        <v>160</v>
      </c>
      <c r="F47">
        <v>2</v>
      </c>
      <c r="G47">
        <v>8</v>
      </c>
      <c r="H47">
        <v>721.94</v>
      </c>
      <c r="I47" s="49">
        <v>129.85</v>
      </c>
      <c r="J47" s="23">
        <v>45545</v>
      </c>
      <c r="K47" s="46">
        <v>0.83684027777777781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51">
        <f t="shared" si="4"/>
        <v>129.822</v>
      </c>
      <c r="Y47" s="20"/>
      <c r="Z47" s="20">
        <v>0</v>
      </c>
      <c r="AA47" s="20">
        <v>0</v>
      </c>
      <c r="AB47" s="20">
        <v>0</v>
      </c>
      <c r="AC47" s="20"/>
      <c r="AD47" s="20"/>
      <c r="AE47" s="20"/>
      <c r="AH47" t="s">
        <v>123</v>
      </c>
      <c r="AI47">
        <v>3</v>
      </c>
      <c r="AJ47" t="s">
        <v>7</v>
      </c>
      <c r="AK47">
        <v>26080</v>
      </c>
      <c r="AL47">
        <v>160</v>
      </c>
      <c r="AM47">
        <v>2</v>
      </c>
      <c r="AN47" s="41">
        <v>8</v>
      </c>
      <c r="AO47" s="1">
        <v>117.95</v>
      </c>
      <c r="AP47" s="20">
        <v>100.27</v>
      </c>
      <c r="AQ47" s="23">
        <v>45544</v>
      </c>
      <c r="AR47" s="44">
        <v>0.62777777777777777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 s="69"/>
      <c r="BF47" s="20">
        <f>BE44</f>
        <v>100.04599999999999</v>
      </c>
    </row>
    <row r="48" spans="1:58">
      <c r="A48" t="s">
        <v>126</v>
      </c>
      <c r="B48">
        <v>4</v>
      </c>
      <c r="C48" t="s">
        <v>7</v>
      </c>
      <c r="D48">
        <v>52000</v>
      </c>
      <c r="E48">
        <v>160</v>
      </c>
      <c r="F48">
        <v>2</v>
      </c>
      <c r="G48">
        <v>8</v>
      </c>
      <c r="H48">
        <v>722.42</v>
      </c>
      <c r="I48" s="49">
        <v>129.76</v>
      </c>
      <c r="J48" s="23">
        <v>45545</v>
      </c>
      <c r="K48" s="46">
        <v>0.84542824074074074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51">
        <f t="shared" si="4"/>
        <v>129.822</v>
      </c>
      <c r="Y48" s="20"/>
      <c r="Z48" s="20">
        <v>0</v>
      </c>
      <c r="AA48" s="20">
        <v>0</v>
      </c>
      <c r="AB48" s="20">
        <v>0</v>
      </c>
      <c r="AC48" s="20"/>
      <c r="AD48" s="20"/>
      <c r="AE48" s="20"/>
      <c r="AH48" t="s">
        <v>123</v>
      </c>
      <c r="AI48">
        <v>4</v>
      </c>
      <c r="AJ48" t="s">
        <v>7</v>
      </c>
      <c r="AK48">
        <v>26080</v>
      </c>
      <c r="AL48">
        <v>160</v>
      </c>
      <c r="AM48">
        <v>2</v>
      </c>
      <c r="AN48" s="41">
        <v>8</v>
      </c>
      <c r="AO48" s="1">
        <v>118.35</v>
      </c>
      <c r="AP48" s="20">
        <v>99.927999999999997</v>
      </c>
      <c r="AQ48" s="23">
        <v>45544</v>
      </c>
      <c r="AR48" s="44">
        <v>0.62922453703703707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 s="70"/>
      <c r="BF48" s="20">
        <f>BE44</f>
        <v>100.04599999999999</v>
      </c>
    </row>
    <row r="49" spans="1:58">
      <c r="A49" t="s">
        <v>128</v>
      </c>
      <c r="B49">
        <v>0</v>
      </c>
      <c r="C49" t="s">
        <v>7</v>
      </c>
      <c r="D49">
        <v>52000</v>
      </c>
      <c r="E49">
        <v>160</v>
      </c>
      <c r="F49">
        <v>2</v>
      </c>
      <c r="G49">
        <v>8</v>
      </c>
      <c r="H49">
        <v>723.28</v>
      </c>
      <c r="I49" s="49">
        <v>129.61000000000001</v>
      </c>
      <c r="J49" s="23">
        <v>45545</v>
      </c>
      <c r="K49" s="46">
        <v>0.90774305555555557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50">
        <f t="shared" ref="X49" si="23">AVERAGE(I49:I53)</f>
        <v>129.756</v>
      </c>
      <c r="Y49" s="20"/>
      <c r="Z49" s="20">
        <v>0</v>
      </c>
      <c r="AA49" s="20">
        <v>0</v>
      </c>
      <c r="AB49" s="20">
        <v>0</v>
      </c>
      <c r="AC49" s="20"/>
      <c r="AD49" s="20"/>
      <c r="AE49" s="20"/>
      <c r="AH49" t="s">
        <v>133</v>
      </c>
      <c r="AI49">
        <v>0</v>
      </c>
      <c r="AJ49" t="s">
        <v>7</v>
      </c>
      <c r="AK49">
        <v>26080</v>
      </c>
      <c r="AL49">
        <v>160</v>
      </c>
      <c r="AM49">
        <v>2</v>
      </c>
      <c r="AN49" s="41">
        <v>8</v>
      </c>
      <c r="AO49" s="1">
        <v>118.35</v>
      </c>
      <c r="AP49" s="20">
        <v>99.933000000000007</v>
      </c>
      <c r="AQ49" s="23">
        <v>45544</v>
      </c>
      <c r="AR49" s="44">
        <v>0.69773148148148145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 s="68">
        <f t="shared" ref="BE49" si="24">AVERAGE(AP49:AP53)</f>
        <v>100.02860000000001</v>
      </c>
      <c r="BF49" s="20">
        <f>BE49</f>
        <v>100.02860000000001</v>
      </c>
    </row>
    <row r="50" spans="1:58">
      <c r="A50" t="s">
        <v>128</v>
      </c>
      <c r="B50">
        <v>1</v>
      </c>
      <c r="C50" t="s">
        <v>7</v>
      </c>
      <c r="D50">
        <v>52000</v>
      </c>
      <c r="E50">
        <v>160</v>
      </c>
      <c r="F50">
        <v>2</v>
      </c>
      <c r="G50">
        <v>8</v>
      </c>
      <c r="H50">
        <v>721.91</v>
      </c>
      <c r="I50" s="49">
        <v>129.85</v>
      </c>
      <c r="J50" s="23">
        <v>45545</v>
      </c>
      <c r="K50" s="46">
        <v>0.91630787037037043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51">
        <f t="shared" ref="X50" si="25">X49</f>
        <v>129.756</v>
      </c>
      <c r="Y50" s="20"/>
      <c r="Z50" s="20">
        <v>0</v>
      </c>
      <c r="AA50" s="20">
        <v>0</v>
      </c>
      <c r="AB50" s="20">
        <v>0</v>
      </c>
      <c r="AC50" s="20"/>
      <c r="AD50" s="20"/>
      <c r="AE50" s="20"/>
      <c r="AH50" t="s">
        <v>133</v>
      </c>
      <c r="AI50">
        <v>1</v>
      </c>
      <c r="AJ50" t="s">
        <v>7</v>
      </c>
      <c r="AK50">
        <v>26080</v>
      </c>
      <c r="AL50">
        <v>160</v>
      </c>
      <c r="AM50">
        <v>2</v>
      </c>
      <c r="AN50" s="41">
        <v>8</v>
      </c>
      <c r="AO50" s="1">
        <v>118.26</v>
      </c>
      <c r="AP50" s="20">
        <v>100.01</v>
      </c>
      <c r="AQ50" s="23">
        <v>45544</v>
      </c>
      <c r="AR50" s="44">
        <v>0.69918981481481479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 s="69"/>
      <c r="BF50" s="20">
        <f>BE49</f>
        <v>100.02860000000001</v>
      </c>
    </row>
    <row r="51" spans="1:58">
      <c r="A51" t="s">
        <v>128</v>
      </c>
      <c r="B51">
        <v>2</v>
      </c>
      <c r="C51" t="s">
        <v>7</v>
      </c>
      <c r="D51">
        <v>52000</v>
      </c>
      <c r="E51">
        <v>160</v>
      </c>
      <c r="F51">
        <v>2</v>
      </c>
      <c r="G51">
        <v>8</v>
      </c>
      <c r="H51">
        <v>722.78</v>
      </c>
      <c r="I51" s="49">
        <v>129.69999999999999</v>
      </c>
      <c r="J51" s="23">
        <v>45545</v>
      </c>
      <c r="K51" s="46">
        <v>0.92489583333333336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51">
        <f t="shared" si="4"/>
        <v>129.756</v>
      </c>
      <c r="Y51" s="20"/>
      <c r="Z51" s="20">
        <v>0</v>
      </c>
      <c r="AA51" s="20">
        <v>0</v>
      </c>
      <c r="AB51" s="20">
        <v>0</v>
      </c>
      <c r="AC51" s="20"/>
      <c r="AD51" s="20"/>
      <c r="AE51" s="20"/>
      <c r="AH51" t="s">
        <v>133</v>
      </c>
      <c r="AI51">
        <v>2</v>
      </c>
      <c r="AJ51" t="s">
        <v>7</v>
      </c>
      <c r="AK51">
        <v>26080</v>
      </c>
      <c r="AL51">
        <v>160</v>
      </c>
      <c r="AM51">
        <v>2</v>
      </c>
      <c r="AN51" s="41">
        <v>8</v>
      </c>
      <c r="AO51" s="1">
        <v>118.1</v>
      </c>
      <c r="AP51" s="20">
        <v>100.14</v>
      </c>
      <c r="AQ51" s="23">
        <v>45544</v>
      </c>
      <c r="AR51" s="44">
        <v>0.70062500000000005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 s="69"/>
      <c r="BF51" s="20">
        <f>BE49</f>
        <v>100.02860000000001</v>
      </c>
    </row>
    <row r="52" spans="1:58">
      <c r="A52" t="s">
        <v>128</v>
      </c>
      <c r="B52">
        <v>3</v>
      </c>
      <c r="C52" t="s">
        <v>7</v>
      </c>
      <c r="D52">
        <v>52000</v>
      </c>
      <c r="E52">
        <v>160</v>
      </c>
      <c r="F52">
        <v>2</v>
      </c>
      <c r="G52">
        <v>8</v>
      </c>
      <c r="H52">
        <v>722.74</v>
      </c>
      <c r="I52" s="49">
        <v>129.69999999999999</v>
      </c>
      <c r="J52" s="23">
        <v>45545</v>
      </c>
      <c r="K52" s="46">
        <v>0.9334837962962963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51">
        <f t="shared" si="4"/>
        <v>129.756</v>
      </c>
      <c r="Y52" s="20"/>
      <c r="Z52" s="20">
        <v>0</v>
      </c>
      <c r="AA52" s="20">
        <v>0</v>
      </c>
      <c r="AB52" s="20">
        <v>0</v>
      </c>
      <c r="AC52" s="20"/>
      <c r="AD52" s="20"/>
      <c r="AE52" s="20"/>
      <c r="AH52" t="s">
        <v>133</v>
      </c>
      <c r="AI52">
        <v>3</v>
      </c>
      <c r="AJ52" t="s">
        <v>7</v>
      </c>
      <c r="AK52">
        <v>26080</v>
      </c>
      <c r="AL52">
        <v>160</v>
      </c>
      <c r="AM52">
        <v>2</v>
      </c>
      <c r="AN52" s="41">
        <v>8</v>
      </c>
      <c r="AO52" s="1">
        <v>118.23</v>
      </c>
      <c r="AP52" s="20">
        <v>100.03</v>
      </c>
      <c r="AQ52" s="23">
        <v>45544</v>
      </c>
      <c r="AR52" s="44">
        <v>0.70207175925925924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 s="69"/>
      <c r="BF52" s="20">
        <f>BE49</f>
        <v>100.02860000000001</v>
      </c>
    </row>
    <row r="53" spans="1:58">
      <c r="A53" t="s">
        <v>128</v>
      </c>
      <c r="B53">
        <v>4</v>
      </c>
      <c r="C53" t="s">
        <v>7</v>
      </c>
      <c r="D53">
        <v>52000</v>
      </c>
      <c r="E53">
        <v>160</v>
      </c>
      <c r="F53">
        <v>2</v>
      </c>
      <c r="G53">
        <v>8</v>
      </c>
      <c r="H53">
        <v>721.52</v>
      </c>
      <c r="I53" s="49">
        <v>129.91999999999999</v>
      </c>
      <c r="J53" s="23">
        <v>45545</v>
      </c>
      <c r="K53" s="46">
        <v>0.94204861111111116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51">
        <f t="shared" si="4"/>
        <v>129.756</v>
      </c>
      <c r="Y53" s="20"/>
      <c r="Z53" s="20">
        <v>0</v>
      </c>
      <c r="AA53" s="20">
        <v>0</v>
      </c>
      <c r="AB53" s="20">
        <v>0</v>
      </c>
      <c r="AC53" s="20"/>
      <c r="AD53" s="20"/>
      <c r="AE53" s="20"/>
      <c r="AH53" t="s">
        <v>133</v>
      </c>
      <c r="AI53">
        <v>4</v>
      </c>
      <c r="AJ53" t="s">
        <v>7</v>
      </c>
      <c r="AK53">
        <v>26080</v>
      </c>
      <c r="AL53">
        <v>160</v>
      </c>
      <c r="AM53">
        <v>2</v>
      </c>
      <c r="AN53" s="41">
        <v>8</v>
      </c>
      <c r="AO53" s="1">
        <v>118.23</v>
      </c>
      <c r="AP53" s="20">
        <v>100.03</v>
      </c>
      <c r="AQ53" s="23">
        <v>45544</v>
      </c>
      <c r="AR53" s="44">
        <v>0.70351851851851854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 s="70"/>
      <c r="BF53" s="20">
        <f>BE49</f>
        <v>100.02860000000001</v>
      </c>
    </row>
    <row r="54" spans="1:58">
      <c r="A54" t="s">
        <v>133</v>
      </c>
      <c r="B54">
        <v>0</v>
      </c>
      <c r="C54" t="s">
        <v>7</v>
      </c>
      <c r="D54">
        <v>52000</v>
      </c>
      <c r="E54">
        <v>160</v>
      </c>
      <c r="F54">
        <v>2</v>
      </c>
      <c r="G54">
        <v>8</v>
      </c>
      <c r="H54">
        <v>721.94</v>
      </c>
      <c r="I54" s="49">
        <v>129.85</v>
      </c>
      <c r="J54" s="23">
        <v>45546</v>
      </c>
      <c r="K54" s="46">
        <v>0.12225694444444445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50">
        <f t="shared" ref="X54" si="26">AVERAGE(I54:I58)</f>
        <v>129.74799999999999</v>
      </c>
      <c r="Y54" s="20"/>
      <c r="Z54" s="20">
        <v>0</v>
      </c>
      <c r="AA54" s="20">
        <v>0</v>
      </c>
      <c r="AB54" s="20">
        <v>0</v>
      </c>
      <c r="AC54" s="20"/>
      <c r="AD54" s="20"/>
      <c r="AE54" s="20"/>
      <c r="AH54" t="s">
        <v>94</v>
      </c>
      <c r="AI54">
        <v>0</v>
      </c>
      <c r="AJ54" t="s">
        <v>7</v>
      </c>
      <c r="AK54">
        <v>26080</v>
      </c>
      <c r="AL54">
        <v>160</v>
      </c>
      <c r="AM54">
        <v>2</v>
      </c>
      <c r="AN54" s="41">
        <v>8</v>
      </c>
      <c r="AO54" s="1">
        <v>118.1</v>
      </c>
      <c r="AP54" s="20">
        <v>100.14</v>
      </c>
      <c r="AQ54" s="23">
        <v>45544</v>
      </c>
      <c r="AR54" s="44">
        <v>0.49081018518518521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 s="68">
        <f t="shared" ref="BE54" si="27">AVERAGE(AP54:AP58)</f>
        <v>99.97</v>
      </c>
      <c r="BF54" s="20">
        <f>BE54</f>
        <v>99.97</v>
      </c>
    </row>
    <row r="55" spans="1:58">
      <c r="A55" t="s">
        <v>133</v>
      </c>
      <c r="B55">
        <v>1</v>
      </c>
      <c r="C55" t="s">
        <v>7</v>
      </c>
      <c r="D55">
        <v>52000</v>
      </c>
      <c r="E55">
        <v>160</v>
      </c>
      <c r="F55">
        <v>2</v>
      </c>
      <c r="G55">
        <v>8</v>
      </c>
      <c r="H55">
        <v>722.74</v>
      </c>
      <c r="I55" s="49">
        <v>129.71</v>
      </c>
      <c r="J55" s="23">
        <v>45546</v>
      </c>
      <c r="K55" s="46">
        <v>0.1308449074074074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51">
        <f t="shared" ref="X55" si="28">X54</f>
        <v>129.74799999999999</v>
      </c>
      <c r="Y55" s="20"/>
      <c r="Z55" s="20">
        <v>0</v>
      </c>
      <c r="AA55" s="20">
        <v>0</v>
      </c>
      <c r="AB55" s="20">
        <v>0</v>
      </c>
      <c r="AC55" s="20"/>
      <c r="AD55" s="20"/>
      <c r="AE55" s="20"/>
      <c r="AH55" t="s">
        <v>94</v>
      </c>
      <c r="AI55">
        <v>1</v>
      </c>
      <c r="AJ55" t="s">
        <v>7</v>
      </c>
      <c r="AK55">
        <v>26080</v>
      </c>
      <c r="AL55">
        <v>160</v>
      </c>
      <c r="AM55">
        <v>2</v>
      </c>
      <c r="AN55" s="41">
        <v>8</v>
      </c>
      <c r="AO55" s="1">
        <v>118.22</v>
      </c>
      <c r="AP55" s="20">
        <v>100.04</v>
      </c>
      <c r="AQ55" s="23">
        <v>45544</v>
      </c>
      <c r="AR55" s="44">
        <v>0.49237268518518518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 s="69"/>
      <c r="BF55" s="20">
        <f>BE54</f>
        <v>99.97</v>
      </c>
    </row>
    <row r="56" spans="1:58">
      <c r="A56" t="s">
        <v>133</v>
      </c>
      <c r="B56">
        <v>2</v>
      </c>
      <c r="C56" t="s">
        <v>7</v>
      </c>
      <c r="D56">
        <v>52000</v>
      </c>
      <c r="E56">
        <v>160</v>
      </c>
      <c r="F56">
        <v>2</v>
      </c>
      <c r="G56">
        <v>8</v>
      </c>
      <c r="H56">
        <v>721.63</v>
      </c>
      <c r="I56" s="49">
        <v>129.9</v>
      </c>
      <c r="J56" s="23">
        <v>45546</v>
      </c>
      <c r="K56" s="46">
        <v>0.13942129629629629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51">
        <f t="shared" si="4"/>
        <v>129.74799999999999</v>
      </c>
      <c r="Y56" s="20"/>
      <c r="Z56" s="20">
        <v>0</v>
      </c>
      <c r="AA56" s="20">
        <v>0</v>
      </c>
      <c r="AB56" s="20">
        <v>0</v>
      </c>
      <c r="AC56" s="20"/>
      <c r="AD56" s="20"/>
      <c r="AE56" s="20"/>
      <c r="AH56" t="s">
        <v>94</v>
      </c>
      <c r="AI56">
        <v>2</v>
      </c>
      <c r="AJ56" t="s">
        <v>7</v>
      </c>
      <c r="AK56">
        <v>26080</v>
      </c>
      <c r="AL56">
        <v>160</v>
      </c>
      <c r="AM56">
        <v>2</v>
      </c>
      <c r="AN56" s="41">
        <v>8</v>
      </c>
      <c r="AO56" s="1">
        <v>118.29</v>
      </c>
      <c r="AP56" s="20">
        <v>99.980999999999995</v>
      </c>
      <c r="AQ56" s="23">
        <v>45544</v>
      </c>
      <c r="AR56" s="44">
        <v>0.49394675925925924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 s="69"/>
      <c r="BF56" s="20">
        <f>BE54</f>
        <v>99.97</v>
      </c>
    </row>
    <row r="57" spans="1:58">
      <c r="A57" t="s">
        <v>133</v>
      </c>
      <c r="B57">
        <v>3</v>
      </c>
      <c r="C57" t="s">
        <v>7</v>
      </c>
      <c r="D57">
        <v>52000</v>
      </c>
      <c r="E57">
        <v>160</v>
      </c>
      <c r="F57">
        <v>2</v>
      </c>
      <c r="G57">
        <v>8</v>
      </c>
      <c r="H57">
        <v>722.71</v>
      </c>
      <c r="I57" s="49">
        <v>129.71</v>
      </c>
      <c r="J57" s="23">
        <v>45546</v>
      </c>
      <c r="K57" s="46">
        <v>0.14800925925925926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51">
        <f t="shared" si="4"/>
        <v>129.74799999999999</v>
      </c>
      <c r="Y57" s="20"/>
      <c r="Z57" s="20">
        <v>0</v>
      </c>
      <c r="AA57" s="20">
        <v>0</v>
      </c>
      <c r="AB57" s="20">
        <v>0</v>
      </c>
      <c r="AC57" s="20"/>
      <c r="AD57" s="20"/>
      <c r="AE57" s="20"/>
      <c r="AH57" t="s">
        <v>94</v>
      </c>
      <c r="AI57">
        <v>3</v>
      </c>
      <c r="AJ57" t="s">
        <v>7</v>
      </c>
      <c r="AK57">
        <v>26080</v>
      </c>
      <c r="AL57">
        <v>160</v>
      </c>
      <c r="AM57">
        <v>2</v>
      </c>
      <c r="AN57" s="41">
        <v>8</v>
      </c>
      <c r="AO57" s="1">
        <v>118.74</v>
      </c>
      <c r="AP57" s="20">
        <v>99.599000000000004</v>
      </c>
      <c r="AQ57" s="23">
        <v>45544</v>
      </c>
      <c r="AR57" s="44">
        <v>0.49550925925925926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 s="69"/>
      <c r="BF57" s="20">
        <f>BE54</f>
        <v>99.97</v>
      </c>
    </row>
    <row r="58" spans="1:58">
      <c r="A58" t="s">
        <v>133</v>
      </c>
      <c r="B58">
        <v>4</v>
      </c>
      <c r="C58" t="s">
        <v>7</v>
      </c>
      <c r="D58">
        <v>52000</v>
      </c>
      <c r="E58">
        <v>160</v>
      </c>
      <c r="F58">
        <v>2</v>
      </c>
      <c r="G58">
        <v>8</v>
      </c>
      <c r="H58">
        <v>723.47</v>
      </c>
      <c r="I58" s="49">
        <v>129.57</v>
      </c>
      <c r="J58" s="23">
        <v>45546</v>
      </c>
      <c r="K58" s="46">
        <v>0.15659722222222222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51">
        <f t="shared" si="4"/>
        <v>129.74799999999999</v>
      </c>
      <c r="Y58" s="20"/>
      <c r="Z58" s="20">
        <v>0</v>
      </c>
      <c r="AA58" s="20">
        <v>0</v>
      </c>
      <c r="AB58" s="20">
        <v>0</v>
      </c>
      <c r="AC58" s="20"/>
      <c r="AD58" s="20"/>
      <c r="AE58" s="20"/>
      <c r="AH58" t="s">
        <v>94</v>
      </c>
      <c r="AI58">
        <v>4</v>
      </c>
      <c r="AJ58" t="s">
        <v>7</v>
      </c>
      <c r="AK58">
        <v>26080</v>
      </c>
      <c r="AL58">
        <v>160</v>
      </c>
      <c r="AM58">
        <v>2</v>
      </c>
      <c r="AN58" s="41">
        <v>8</v>
      </c>
      <c r="AO58" s="1">
        <v>118.16</v>
      </c>
      <c r="AP58" s="20">
        <v>100.09</v>
      </c>
      <c r="AQ58" s="23">
        <v>45544</v>
      </c>
      <c r="AR58" s="44">
        <v>0.49707175925925928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 s="70"/>
      <c r="BF58" s="20">
        <f>BE54</f>
        <v>99.97</v>
      </c>
    </row>
    <row r="59" spans="1:58">
      <c r="A59" t="s">
        <v>123</v>
      </c>
      <c r="B59">
        <v>0</v>
      </c>
      <c r="C59" t="s">
        <v>7</v>
      </c>
      <c r="D59">
        <v>52000</v>
      </c>
      <c r="E59">
        <v>160</v>
      </c>
      <c r="F59">
        <v>2</v>
      </c>
      <c r="G59">
        <v>8</v>
      </c>
      <c r="H59">
        <v>720.69</v>
      </c>
      <c r="I59" s="49">
        <v>130.07</v>
      </c>
      <c r="J59" s="23">
        <v>45545</v>
      </c>
      <c r="K59" s="46">
        <v>0.68240740740740746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50">
        <f t="shared" ref="X59" si="29">AVERAGE(I59:I63)</f>
        <v>129.732</v>
      </c>
      <c r="Y59" s="20"/>
      <c r="Z59" s="20">
        <v>0</v>
      </c>
      <c r="AA59" s="20">
        <v>0</v>
      </c>
      <c r="AB59" s="20">
        <v>0</v>
      </c>
      <c r="AC59" s="20"/>
      <c r="AD59" s="20"/>
      <c r="AE59" s="20"/>
      <c r="AH59" t="s">
        <v>103</v>
      </c>
      <c r="AI59">
        <v>0</v>
      </c>
      <c r="AJ59" t="s">
        <v>7</v>
      </c>
      <c r="AK59">
        <v>26080</v>
      </c>
      <c r="AL59">
        <v>160</v>
      </c>
      <c r="AM59">
        <v>2</v>
      </c>
      <c r="AN59" s="41">
        <v>8</v>
      </c>
      <c r="AO59" s="1">
        <v>119.24</v>
      </c>
      <c r="AP59" s="20">
        <v>99.186999999999998</v>
      </c>
      <c r="AQ59" s="23">
        <v>45544</v>
      </c>
      <c r="AR59" s="44">
        <v>0.51664351851851853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 s="68">
        <f t="shared" ref="BE59" si="30">AVERAGE(AP59:AP63)</f>
        <v>99.768600000000006</v>
      </c>
      <c r="BF59" s="20">
        <f>BE59</f>
        <v>99.768600000000006</v>
      </c>
    </row>
    <row r="60" spans="1:58">
      <c r="A60" t="s">
        <v>123</v>
      </c>
      <c r="B60">
        <v>1</v>
      </c>
      <c r="C60" t="s">
        <v>7</v>
      </c>
      <c r="D60">
        <v>52000</v>
      </c>
      <c r="E60">
        <v>160</v>
      </c>
      <c r="F60">
        <v>2</v>
      </c>
      <c r="G60">
        <v>8</v>
      </c>
      <c r="H60">
        <v>721.71</v>
      </c>
      <c r="I60" s="49">
        <v>129.88999999999999</v>
      </c>
      <c r="J60" s="23">
        <v>45545</v>
      </c>
      <c r="K60" s="46">
        <v>0.6909953703703704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51">
        <f t="shared" ref="X60" si="31">X59</f>
        <v>129.732</v>
      </c>
      <c r="Y60" s="20"/>
      <c r="Z60" s="20">
        <v>0</v>
      </c>
      <c r="AA60" s="20">
        <v>0</v>
      </c>
      <c r="AB60" s="20">
        <v>0</v>
      </c>
      <c r="AC60" s="20"/>
      <c r="AD60" s="20"/>
      <c r="AE60" s="20"/>
      <c r="AH60" t="s">
        <v>103</v>
      </c>
      <c r="AI60">
        <v>1</v>
      </c>
      <c r="AJ60" t="s">
        <v>7</v>
      </c>
      <c r="AK60">
        <v>26080</v>
      </c>
      <c r="AL60">
        <v>160</v>
      </c>
      <c r="AM60">
        <v>2</v>
      </c>
      <c r="AN60" s="41">
        <v>8</v>
      </c>
      <c r="AO60" s="1">
        <v>117.87</v>
      </c>
      <c r="AP60" s="20">
        <v>100.34</v>
      </c>
      <c r="AQ60" s="23">
        <v>45544</v>
      </c>
      <c r="AR60" s="44">
        <v>0.51820601851851855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 s="69"/>
      <c r="BF60" s="20">
        <f>BE59</f>
        <v>99.768600000000006</v>
      </c>
    </row>
    <row r="61" spans="1:58">
      <c r="A61" t="s">
        <v>123</v>
      </c>
      <c r="B61">
        <v>2</v>
      </c>
      <c r="C61" t="s">
        <v>7</v>
      </c>
      <c r="D61">
        <v>52000</v>
      </c>
      <c r="E61">
        <v>160</v>
      </c>
      <c r="F61">
        <v>2</v>
      </c>
      <c r="G61">
        <v>8</v>
      </c>
      <c r="H61">
        <v>723.6</v>
      </c>
      <c r="I61" s="49">
        <v>129.55000000000001</v>
      </c>
      <c r="J61" s="23">
        <v>45545</v>
      </c>
      <c r="K61" s="46">
        <v>0.69959490740740737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51">
        <f t="shared" si="4"/>
        <v>129.732</v>
      </c>
      <c r="Y61" s="20"/>
      <c r="Z61" s="20">
        <v>0</v>
      </c>
      <c r="AA61" s="20">
        <v>0</v>
      </c>
      <c r="AB61" s="20">
        <v>0</v>
      </c>
      <c r="AC61" s="20"/>
      <c r="AD61" s="20"/>
      <c r="AE61" s="20"/>
      <c r="AH61" t="s">
        <v>103</v>
      </c>
      <c r="AI61">
        <v>2</v>
      </c>
      <c r="AJ61" t="s">
        <v>7</v>
      </c>
      <c r="AK61">
        <v>26080</v>
      </c>
      <c r="AL61">
        <v>160</v>
      </c>
      <c r="AM61">
        <v>2</v>
      </c>
      <c r="AN61" s="41">
        <v>8</v>
      </c>
      <c r="AO61" s="1">
        <v>118.55</v>
      </c>
      <c r="AP61" s="20">
        <v>99.766000000000005</v>
      </c>
      <c r="AQ61" s="23">
        <v>45544</v>
      </c>
      <c r="AR61" s="44">
        <v>0.51976851851851846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 s="69"/>
      <c r="BF61" s="20">
        <f>BE59</f>
        <v>99.768600000000006</v>
      </c>
    </row>
    <row r="62" spans="1:58">
      <c r="A62" t="s">
        <v>123</v>
      </c>
      <c r="B62">
        <v>3</v>
      </c>
      <c r="C62" t="s">
        <v>7</v>
      </c>
      <c r="D62">
        <v>52000</v>
      </c>
      <c r="E62">
        <v>160</v>
      </c>
      <c r="F62">
        <v>2</v>
      </c>
      <c r="G62">
        <v>8</v>
      </c>
      <c r="H62">
        <v>723.46</v>
      </c>
      <c r="I62" s="49">
        <v>129.57</v>
      </c>
      <c r="J62" s="23">
        <v>45545</v>
      </c>
      <c r="K62" s="46">
        <v>0.70819444444444446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51">
        <f t="shared" si="4"/>
        <v>129.732</v>
      </c>
      <c r="Y62" s="20"/>
      <c r="Z62" s="20">
        <v>0</v>
      </c>
      <c r="AA62" s="20">
        <v>0</v>
      </c>
      <c r="AB62" s="20">
        <v>0</v>
      </c>
      <c r="AC62" s="20"/>
      <c r="AD62" s="20"/>
      <c r="AE62" s="20"/>
      <c r="AH62" t="s">
        <v>103</v>
      </c>
      <c r="AI62">
        <v>3</v>
      </c>
      <c r="AJ62" t="s">
        <v>7</v>
      </c>
      <c r="AK62">
        <v>26080</v>
      </c>
      <c r="AL62">
        <v>160</v>
      </c>
      <c r="AM62">
        <v>2</v>
      </c>
      <c r="AN62" s="41">
        <v>8</v>
      </c>
      <c r="AO62" s="1">
        <v>118.21</v>
      </c>
      <c r="AP62" s="20">
        <v>100.05</v>
      </c>
      <c r="AQ62" s="23">
        <v>45544</v>
      </c>
      <c r="AR62" s="44">
        <v>0.52134259259259264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 s="69"/>
      <c r="BF62" s="20">
        <f>BE59</f>
        <v>99.768600000000006</v>
      </c>
    </row>
    <row r="63" spans="1:58">
      <c r="A63" t="s">
        <v>123</v>
      </c>
      <c r="B63">
        <v>4</v>
      </c>
      <c r="C63" t="s">
        <v>7</v>
      </c>
      <c r="D63">
        <v>52000</v>
      </c>
      <c r="E63">
        <v>160</v>
      </c>
      <c r="F63">
        <v>2</v>
      </c>
      <c r="G63">
        <v>8</v>
      </c>
      <c r="H63">
        <v>723.41</v>
      </c>
      <c r="I63" s="49">
        <v>129.58000000000001</v>
      </c>
      <c r="J63" s="23">
        <v>45545</v>
      </c>
      <c r="K63" s="46">
        <v>0.71679398148148143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51">
        <f t="shared" si="4"/>
        <v>129.732</v>
      </c>
      <c r="Y63" s="20"/>
      <c r="Z63" s="20">
        <v>0</v>
      </c>
      <c r="AA63" s="20">
        <v>0</v>
      </c>
      <c r="AB63" s="20">
        <v>0</v>
      </c>
      <c r="AC63" s="20"/>
      <c r="AD63" s="20"/>
      <c r="AE63" s="20"/>
      <c r="AH63" t="s">
        <v>103</v>
      </c>
      <c r="AI63">
        <v>4</v>
      </c>
      <c r="AJ63" t="s">
        <v>7</v>
      </c>
      <c r="AK63">
        <v>26080</v>
      </c>
      <c r="AL63">
        <v>160</v>
      </c>
      <c r="AM63">
        <v>2</v>
      </c>
      <c r="AN63" s="41">
        <v>8</v>
      </c>
      <c r="AO63" s="1">
        <v>118.86</v>
      </c>
      <c r="AP63" s="20">
        <v>99.5</v>
      </c>
      <c r="AQ63" s="23">
        <v>45544</v>
      </c>
      <c r="AR63" s="44">
        <v>0.52290509259259255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 s="70"/>
      <c r="BF63" s="20">
        <f>BE59</f>
        <v>99.768600000000006</v>
      </c>
    </row>
    <row r="64" spans="1:58">
      <c r="A64" t="s">
        <v>129</v>
      </c>
      <c r="B64">
        <v>0</v>
      </c>
      <c r="C64" t="s">
        <v>7</v>
      </c>
      <c r="D64">
        <v>52000</v>
      </c>
      <c r="E64">
        <v>160</v>
      </c>
      <c r="F64">
        <v>2</v>
      </c>
      <c r="G64">
        <v>8</v>
      </c>
      <c r="H64">
        <v>721.99</v>
      </c>
      <c r="I64" s="49">
        <v>129.84</v>
      </c>
      <c r="J64" s="23">
        <v>45545</v>
      </c>
      <c r="K64" s="46">
        <v>0.95063657407407409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50">
        <f t="shared" ref="X64" si="32">AVERAGE(I64:I68)</f>
        <v>129.69800000000001</v>
      </c>
      <c r="Y64" s="20"/>
      <c r="Z64" s="20">
        <v>0</v>
      </c>
      <c r="AA64" s="20">
        <v>0</v>
      </c>
      <c r="AB64" s="20">
        <v>0</v>
      </c>
      <c r="AC64" s="20"/>
      <c r="AD64" s="20"/>
      <c r="AE64" s="20"/>
      <c r="AH64" t="s">
        <v>69</v>
      </c>
      <c r="AI64">
        <v>0</v>
      </c>
      <c r="AJ64" t="s">
        <v>7</v>
      </c>
      <c r="AK64">
        <v>26080</v>
      </c>
      <c r="AL64">
        <v>160</v>
      </c>
      <c r="AM64">
        <v>2</v>
      </c>
      <c r="AN64" s="41">
        <v>8</v>
      </c>
      <c r="AO64" s="1">
        <v>117.73</v>
      </c>
      <c r="AP64" s="20">
        <v>100.45</v>
      </c>
      <c r="AQ64" s="23">
        <v>45544</v>
      </c>
      <c r="AR64" s="44">
        <v>0.56608796296296293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 s="68">
        <f t="shared" ref="BE64" si="33">AVERAGE(AP64:AP68)</f>
        <v>99.752600000000001</v>
      </c>
      <c r="BF64" s="20">
        <f>BE64</f>
        <v>99.752600000000001</v>
      </c>
    </row>
    <row r="65" spans="1:58">
      <c r="A65" t="s">
        <v>129</v>
      </c>
      <c r="B65">
        <v>1</v>
      </c>
      <c r="C65" t="s">
        <v>7</v>
      </c>
      <c r="D65">
        <v>52000</v>
      </c>
      <c r="E65">
        <v>160</v>
      </c>
      <c r="F65">
        <v>2</v>
      </c>
      <c r="G65">
        <v>8</v>
      </c>
      <c r="H65">
        <v>722.57</v>
      </c>
      <c r="I65" s="49">
        <v>129.74</v>
      </c>
      <c r="J65" s="23">
        <v>45545</v>
      </c>
      <c r="K65" s="46">
        <v>0.95921296296296299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51">
        <f t="shared" ref="X65" si="34">X64</f>
        <v>129.69800000000001</v>
      </c>
      <c r="Y65" s="20"/>
      <c r="Z65" s="20">
        <v>0</v>
      </c>
      <c r="AA65" s="20">
        <v>0</v>
      </c>
      <c r="AB65" s="20">
        <v>0</v>
      </c>
      <c r="AC65" s="20"/>
      <c r="AD65" s="20"/>
      <c r="AE65" s="20"/>
      <c r="AH65" t="s">
        <v>69</v>
      </c>
      <c r="AI65">
        <v>1</v>
      </c>
      <c r="AJ65" t="s">
        <v>7</v>
      </c>
      <c r="AK65">
        <v>26080</v>
      </c>
      <c r="AL65">
        <v>160</v>
      </c>
      <c r="AM65">
        <v>2</v>
      </c>
      <c r="AN65" s="41">
        <v>8</v>
      </c>
      <c r="AO65" s="1">
        <v>119.01</v>
      </c>
      <c r="AP65" s="20">
        <v>99.378</v>
      </c>
      <c r="AQ65" s="23">
        <v>45544</v>
      </c>
      <c r="AR65" s="44">
        <v>0.56766203703703699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 s="69"/>
      <c r="BF65" s="20">
        <f>BE64</f>
        <v>99.752600000000001</v>
      </c>
    </row>
    <row r="66" spans="1:58">
      <c r="A66" t="s">
        <v>129</v>
      </c>
      <c r="B66">
        <v>2</v>
      </c>
      <c r="C66" t="s">
        <v>7</v>
      </c>
      <c r="D66">
        <v>52000</v>
      </c>
      <c r="E66">
        <v>160</v>
      </c>
      <c r="F66">
        <v>2</v>
      </c>
      <c r="G66">
        <v>8</v>
      </c>
      <c r="H66">
        <v>723.83</v>
      </c>
      <c r="I66" s="49">
        <v>129.51</v>
      </c>
      <c r="J66" s="23">
        <v>45545</v>
      </c>
      <c r="K66" s="46">
        <v>0.96781249999999996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51">
        <f t="shared" si="4"/>
        <v>129.69800000000001</v>
      </c>
      <c r="Y66" s="20"/>
      <c r="Z66" s="20">
        <v>0</v>
      </c>
      <c r="AA66" s="20">
        <v>0</v>
      </c>
      <c r="AB66" s="20">
        <v>0</v>
      </c>
      <c r="AC66" s="20"/>
      <c r="AD66" s="20"/>
      <c r="AE66" s="20"/>
      <c r="AH66" t="s">
        <v>69</v>
      </c>
      <c r="AI66">
        <v>2</v>
      </c>
      <c r="AJ66" t="s">
        <v>7</v>
      </c>
      <c r="AK66">
        <v>26080</v>
      </c>
      <c r="AL66">
        <v>160</v>
      </c>
      <c r="AM66">
        <v>2</v>
      </c>
      <c r="AN66" s="41">
        <v>8</v>
      </c>
      <c r="AO66" s="1">
        <v>118.65</v>
      </c>
      <c r="AP66" s="20">
        <v>99.683000000000007</v>
      </c>
      <c r="AQ66" s="23">
        <v>45544</v>
      </c>
      <c r="AR66" s="44">
        <v>0.56922453703703701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 s="69"/>
      <c r="BF66" s="20">
        <f>BE64</f>
        <v>99.752600000000001</v>
      </c>
    </row>
    <row r="67" spans="1:58">
      <c r="A67" t="s">
        <v>129</v>
      </c>
      <c r="B67">
        <v>3</v>
      </c>
      <c r="C67" t="s">
        <v>7</v>
      </c>
      <c r="D67">
        <v>52000</v>
      </c>
      <c r="E67">
        <v>160</v>
      </c>
      <c r="F67">
        <v>2</v>
      </c>
      <c r="G67">
        <v>8</v>
      </c>
      <c r="H67">
        <v>722.79</v>
      </c>
      <c r="I67" s="49">
        <v>129.69999999999999</v>
      </c>
      <c r="J67" s="23">
        <v>45545</v>
      </c>
      <c r="K67" s="46">
        <v>0.97640046296296301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51">
        <f t="shared" si="4"/>
        <v>129.69800000000001</v>
      </c>
      <c r="Y67" s="20"/>
      <c r="Z67" s="20">
        <v>0</v>
      </c>
      <c r="AA67" s="20">
        <v>0</v>
      </c>
      <c r="AB67" s="20">
        <v>0</v>
      </c>
      <c r="AC67" s="20"/>
      <c r="AD67" s="20"/>
      <c r="AE67" s="20"/>
      <c r="AH67" t="s">
        <v>69</v>
      </c>
      <c r="AI67">
        <v>3</v>
      </c>
      <c r="AJ67" t="s">
        <v>7</v>
      </c>
      <c r="AK67">
        <v>26080</v>
      </c>
      <c r="AL67">
        <v>160</v>
      </c>
      <c r="AM67">
        <v>2</v>
      </c>
      <c r="AN67" s="41">
        <v>8</v>
      </c>
      <c r="AO67" s="1">
        <v>118.44</v>
      </c>
      <c r="AP67" s="20">
        <v>99.855999999999995</v>
      </c>
      <c r="AQ67" s="23">
        <v>45544</v>
      </c>
      <c r="AR67" s="44">
        <v>0.57078703703703704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 s="69"/>
      <c r="BF67" s="20">
        <f>BE64</f>
        <v>99.752600000000001</v>
      </c>
    </row>
    <row r="68" spans="1:58">
      <c r="A68" t="s">
        <v>129</v>
      </c>
      <c r="B68">
        <v>4</v>
      </c>
      <c r="C68" t="s">
        <v>7</v>
      </c>
      <c r="D68">
        <v>52000</v>
      </c>
      <c r="E68">
        <v>160</v>
      </c>
      <c r="F68">
        <v>2</v>
      </c>
      <c r="G68">
        <v>8</v>
      </c>
      <c r="H68">
        <v>722.76</v>
      </c>
      <c r="I68" s="49">
        <v>129.69999999999999</v>
      </c>
      <c r="J68" s="23">
        <v>45545</v>
      </c>
      <c r="K68" s="46">
        <v>0.98498842592592595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51">
        <f t="shared" si="4"/>
        <v>129.69800000000001</v>
      </c>
      <c r="Y68" s="20"/>
      <c r="Z68" s="20">
        <v>0</v>
      </c>
      <c r="AA68" s="20">
        <v>0</v>
      </c>
      <c r="AB68" s="20">
        <v>0</v>
      </c>
      <c r="AC68" s="20"/>
      <c r="AD68" s="20"/>
      <c r="AE68" s="20"/>
      <c r="AH68" t="s">
        <v>69</v>
      </c>
      <c r="AI68">
        <v>4</v>
      </c>
      <c r="AJ68" t="s">
        <v>7</v>
      </c>
      <c r="AK68">
        <v>26080</v>
      </c>
      <c r="AL68">
        <v>160</v>
      </c>
      <c r="AM68">
        <v>2</v>
      </c>
      <c r="AN68" s="41">
        <v>8</v>
      </c>
      <c r="AO68" s="1">
        <v>118.99</v>
      </c>
      <c r="AP68" s="20">
        <v>99.396000000000001</v>
      </c>
      <c r="AQ68" s="23">
        <v>45544</v>
      </c>
      <c r="AR68" s="44">
        <v>0.5723611111111111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 s="70"/>
      <c r="BF68" s="20">
        <f>BE64</f>
        <v>99.752600000000001</v>
      </c>
    </row>
    <row r="69" spans="1:58">
      <c r="A69" t="s">
        <v>131</v>
      </c>
      <c r="B69">
        <v>0</v>
      </c>
      <c r="C69" t="s">
        <v>7</v>
      </c>
      <c r="D69">
        <v>52000</v>
      </c>
      <c r="E69">
        <v>160</v>
      </c>
      <c r="F69">
        <v>2</v>
      </c>
      <c r="G69">
        <v>8</v>
      </c>
      <c r="H69">
        <v>722.15</v>
      </c>
      <c r="I69" s="49">
        <v>129.81</v>
      </c>
      <c r="J69" s="23">
        <v>45546</v>
      </c>
      <c r="K69" s="46">
        <v>3.6388888888888887E-2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50">
        <f t="shared" ref="X69" si="35">AVERAGE(I69:I73)</f>
        <v>129.62599999999998</v>
      </c>
      <c r="Y69" s="20"/>
      <c r="Z69" s="20">
        <v>0</v>
      </c>
      <c r="AA69" s="20">
        <v>0</v>
      </c>
      <c r="AB69" s="20">
        <v>0</v>
      </c>
      <c r="AC69" s="20"/>
      <c r="AD69" s="20"/>
      <c r="AE69" s="20"/>
      <c r="AH69" t="s">
        <v>131</v>
      </c>
      <c r="AI69">
        <v>0</v>
      </c>
      <c r="AJ69" t="s">
        <v>7</v>
      </c>
      <c r="AK69">
        <v>26080</v>
      </c>
      <c r="AL69">
        <v>160</v>
      </c>
      <c r="AM69">
        <v>2</v>
      </c>
      <c r="AN69" s="41">
        <v>8</v>
      </c>
      <c r="AO69" s="1">
        <v>118.46</v>
      </c>
      <c r="AP69" s="20">
        <v>99.84</v>
      </c>
      <c r="AQ69" s="23">
        <v>45544</v>
      </c>
      <c r="AR69" s="44">
        <v>0.68326388888888889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 s="68">
        <f t="shared" ref="BE69" si="36">AVERAGE(AP69:AP73)</f>
        <v>99.731399999999979</v>
      </c>
      <c r="BF69" s="20">
        <f>BE69</f>
        <v>99.731399999999979</v>
      </c>
    </row>
    <row r="70" spans="1:58">
      <c r="A70" t="s">
        <v>131</v>
      </c>
      <c r="B70">
        <v>1</v>
      </c>
      <c r="C70" t="s">
        <v>7</v>
      </c>
      <c r="D70">
        <v>52000</v>
      </c>
      <c r="E70">
        <v>160</v>
      </c>
      <c r="F70">
        <v>2</v>
      </c>
      <c r="G70">
        <v>8</v>
      </c>
      <c r="H70">
        <v>722.23</v>
      </c>
      <c r="I70" s="49">
        <v>129.80000000000001</v>
      </c>
      <c r="J70" s="23">
        <v>45546</v>
      </c>
      <c r="K70" s="46">
        <v>4.4965277777777778E-2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51">
        <f t="shared" ref="X70" si="37">X69</f>
        <v>129.62599999999998</v>
      </c>
      <c r="Y70" s="20"/>
      <c r="Z70" s="20">
        <v>0</v>
      </c>
      <c r="AA70" s="20">
        <v>0</v>
      </c>
      <c r="AB70" s="20">
        <v>0</v>
      </c>
      <c r="AC70" s="20"/>
      <c r="AD70" s="20"/>
      <c r="AE70" s="20"/>
      <c r="AH70" t="s">
        <v>131</v>
      </c>
      <c r="AI70">
        <v>1</v>
      </c>
      <c r="AJ70" t="s">
        <v>7</v>
      </c>
      <c r="AK70">
        <v>26080</v>
      </c>
      <c r="AL70">
        <v>160</v>
      </c>
      <c r="AM70">
        <v>2</v>
      </c>
      <c r="AN70" s="41">
        <v>8</v>
      </c>
      <c r="AO70" s="1">
        <v>119.16</v>
      </c>
      <c r="AP70" s="20">
        <v>99.251999999999995</v>
      </c>
      <c r="AQ70" s="23">
        <v>45544</v>
      </c>
      <c r="AR70" s="44">
        <v>0.68472222222222223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 s="69"/>
      <c r="BF70" s="20">
        <f>BE69</f>
        <v>99.731399999999979</v>
      </c>
    </row>
    <row r="71" spans="1:58">
      <c r="A71" t="s">
        <v>131</v>
      </c>
      <c r="B71">
        <v>2</v>
      </c>
      <c r="C71" t="s">
        <v>7</v>
      </c>
      <c r="D71">
        <v>52000</v>
      </c>
      <c r="E71">
        <v>160</v>
      </c>
      <c r="F71">
        <v>2</v>
      </c>
      <c r="G71">
        <v>8</v>
      </c>
      <c r="H71">
        <v>725.22</v>
      </c>
      <c r="I71" s="49">
        <v>129.26</v>
      </c>
      <c r="J71" s="23">
        <v>45546</v>
      </c>
      <c r="K71" s="46">
        <v>5.3587962962962962E-2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51">
        <f t="shared" si="4"/>
        <v>129.62599999999998</v>
      </c>
      <c r="Y71" s="20"/>
      <c r="Z71" s="20">
        <v>0</v>
      </c>
      <c r="AA71" s="20">
        <v>0</v>
      </c>
      <c r="AB71" s="20">
        <v>0</v>
      </c>
      <c r="AC71" s="20"/>
      <c r="AD71" s="20"/>
      <c r="AE71" s="20"/>
      <c r="AH71" t="s">
        <v>131</v>
      </c>
      <c r="AI71">
        <v>2</v>
      </c>
      <c r="AJ71" t="s">
        <v>7</v>
      </c>
      <c r="AK71">
        <v>26080</v>
      </c>
      <c r="AL71">
        <v>160</v>
      </c>
      <c r="AM71">
        <v>2</v>
      </c>
      <c r="AN71" s="41">
        <v>8</v>
      </c>
      <c r="AO71" s="1">
        <v>118.56</v>
      </c>
      <c r="AP71" s="20">
        <v>99.751000000000005</v>
      </c>
      <c r="AQ71" s="23">
        <v>45544</v>
      </c>
      <c r="AR71" s="44">
        <v>0.68616898148148153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 s="69"/>
      <c r="BF71" s="20">
        <f>BE69</f>
        <v>99.731399999999979</v>
      </c>
    </row>
    <row r="72" spans="1:58">
      <c r="A72" t="s">
        <v>131</v>
      </c>
      <c r="B72">
        <v>3</v>
      </c>
      <c r="C72" t="s">
        <v>7</v>
      </c>
      <c r="D72">
        <v>52000</v>
      </c>
      <c r="E72">
        <v>160</v>
      </c>
      <c r="F72">
        <v>2</v>
      </c>
      <c r="G72">
        <v>8</v>
      </c>
      <c r="H72">
        <v>722.83</v>
      </c>
      <c r="I72" s="49">
        <v>129.69</v>
      </c>
      <c r="J72" s="23">
        <v>45546</v>
      </c>
      <c r="K72" s="46">
        <v>6.2175925925925926E-2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51">
        <f t="shared" si="4"/>
        <v>129.62599999999998</v>
      </c>
      <c r="Y72" s="20"/>
      <c r="Z72" s="20">
        <v>0</v>
      </c>
      <c r="AA72" s="20">
        <v>0</v>
      </c>
      <c r="AB72" s="20">
        <v>0</v>
      </c>
      <c r="AC72" s="20"/>
      <c r="AD72" s="20"/>
      <c r="AE72" s="20"/>
      <c r="AH72" t="s">
        <v>131</v>
      </c>
      <c r="AI72">
        <v>3</v>
      </c>
      <c r="AJ72" t="s">
        <v>7</v>
      </c>
      <c r="AK72">
        <v>26080</v>
      </c>
      <c r="AL72">
        <v>160</v>
      </c>
      <c r="AM72">
        <v>2</v>
      </c>
      <c r="AN72" s="41">
        <v>8</v>
      </c>
      <c r="AO72" s="1">
        <v>118.03</v>
      </c>
      <c r="AP72" s="20">
        <v>100.2</v>
      </c>
      <c r="AQ72" s="23">
        <v>45544</v>
      </c>
      <c r="AR72" s="44">
        <v>0.68761574074074072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 s="69"/>
      <c r="BF72" s="20">
        <f>BE69</f>
        <v>99.731399999999979</v>
      </c>
    </row>
    <row r="73" spans="1:58">
      <c r="A73" t="s">
        <v>131</v>
      </c>
      <c r="B73">
        <v>4</v>
      </c>
      <c r="C73" t="s">
        <v>7</v>
      </c>
      <c r="D73">
        <v>52000</v>
      </c>
      <c r="E73">
        <v>160</v>
      </c>
      <c r="F73">
        <v>2</v>
      </c>
      <c r="G73">
        <v>8</v>
      </c>
      <c r="H73">
        <v>723.51</v>
      </c>
      <c r="I73" s="49">
        <v>129.57</v>
      </c>
      <c r="J73" s="23">
        <v>45546</v>
      </c>
      <c r="K73" s="46">
        <v>7.0787037037037037E-2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51">
        <f t="shared" si="4"/>
        <v>129.62599999999998</v>
      </c>
      <c r="Y73" s="20"/>
      <c r="Z73" s="20">
        <v>0</v>
      </c>
      <c r="AA73" s="20">
        <v>0</v>
      </c>
      <c r="AB73" s="20">
        <v>0</v>
      </c>
      <c r="AC73" s="20"/>
      <c r="AD73" s="20"/>
      <c r="AE73" s="20"/>
      <c r="AH73" t="s">
        <v>131</v>
      </c>
      <c r="AI73">
        <v>4</v>
      </c>
      <c r="AJ73" t="s">
        <v>7</v>
      </c>
      <c r="AK73">
        <v>26080</v>
      </c>
      <c r="AL73">
        <v>160</v>
      </c>
      <c r="AM73">
        <v>2</v>
      </c>
      <c r="AN73" s="41">
        <v>8</v>
      </c>
      <c r="AO73" s="1">
        <v>118.73</v>
      </c>
      <c r="AP73" s="20">
        <v>99.614000000000004</v>
      </c>
      <c r="AQ73" s="23">
        <v>45544</v>
      </c>
      <c r="AR73" s="44">
        <v>0.68907407407407406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 s="70"/>
      <c r="BF73" s="20">
        <f>BE69</f>
        <v>99.731399999999979</v>
      </c>
    </row>
    <row r="74" spans="1:58">
      <c r="A74" t="s">
        <v>66</v>
      </c>
      <c r="B74">
        <v>0</v>
      </c>
      <c r="C74" t="s">
        <v>7</v>
      </c>
      <c r="D74">
        <v>52000</v>
      </c>
      <c r="E74">
        <v>160</v>
      </c>
      <c r="F74">
        <v>2</v>
      </c>
      <c r="G74">
        <v>8</v>
      </c>
      <c r="H74">
        <v>724.23</v>
      </c>
      <c r="I74" s="49">
        <v>129.44</v>
      </c>
      <c r="J74" s="23">
        <v>45545</v>
      </c>
      <c r="K74" s="46">
        <v>0.11370370370370371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50">
        <f t="shared" ref="X74" si="38">AVERAGE(I74:I78)</f>
        <v>129.464</v>
      </c>
      <c r="Y74" s="20"/>
      <c r="Z74" s="20">
        <v>0</v>
      </c>
      <c r="AA74" s="20">
        <v>0</v>
      </c>
      <c r="AB74" s="20">
        <v>0</v>
      </c>
      <c r="AC74" s="20"/>
      <c r="AD74" s="20"/>
      <c r="AE74" s="20"/>
      <c r="AH74" t="s">
        <v>120</v>
      </c>
      <c r="AI74">
        <v>0</v>
      </c>
      <c r="AJ74" t="s">
        <v>7</v>
      </c>
      <c r="AK74">
        <v>26080</v>
      </c>
      <c r="AL74">
        <v>160</v>
      </c>
      <c r="AM74">
        <v>2</v>
      </c>
      <c r="AN74" s="41">
        <v>8</v>
      </c>
      <c r="AO74" s="1">
        <v>118.39</v>
      </c>
      <c r="AP74" s="20">
        <v>99.899000000000001</v>
      </c>
      <c r="AQ74" s="23">
        <v>45544</v>
      </c>
      <c r="AR74" s="44">
        <v>0.60166666666666668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 s="68">
        <f t="shared" ref="BE74" si="39">AVERAGE(AP74:AP78)</f>
        <v>99.643200000000007</v>
      </c>
      <c r="BF74" s="20">
        <f>BE74</f>
        <v>99.643200000000007</v>
      </c>
    </row>
    <row r="75" spans="1:58">
      <c r="A75" t="s">
        <v>66</v>
      </c>
      <c r="B75">
        <v>1</v>
      </c>
      <c r="C75" t="s">
        <v>7</v>
      </c>
      <c r="D75">
        <v>52000</v>
      </c>
      <c r="E75">
        <v>160</v>
      </c>
      <c r="F75">
        <v>2</v>
      </c>
      <c r="G75">
        <v>8</v>
      </c>
      <c r="H75">
        <v>724.41</v>
      </c>
      <c r="I75" s="49">
        <v>129.41</v>
      </c>
      <c r="J75" s="23">
        <v>45545</v>
      </c>
      <c r="K75" s="46">
        <v>0.12275462962962963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51">
        <f t="shared" ref="X75" si="40">X74</f>
        <v>129.464</v>
      </c>
      <c r="Y75" s="20"/>
      <c r="Z75" s="20">
        <v>0</v>
      </c>
      <c r="AA75" s="20">
        <v>0</v>
      </c>
      <c r="AB75" s="20">
        <v>0</v>
      </c>
      <c r="AC75" s="20"/>
      <c r="AD75" s="20"/>
      <c r="AE75" s="20"/>
      <c r="AH75" t="s">
        <v>120</v>
      </c>
      <c r="AI75">
        <v>1</v>
      </c>
      <c r="AJ75" t="s">
        <v>7</v>
      </c>
      <c r="AK75">
        <v>26080</v>
      </c>
      <c r="AL75">
        <v>160</v>
      </c>
      <c r="AM75">
        <v>2</v>
      </c>
      <c r="AN75" s="41">
        <v>8</v>
      </c>
      <c r="AO75" s="1">
        <v>118.74</v>
      </c>
      <c r="AP75" s="20">
        <v>99.602000000000004</v>
      </c>
      <c r="AQ75" s="23">
        <v>45544</v>
      </c>
      <c r="AR75" s="44">
        <v>0.60312500000000002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 s="69"/>
      <c r="BF75" s="20">
        <f>BE74</f>
        <v>99.643200000000007</v>
      </c>
    </row>
    <row r="76" spans="1:58">
      <c r="A76" t="s">
        <v>66</v>
      </c>
      <c r="B76">
        <v>2</v>
      </c>
      <c r="C76" t="s">
        <v>7</v>
      </c>
      <c r="D76">
        <v>52000</v>
      </c>
      <c r="E76">
        <v>160</v>
      </c>
      <c r="F76">
        <v>2</v>
      </c>
      <c r="G76">
        <v>8</v>
      </c>
      <c r="H76">
        <v>722.36</v>
      </c>
      <c r="I76" s="49">
        <v>129.77000000000001</v>
      </c>
      <c r="J76" s="23">
        <v>45545</v>
      </c>
      <c r="K76" s="46">
        <v>0.13179398148148147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51">
        <f t="shared" si="4"/>
        <v>129.464</v>
      </c>
      <c r="Y76" s="20"/>
      <c r="Z76" s="20">
        <v>0</v>
      </c>
      <c r="AA76" s="20">
        <v>0</v>
      </c>
      <c r="AB76" s="20">
        <v>0</v>
      </c>
      <c r="AC76" s="20"/>
      <c r="AD76" s="20"/>
      <c r="AE76" s="20"/>
      <c r="AH76" t="s">
        <v>120</v>
      </c>
      <c r="AI76">
        <v>2</v>
      </c>
      <c r="AJ76" t="s">
        <v>7</v>
      </c>
      <c r="AK76">
        <v>26080</v>
      </c>
      <c r="AL76">
        <v>160</v>
      </c>
      <c r="AM76">
        <v>2</v>
      </c>
      <c r="AN76" s="41">
        <v>8</v>
      </c>
      <c r="AO76" s="1">
        <v>118.55</v>
      </c>
      <c r="AP76" s="20">
        <v>99.763000000000005</v>
      </c>
      <c r="AQ76" s="23">
        <v>45544</v>
      </c>
      <c r="AR76" s="44">
        <v>0.60457175925925921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 s="69"/>
      <c r="BF76" s="20">
        <f>BE74</f>
        <v>99.643200000000007</v>
      </c>
    </row>
    <row r="77" spans="1:58">
      <c r="A77" t="s">
        <v>66</v>
      </c>
      <c r="B77">
        <v>3</v>
      </c>
      <c r="C77" t="s">
        <v>7</v>
      </c>
      <c r="D77">
        <v>52000</v>
      </c>
      <c r="E77">
        <v>160</v>
      </c>
      <c r="F77">
        <v>2</v>
      </c>
      <c r="G77">
        <v>8</v>
      </c>
      <c r="H77">
        <v>724.08</v>
      </c>
      <c r="I77" s="49">
        <v>129.47</v>
      </c>
      <c r="J77" s="23">
        <v>45545</v>
      </c>
      <c r="K77" s="46">
        <v>0.14085648148148147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51">
        <f t="shared" si="4"/>
        <v>129.464</v>
      </c>
      <c r="Y77" s="20"/>
      <c r="Z77" s="20">
        <v>0</v>
      </c>
      <c r="AA77" s="20">
        <v>0</v>
      </c>
      <c r="AB77" s="20">
        <v>0</v>
      </c>
      <c r="AC77" s="20"/>
      <c r="AD77" s="20"/>
      <c r="AE77" s="20"/>
      <c r="AH77" t="s">
        <v>120</v>
      </c>
      <c r="AI77">
        <v>3</v>
      </c>
      <c r="AJ77" t="s">
        <v>7</v>
      </c>
      <c r="AK77">
        <v>26080</v>
      </c>
      <c r="AL77">
        <v>160</v>
      </c>
      <c r="AM77">
        <v>2</v>
      </c>
      <c r="AN77" s="41">
        <v>8</v>
      </c>
      <c r="AO77" s="1">
        <v>118.1</v>
      </c>
      <c r="AP77" s="20">
        <v>100.14</v>
      </c>
      <c r="AQ77" s="23">
        <v>45544</v>
      </c>
      <c r="AR77" s="44">
        <v>0.60601851851851851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 s="69"/>
      <c r="BF77" s="20">
        <f>BE74</f>
        <v>99.643200000000007</v>
      </c>
    </row>
    <row r="78" spans="1:58">
      <c r="A78" t="s">
        <v>66</v>
      </c>
      <c r="B78">
        <v>4</v>
      </c>
      <c r="C78" t="s">
        <v>7</v>
      </c>
      <c r="D78">
        <v>52000</v>
      </c>
      <c r="E78">
        <v>160</v>
      </c>
      <c r="F78">
        <v>2</v>
      </c>
      <c r="G78">
        <v>8</v>
      </c>
      <c r="H78">
        <v>725.41</v>
      </c>
      <c r="I78" s="49">
        <v>129.22999999999999</v>
      </c>
      <c r="J78" s="23">
        <v>45545</v>
      </c>
      <c r="K78" s="46">
        <v>0.14991898148148147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51">
        <f t="shared" si="4"/>
        <v>129.464</v>
      </c>
      <c r="Y78" s="20"/>
      <c r="Z78" s="20">
        <v>0</v>
      </c>
      <c r="AA78" s="20">
        <v>0</v>
      </c>
      <c r="AB78" s="20">
        <v>0</v>
      </c>
      <c r="AC78" s="20"/>
      <c r="AD78" s="20"/>
      <c r="AE78" s="20"/>
      <c r="AH78" t="s">
        <v>120</v>
      </c>
      <c r="AI78">
        <v>4</v>
      </c>
      <c r="AJ78" t="s">
        <v>7</v>
      </c>
      <c r="AK78">
        <v>26080</v>
      </c>
      <c r="AL78">
        <v>160</v>
      </c>
      <c r="AM78">
        <v>2</v>
      </c>
      <c r="AN78" s="41">
        <v>8</v>
      </c>
      <c r="AO78" s="1">
        <v>119.69</v>
      </c>
      <c r="AP78" s="20">
        <v>98.811999999999998</v>
      </c>
      <c r="AQ78" s="23">
        <v>45544</v>
      </c>
      <c r="AR78" s="44">
        <v>0.60748842592592589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 s="70"/>
      <c r="BF78" s="20">
        <f>BE74</f>
        <v>99.643200000000007</v>
      </c>
    </row>
    <row r="79" spans="1:58">
      <c r="A79" t="s">
        <v>120</v>
      </c>
      <c r="B79">
        <v>0</v>
      </c>
      <c r="C79" t="s">
        <v>7</v>
      </c>
      <c r="D79">
        <v>52000</v>
      </c>
      <c r="E79">
        <v>160</v>
      </c>
      <c r="F79">
        <v>2</v>
      </c>
      <c r="G79">
        <v>8</v>
      </c>
      <c r="H79">
        <v>724.79</v>
      </c>
      <c r="I79" s="49">
        <v>129.34</v>
      </c>
      <c r="J79" s="23">
        <v>45545</v>
      </c>
      <c r="K79" s="46">
        <v>0.55292824074074076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50">
        <f t="shared" ref="X79" si="41">AVERAGE(I79:I83)</f>
        <v>129.37799999999999</v>
      </c>
      <c r="Y79" s="20"/>
      <c r="Z79" s="20">
        <v>0</v>
      </c>
      <c r="AA79" s="20">
        <v>0</v>
      </c>
      <c r="AB79" s="20">
        <v>0</v>
      </c>
      <c r="AC79" s="20"/>
      <c r="AD79" s="20"/>
      <c r="AE79" s="20"/>
      <c r="AH79" t="s">
        <v>122</v>
      </c>
      <c r="AI79">
        <v>0</v>
      </c>
      <c r="AJ79" t="s">
        <v>7</v>
      </c>
      <c r="AK79">
        <v>26080</v>
      </c>
      <c r="AL79">
        <v>160</v>
      </c>
      <c r="AM79">
        <v>2</v>
      </c>
      <c r="AN79" s="41">
        <v>8</v>
      </c>
      <c r="AO79" s="1">
        <v>120.01</v>
      </c>
      <c r="AP79" s="20">
        <v>98.551000000000002</v>
      </c>
      <c r="AQ79" s="23">
        <v>45544</v>
      </c>
      <c r="AR79" s="44">
        <v>0.61614583333333328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 s="68">
        <f t="shared" ref="BE79" si="42">AVERAGE(AP79:AP83)</f>
        <v>98.896800000000013</v>
      </c>
      <c r="BF79" s="20">
        <f>BE79</f>
        <v>98.896800000000013</v>
      </c>
    </row>
    <row r="80" spans="1:58">
      <c r="A80" t="s">
        <v>120</v>
      </c>
      <c r="B80">
        <v>1</v>
      </c>
      <c r="C80" t="s">
        <v>7</v>
      </c>
      <c r="D80">
        <v>52000</v>
      </c>
      <c r="E80">
        <v>160</v>
      </c>
      <c r="F80">
        <v>2</v>
      </c>
      <c r="G80">
        <v>8</v>
      </c>
      <c r="H80">
        <v>724.93</v>
      </c>
      <c r="I80" s="49">
        <v>129.31</v>
      </c>
      <c r="J80" s="23">
        <v>45545</v>
      </c>
      <c r="K80" s="46">
        <v>0.56155092592592593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51">
        <f t="shared" ref="X80:X143" si="43">X79</f>
        <v>129.37799999999999</v>
      </c>
      <c r="Y80" s="20"/>
      <c r="Z80" s="20">
        <v>0</v>
      </c>
      <c r="AA80" s="20">
        <v>0</v>
      </c>
      <c r="AB80" s="20">
        <v>0</v>
      </c>
      <c r="AC80" s="20"/>
      <c r="AD80" s="20"/>
      <c r="AE80" s="20"/>
      <c r="AH80" t="s">
        <v>122</v>
      </c>
      <c r="AI80">
        <v>1</v>
      </c>
      <c r="AJ80" t="s">
        <v>7</v>
      </c>
      <c r="AK80">
        <v>26080</v>
      </c>
      <c r="AL80">
        <v>160</v>
      </c>
      <c r="AM80">
        <v>2</v>
      </c>
      <c r="AN80" s="41">
        <v>8</v>
      </c>
      <c r="AO80" s="1">
        <v>119.81</v>
      </c>
      <c r="AP80" s="20">
        <v>98.715000000000003</v>
      </c>
      <c r="AQ80" s="23">
        <v>45544</v>
      </c>
      <c r="AR80" s="44">
        <v>0.61760416666666662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 s="69"/>
      <c r="BF80" s="20">
        <f>BE79</f>
        <v>98.896800000000013</v>
      </c>
    </row>
    <row r="81" spans="1:58">
      <c r="A81" t="s">
        <v>120</v>
      </c>
      <c r="B81">
        <v>2</v>
      </c>
      <c r="C81" t="s">
        <v>7</v>
      </c>
      <c r="D81">
        <v>52000</v>
      </c>
      <c r="E81">
        <v>160</v>
      </c>
      <c r="F81">
        <v>2</v>
      </c>
      <c r="G81">
        <v>8</v>
      </c>
      <c r="H81">
        <v>724.76</v>
      </c>
      <c r="I81" s="49">
        <v>129.34</v>
      </c>
      <c r="J81" s="23">
        <v>45545</v>
      </c>
      <c r="K81" s="46">
        <v>0.57016203703703705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51">
        <f t="shared" si="43"/>
        <v>129.37799999999999</v>
      </c>
      <c r="Y81" s="20"/>
      <c r="Z81" s="20">
        <v>0</v>
      </c>
      <c r="AA81" s="20">
        <v>0</v>
      </c>
      <c r="AB81" s="20">
        <v>0</v>
      </c>
      <c r="AC81" s="20"/>
      <c r="AD81" s="20"/>
      <c r="AE81" s="20"/>
      <c r="AH81" t="s">
        <v>122</v>
      </c>
      <c r="AI81">
        <v>2</v>
      </c>
      <c r="AJ81" t="s">
        <v>7</v>
      </c>
      <c r="AK81">
        <v>26080</v>
      </c>
      <c r="AL81">
        <v>160</v>
      </c>
      <c r="AM81">
        <v>2</v>
      </c>
      <c r="AN81" s="41">
        <v>8</v>
      </c>
      <c r="AO81" s="1">
        <v>119.22</v>
      </c>
      <c r="AP81" s="20">
        <v>99.203000000000003</v>
      </c>
      <c r="AQ81" s="23">
        <v>45544</v>
      </c>
      <c r="AR81" s="44">
        <v>0.61907407407407411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 s="69"/>
      <c r="BF81" s="20">
        <f>BE79</f>
        <v>98.896800000000013</v>
      </c>
    </row>
    <row r="82" spans="1:58">
      <c r="A82" t="s">
        <v>120</v>
      </c>
      <c r="B82">
        <v>3</v>
      </c>
      <c r="C82" t="s">
        <v>7</v>
      </c>
      <c r="D82">
        <v>52000</v>
      </c>
      <c r="E82">
        <v>160</v>
      </c>
      <c r="F82">
        <v>2</v>
      </c>
      <c r="G82">
        <v>8</v>
      </c>
      <c r="H82">
        <v>725.08</v>
      </c>
      <c r="I82" s="49">
        <v>129.29</v>
      </c>
      <c r="J82" s="23">
        <v>45545</v>
      </c>
      <c r="K82" s="46">
        <v>0.57878472222222221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s="51">
        <f t="shared" si="43"/>
        <v>129.37799999999999</v>
      </c>
      <c r="Y82" s="20"/>
      <c r="Z82" s="20">
        <v>0</v>
      </c>
      <c r="AA82" s="20">
        <v>0</v>
      </c>
      <c r="AB82" s="20">
        <v>0</v>
      </c>
      <c r="AC82" s="20"/>
      <c r="AD82" s="20"/>
      <c r="AE82" s="20"/>
      <c r="AH82" t="s">
        <v>122</v>
      </c>
      <c r="AI82">
        <v>3</v>
      </c>
      <c r="AJ82" t="s">
        <v>7</v>
      </c>
      <c r="AK82">
        <v>26080</v>
      </c>
      <c r="AL82">
        <v>160</v>
      </c>
      <c r="AM82">
        <v>2</v>
      </c>
      <c r="AN82" s="41">
        <v>8</v>
      </c>
      <c r="AO82" s="1">
        <v>119.75</v>
      </c>
      <c r="AP82" s="20">
        <v>98.766999999999996</v>
      </c>
      <c r="AQ82" s="23">
        <v>45544</v>
      </c>
      <c r="AR82" s="44">
        <v>0.62053240740740745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 s="69"/>
      <c r="BF82" s="20">
        <f>BE79</f>
        <v>98.896800000000013</v>
      </c>
    </row>
    <row r="83" spans="1:58">
      <c r="A83" t="s">
        <v>120</v>
      </c>
      <c r="B83">
        <v>4</v>
      </c>
      <c r="C83" t="s">
        <v>7</v>
      </c>
      <c r="D83">
        <v>52000</v>
      </c>
      <c r="E83">
        <v>160</v>
      </c>
      <c r="F83">
        <v>2</v>
      </c>
      <c r="G83">
        <v>8</v>
      </c>
      <c r="H83">
        <v>723.25</v>
      </c>
      <c r="I83" s="49">
        <v>129.61000000000001</v>
      </c>
      <c r="J83" s="23">
        <v>45545</v>
      </c>
      <c r="K83" s="46">
        <v>0.58737268518518515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s="51">
        <f t="shared" si="43"/>
        <v>129.37799999999999</v>
      </c>
      <c r="Y83" s="20"/>
      <c r="Z83" s="20">
        <v>0</v>
      </c>
      <c r="AA83" s="20">
        <v>0</v>
      </c>
      <c r="AB83" s="20">
        <v>0</v>
      </c>
      <c r="AC83" s="20"/>
      <c r="AD83" s="20"/>
      <c r="AE83" s="20"/>
      <c r="AH83" t="s">
        <v>122</v>
      </c>
      <c r="AI83">
        <v>4</v>
      </c>
      <c r="AJ83" t="s">
        <v>7</v>
      </c>
      <c r="AK83">
        <v>26080</v>
      </c>
      <c r="AL83">
        <v>160</v>
      </c>
      <c r="AM83">
        <v>2</v>
      </c>
      <c r="AN83" s="41">
        <v>8</v>
      </c>
      <c r="AO83" s="1">
        <v>119.17</v>
      </c>
      <c r="AP83" s="20">
        <v>99.248000000000005</v>
      </c>
      <c r="AQ83" s="23">
        <v>45544</v>
      </c>
      <c r="AR83" s="44">
        <v>0.62199074074074079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 s="70"/>
      <c r="BF83" s="20">
        <f>BE79</f>
        <v>98.896800000000013</v>
      </c>
    </row>
    <row r="84" spans="1:58">
      <c r="A84" t="s">
        <v>67</v>
      </c>
      <c r="B84">
        <v>0</v>
      </c>
      <c r="C84" t="s">
        <v>7</v>
      </c>
      <c r="D84">
        <v>52000</v>
      </c>
      <c r="E84">
        <v>160</v>
      </c>
      <c r="F84">
        <v>2</v>
      </c>
      <c r="G84">
        <v>8</v>
      </c>
      <c r="H84">
        <v>724.37</v>
      </c>
      <c r="I84" s="49">
        <v>129.41</v>
      </c>
      <c r="J84" s="23">
        <v>45545</v>
      </c>
      <c r="K84" s="46">
        <v>0.204375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50">
        <f t="shared" ref="X84" si="44">AVERAGE(I84:I88)</f>
        <v>129.35999999999999</v>
      </c>
      <c r="Y84" s="20"/>
      <c r="Z84" s="20">
        <v>0</v>
      </c>
      <c r="AA84" s="20">
        <v>0</v>
      </c>
      <c r="AB84" s="20">
        <v>0</v>
      </c>
      <c r="AC84" s="20"/>
      <c r="AD84" s="20"/>
      <c r="AE84" s="20"/>
      <c r="AH84" t="s">
        <v>66</v>
      </c>
      <c r="AI84">
        <v>0</v>
      </c>
      <c r="AJ84" t="s">
        <v>7</v>
      </c>
      <c r="AK84">
        <v>26080</v>
      </c>
      <c r="AL84">
        <v>160</v>
      </c>
      <c r="AM84">
        <v>2</v>
      </c>
      <c r="AN84" s="41">
        <v>8</v>
      </c>
      <c r="AO84" s="1">
        <v>120.33</v>
      </c>
      <c r="AP84" s="20">
        <v>98.287999999999997</v>
      </c>
      <c r="AQ84" s="23">
        <v>45544</v>
      </c>
      <c r="AR84" s="44">
        <v>0.5245023148148148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 s="68">
        <f t="shared" ref="BE84" si="45">AVERAGE(AP84:AP88)</f>
        <v>98.620199999999983</v>
      </c>
      <c r="BF84" s="20">
        <f>BE84</f>
        <v>98.620199999999983</v>
      </c>
    </row>
    <row r="85" spans="1:58">
      <c r="A85" t="s">
        <v>67</v>
      </c>
      <c r="B85">
        <v>1</v>
      </c>
      <c r="C85" t="s">
        <v>7</v>
      </c>
      <c r="D85">
        <v>52000</v>
      </c>
      <c r="E85">
        <v>160</v>
      </c>
      <c r="F85">
        <v>2</v>
      </c>
      <c r="G85">
        <v>8</v>
      </c>
      <c r="H85">
        <v>724.95</v>
      </c>
      <c r="I85" s="49">
        <v>129.31</v>
      </c>
      <c r="J85" s="23">
        <v>45545</v>
      </c>
      <c r="K85" s="46">
        <v>0.2134375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51">
        <f t="shared" ref="X85" si="46">X84</f>
        <v>129.35999999999999</v>
      </c>
      <c r="Y85" s="20"/>
      <c r="Z85" s="20">
        <v>0</v>
      </c>
      <c r="AA85" s="20">
        <v>0</v>
      </c>
      <c r="AB85" s="20">
        <v>0</v>
      </c>
      <c r="AC85" s="20"/>
      <c r="AD85" s="20"/>
      <c r="AE85" s="20"/>
      <c r="AH85" t="s">
        <v>66</v>
      </c>
      <c r="AI85">
        <v>1</v>
      </c>
      <c r="AJ85" t="s">
        <v>7</v>
      </c>
      <c r="AK85">
        <v>26080</v>
      </c>
      <c r="AL85">
        <v>160</v>
      </c>
      <c r="AM85">
        <v>2</v>
      </c>
      <c r="AN85" s="41">
        <v>8</v>
      </c>
      <c r="AO85" s="1">
        <v>119.57</v>
      </c>
      <c r="AP85" s="20">
        <v>98.912000000000006</v>
      </c>
      <c r="AQ85" s="23">
        <v>45544</v>
      </c>
      <c r="AR85" s="44">
        <v>0.52607638888888886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 s="69"/>
      <c r="BF85" s="20">
        <f>BE84</f>
        <v>98.620199999999983</v>
      </c>
    </row>
    <row r="86" spans="1:58">
      <c r="A86" t="s">
        <v>67</v>
      </c>
      <c r="B86">
        <v>2</v>
      </c>
      <c r="C86" t="s">
        <v>7</v>
      </c>
      <c r="D86">
        <v>52000</v>
      </c>
      <c r="E86">
        <v>160</v>
      </c>
      <c r="F86">
        <v>2</v>
      </c>
      <c r="G86">
        <v>8</v>
      </c>
      <c r="H86">
        <v>725.24</v>
      </c>
      <c r="I86" s="49">
        <v>129.26</v>
      </c>
      <c r="J86" s="23">
        <v>45545</v>
      </c>
      <c r="K86" s="46">
        <v>0.22251157407407407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51">
        <f t="shared" si="43"/>
        <v>129.35999999999999</v>
      </c>
      <c r="Y86" s="20"/>
      <c r="Z86" s="20">
        <v>0</v>
      </c>
      <c r="AA86" s="20">
        <v>0</v>
      </c>
      <c r="AB86" s="20">
        <v>0</v>
      </c>
      <c r="AC86" s="20"/>
      <c r="AD86" s="20"/>
      <c r="AE86" s="20"/>
      <c r="AH86" t="s">
        <v>66</v>
      </c>
      <c r="AI86">
        <v>2</v>
      </c>
      <c r="AJ86" t="s">
        <v>7</v>
      </c>
      <c r="AK86">
        <v>26080</v>
      </c>
      <c r="AL86">
        <v>160</v>
      </c>
      <c r="AM86">
        <v>2</v>
      </c>
      <c r="AN86" s="41">
        <v>8</v>
      </c>
      <c r="AO86" s="1">
        <v>119.68</v>
      </c>
      <c r="AP86" s="20">
        <v>98.822999999999993</v>
      </c>
      <c r="AQ86" s="23">
        <v>45544</v>
      </c>
      <c r="AR86" s="44">
        <v>0.52766203703703707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 s="69"/>
      <c r="BF86" s="20">
        <f>BE84</f>
        <v>98.620199999999983</v>
      </c>
    </row>
    <row r="87" spans="1:58">
      <c r="A87" t="s">
        <v>67</v>
      </c>
      <c r="B87">
        <v>3</v>
      </c>
      <c r="C87" t="s">
        <v>7</v>
      </c>
      <c r="D87">
        <v>52000</v>
      </c>
      <c r="E87">
        <v>160</v>
      </c>
      <c r="F87">
        <v>2</v>
      </c>
      <c r="G87">
        <v>8</v>
      </c>
      <c r="H87">
        <v>725.13</v>
      </c>
      <c r="I87" s="49">
        <v>129.28</v>
      </c>
      <c r="J87" s="23">
        <v>45545</v>
      </c>
      <c r="K87" s="46">
        <v>0.23157407407407407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s="51">
        <f t="shared" si="43"/>
        <v>129.35999999999999</v>
      </c>
      <c r="Y87" s="20"/>
      <c r="Z87" s="20">
        <v>0</v>
      </c>
      <c r="AA87" s="20">
        <v>0</v>
      </c>
      <c r="AB87" s="20">
        <v>0</v>
      </c>
      <c r="AC87" s="20"/>
      <c r="AD87" s="20"/>
      <c r="AE87" s="20"/>
      <c r="AH87" t="s">
        <v>66</v>
      </c>
      <c r="AI87">
        <v>3</v>
      </c>
      <c r="AJ87" t="s">
        <v>7</v>
      </c>
      <c r="AK87">
        <v>26080</v>
      </c>
      <c r="AL87">
        <v>160</v>
      </c>
      <c r="AM87">
        <v>2</v>
      </c>
      <c r="AN87" s="41">
        <v>8</v>
      </c>
      <c r="AO87" s="1">
        <v>119.96</v>
      </c>
      <c r="AP87" s="20">
        <v>98.587000000000003</v>
      </c>
      <c r="AQ87" s="23">
        <v>45544</v>
      </c>
      <c r="AR87" s="44">
        <v>0.52924768518518517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 s="69"/>
      <c r="BF87" s="20">
        <f>BE84</f>
        <v>98.620199999999983</v>
      </c>
    </row>
    <row r="88" spans="1:58">
      <c r="A88" t="s">
        <v>67</v>
      </c>
      <c r="B88">
        <v>4</v>
      </c>
      <c r="C88" t="s">
        <v>7</v>
      </c>
      <c r="D88">
        <v>52000</v>
      </c>
      <c r="E88">
        <v>160</v>
      </c>
      <c r="F88">
        <v>2</v>
      </c>
      <c r="G88">
        <v>8</v>
      </c>
      <c r="H88">
        <v>723.65</v>
      </c>
      <c r="I88" s="49">
        <v>129.54</v>
      </c>
      <c r="J88" s="23">
        <v>45545</v>
      </c>
      <c r="K88" s="46">
        <v>0.24062500000000001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s="51">
        <f t="shared" si="43"/>
        <v>129.35999999999999</v>
      </c>
      <c r="Y88" s="20"/>
      <c r="Z88" s="20">
        <v>0</v>
      </c>
      <c r="AA88" s="20">
        <v>0</v>
      </c>
      <c r="AB88" s="20">
        <v>0</v>
      </c>
      <c r="AC88" s="20"/>
      <c r="AD88" s="20"/>
      <c r="AE88" s="20"/>
      <c r="AH88" t="s">
        <v>66</v>
      </c>
      <c r="AI88">
        <v>4</v>
      </c>
      <c r="AJ88" t="s">
        <v>7</v>
      </c>
      <c r="AK88">
        <v>26080</v>
      </c>
      <c r="AL88">
        <v>160</v>
      </c>
      <c r="AM88">
        <v>2</v>
      </c>
      <c r="AN88" s="41">
        <v>8</v>
      </c>
      <c r="AO88" s="1">
        <v>120.08</v>
      </c>
      <c r="AP88" s="20">
        <v>98.491</v>
      </c>
      <c r="AQ88" s="23">
        <v>45544</v>
      </c>
      <c r="AR88" s="44">
        <v>0.53083333333333338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 s="70"/>
      <c r="BF88" s="20">
        <f>BE84</f>
        <v>98.620199999999983</v>
      </c>
    </row>
    <row r="89" spans="1:58">
      <c r="A89" t="s">
        <v>98</v>
      </c>
      <c r="B89">
        <v>0</v>
      </c>
      <c r="C89" t="s">
        <v>7</v>
      </c>
      <c r="D89">
        <v>52000</v>
      </c>
      <c r="E89">
        <v>160</v>
      </c>
      <c r="F89">
        <v>2</v>
      </c>
      <c r="G89">
        <v>8</v>
      </c>
      <c r="H89">
        <v>725.29</v>
      </c>
      <c r="I89" s="49">
        <v>129.25</v>
      </c>
      <c r="J89" s="23">
        <v>45544</v>
      </c>
      <c r="K89" s="46">
        <v>0.96736111111111112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s="50">
        <f t="shared" ref="X89" si="47">AVERAGE(I89:I93)</f>
        <v>129.18</v>
      </c>
      <c r="Y89" s="20"/>
      <c r="Z89" s="20">
        <v>0</v>
      </c>
      <c r="AA89" s="20">
        <v>0</v>
      </c>
      <c r="AB89" s="20">
        <v>0</v>
      </c>
      <c r="AC89" s="20"/>
      <c r="AD89" s="20"/>
      <c r="AE89" s="20"/>
      <c r="AH89" t="s">
        <v>73</v>
      </c>
      <c r="AI89">
        <v>0</v>
      </c>
      <c r="AJ89" t="s">
        <v>7</v>
      </c>
      <c r="AK89">
        <v>26080</v>
      </c>
      <c r="AL89">
        <v>160</v>
      </c>
      <c r="AM89">
        <v>2</v>
      </c>
      <c r="AN89" s="41">
        <v>8</v>
      </c>
      <c r="AO89" s="1">
        <v>119.79</v>
      </c>
      <c r="AP89" s="20">
        <v>98.727000000000004</v>
      </c>
      <c r="AQ89" s="23">
        <v>45544</v>
      </c>
      <c r="AR89" s="44">
        <v>0.59387731481481476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 s="68">
        <f t="shared" ref="BE89" si="48">AVERAGE(AP89:AP93)</f>
        <v>98.533200000000008</v>
      </c>
      <c r="BF89" s="20">
        <f>BE89</f>
        <v>98.533200000000008</v>
      </c>
    </row>
    <row r="90" spans="1:58">
      <c r="A90" t="s">
        <v>98</v>
      </c>
      <c r="B90">
        <v>1</v>
      </c>
      <c r="C90" t="s">
        <v>7</v>
      </c>
      <c r="D90">
        <v>52000</v>
      </c>
      <c r="E90">
        <v>160</v>
      </c>
      <c r="F90">
        <v>2</v>
      </c>
      <c r="G90">
        <v>8</v>
      </c>
      <c r="H90">
        <v>728.34</v>
      </c>
      <c r="I90" s="49">
        <v>128.71</v>
      </c>
      <c r="J90" s="23">
        <v>45544</v>
      </c>
      <c r="K90" s="46">
        <v>0.97646990740740736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 s="51">
        <f t="shared" ref="X90" si="49">X89</f>
        <v>129.18</v>
      </c>
      <c r="Y90" s="20"/>
      <c r="Z90" s="20">
        <v>0</v>
      </c>
      <c r="AA90" s="20">
        <v>0</v>
      </c>
      <c r="AB90" s="20">
        <v>0</v>
      </c>
      <c r="AC90" s="20"/>
      <c r="AD90" s="20"/>
      <c r="AE90" s="20"/>
      <c r="AH90" t="s">
        <v>73</v>
      </c>
      <c r="AI90">
        <v>1</v>
      </c>
      <c r="AJ90" t="s">
        <v>7</v>
      </c>
      <c r="AK90">
        <v>26080</v>
      </c>
      <c r="AL90">
        <v>160</v>
      </c>
      <c r="AM90">
        <v>2</v>
      </c>
      <c r="AN90" s="41">
        <v>8</v>
      </c>
      <c r="AO90" s="1">
        <v>120.37</v>
      </c>
      <c r="AP90" s="20">
        <v>98.257000000000005</v>
      </c>
      <c r="AQ90" s="23">
        <v>45544</v>
      </c>
      <c r="AR90" s="44">
        <v>0.59546296296296297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 s="69"/>
      <c r="BF90" s="20">
        <f>BE89</f>
        <v>98.533200000000008</v>
      </c>
    </row>
    <row r="91" spans="1:58">
      <c r="A91" t="s">
        <v>98</v>
      </c>
      <c r="B91">
        <v>2</v>
      </c>
      <c r="C91" t="s">
        <v>7</v>
      </c>
      <c r="D91">
        <v>52000</v>
      </c>
      <c r="E91">
        <v>160</v>
      </c>
      <c r="F91">
        <v>2</v>
      </c>
      <c r="G91">
        <v>8</v>
      </c>
      <c r="H91">
        <v>723.5</v>
      </c>
      <c r="I91" s="49">
        <v>129.57</v>
      </c>
      <c r="J91" s="23">
        <v>45544</v>
      </c>
      <c r="K91" s="46">
        <v>0.98552083333333329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 s="51">
        <f t="shared" si="43"/>
        <v>129.18</v>
      </c>
      <c r="Y91" s="20"/>
      <c r="Z91" s="20">
        <v>0</v>
      </c>
      <c r="AA91" s="20">
        <v>0</v>
      </c>
      <c r="AB91" s="20">
        <v>0</v>
      </c>
      <c r="AC91" s="20"/>
      <c r="AD91" s="20"/>
      <c r="AE91" s="20"/>
      <c r="AH91" t="s">
        <v>73</v>
      </c>
      <c r="AI91">
        <v>2</v>
      </c>
      <c r="AJ91" t="s">
        <v>7</v>
      </c>
      <c r="AK91">
        <v>26080</v>
      </c>
      <c r="AL91">
        <v>160</v>
      </c>
      <c r="AM91">
        <v>2</v>
      </c>
      <c r="AN91" s="41">
        <v>8</v>
      </c>
      <c r="AO91" s="1">
        <v>120.62</v>
      </c>
      <c r="AP91" s="20">
        <v>98.048000000000002</v>
      </c>
      <c r="AQ91" s="23">
        <v>45544</v>
      </c>
      <c r="AR91" s="44">
        <v>0.59706018518518522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 s="69"/>
      <c r="BF91" s="20">
        <f>BE89</f>
        <v>98.533200000000008</v>
      </c>
    </row>
    <row r="92" spans="1:58">
      <c r="A92" t="s">
        <v>98</v>
      </c>
      <c r="B92">
        <v>3</v>
      </c>
      <c r="C92" t="s">
        <v>7</v>
      </c>
      <c r="D92">
        <v>52000</v>
      </c>
      <c r="E92">
        <v>160</v>
      </c>
      <c r="F92">
        <v>2</v>
      </c>
      <c r="G92">
        <v>8</v>
      </c>
      <c r="H92">
        <v>724.81</v>
      </c>
      <c r="I92" s="49">
        <v>129.33000000000001</v>
      </c>
      <c r="J92" s="23">
        <v>45544</v>
      </c>
      <c r="K92" s="46">
        <v>0.99458333333333337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s="51">
        <f t="shared" si="43"/>
        <v>129.18</v>
      </c>
      <c r="Y92" s="20"/>
      <c r="Z92" s="20">
        <v>0</v>
      </c>
      <c r="AA92" s="20">
        <v>0</v>
      </c>
      <c r="AB92" s="20">
        <v>0</v>
      </c>
      <c r="AC92" s="20"/>
      <c r="AD92" s="20"/>
      <c r="AE92" s="20"/>
      <c r="AH92" t="s">
        <v>73</v>
      </c>
      <c r="AI92">
        <v>3</v>
      </c>
      <c r="AJ92" t="s">
        <v>7</v>
      </c>
      <c r="AK92">
        <v>26080</v>
      </c>
      <c r="AL92">
        <v>160</v>
      </c>
      <c r="AM92">
        <v>2</v>
      </c>
      <c r="AN92" s="41">
        <v>8</v>
      </c>
      <c r="AO92" s="1">
        <v>119.74</v>
      </c>
      <c r="AP92" s="20">
        <v>98.769000000000005</v>
      </c>
      <c r="AQ92" s="23">
        <v>45544</v>
      </c>
      <c r="AR92" s="44">
        <v>0.59863425925925928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 s="69"/>
      <c r="BF92" s="20">
        <f>BE89</f>
        <v>98.533200000000008</v>
      </c>
    </row>
    <row r="93" spans="1:58">
      <c r="A93" t="s">
        <v>98</v>
      </c>
      <c r="B93">
        <v>4</v>
      </c>
      <c r="C93" t="s">
        <v>7</v>
      </c>
      <c r="D93">
        <v>52000</v>
      </c>
      <c r="E93">
        <v>160</v>
      </c>
      <c r="F93">
        <v>2</v>
      </c>
      <c r="G93">
        <v>8</v>
      </c>
      <c r="H93">
        <v>726.46</v>
      </c>
      <c r="I93" s="49">
        <v>129.04</v>
      </c>
      <c r="J93" s="23">
        <v>45545</v>
      </c>
      <c r="K93" s="46">
        <v>3.6689814814814814E-3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s="51">
        <f t="shared" si="43"/>
        <v>129.18</v>
      </c>
      <c r="Y93" s="20"/>
      <c r="Z93" s="20">
        <v>0</v>
      </c>
      <c r="AA93" s="20">
        <v>0</v>
      </c>
      <c r="AB93" s="20">
        <v>0</v>
      </c>
      <c r="AC93" s="20"/>
      <c r="AD93" s="20"/>
      <c r="AE93" s="20"/>
      <c r="AH93" t="s">
        <v>73</v>
      </c>
      <c r="AI93">
        <v>4</v>
      </c>
      <c r="AJ93" t="s">
        <v>7</v>
      </c>
      <c r="AK93">
        <v>26080</v>
      </c>
      <c r="AL93">
        <v>160</v>
      </c>
      <c r="AM93">
        <v>2</v>
      </c>
      <c r="AN93" s="41">
        <v>8</v>
      </c>
      <c r="AO93" s="1">
        <v>119.63</v>
      </c>
      <c r="AP93" s="20">
        <v>98.864999999999995</v>
      </c>
      <c r="AQ93" s="23">
        <v>45544</v>
      </c>
      <c r="AR93" s="44">
        <v>0.60021990740740738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 s="70"/>
      <c r="BF93" s="20">
        <f>BE89</f>
        <v>98.533200000000008</v>
      </c>
    </row>
    <row r="94" spans="1:58">
      <c r="A94" t="s">
        <v>91</v>
      </c>
      <c r="B94">
        <v>0</v>
      </c>
      <c r="C94" t="s">
        <v>7</v>
      </c>
      <c r="D94">
        <v>52000</v>
      </c>
      <c r="E94">
        <v>160</v>
      </c>
      <c r="F94">
        <v>2</v>
      </c>
      <c r="G94">
        <v>8</v>
      </c>
      <c r="H94">
        <v>726.07</v>
      </c>
      <c r="I94" s="49">
        <v>129.11000000000001</v>
      </c>
      <c r="J94" s="23">
        <v>45545</v>
      </c>
      <c r="K94" s="46">
        <v>0.15900462962962963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 s="50">
        <f t="shared" ref="X94" si="50">AVERAGE(I94:I98)</f>
        <v>129.13000000000002</v>
      </c>
      <c r="Y94" s="20"/>
      <c r="Z94" s="20">
        <v>0</v>
      </c>
      <c r="AA94" s="20">
        <v>0</v>
      </c>
      <c r="AB94" s="20">
        <v>0</v>
      </c>
      <c r="AC94" s="20"/>
      <c r="AD94" s="20"/>
      <c r="AE94" s="20"/>
      <c r="AH94" t="s">
        <v>104</v>
      </c>
      <c r="AI94">
        <v>0</v>
      </c>
      <c r="AJ94" t="s">
        <v>7</v>
      </c>
      <c r="AK94">
        <v>26080</v>
      </c>
      <c r="AL94">
        <v>160</v>
      </c>
      <c r="AM94">
        <v>2</v>
      </c>
      <c r="AN94" s="41">
        <v>8</v>
      </c>
      <c r="AO94" s="1">
        <v>119.32</v>
      </c>
      <c r="AP94" s="20">
        <v>99.116</v>
      </c>
      <c r="AQ94" s="23">
        <v>45544</v>
      </c>
      <c r="AR94" s="44">
        <v>0.5483217592592593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 s="68">
        <f t="shared" ref="BE94" si="51">AVERAGE(AP94:AP98)</f>
        <v>98.335799999999992</v>
      </c>
      <c r="BF94" s="20">
        <f>BE94</f>
        <v>98.335799999999992</v>
      </c>
    </row>
    <row r="95" spans="1:58">
      <c r="A95" t="s">
        <v>91</v>
      </c>
      <c r="B95">
        <v>1</v>
      </c>
      <c r="C95" t="s">
        <v>7</v>
      </c>
      <c r="D95">
        <v>52000</v>
      </c>
      <c r="E95">
        <v>160</v>
      </c>
      <c r="F95">
        <v>2</v>
      </c>
      <c r="G95">
        <v>8</v>
      </c>
      <c r="H95">
        <v>725.62</v>
      </c>
      <c r="I95" s="49">
        <v>129.19</v>
      </c>
      <c r="J95" s="23">
        <v>45545</v>
      </c>
      <c r="K95" s="46">
        <v>0.1680787037037037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s="51">
        <f t="shared" ref="X95" si="52">X94</f>
        <v>129.13000000000002</v>
      </c>
      <c r="Y95" s="20"/>
      <c r="Z95" s="20">
        <v>0</v>
      </c>
      <c r="AA95" s="20">
        <v>0</v>
      </c>
      <c r="AB95" s="20">
        <v>0</v>
      </c>
      <c r="AC95" s="20"/>
      <c r="AD95" s="20"/>
      <c r="AE95" s="20"/>
      <c r="AH95" t="s">
        <v>104</v>
      </c>
      <c r="AI95">
        <v>1</v>
      </c>
      <c r="AJ95" t="s">
        <v>7</v>
      </c>
      <c r="AK95">
        <v>26080</v>
      </c>
      <c r="AL95">
        <v>160</v>
      </c>
      <c r="AM95">
        <v>2</v>
      </c>
      <c r="AN95" s="41">
        <v>8</v>
      </c>
      <c r="AO95" s="1">
        <v>120.53</v>
      </c>
      <c r="AP95" s="20">
        <v>98.122</v>
      </c>
      <c r="AQ95" s="23">
        <v>45544</v>
      </c>
      <c r="AR95" s="44">
        <v>0.54991898148148144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 s="69"/>
      <c r="BF95" s="20">
        <f>BE94</f>
        <v>98.335799999999992</v>
      </c>
    </row>
    <row r="96" spans="1:58">
      <c r="A96" t="s">
        <v>91</v>
      </c>
      <c r="B96">
        <v>2</v>
      </c>
      <c r="C96" t="s">
        <v>7</v>
      </c>
      <c r="D96">
        <v>52000</v>
      </c>
      <c r="E96">
        <v>160</v>
      </c>
      <c r="F96">
        <v>2</v>
      </c>
      <c r="G96">
        <v>8</v>
      </c>
      <c r="H96">
        <v>726.16</v>
      </c>
      <c r="I96" s="49">
        <v>129.09</v>
      </c>
      <c r="J96" s="23">
        <v>45545</v>
      </c>
      <c r="K96" s="46">
        <v>0.17715277777777777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 s="51">
        <f t="shared" si="43"/>
        <v>129.13000000000002</v>
      </c>
      <c r="Y96" s="20"/>
      <c r="Z96" s="20">
        <v>0</v>
      </c>
      <c r="AA96" s="20">
        <v>0</v>
      </c>
      <c r="AB96" s="20">
        <v>0</v>
      </c>
      <c r="AC96" s="20"/>
      <c r="AD96" s="20"/>
      <c r="AE96" s="20"/>
      <c r="AH96" t="s">
        <v>104</v>
      </c>
      <c r="AI96">
        <v>2</v>
      </c>
      <c r="AJ96" t="s">
        <v>7</v>
      </c>
      <c r="AK96">
        <v>26080</v>
      </c>
      <c r="AL96">
        <v>160</v>
      </c>
      <c r="AM96">
        <v>2</v>
      </c>
      <c r="AN96" s="41">
        <v>8</v>
      </c>
      <c r="AO96" s="1">
        <v>119.41</v>
      </c>
      <c r="AP96" s="20">
        <v>99.048000000000002</v>
      </c>
      <c r="AQ96" s="23">
        <v>45544</v>
      </c>
      <c r="AR96" s="44">
        <v>0.5514930555555555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 s="69"/>
      <c r="BF96" s="20">
        <f>BE94</f>
        <v>98.335799999999992</v>
      </c>
    </row>
    <row r="97" spans="1:58">
      <c r="A97" t="s">
        <v>91</v>
      </c>
      <c r="B97">
        <v>3</v>
      </c>
      <c r="C97" t="s">
        <v>7</v>
      </c>
      <c r="D97">
        <v>52000</v>
      </c>
      <c r="E97">
        <v>160</v>
      </c>
      <c r="F97">
        <v>2</v>
      </c>
      <c r="G97">
        <v>8</v>
      </c>
      <c r="H97">
        <v>723.41</v>
      </c>
      <c r="I97" s="49">
        <v>129.58000000000001</v>
      </c>
      <c r="J97" s="23">
        <v>45545</v>
      </c>
      <c r="K97" s="46">
        <v>0.1862037037037037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s="51">
        <f t="shared" si="43"/>
        <v>129.13000000000002</v>
      </c>
      <c r="Y97" s="20"/>
      <c r="Z97" s="20">
        <v>0</v>
      </c>
      <c r="AA97" s="20">
        <v>0</v>
      </c>
      <c r="AB97" s="20">
        <v>0</v>
      </c>
      <c r="AC97" s="20"/>
      <c r="AD97" s="20"/>
      <c r="AE97" s="20"/>
      <c r="AH97" t="s">
        <v>104</v>
      </c>
      <c r="AI97">
        <v>3</v>
      </c>
      <c r="AJ97" t="s">
        <v>7</v>
      </c>
      <c r="AK97">
        <v>26080</v>
      </c>
      <c r="AL97">
        <v>160</v>
      </c>
      <c r="AM97">
        <v>2</v>
      </c>
      <c r="AN97" s="41">
        <v>8</v>
      </c>
      <c r="AO97" s="1">
        <v>121.09</v>
      </c>
      <c r="AP97" s="20">
        <v>97.673000000000002</v>
      </c>
      <c r="AQ97" s="23">
        <v>45544</v>
      </c>
      <c r="AR97" s="44">
        <v>0.55309027777777775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 s="69"/>
      <c r="BF97" s="20">
        <f>BE94</f>
        <v>98.335799999999992</v>
      </c>
    </row>
    <row r="98" spans="1:58">
      <c r="A98" t="s">
        <v>91</v>
      </c>
      <c r="B98">
        <v>4</v>
      </c>
      <c r="C98" t="s">
        <v>7</v>
      </c>
      <c r="D98">
        <v>52000</v>
      </c>
      <c r="E98">
        <v>160</v>
      </c>
      <c r="F98">
        <v>2</v>
      </c>
      <c r="G98">
        <v>8</v>
      </c>
      <c r="H98">
        <v>728.51</v>
      </c>
      <c r="I98" s="49">
        <v>128.68</v>
      </c>
      <c r="J98" s="23">
        <v>45545</v>
      </c>
      <c r="K98" s="46">
        <v>0.1953125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 s="51">
        <f t="shared" si="43"/>
        <v>129.13000000000002</v>
      </c>
      <c r="Y98" s="20"/>
      <c r="Z98" s="20">
        <v>0</v>
      </c>
      <c r="AA98" s="20">
        <v>0</v>
      </c>
      <c r="AB98" s="20">
        <v>0</v>
      </c>
      <c r="AC98" s="20"/>
      <c r="AD98" s="20"/>
      <c r="AE98" s="20"/>
      <c r="AH98" t="s">
        <v>104</v>
      </c>
      <c r="AI98">
        <v>4</v>
      </c>
      <c r="AJ98" t="s">
        <v>7</v>
      </c>
      <c r="AK98">
        <v>26080</v>
      </c>
      <c r="AL98">
        <v>160</v>
      </c>
      <c r="AM98">
        <v>2</v>
      </c>
      <c r="AN98" s="41">
        <v>8</v>
      </c>
      <c r="AO98" s="1">
        <v>121.03</v>
      </c>
      <c r="AP98" s="20">
        <v>97.72</v>
      </c>
      <c r="AQ98" s="23">
        <v>45544</v>
      </c>
      <c r="AR98" s="44">
        <v>0.5546875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 s="70"/>
      <c r="BF98" s="20">
        <f>BE94</f>
        <v>98.335799999999992</v>
      </c>
    </row>
    <row r="99" spans="1:58">
      <c r="A99" t="s">
        <v>104</v>
      </c>
      <c r="B99">
        <v>0</v>
      </c>
      <c r="C99" t="s">
        <v>7</v>
      </c>
      <c r="D99">
        <v>52000</v>
      </c>
      <c r="E99">
        <v>160</v>
      </c>
      <c r="F99">
        <v>2</v>
      </c>
      <c r="G99">
        <v>8</v>
      </c>
      <c r="H99">
        <v>726.53</v>
      </c>
      <c r="I99" s="49">
        <v>129.03</v>
      </c>
      <c r="J99" s="23">
        <v>45545</v>
      </c>
      <c r="K99" s="46">
        <v>0.24971064814814814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s="50">
        <f t="shared" ref="X99" si="53">AVERAGE(I99:I103)</f>
        <v>129.06199999999998</v>
      </c>
      <c r="Y99" s="20"/>
      <c r="Z99" s="20">
        <v>0</v>
      </c>
      <c r="AA99" s="20">
        <v>0</v>
      </c>
      <c r="AB99" s="20">
        <v>0</v>
      </c>
      <c r="AC99" s="20"/>
      <c r="AD99" s="20"/>
      <c r="AE99" s="20"/>
      <c r="AH99" t="s">
        <v>67</v>
      </c>
      <c r="AI99">
        <v>0</v>
      </c>
      <c r="AJ99" t="s">
        <v>7</v>
      </c>
      <c r="AK99">
        <v>26080</v>
      </c>
      <c r="AL99">
        <v>160</v>
      </c>
      <c r="AM99">
        <v>2</v>
      </c>
      <c r="AN99" s="41">
        <v>8</v>
      </c>
      <c r="AO99" s="1">
        <v>120.4</v>
      </c>
      <c r="AP99" s="20">
        <v>98.225999999999999</v>
      </c>
      <c r="AQ99" s="23">
        <v>45544</v>
      </c>
      <c r="AR99" s="44">
        <v>0.54039351851851847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 s="68">
        <f t="shared" ref="BE99" si="54">AVERAGE(AP99:AP103)</f>
        <v>98.3322</v>
      </c>
      <c r="BF99" s="20">
        <f>BE99</f>
        <v>98.3322</v>
      </c>
    </row>
    <row r="100" spans="1:58">
      <c r="A100" t="s">
        <v>104</v>
      </c>
      <c r="B100">
        <v>1</v>
      </c>
      <c r="C100" t="s">
        <v>7</v>
      </c>
      <c r="D100">
        <v>52000</v>
      </c>
      <c r="E100">
        <v>160</v>
      </c>
      <c r="F100">
        <v>2</v>
      </c>
      <c r="G100">
        <v>8</v>
      </c>
      <c r="H100">
        <v>726.73</v>
      </c>
      <c r="I100" s="49">
        <v>128.99</v>
      </c>
      <c r="J100" s="23">
        <v>45545</v>
      </c>
      <c r="K100" s="46">
        <v>0.2587962962962963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 s="51">
        <f t="shared" ref="X100" si="55">X99</f>
        <v>129.06199999999998</v>
      </c>
      <c r="Y100" s="20"/>
      <c r="Z100" s="20">
        <v>0</v>
      </c>
      <c r="AA100" s="20">
        <v>0</v>
      </c>
      <c r="AB100" s="20">
        <v>0</v>
      </c>
      <c r="AC100" s="20"/>
      <c r="AD100" s="20"/>
      <c r="AE100" s="20"/>
      <c r="AH100" t="s">
        <v>67</v>
      </c>
      <c r="AI100">
        <v>1</v>
      </c>
      <c r="AJ100" t="s">
        <v>7</v>
      </c>
      <c r="AK100">
        <v>26080</v>
      </c>
      <c r="AL100">
        <v>160</v>
      </c>
      <c r="AM100">
        <v>2</v>
      </c>
      <c r="AN100" s="41">
        <v>8</v>
      </c>
      <c r="AO100" s="1">
        <v>120.31</v>
      </c>
      <c r="AP100" s="20">
        <v>98.299000000000007</v>
      </c>
      <c r="AQ100" s="23">
        <v>45544</v>
      </c>
      <c r="AR100" s="44">
        <v>0.54197916666666668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 s="69"/>
      <c r="BF100" s="20">
        <f>BE99</f>
        <v>98.3322</v>
      </c>
    </row>
    <row r="101" spans="1:58">
      <c r="A101" t="s">
        <v>104</v>
      </c>
      <c r="B101">
        <v>2</v>
      </c>
      <c r="C101" t="s">
        <v>7</v>
      </c>
      <c r="D101">
        <v>52000</v>
      </c>
      <c r="E101">
        <v>160</v>
      </c>
      <c r="F101">
        <v>2</v>
      </c>
      <c r="G101">
        <v>8</v>
      </c>
      <c r="H101">
        <v>726.89</v>
      </c>
      <c r="I101" s="49">
        <v>128.96</v>
      </c>
      <c r="J101" s="23">
        <v>45545</v>
      </c>
      <c r="K101" s="46">
        <v>0.26788194444444446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s="51">
        <f t="shared" si="43"/>
        <v>129.06199999999998</v>
      </c>
      <c r="Y101" s="20"/>
      <c r="Z101" s="20">
        <v>0</v>
      </c>
      <c r="AA101" s="20">
        <v>0</v>
      </c>
      <c r="AB101" s="20">
        <v>0</v>
      </c>
      <c r="AC101" s="20"/>
      <c r="AD101" s="20"/>
      <c r="AE101" s="20"/>
      <c r="AH101" t="s">
        <v>67</v>
      </c>
      <c r="AI101">
        <v>2</v>
      </c>
      <c r="AJ101" t="s">
        <v>7</v>
      </c>
      <c r="AK101">
        <v>26080</v>
      </c>
      <c r="AL101">
        <v>160</v>
      </c>
      <c r="AM101">
        <v>2</v>
      </c>
      <c r="AN101" s="41">
        <v>8</v>
      </c>
      <c r="AO101" s="1">
        <v>120.65</v>
      </c>
      <c r="AP101" s="20">
        <v>98.027000000000001</v>
      </c>
      <c r="AQ101" s="23">
        <v>45544</v>
      </c>
      <c r="AR101" s="44">
        <v>0.54357638888888893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 s="69"/>
      <c r="BF101" s="20">
        <f>BE99</f>
        <v>98.3322</v>
      </c>
    </row>
    <row r="102" spans="1:58">
      <c r="A102" t="s">
        <v>104</v>
      </c>
      <c r="B102">
        <v>3</v>
      </c>
      <c r="C102" t="s">
        <v>7</v>
      </c>
      <c r="D102">
        <v>52000</v>
      </c>
      <c r="E102">
        <v>160</v>
      </c>
      <c r="F102">
        <v>2</v>
      </c>
      <c r="G102">
        <v>8</v>
      </c>
      <c r="H102">
        <v>726.35</v>
      </c>
      <c r="I102" s="49">
        <v>129.06</v>
      </c>
      <c r="J102" s="23">
        <v>45545</v>
      </c>
      <c r="K102" s="46">
        <v>0.27696759259259257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s="51">
        <f t="shared" si="43"/>
        <v>129.06199999999998</v>
      </c>
      <c r="Y102" s="20"/>
      <c r="Z102" s="20">
        <v>0</v>
      </c>
      <c r="AA102" s="20">
        <v>0</v>
      </c>
      <c r="AB102" s="20">
        <v>0</v>
      </c>
      <c r="AC102" s="20"/>
      <c r="AD102" s="20"/>
      <c r="AE102" s="20"/>
      <c r="AH102" t="s">
        <v>67</v>
      </c>
      <c r="AI102">
        <v>3</v>
      </c>
      <c r="AJ102" t="s">
        <v>7</v>
      </c>
      <c r="AK102">
        <v>26080</v>
      </c>
      <c r="AL102">
        <v>160</v>
      </c>
      <c r="AM102">
        <v>2</v>
      </c>
      <c r="AN102" s="41">
        <v>8</v>
      </c>
      <c r="AO102" s="1">
        <v>120.03</v>
      </c>
      <c r="AP102" s="20">
        <v>98.531999999999996</v>
      </c>
      <c r="AQ102" s="23">
        <v>45544</v>
      </c>
      <c r="AR102" s="44">
        <v>0.54516203703703703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 s="69"/>
      <c r="BF102" s="20">
        <f>BE99</f>
        <v>98.3322</v>
      </c>
    </row>
    <row r="103" spans="1:58">
      <c r="A103" t="s">
        <v>104</v>
      </c>
      <c r="B103">
        <v>4</v>
      </c>
      <c r="C103" t="s">
        <v>7</v>
      </c>
      <c r="D103">
        <v>52000</v>
      </c>
      <c r="E103">
        <v>160</v>
      </c>
      <c r="F103">
        <v>2</v>
      </c>
      <c r="G103">
        <v>8</v>
      </c>
      <c r="H103">
        <v>725.15</v>
      </c>
      <c r="I103" s="49">
        <v>129.27000000000001</v>
      </c>
      <c r="J103" s="23">
        <v>45545</v>
      </c>
      <c r="K103" s="46">
        <v>0.28604166666666669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 s="51">
        <f t="shared" si="43"/>
        <v>129.06199999999998</v>
      </c>
      <c r="Y103" s="20"/>
      <c r="Z103" s="20">
        <v>0</v>
      </c>
      <c r="AA103" s="20">
        <v>0</v>
      </c>
      <c r="AB103" s="20">
        <v>0</v>
      </c>
      <c r="AC103" s="20"/>
      <c r="AD103" s="20"/>
      <c r="AE103" s="20"/>
      <c r="AH103" t="s">
        <v>67</v>
      </c>
      <c r="AI103">
        <v>4</v>
      </c>
      <c r="AJ103" t="s">
        <v>7</v>
      </c>
      <c r="AK103">
        <v>26080</v>
      </c>
      <c r="AL103">
        <v>160</v>
      </c>
      <c r="AM103">
        <v>2</v>
      </c>
      <c r="AN103" s="41">
        <v>8</v>
      </c>
      <c r="AO103" s="1">
        <v>119.98</v>
      </c>
      <c r="AP103" s="20">
        <v>98.576999999999998</v>
      </c>
      <c r="AQ103" s="23">
        <v>45544</v>
      </c>
      <c r="AR103" s="44">
        <v>0.54674768518518524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 s="70"/>
      <c r="BF103" s="20">
        <f>BE99</f>
        <v>98.3322</v>
      </c>
    </row>
    <row r="104" spans="1:58">
      <c r="A104" t="s">
        <v>73</v>
      </c>
      <c r="B104">
        <v>0</v>
      </c>
      <c r="C104" t="s">
        <v>7</v>
      </c>
      <c r="D104">
        <v>52000</v>
      </c>
      <c r="E104">
        <v>160</v>
      </c>
      <c r="F104">
        <v>2</v>
      </c>
      <c r="G104">
        <v>8</v>
      </c>
      <c r="H104">
        <v>730.11</v>
      </c>
      <c r="I104" s="49">
        <v>128.4</v>
      </c>
      <c r="J104" s="23">
        <v>45545</v>
      </c>
      <c r="K104" s="46">
        <v>0.50785879629629627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s="50">
        <f t="shared" ref="X104" si="56">AVERAGE(I104:I108)</f>
        <v>128.52199999999999</v>
      </c>
      <c r="Y104" s="20"/>
      <c r="Z104" s="20">
        <v>0</v>
      </c>
      <c r="AA104" s="20">
        <v>0</v>
      </c>
      <c r="AB104" s="20">
        <v>0</v>
      </c>
      <c r="AC104" s="20"/>
      <c r="AD104" s="20"/>
      <c r="AE104" s="20"/>
      <c r="AH104" t="s">
        <v>98</v>
      </c>
      <c r="AI104">
        <v>0</v>
      </c>
      <c r="AJ104" t="s">
        <v>7</v>
      </c>
      <c r="AK104">
        <v>26080</v>
      </c>
      <c r="AL104">
        <v>160</v>
      </c>
      <c r="AM104">
        <v>2</v>
      </c>
      <c r="AN104" s="41">
        <v>8</v>
      </c>
      <c r="AO104" s="1">
        <v>120.39</v>
      </c>
      <c r="AP104" s="20">
        <v>98.233999999999995</v>
      </c>
      <c r="AQ104" s="23">
        <v>45544</v>
      </c>
      <c r="AR104" s="44">
        <v>0.49866898148148148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 s="68">
        <f t="shared" ref="BE104" si="57">AVERAGE(AP104:AP108)</f>
        <v>98.305599999999998</v>
      </c>
      <c r="BF104" s="20">
        <f>BE104</f>
        <v>98.305599999999998</v>
      </c>
    </row>
    <row r="105" spans="1:58">
      <c r="A105" t="s">
        <v>73</v>
      </c>
      <c r="B105">
        <v>1</v>
      </c>
      <c r="C105" t="s">
        <v>7</v>
      </c>
      <c r="D105">
        <v>52000</v>
      </c>
      <c r="E105">
        <v>160</v>
      </c>
      <c r="F105">
        <v>2</v>
      </c>
      <c r="G105">
        <v>8</v>
      </c>
      <c r="H105">
        <v>728.68</v>
      </c>
      <c r="I105" s="49">
        <v>128.65</v>
      </c>
      <c r="J105" s="23">
        <v>45545</v>
      </c>
      <c r="K105" s="46">
        <v>0.51696759259259262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s="51">
        <f t="shared" ref="X105" si="58">X104</f>
        <v>128.52199999999999</v>
      </c>
      <c r="Y105" s="20"/>
      <c r="Z105" s="20">
        <v>0</v>
      </c>
      <c r="AA105" s="20">
        <v>0</v>
      </c>
      <c r="AB105" s="20">
        <v>0</v>
      </c>
      <c r="AC105" s="20"/>
      <c r="AD105" s="20"/>
      <c r="AE105" s="20"/>
      <c r="AH105" t="s">
        <v>98</v>
      </c>
      <c r="AI105">
        <v>1</v>
      </c>
      <c r="AJ105" t="s">
        <v>7</v>
      </c>
      <c r="AK105">
        <v>26080</v>
      </c>
      <c r="AL105">
        <v>160</v>
      </c>
      <c r="AM105">
        <v>2</v>
      </c>
      <c r="AN105" s="41">
        <v>8</v>
      </c>
      <c r="AO105" s="1">
        <v>120.15</v>
      </c>
      <c r="AP105" s="20">
        <v>98.433000000000007</v>
      </c>
      <c r="AQ105" s="23">
        <v>45544</v>
      </c>
      <c r="AR105" s="44">
        <v>0.50025462962962963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 s="69"/>
      <c r="BF105" s="20">
        <f>BE104</f>
        <v>98.305599999999998</v>
      </c>
    </row>
    <row r="106" spans="1:58">
      <c r="A106" t="s">
        <v>73</v>
      </c>
      <c r="B106">
        <v>2</v>
      </c>
      <c r="C106" t="s">
        <v>7</v>
      </c>
      <c r="D106">
        <v>52000</v>
      </c>
      <c r="E106">
        <v>160</v>
      </c>
      <c r="F106">
        <v>2</v>
      </c>
      <c r="G106">
        <v>8</v>
      </c>
      <c r="H106">
        <v>728.78</v>
      </c>
      <c r="I106" s="49">
        <v>128.63</v>
      </c>
      <c r="J106" s="23">
        <v>45545</v>
      </c>
      <c r="K106" s="46">
        <v>0.52607638888888886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s="51">
        <f t="shared" si="43"/>
        <v>128.52199999999999</v>
      </c>
      <c r="Y106" s="20"/>
      <c r="Z106" s="20">
        <v>0</v>
      </c>
      <c r="AA106" s="20">
        <v>0</v>
      </c>
      <c r="AB106" s="20">
        <v>0</v>
      </c>
      <c r="AC106" s="20"/>
      <c r="AD106" s="20"/>
      <c r="AE106" s="20"/>
      <c r="AH106" t="s">
        <v>98</v>
      </c>
      <c r="AI106">
        <v>2</v>
      </c>
      <c r="AJ106" t="s">
        <v>7</v>
      </c>
      <c r="AK106">
        <v>26080</v>
      </c>
      <c r="AL106">
        <v>160</v>
      </c>
      <c r="AM106">
        <v>2</v>
      </c>
      <c r="AN106" s="41">
        <v>8</v>
      </c>
      <c r="AO106" s="1">
        <v>120.41</v>
      </c>
      <c r="AP106" s="20">
        <v>98.224999999999994</v>
      </c>
      <c r="AQ106" s="23">
        <v>45544</v>
      </c>
      <c r="AR106" s="44">
        <v>0.50184027777777773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 s="69"/>
      <c r="BF106" s="20">
        <f>BE104</f>
        <v>98.305599999999998</v>
      </c>
    </row>
    <row r="107" spans="1:58">
      <c r="A107" t="s">
        <v>73</v>
      </c>
      <c r="B107">
        <v>3</v>
      </c>
      <c r="C107" t="s">
        <v>7</v>
      </c>
      <c r="D107">
        <v>52000</v>
      </c>
      <c r="E107">
        <v>160</v>
      </c>
      <c r="F107">
        <v>2</v>
      </c>
      <c r="G107">
        <v>8</v>
      </c>
      <c r="H107">
        <v>729.78</v>
      </c>
      <c r="I107" s="49">
        <v>128.44999999999999</v>
      </c>
      <c r="J107" s="23">
        <v>45545</v>
      </c>
      <c r="K107" s="46">
        <v>0.53519675925925925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 s="51">
        <f t="shared" si="43"/>
        <v>128.52199999999999</v>
      </c>
      <c r="Y107" s="20"/>
      <c r="Z107" s="20">
        <v>0</v>
      </c>
      <c r="AA107" s="20">
        <v>0</v>
      </c>
      <c r="AB107" s="20">
        <v>0</v>
      </c>
      <c r="AC107" s="20"/>
      <c r="AD107" s="20"/>
      <c r="AE107" s="20"/>
      <c r="AH107" t="s">
        <v>98</v>
      </c>
      <c r="AI107">
        <v>3</v>
      </c>
      <c r="AJ107" t="s">
        <v>7</v>
      </c>
      <c r="AK107">
        <v>26080</v>
      </c>
      <c r="AL107">
        <v>160</v>
      </c>
      <c r="AM107">
        <v>2</v>
      </c>
      <c r="AN107" s="41">
        <v>8</v>
      </c>
      <c r="AO107" s="1">
        <v>120.69</v>
      </c>
      <c r="AP107" s="20">
        <v>97.994</v>
      </c>
      <c r="AQ107" s="23">
        <v>45544</v>
      </c>
      <c r="AR107" s="44">
        <v>0.50343749999999998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 s="69"/>
      <c r="BF107" s="20">
        <f>BE104</f>
        <v>98.305599999999998</v>
      </c>
    </row>
    <row r="108" spans="1:58">
      <c r="A108" t="s">
        <v>73</v>
      </c>
      <c r="B108">
        <v>4</v>
      </c>
      <c r="C108" t="s">
        <v>7</v>
      </c>
      <c r="D108">
        <v>52000</v>
      </c>
      <c r="E108">
        <v>160</v>
      </c>
      <c r="F108">
        <v>2</v>
      </c>
      <c r="G108">
        <v>8</v>
      </c>
      <c r="H108">
        <v>729.63</v>
      </c>
      <c r="I108" s="49">
        <v>128.47999999999999</v>
      </c>
      <c r="J108" s="23">
        <v>45545</v>
      </c>
      <c r="K108" s="46">
        <v>0.54431712962962964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s="51">
        <f t="shared" si="43"/>
        <v>128.52199999999999</v>
      </c>
      <c r="Y108" s="20"/>
      <c r="Z108" s="20">
        <v>0</v>
      </c>
      <c r="AA108" s="20">
        <v>0</v>
      </c>
      <c r="AB108" s="20">
        <v>0</v>
      </c>
      <c r="AC108" s="20"/>
      <c r="AD108" s="20"/>
      <c r="AE108" s="20"/>
      <c r="AH108" t="s">
        <v>98</v>
      </c>
      <c r="AI108">
        <v>4</v>
      </c>
      <c r="AJ108" t="s">
        <v>7</v>
      </c>
      <c r="AK108">
        <v>26080</v>
      </c>
      <c r="AL108">
        <v>160</v>
      </c>
      <c r="AM108">
        <v>2</v>
      </c>
      <c r="AN108" s="41">
        <v>8</v>
      </c>
      <c r="AO108" s="1">
        <v>119.9</v>
      </c>
      <c r="AP108" s="20">
        <v>98.641999999999996</v>
      </c>
      <c r="AQ108" s="23">
        <v>45544</v>
      </c>
      <c r="AR108" s="44">
        <v>0.50502314814814819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 s="70"/>
      <c r="BF108" s="20">
        <f>BE104</f>
        <v>98.305599999999998</v>
      </c>
    </row>
    <row r="109" spans="1:58">
      <c r="A109" t="s">
        <v>55</v>
      </c>
      <c r="B109">
        <v>0</v>
      </c>
      <c r="C109" t="s">
        <v>7</v>
      </c>
      <c r="D109">
        <v>52000</v>
      </c>
      <c r="E109">
        <v>160</v>
      </c>
      <c r="F109">
        <v>2</v>
      </c>
      <c r="G109">
        <v>8</v>
      </c>
      <c r="H109">
        <v>731.89</v>
      </c>
      <c r="I109" s="49">
        <v>128.08000000000001</v>
      </c>
      <c r="J109" s="23">
        <v>45544</v>
      </c>
      <c r="K109" s="46">
        <v>0.87666666666666671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 s="50">
        <f t="shared" ref="X109" si="59">AVERAGE(I109:I113)</f>
        <v>127.78599999999999</v>
      </c>
      <c r="Y109" s="20"/>
      <c r="Z109" s="20">
        <v>0</v>
      </c>
      <c r="AA109" s="20">
        <v>0</v>
      </c>
      <c r="AB109" s="20">
        <v>0</v>
      </c>
      <c r="AC109" s="20"/>
      <c r="AD109" s="20"/>
      <c r="AE109" s="20"/>
      <c r="AH109" t="s">
        <v>91</v>
      </c>
      <c r="AI109">
        <v>0</v>
      </c>
      <c r="AJ109" t="s">
        <v>7</v>
      </c>
      <c r="AK109">
        <v>26080</v>
      </c>
      <c r="AL109">
        <v>160</v>
      </c>
      <c r="AM109">
        <v>2</v>
      </c>
      <c r="AN109" s="41">
        <v>8</v>
      </c>
      <c r="AO109" s="1">
        <v>121.31</v>
      </c>
      <c r="AP109" s="20">
        <v>97.492999999999995</v>
      </c>
      <c r="AQ109" s="23">
        <v>45544</v>
      </c>
      <c r="AR109" s="44">
        <v>0.53243055555555552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 s="68">
        <f t="shared" ref="BE109" si="60">AVERAGE(AP109:AP113)</f>
        <v>97.959400000000002</v>
      </c>
      <c r="BF109" s="20">
        <f>BE109</f>
        <v>97.959400000000002</v>
      </c>
    </row>
    <row r="110" spans="1:58">
      <c r="A110" t="s">
        <v>55</v>
      </c>
      <c r="B110">
        <v>1</v>
      </c>
      <c r="C110" t="s">
        <v>7</v>
      </c>
      <c r="D110">
        <v>52000</v>
      </c>
      <c r="E110">
        <v>160</v>
      </c>
      <c r="F110">
        <v>2</v>
      </c>
      <c r="G110">
        <v>8</v>
      </c>
      <c r="H110">
        <v>735.34</v>
      </c>
      <c r="I110" s="49">
        <v>127.48</v>
      </c>
      <c r="J110" s="23">
        <v>45544</v>
      </c>
      <c r="K110" s="46">
        <v>0.88585648148148144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s="51">
        <f t="shared" ref="X110" si="61">X109</f>
        <v>127.78599999999999</v>
      </c>
      <c r="Y110" s="20"/>
      <c r="Z110" s="20">
        <v>0</v>
      </c>
      <c r="AA110" s="20">
        <v>0</v>
      </c>
      <c r="AB110" s="20">
        <v>0</v>
      </c>
      <c r="AC110" s="20"/>
      <c r="AD110" s="20"/>
      <c r="AE110" s="20"/>
      <c r="AH110" t="s">
        <v>91</v>
      </c>
      <c r="AI110">
        <v>1</v>
      </c>
      <c r="AJ110" t="s">
        <v>7</v>
      </c>
      <c r="AK110">
        <v>26080</v>
      </c>
      <c r="AL110">
        <v>160</v>
      </c>
      <c r="AM110">
        <v>2</v>
      </c>
      <c r="AN110" s="41">
        <v>8</v>
      </c>
      <c r="AO110" s="1">
        <v>120.97</v>
      </c>
      <c r="AP110" s="20">
        <v>97.771000000000001</v>
      </c>
      <c r="AQ110" s="23">
        <v>45544</v>
      </c>
      <c r="AR110" s="44">
        <v>0.53402777777777777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 s="69"/>
      <c r="BF110" s="20">
        <f>BE109</f>
        <v>97.959400000000002</v>
      </c>
    </row>
    <row r="111" spans="1:58">
      <c r="A111" t="s">
        <v>55</v>
      </c>
      <c r="B111">
        <v>2</v>
      </c>
      <c r="C111" t="s">
        <v>7</v>
      </c>
      <c r="D111">
        <v>52000</v>
      </c>
      <c r="E111">
        <v>160</v>
      </c>
      <c r="F111">
        <v>2</v>
      </c>
      <c r="G111">
        <v>8</v>
      </c>
      <c r="H111">
        <v>734.85</v>
      </c>
      <c r="I111" s="49">
        <v>127.57</v>
      </c>
      <c r="J111" s="23">
        <v>45544</v>
      </c>
      <c r="K111" s="46">
        <v>0.89503472222222225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s="51">
        <f t="shared" si="43"/>
        <v>127.78599999999999</v>
      </c>
      <c r="Y111" s="20"/>
      <c r="Z111" s="20">
        <v>0</v>
      </c>
      <c r="AA111" s="20">
        <v>0</v>
      </c>
      <c r="AB111" s="20">
        <v>0</v>
      </c>
      <c r="AC111" s="20"/>
      <c r="AD111" s="20"/>
      <c r="AE111" s="20"/>
      <c r="AH111" t="s">
        <v>91</v>
      </c>
      <c r="AI111">
        <v>2</v>
      </c>
      <c r="AJ111" t="s">
        <v>7</v>
      </c>
      <c r="AK111">
        <v>26080</v>
      </c>
      <c r="AL111">
        <v>160</v>
      </c>
      <c r="AM111">
        <v>2</v>
      </c>
      <c r="AN111" s="41">
        <v>8</v>
      </c>
      <c r="AO111" s="1">
        <v>120.84</v>
      </c>
      <c r="AP111" s="20">
        <v>97.873999999999995</v>
      </c>
      <c r="AQ111" s="23">
        <v>45544</v>
      </c>
      <c r="AR111" s="44">
        <v>0.53562500000000002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 s="69"/>
      <c r="BF111" s="20">
        <f>BE109</f>
        <v>97.959400000000002</v>
      </c>
    </row>
    <row r="112" spans="1:58">
      <c r="A112" t="s">
        <v>55</v>
      </c>
      <c r="B112">
        <v>3</v>
      </c>
      <c r="C112" t="s">
        <v>7</v>
      </c>
      <c r="D112">
        <v>52000</v>
      </c>
      <c r="E112">
        <v>160</v>
      </c>
      <c r="F112">
        <v>2</v>
      </c>
      <c r="G112">
        <v>8</v>
      </c>
      <c r="H112">
        <v>731.56</v>
      </c>
      <c r="I112" s="49">
        <v>128.13999999999999</v>
      </c>
      <c r="J112" s="23">
        <v>45544</v>
      </c>
      <c r="K112" s="46">
        <v>0.90417824074074071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 s="51">
        <f t="shared" si="43"/>
        <v>127.78599999999999</v>
      </c>
      <c r="Y112" s="20"/>
      <c r="Z112" s="20">
        <v>0</v>
      </c>
      <c r="AA112" s="20">
        <v>0</v>
      </c>
      <c r="AB112" s="20">
        <v>0</v>
      </c>
      <c r="AC112" s="20"/>
      <c r="AD112" s="20"/>
      <c r="AE112" s="20"/>
      <c r="AH112" t="s">
        <v>91</v>
      </c>
      <c r="AI112">
        <v>3</v>
      </c>
      <c r="AJ112" t="s">
        <v>7</v>
      </c>
      <c r="AK112">
        <v>26080</v>
      </c>
      <c r="AL112">
        <v>160</v>
      </c>
      <c r="AM112">
        <v>2</v>
      </c>
      <c r="AN112" s="41">
        <v>8</v>
      </c>
      <c r="AO112" s="1">
        <v>120.55</v>
      </c>
      <c r="AP112" s="20">
        <v>98.105000000000004</v>
      </c>
      <c r="AQ112" s="23">
        <v>45544</v>
      </c>
      <c r="AR112" s="44">
        <v>0.53721064814814812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 s="69"/>
      <c r="BF112" s="20">
        <f>BE109</f>
        <v>97.959400000000002</v>
      </c>
    </row>
    <row r="113" spans="1:58">
      <c r="A113" t="s">
        <v>55</v>
      </c>
      <c r="B113">
        <v>4</v>
      </c>
      <c r="C113" t="s">
        <v>7</v>
      </c>
      <c r="D113">
        <v>52000</v>
      </c>
      <c r="E113">
        <v>160</v>
      </c>
      <c r="F113">
        <v>2</v>
      </c>
      <c r="G113">
        <v>8</v>
      </c>
      <c r="H113">
        <v>734.33</v>
      </c>
      <c r="I113" s="49">
        <v>127.66</v>
      </c>
      <c r="J113" s="23">
        <v>45544</v>
      </c>
      <c r="K113" s="46">
        <v>0.91335648148148152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s="51">
        <f t="shared" si="43"/>
        <v>127.78599999999999</v>
      </c>
      <c r="Y113" s="20"/>
      <c r="Z113" s="20">
        <v>0</v>
      </c>
      <c r="AA113" s="20">
        <v>0</v>
      </c>
      <c r="AB113" s="20">
        <v>0</v>
      </c>
      <c r="AC113" s="20"/>
      <c r="AD113" s="20"/>
      <c r="AE113" s="20"/>
      <c r="AH113" t="s">
        <v>91</v>
      </c>
      <c r="AI113">
        <v>4</v>
      </c>
      <c r="AJ113" t="s">
        <v>7</v>
      </c>
      <c r="AK113">
        <v>26080</v>
      </c>
      <c r="AL113">
        <v>160</v>
      </c>
      <c r="AM113">
        <v>2</v>
      </c>
      <c r="AN113" s="41">
        <v>8</v>
      </c>
      <c r="AO113" s="1">
        <v>120</v>
      </c>
      <c r="AP113" s="20">
        <v>98.554000000000002</v>
      </c>
      <c r="AQ113" s="23">
        <v>45544</v>
      </c>
      <c r="AR113" s="44">
        <v>0.53879629629629633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 s="70"/>
      <c r="BF113" s="20">
        <f>BE109</f>
        <v>97.959400000000002</v>
      </c>
    </row>
    <row r="114" spans="1:58">
      <c r="A114" t="s">
        <v>122</v>
      </c>
      <c r="B114">
        <v>0</v>
      </c>
      <c r="C114" t="s">
        <v>7</v>
      </c>
      <c r="D114">
        <v>52000</v>
      </c>
      <c r="E114">
        <v>160</v>
      </c>
      <c r="F114">
        <v>2</v>
      </c>
      <c r="G114">
        <v>8</v>
      </c>
      <c r="H114">
        <v>734.4</v>
      </c>
      <c r="I114" s="49">
        <v>127.65</v>
      </c>
      <c r="J114" s="23">
        <v>45545</v>
      </c>
      <c r="K114" s="46">
        <v>0.63899305555555552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s="50">
        <f t="shared" ref="X114" si="62">AVERAGE(I114:I118)</f>
        <v>127.78399999999999</v>
      </c>
      <c r="Y114" s="20"/>
      <c r="Z114" s="20">
        <v>0</v>
      </c>
      <c r="AA114" s="20">
        <v>0</v>
      </c>
      <c r="AB114" s="20">
        <v>0</v>
      </c>
      <c r="AC114" s="20"/>
      <c r="AD114" s="20"/>
      <c r="AE114" s="20"/>
      <c r="AH114" t="s">
        <v>55</v>
      </c>
      <c r="AI114">
        <v>0</v>
      </c>
      <c r="AJ114" t="s">
        <v>7</v>
      </c>
      <c r="AK114">
        <v>26080</v>
      </c>
      <c r="AL114">
        <v>160</v>
      </c>
      <c r="AM114">
        <v>2</v>
      </c>
      <c r="AN114" s="41">
        <v>8</v>
      </c>
      <c r="AO114" s="1">
        <v>120.98</v>
      </c>
      <c r="AP114" s="20">
        <v>97.757000000000005</v>
      </c>
      <c r="AQ114" s="23">
        <v>45544</v>
      </c>
      <c r="AR114" s="44">
        <v>0.48287037037037039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 s="68">
        <f t="shared" ref="BE114" si="63">AVERAGE(AP114:AP118)</f>
        <v>97.936800000000005</v>
      </c>
      <c r="BF114" s="20">
        <f>BE114</f>
        <v>97.936800000000005</v>
      </c>
    </row>
    <row r="115" spans="1:58">
      <c r="A115" t="s">
        <v>122</v>
      </c>
      <c r="B115">
        <v>1</v>
      </c>
      <c r="C115" t="s">
        <v>7</v>
      </c>
      <c r="D115">
        <v>52000</v>
      </c>
      <c r="E115">
        <v>160</v>
      </c>
      <c r="F115">
        <v>2</v>
      </c>
      <c r="G115">
        <v>8</v>
      </c>
      <c r="H115">
        <v>732.49</v>
      </c>
      <c r="I115" s="49">
        <v>127.98</v>
      </c>
      <c r="J115" s="23">
        <v>45545</v>
      </c>
      <c r="K115" s="46">
        <v>0.64769675925925929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s="51">
        <f t="shared" ref="X115" si="64">X114</f>
        <v>127.78399999999999</v>
      </c>
      <c r="Y115" s="20"/>
      <c r="Z115" s="20">
        <v>0</v>
      </c>
      <c r="AA115" s="20">
        <v>0</v>
      </c>
      <c r="AB115" s="20">
        <v>0</v>
      </c>
      <c r="AC115" s="20"/>
      <c r="AD115" s="20"/>
      <c r="AE115" s="20"/>
      <c r="AH115" t="s">
        <v>55</v>
      </c>
      <c r="AI115">
        <v>1</v>
      </c>
      <c r="AJ115" t="s">
        <v>7</v>
      </c>
      <c r="AK115">
        <v>26080</v>
      </c>
      <c r="AL115">
        <v>160</v>
      </c>
      <c r="AM115">
        <v>2</v>
      </c>
      <c r="AN115" s="41">
        <v>8</v>
      </c>
      <c r="AO115" s="1">
        <v>120.3</v>
      </c>
      <c r="AP115" s="20">
        <v>98.311000000000007</v>
      </c>
      <c r="AQ115" s="23">
        <v>45544</v>
      </c>
      <c r="AR115" s="44">
        <v>0.48445601851851849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 s="69"/>
      <c r="BF115" s="20">
        <f>BE114</f>
        <v>97.936800000000005</v>
      </c>
    </row>
    <row r="116" spans="1:58">
      <c r="A116" t="s">
        <v>122</v>
      </c>
      <c r="B116">
        <v>2</v>
      </c>
      <c r="C116" t="s">
        <v>7</v>
      </c>
      <c r="D116">
        <v>52000</v>
      </c>
      <c r="E116">
        <v>160</v>
      </c>
      <c r="F116">
        <v>2</v>
      </c>
      <c r="G116">
        <v>8</v>
      </c>
      <c r="H116">
        <v>733.42</v>
      </c>
      <c r="I116" s="49">
        <v>127.82</v>
      </c>
      <c r="J116" s="23">
        <v>45545</v>
      </c>
      <c r="K116" s="46">
        <v>0.65641203703703699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s="51">
        <f t="shared" si="43"/>
        <v>127.78399999999999</v>
      </c>
      <c r="Y116" s="20"/>
      <c r="Z116" s="20">
        <v>0</v>
      </c>
      <c r="AA116" s="20">
        <v>0</v>
      </c>
      <c r="AB116" s="20">
        <v>0</v>
      </c>
      <c r="AC116" s="20"/>
      <c r="AD116" s="20"/>
      <c r="AE116" s="20"/>
      <c r="AH116" t="s">
        <v>55</v>
      </c>
      <c r="AI116">
        <v>2</v>
      </c>
      <c r="AJ116" t="s">
        <v>7</v>
      </c>
      <c r="AK116">
        <v>26080</v>
      </c>
      <c r="AL116">
        <v>160</v>
      </c>
      <c r="AM116">
        <v>2</v>
      </c>
      <c r="AN116" s="41">
        <v>8</v>
      </c>
      <c r="AO116" s="1">
        <v>121.38</v>
      </c>
      <c r="AP116" s="20">
        <v>97.435000000000002</v>
      </c>
      <c r="AQ116" s="23">
        <v>45544</v>
      </c>
      <c r="AR116" s="44">
        <v>0.48606481481481484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 s="69"/>
      <c r="BF116" s="20">
        <f>BE114</f>
        <v>97.936800000000005</v>
      </c>
    </row>
    <row r="117" spans="1:58">
      <c r="A117" t="s">
        <v>122</v>
      </c>
      <c r="B117">
        <v>3</v>
      </c>
      <c r="C117" t="s">
        <v>7</v>
      </c>
      <c r="D117">
        <v>52000</v>
      </c>
      <c r="E117">
        <v>160</v>
      </c>
      <c r="F117">
        <v>2</v>
      </c>
      <c r="G117">
        <v>8</v>
      </c>
      <c r="H117">
        <v>733.43</v>
      </c>
      <c r="I117" s="49">
        <v>127.81</v>
      </c>
      <c r="J117" s="23">
        <v>45545</v>
      </c>
      <c r="K117" s="46">
        <v>0.6651273148148148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s="51">
        <f t="shared" si="43"/>
        <v>127.78399999999999</v>
      </c>
      <c r="Y117" s="20"/>
      <c r="Z117" s="20">
        <v>0</v>
      </c>
      <c r="AA117" s="20">
        <v>0</v>
      </c>
      <c r="AB117" s="20">
        <v>0</v>
      </c>
      <c r="AC117" s="20"/>
      <c r="AD117" s="20"/>
      <c r="AE117" s="20"/>
      <c r="AH117" t="s">
        <v>55</v>
      </c>
      <c r="AI117">
        <v>3</v>
      </c>
      <c r="AJ117" t="s">
        <v>7</v>
      </c>
      <c r="AK117">
        <v>26080</v>
      </c>
      <c r="AL117">
        <v>160</v>
      </c>
      <c r="AM117">
        <v>2</v>
      </c>
      <c r="AN117" s="41">
        <v>8</v>
      </c>
      <c r="AO117" s="1">
        <v>120.58</v>
      </c>
      <c r="AP117" s="20">
        <v>98.081999999999994</v>
      </c>
      <c r="AQ117" s="23">
        <v>45544</v>
      </c>
      <c r="AR117" s="44">
        <v>0.48765046296296294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 s="69"/>
      <c r="BF117" s="20">
        <f>BE114</f>
        <v>97.936800000000005</v>
      </c>
    </row>
    <row r="118" spans="1:58">
      <c r="A118" t="s">
        <v>122</v>
      </c>
      <c r="B118">
        <v>4</v>
      </c>
      <c r="C118" t="s">
        <v>7</v>
      </c>
      <c r="D118">
        <v>52000</v>
      </c>
      <c r="E118">
        <v>160</v>
      </c>
      <c r="F118">
        <v>2</v>
      </c>
      <c r="G118">
        <v>8</v>
      </c>
      <c r="H118">
        <v>734.32</v>
      </c>
      <c r="I118" s="49">
        <v>127.66</v>
      </c>
      <c r="J118" s="23">
        <v>45545</v>
      </c>
      <c r="K118" s="46">
        <v>0.6738425925925926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s="51">
        <f t="shared" si="43"/>
        <v>127.78399999999999</v>
      </c>
      <c r="Y118" s="20"/>
      <c r="Z118" s="20">
        <v>0</v>
      </c>
      <c r="AA118" s="20">
        <v>0</v>
      </c>
      <c r="AB118" s="20">
        <v>0</v>
      </c>
      <c r="AC118" s="20"/>
      <c r="AD118" s="20"/>
      <c r="AE118" s="20"/>
      <c r="AH118" t="s">
        <v>55</v>
      </c>
      <c r="AI118">
        <v>4</v>
      </c>
      <c r="AJ118" t="s">
        <v>7</v>
      </c>
      <c r="AK118">
        <v>26080</v>
      </c>
      <c r="AL118">
        <v>160</v>
      </c>
      <c r="AM118">
        <v>2</v>
      </c>
      <c r="AN118" s="41">
        <v>8</v>
      </c>
      <c r="AO118" s="1">
        <v>120.56</v>
      </c>
      <c r="AP118" s="20">
        <v>98.099000000000004</v>
      </c>
      <c r="AQ118" s="23">
        <v>45544</v>
      </c>
      <c r="AR118" s="44">
        <v>0.48924768518518519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 s="70"/>
      <c r="BF118" s="20">
        <f>BE114</f>
        <v>97.936800000000005</v>
      </c>
    </row>
    <row r="119" spans="1:58">
      <c r="A119" t="s">
        <v>68</v>
      </c>
      <c r="B119">
        <v>0</v>
      </c>
      <c r="C119" t="s">
        <v>7</v>
      </c>
      <c r="D119">
        <v>52000</v>
      </c>
      <c r="E119">
        <v>160</v>
      </c>
      <c r="F119">
        <v>2</v>
      </c>
      <c r="G119">
        <v>8</v>
      </c>
      <c r="H119">
        <v>897.67</v>
      </c>
      <c r="I119" s="49">
        <v>104.43</v>
      </c>
      <c r="J119" s="23">
        <v>45545</v>
      </c>
      <c r="K119" s="46">
        <v>0.2971064814814815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s="50">
        <f t="shared" ref="X119" si="65">AVERAGE(I119:I123)</f>
        <v>104.59400000000001</v>
      </c>
      <c r="Y119" s="20"/>
      <c r="Z119" s="20">
        <v>0</v>
      </c>
      <c r="AA119" s="20">
        <v>0</v>
      </c>
      <c r="AB119" s="20">
        <v>0</v>
      </c>
      <c r="AC119" s="20"/>
      <c r="AD119" s="20"/>
      <c r="AE119" s="20"/>
      <c r="AH119" t="s">
        <v>68</v>
      </c>
      <c r="AI119">
        <v>0</v>
      </c>
      <c r="AJ119" t="s">
        <v>7</v>
      </c>
      <c r="AK119">
        <v>26080</v>
      </c>
      <c r="AL119">
        <v>160</v>
      </c>
      <c r="AM119">
        <v>2</v>
      </c>
      <c r="AN119" s="41">
        <v>8</v>
      </c>
      <c r="AO119" s="1">
        <v>153.13</v>
      </c>
      <c r="AP119" s="20">
        <v>77.233999999999995</v>
      </c>
      <c r="AQ119" s="23">
        <v>45544</v>
      </c>
      <c r="AR119" s="44">
        <v>0.5566550925925926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 s="68">
        <f t="shared" ref="BE119" si="66">AVERAGE(AP119:AP123)</f>
        <v>77.286599999999993</v>
      </c>
      <c r="BF119" s="20">
        <f>BE119</f>
        <v>77.286599999999993</v>
      </c>
    </row>
    <row r="120" spans="1:58">
      <c r="A120" t="s">
        <v>68</v>
      </c>
      <c r="B120">
        <v>1</v>
      </c>
      <c r="C120" t="s">
        <v>7</v>
      </c>
      <c r="D120">
        <v>52000</v>
      </c>
      <c r="E120">
        <v>160</v>
      </c>
      <c r="F120">
        <v>2</v>
      </c>
      <c r="G120">
        <v>8</v>
      </c>
      <c r="H120">
        <v>892.82</v>
      </c>
      <c r="I120" s="49">
        <v>105</v>
      </c>
      <c r="J120" s="23">
        <v>45545</v>
      </c>
      <c r="K120" s="46">
        <v>0.30811342592592594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s="51">
        <f t="shared" ref="X120" si="67">X119</f>
        <v>104.59400000000001</v>
      </c>
      <c r="Y120" s="20"/>
      <c r="Z120" s="20">
        <v>0</v>
      </c>
      <c r="AA120" s="20">
        <v>0</v>
      </c>
      <c r="AB120" s="20">
        <v>0</v>
      </c>
      <c r="AC120" s="20"/>
      <c r="AD120" s="20"/>
      <c r="AE120" s="20"/>
      <c r="AH120" t="s">
        <v>68</v>
      </c>
      <c r="AI120">
        <v>1</v>
      </c>
      <c r="AJ120" t="s">
        <v>7</v>
      </c>
      <c r="AK120">
        <v>26080</v>
      </c>
      <c r="AL120">
        <v>160</v>
      </c>
      <c r="AM120">
        <v>2</v>
      </c>
      <c r="AN120" s="41">
        <v>8</v>
      </c>
      <c r="AO120" s="1">
        <v>152.66</v>
      </c>
      <c r="AP120" s="20">
        <v>77.471000000000004</v>
      </c>
      <c r="AQ120" s="23">
        <v>45544</v>
      </c>
      <c r="AR120" s="44">
        <v>0.55862268518518521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 s="69"/>
      <c r="BF120" s="20">
        <f>BE119</f>
        <v>77.286599999999993</v>
      </c>
    </row>
    <row r="121" spans="1:58">
      <c r="A121" t="s">
        <v>68</v>
      </c>
      <c r="B121">
        <v>2</v>
      </c>
      <c r="C121" t="s">
        <v>7</v>
      </c>
      <c r="D121">
        <v>52000</v>
      </c>
      <c r="E121">
        <v>160</v>
      </c>
      <c r="F121">
        <v>2</v>
      </c>
      <c r="G121">
        <v>8</v>
      </c>
      <c r="H121">
        <v>897.88</v>
      </c>
      <c r="I121" s="49">
        <v>104.4</v>
      </c>
      <c r="J121" s="23">
        <v>45545</v>
      </c>
      <c r="K121" s="46">
        <v>0.31917824074074075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s="51">
        <f t="shared" si="43"/>
        <v>104.59400000000001</v>
      </c>
      <c r="Y121" s="20"/>
      <c r="Z121" s="20">
        <v>0</v>
      </c>
      <c r="AA121" s="20">
        <v>0</v>
      </c>
      <c r="AB121" s="20">
        <v>0</v>
      </c>
      <c r="AC121" s="20"/>
      <c r="AD121" s="20"/>
      <c r="AE121" s="20"/>
      <c r="AH121" t="s">
        <v>68</v>
      </c>
      <c r="AI121">
        <v>2</v>
      </c>
      <c r="AJ121" t="s">
        <v>7</v>
      </c>
      <c r="AK121">
        <v>26080</v>
      </c>
      <c r="AL121">
        <v>160</v>
      </c>
      <c r="AM121">
        <v>2</v>
      </c>
      <c r="AN121" s="41">
        <v>8</v>
      </c>
      <c r="AO121" s="1">
        <v>152.72999999999999</v>
      </c>
      <c r="AP121" s="20">
        <v>77.433999999999997</v>
      </c>
      <c r="AQ121" s="23">
        <v>45544</v>
      </c>
      <c r="AR121" s="44">
        <v>0.56057870370370366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 s="69"/>
      <c r="BF121" s="20">
        <f>BE119</f>
        <v>77.286599999999993</v>
      </c>
    </row>
    <row r="122" spans="1:58">
      <c r="A122" t="s">
        <v>68</v>
      </c>
      <c r="B122">
        <v>3</v>
      </c>
      <c r="C122" t="s">
        <v>7</v>
      </c>
      <c r="D122">
        <v>52000</v>
      </c>
      <c r="E122">
        <v>160</v>
      </c>
      <c r="F122">
        <v>2</v>
      </c>
      <c r="G122">
        <v>8</v>
      </c>
      <c r="H122">
        <v>896.49</v>
      </c>
      <c r="I122" s="49">
        <v>104.57</v>
      </c>
      <c r="J122" s="23">
        <v>45545</v>
      </c>
      <c r="K122" s="46">
        <v>0.33023148148148146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 s="51">
        <f t="shared" si="43"/>
        <v>104.59400000000001</v>
      </c>
      <c r="Y122" s="20"/>
      <c r="Z122" s="20">
        <v>0</v>
      </c>
      <c r="AA122" s="20">
        <v>0</v>
      </c>
      <c r="AB122" s="20">
        <v>0</v>
      </c>
      <c r="AC122" s="20"/>
      <c r="AD122" s="20"/>
      <c r="AE122" s="20"/>
      <c r="AH122" t="s">
        <v>68</v>
      </c>
      <c r="AI122">
        <v>3</v>
      </c>
      <c r="AJ122" t="s">
        <v>7</v>
      </c>
      <c r="AK122">
        <v>26080</v>
      </c>
      <c r="AL122">
        <v>160</v>
      </c>
      <c r="AM122">
        <v>2</v>
      </c>
      <c r="AN122" s="41">
        <v>8</v>
      </c>
      <c r="AO122" s="1">
        <v>152.91</v>
      </c>
      <c r="AP122" s="20">
        <v>77.344999999999999</v>
      </c>
      <c r="AQ122" s="23">
        <v>45544</v>
      </c>
      <c r="AR122" s="44">
        <v>0.56254629629629627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 s="69"/>
      <c r="BF122" s="20">
        <f>BE119</f>
        <v>77.286599999999993</v>
      </c>
    </row>
    <row r="123" spans="1:58">
      <c r="A123" t="s">
        <v>68</v>
      </c>
      <c r="B123">
        <v>4</v>
      </c>
      <c r="C123" t="s">
        <v>7</v>
      </c>
      <c r="D123">
        <v>52000</v>
      </c>
      <c r="E123">
        <v>160</v>
      </c>
      <c r="F123">
        <v>2</v>
      </c>
      <c r="G123">
        <v>8</v>
      </c>
      <c r="H123">
        <v>896.46</v>
      </c>
      <c r="I123" s="49">
        <v>104.57</v>
      </c>
      <c r="J123" s="23">
        <v>45545</v>
      </c>
      <c r="K123" s="46">
        <v>0.34128472222222223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s="51">
        <f t="shared" si="43"/>
        <v>104.59400000000001</v>
      </c>
      <c r="Y123" s="20"/>
      <c r="Z123" s="20">
        <v>0</v>
      </c>
      <c r="AA123" s="20">
        <v>0</v>
      </c>
      <c r="AB123" s="20">
        <v>0</v>
      </c>
      <c r="AC123" s="20"/>
      <c r="AD123" s="20"/>
      <c r="AE123" s="20"/>
      <c r="AH123" t="s">
        <v>68</v>
      </c>
      <c r="AI123">
        <v>4</v>
      </c>
      <c r="AJ123" t="s">
        <v>7</v>
      </c>
      <c r="AK123">
        <v>26080</v>
      </c>
      <c r="AL123">
        <v>160</v>
      </c>
      <c r="AM123">
        <v>2</v>
      </c>
      <c r="AN123" s="41">
        <v>8</v>
      </c>
      <c r="AO123" s="1">
        <v>153.69999999999999</v>
      </c>
      <c r="AP123" s="20">
        <v>76.948999999999998</v>
      </c>
      <c r="AQ123" s="23">
        <v>45544</v>
      </c>
      <c r="AR123" s="44">
        <v>0.56452546296296291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 s="70"/>
      <c r="BF123" s="20">
        <f>BE119</f>
        <v>77.286599999999993</v>
      </c>
    </row>
    <row r="124" spans="1:58">
      <c r="A124" t="s">
        <v>111</v>
      </c>
      <c r="B124">
        <v>0</v>
      </c>
      <c r="C124" t="s">
        <v>7</v>
      </c>
      <c r="D124">
        <v>52000</v>
      </c>
      <c r="E124">
        <v>160</v>
      </c>
      <c r="F124">
        <v>2</v>
      </c>
      <c r="G124">
        <v>8</v>
      </c>
      <c r="H124">
        <v>904.45</v>
      </c>
      <c r="I124" s="49">
        <v>103.65</v>
      </c>
      <c r="J124" s="23">
        <v>45545</v>
      </c>
      <c r="K124" s="46">
        <v>0.39817129629629627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s="50">
        <f t="shared" ref="X124" si="68">AVERAGE(I124:I128)</f>
        <v>103.44800000000001</v>
      </c>
      <c r="Y124" s="20"/>
      <c r="Z124" s="20">
        <v>0</v>
      </c>
      <c r="AA124" s="20">
        <v>0</v>
      </c>
      <c r="AB124" s="20">
        <v>0</v>
      </c>
      <c r="AC124" s="20"/>
      <c r="AD124" s="20"/>
      <c r="AE124" s="20"/>
      <c r="AH124" t="s">
        <v>127</v>
      </c>
      <c r="AI124">
        <v>0</v>
      </c>
      <c r="AJ124" t="s">
        <v>7</v>
      </c>
      <c r="AK124">
        <v>26080</v>
      </c>
      <c r="AL124">
        <v>160</v>
      </c>
      <c r="AM124">
        <v>2</v>
      </c>
      <c r="AN124" s="41">
        <v>8</v>
      </c>
      <c r="AO124" s="1">
        <v>155.26</v>
      </c>
      <c r="AP124" s="20">
        <v>76.174000000000007</v>
      </c>
      <c r="AQ124" s="23">
        <v>45544</v>
      </c>
      <c r="AR124" s="44">
        <v>0.65270833333333333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 s="68">
        <f t="shared" ref="BE124" si="69">AVERAGE(AP124:AP128)</f>
        <v>76.553200000000004</v>
      </c>
      <c r="BF124" s="20">
        <f>BE124</f>
        <v>76.553200000000004</v>
      </c>
    </row>
    <row r="125" spans="1:58">
      <c r="A125" t="s">
        <v>111</v>
      </c>
      <c r="B125">
        <v>1</v>
      </c>
      <c r="C125" t="s">
        <v>7</v>
      </c>
      <c r="D125">
        <v>52000</v>
      </c>
      <c r="E125">
        <v>160</v>
      </c>
      <c r="F125">
        <v>2</v>
      </c>
      <c r="G125">
        <v>8</v>
      </c>
      <c r="H125">
        <v>902.47</v>
      </c>
      <c r="I125" s="49">
        <v>103.87</v>
      </c>
      <c r="J125" s="23">
        <v>45545</v>
      </c>
      <c r="K125" s="46">
        <v>0.40929398148148149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s="51">
        <f t="shared" ref="X125" si="70">X124</f>
        <v>103.44800000000001</v>
      </c>
      <c r="Y125" s="20"/>
      <c r="Z125" s="20">
        <v>0</v>
      </c>
      <c r="AA125" s="20">
        <v>0</v>
      </c>
      <c r="AB125" s="20">
        <v>0</v>
      </c>
      <c r="AC125" s="20"/>
      <c r="AD125" s="20"/>
      <c r="AE125" s="20"/>
      <c r="AH125" t="s">
        <v>127</v>
      </c>
      <c r="AI125">
        <v>1</v>
      </c>
      <c r="AJ125" t="s">
        <v>7</v>
      </c>
      <c r="AK125">
        <v>26080</v>
      </c>
      <c r="AL125">
        <v>160</v>
      </c>
      <c r="AM125">
        <v>2</v>
      </c>
      <c r="AN125" s="41">
        <v>8</v>
      </c>
      <c r="AO125" s="1">
        <v>154.34</v>
      </c>
      <c r="AP125" s="20">
        <v>76.63</v>
      </c>
      <c r="AQ125" s="23">
        <v>45544</v>
      </c>
      <c r="AR125" s="44">
        <v>0.65457175925925926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 s="69"/>
      <c r="BF125" s="20">
        <f>BE124</f>
        <v>76.553200000000004</v>
      </c>
    </row>
    <row r="126" spans="1:58">
      <c r="A126" t="s">
        <v>111</v>
      </c>
      <c r="B126">
        <v>2</v>
      </c>
      <c r="C126" t="s">
        <v>7</v>
      </c>
      <c r="D126">
        <v>52000</v>
      </c>
      <c r="E126">
        <v>160</v>
      </c>
      <c r="F126">
        <v>2</v>
      </c>
      <c r="G126">
        <v>8</v>
      </c>
      <c r="H126">
        <v>908.86</v>
      </c>
      <c r="I126" s="49">
        <v>103.14</v>
      </c>
      <c r="J126" s="23">
        <v>45545</v>
      </c>
      <c r="K126" s="46">
        <v>0.42049768518518521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s="51">
        <f t="shared" si="43"/>
        <v>103.44800000000001</v>
      </c>
      <c r="Y126" s="20"/>
      <c r="Z126" s="20">
        <v>0</v>
      </c>
      <c r="AA126" s="20">
        <v>0</v>
      </c>
      <c r="AB126" s="20">
        <v>0</v>
      </c>
      <c r="AC126" s="20"/>
      <c r="AD126" s="20"/>
      <c r="AE126" s="20"/>
      <c r="AH126" t="s">
        <v>127</v>
      </c>
      <c r="AI126">
        <v>2</v>
      </c>
      <c r="AJ126" t="s">
        <v>7</v>
      </c>
      <c r="AK126">
        <v>26080</v>
      </c>
      <c r="AL126">
        <v>160</v>
      </c>
      <c r="AM126">
        <v>2</v>
      </c>
      <c r="AN126" s="41">
        <v>8</v>
      </c>
      <c r="AO126" s="1">
        <v>154.37</v>
      </c>
      <c r="AP126" s="20">
        <v>76.613</v>
      </c>
      <c r="AQ126" s="23">
        <v>45544</v>
      </c>
      <c r="AR126" s="44">
        <v>0.65644675925925922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 s="69"/>
      <c r="BF126" s="20">
        <f>BE124</f>
        <v>76.553200000000004</v>
      </c>
    </row>
    <row r="127" spans="1:58">
      <c r="A127" t="s">
        <v>111</v>
      </c>
      <c r="B127">
        <v>3</v>
      </c>
      <c r="C127" t="s">
        <v>7</v>
      </c>
      <c r="D127">
        <v>52000</v>
      </c>
      <c r="E127">
        <v>160</v>
      </c>
      <c r="F127">
        <v>2</v>
      </c>
      <c r="G127">
        <v>8</v>
      </c>
      <c r="H127">
        <v>908.45</v>
      </c>
      <c r="I127" s="49">
        <v>103.19</v>
      </c>
      <c r="J127" s="23">
        <v>45545</v>
      </c>
      <c r="K127" s="46">
        <v>0.43170138888888887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s="51">
        <f t="shared" si="43"/>
        <v>103.44800000000001</v>
      </c>
      <c r="Y127" s="20"/>
      <c r="Z127" s="20">
        <v>0</v>
      </c>
      <c r="AA127" s="20">
        <v>0</v>
      </c>
      <c r="AB127" s="20">
        <v>0</v>
      </c>
      <c r="AC127" s="20"/>
      <c r="AD127" s="20"/>
      <c r="AE127" s="20"/>
      <c r="AH127" t="s">
        <v>127</v>
      </c>
      <c r="AI127">
        <v>3</v>
      </c>
      <c r="AJ127" t="s">
        <v>7</v>
      </c>
      <c r="AK127">
        <v>26080</v>
      </c>
      <c r="AL127">
        <v>160</v>
      </c>
      <c r="AM127">
        <v>2</v>
      </c>
      <c r="AN127" s="41">
        <v>8</v>
      </c>
      <c r="AO127" s="1">
        <v>154.68</v>
      </c>
      <c r="AP127" s="20">
        <v>76.459999999999994</v>
      </c>
      <c r="AQ127" s="23">
        <v>45544</v>
      </c>
      <c r="AR127" s="44">
        <v>0.65831018518518514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 s="69"/>
      <c r="BF127" s="20">
        <f>BE124</f>
        <v>76.553200000000004</v>
      </c>
    </row>
    <row r="128" spans="1:58">
      <c r="A128" t="s">
        <v>111</v>
      </c>
      <c r="B128">
        <v>4</v>
      </c>
      <c r="C128" t="s">
        <v>7</v>
      </c>
      <c r="D128">
        <v>52000</v>
      </c>
      <c r="E128">
        <v>160</v>
      </c>
      <c r="F128">
        <v>2</v>
      </c>
      <c r="G128">
        <v>8</v>
      </c>
      <c r="H128">
        <v>906.65</v>
      </c>
      <c r="I128" s="49">
        <v>103.39</v>
      </c>
      <c r="J128" s="23">
        <v>45545</v>
      </c>
      <c r="K128" s="46">
        <v>0.44287037037037036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s="51">
        <f t="shared" si="43"/>
        <v>103.44800000000001</v>
      </c>
      <c r="Y128" s="20"/>
      <c r="Z128" s="20">
        <v>0</v>
      </c>
      <c r="AA128" s="20">
        <v>0</v>
      </c>
      <c r="AB128" s="20">
        <v>0</v>
      </c>
      <c r="AC128" s="20"/>
      <c r="AD128" s="20"/>
      <c r="AE128" s="20"/>
      <c r="AH128" t="s">
        <v>127</v>
      </c>
      <c r="AI128">
        <v>4</v>
      </c>
      <c r="AJ128" t="s">
        <v>7</v>
      </c>
      <c r="AK128">
        <v>26080</v>
      </c>
      <c r="AL128">
        <v>160</v>
      </c>
      <c r="AM128">
        <v>2</v>
      </c>
      <c r="AN128" s="41">
        <v>8</v>
      </c>
      <c r="AO128" s="1">
        <v>153.82</v>
      </c>
      <c r="AP128" s="20">
        <v>76.888999999999996</v>
      </c>
      <c r="AQ128" s="23">
        <v>45544</v>
      </c>
      <c r="AR128" s="44">
        <v>0.66017361111111106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 s="70"/>
      <c r="BF128" s="20">
        <f>BE124</f>
        <v>76.553200000000004</v>
      </c>
    </row>
    <row r="129" spans="1:58">
      <c r="A129" t="s">
        <v>72</v>
      </c>
      <c r="B129">
        <v>0</v>
      </c>
      <c r="C129" t="s">
        <v>7</v>
      </c>
      <c r="D129">
        <v>52000</v>
      </c>
      <c r="E129">
        <v>160</v>
      </c>
      <c r="F129">
        <v>2</v>
      </c>
      <c r="G129">
        <v>8</v>
      </c>
      <c r="H129">
        <v>902.33</v>
      </c>
      <c r="I129" s="49">
        <v>103.89</v>
      </c>
      <c r="J129" s="23">
        <v>45545</v>
      </c>
      <c r="K129" s="46">
        <v>0.45399305555555558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s="50">
        <f t="shared" ref="X129" si="71">AVERAGE(I129:I133)</f>
        <v>103.38800000000001</v>
      </c>
      <c r="Y129" s="20"/>
      <c r="Z129" s="20">
        <v>0</v>
      </c>
      <c r="AA129" s="20">
        <v>0</v>
      </c>
      <c r="AB129" s="20">
        <v>0</v>
      </c>
      <c r="AC129" s="20"/>
      <c r="AD129" s="20"/>
      <c r="AE129" s="20"/>
      <c r="AH129" t="s">
        <v>111</v>
      </c>
      <c r="AI129">
        <v>0</v>
      </c>
      <c r="AJ129" t="s">
        <v>7</v>
      </c>
      <c r="AK129">
        <v>26080</v>
      </c>
      <c r="AL129">
        <v>160</v>
      </c>
      <c r="AM129">
        <v>2</v>
      </c>
      <c r="AN129" s="41">
        <v>8</v>
      </c>
      <c r="AO129" s="1">
        <v>153.55000000000001</v>
      </c>
      <c r="AP129" s="20">
        <v>77.022000000000006</v>
      </c>
      <c r="AQ129" s="23">
        <v>45544</v>
      </c>
      <c r="AR129" s="44">
        <v>0.57434027777777774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 s="68">
        <f t="shared" ref="BE129" si="72">AVERAGE(AP129:AP133)</f>
        <v>76.5244</v>
      </c>
      <c r="BF129" s="20">
        <f>BE129</f>
        <v>76.5244</v>
      </c>
    </row>
    <row r="130" spans="1:58">
      <c r="A130" t="s">
        <v>72</v>
      </c>
      <c r="B130">
        <v>1</v>
      </c>
      <c r="C130" t="s">
        <v>7</v>
      </c>
      <c r="D130">
        <v>52000</v>
      </c>
      <c r="E130">
        <v>160</v>
      </c>
      <c r="F130">
        <v>2</v>
      </c>
      <c r="G130">
        <v>8</v>
      </c>
      <c r="H130">
        <v>909.72</v>
      </c>
      <c r="I130" s="49">
        <v>103.05</v>
      </c>
      <c r="J130" s="23">
        <v>45545</v>
      </c>
      <c r="K130" s="46">
        <v>0.46519675925925924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s="51">
        <f t="shared" ref="X130" si="73">X129</f>
        <v>103.38800000000001</v>
      </c>
      <c r="Y130" s="20"/>
      <c r="Z130" s="20">
        <v>0</v>
      </c>
      <c r="AA130" s="20">
        <v>0</v>
      </c>
      <c r="AB130" s="20">
        <v>0</v>
      </c>
      <c r="AC130" s="20"/>
      <c r="AD130" s="20"/>
      <c r="AE130" s="20"/>
      <c r="AH130" t="s">
        <v>111</v>
      </c>
      <c r="AI130">
        <v>1</v>
      </c>
      <c r="AJ130" t="s">
        <v>7</v>
      </c>
      <c r="AK130">
        <v>26080</v>
      </c>
      <c r="AL130">
        <v>160</v>
      </c>
      <c r="AM130">
        <v>2</v>
      </c>
      <c r="AN130" s="41">
        <v>8</v>
      </c>
      <c r="AO130" s="1">
        <v>155.25</v>
      </c>
      <c r="AP130" s="20">
        <v>76.180999999999997</v>
      </c>
      <c r="AQ130" s="23">
        <v>45544</v>
      </c>
      <c r="AR130" s="44">
        <v>0.57633101851851853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 s="69"/>
      <c r="BF130" s="20">
        <f>BE129</f>
        <v>76.5244</v>
      </c>
    </row>
    <row r="131" spans="1:58">
      <c r="A131" t="s">
        <v>72</v>
      </c>
      <c r="B131">
        <v>2</v>
      </c>
      <c r="C131" t="s">
        <v>7</v>
      </c>
      <c r="D131">
        <v>52000</v>
      </c>
      <c r="E131">
        <v>160</v>
      </c>
      <c r="F131">
        <v>2</v>
      </c>
      <c r="G131">
        <v>8</v>
      </c>
      <c r="H131">
        <v>907.47</v>
      </c>
      <c r="I131" s="49">
        <v>103.3</v>
      </c>
      <c r="J131" s="23">
        <v>45545</v>
      </c>
      <c r="K131" s="46">
        <v>0.47637731481481482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 s="51">
        <f t="shared" si="43"/>
        <v>103.38800000000001</v>
      </c>
      <c r="Y131" s="20"/>
      <c r="Z131" s="20">
        <v>0</v>
      </c>
      <c r="AA131" s="20">
        <v>0</v>
      </c>
      <c r="AB131" s="20">
        <v>0</v>
      </c>
      <c r="AC131" s="20"/>
      <c r="AD131" s="20"/>
      <c r="AE131" s="20"/>
      <c r="AH131" t="s">
        <v>111</v>
      </c>
      <c r="AI131">
        <v>2</v>
      </c>
      <c r="AJ131" t="s">
        <v>7</v>
      </c>
      <c r="AK131">
        <v>26080</v>
      </c>
      <c r="AL131">
        <v>160</v>
      </c>
      <c r="AM131">
        <v>2</v>
      </c>
      <c r="AN131" s="41">
        <v>8</v>
      </c>
      <c r="AO131" s="1">
        <v>154</v>
      </c>
      <c r="AP131" s="20">
        <v>76.799000000000007</v>
      </c>
      <c r="AQ131" s="23">
        <v>45544</v>
      </c>
      <c r="AR131" s="44">
        <v>0.57832175925925922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 s="69"/>
      <c r="BF131" s="20">
        <f>BE129</f>
        <v>76.5244</v>
      </c>
    </row>
    <row r="132" spans="1:58">
      <c r="A132" t="s">
        <v>72</v>
      </c>
      <c r="B132">
        <v>3</v>
      </c>
      <c r="C132" t="s">
        <v>7</v>
      </c>
      <c r="D132">
        <v>52000</v>
      </c>
      <c r="E132">
        <v>160</v>
      </c>
      <c r="F132">
        <v>2</v>
      </c>
      <c r="G132">
        <v>8</v>
      </c>
      <c r="H132">
        <v>907.58</v>
      </c>
      <c r="I132" s="49">
        <v>103.29</v>
      </c>
      <c r="J132" s="23">
        <v>45545</v>
      </c>
      <c r="K132" s="46">
        <v>0.48755787037037035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s="51">
        <f t="shared" si="43"/>
        <v>103.38800000000001</v>
      </c>
      <c r="Y132" s="20"/>
      <c r="Z132" s="20">
        <v>0</v>
      </c>
      <c r="AA132" s="20">
        <v>0</v>
      </c>
      <c r="AB132" s="20">
        <v>0</v>
      </c>
      <c r="AC132" s="20"/>
      <c r="AD132" s="20"/>
      <c r="AE132" s="20"/>
      <c r="AH132" t="s">
        <v>111</v>
      </c>
      <c r="AI132">
        <v>3</v>
      </c>
      <c r="AJ132" t="s">
        <v>7</v>
      </c>
      <c r="AK132">
        <v>26080</v>
      </c>
      <c r="AL132">
        <v>160</v>
      </c>
      <c r="AM132">
        <v>2</v>
      </c>
      <c r="AN132" s="41">
        <v>8</v>
      </c>
      <c r="AO132" s="1">
        <v>154.21</v>
      </c>
      <c r="AP132" s="20">
        <v>76.694000000000003</v>
      </c>
      <c r="AQ132" s="23">
        <v>45544</v>
      </c>
      <c r="AR132" s="44">
        <v>0.58030092592592597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 s="69"/>
      <c r="BF132" s="20">
        <f>BE129</f>
        <v>76.5244</v>
      </c>
    </row>
    <row r="133" spans="1:58">
      <c r="A133" t="s">
        <v>72</v>
      </c>
      <c r="B133">
        <v>4</v>
      </c>
      <c r="C133" t="s">
        <v>7</v>
      </c>
      <c r="D133">
        <v>52000</v>
      </c>
      <c r="E133">
        <v>160</v>
      </c>
      <c r="F133">
        <v>2</v>
      </c>
      <c r="G133">
        <v>8</v>
      </c>
      <c r="H133">
        <v>906.52</v>
      </c>
      <c r="I133" s="49">
        <v>103.41</v>
      </c>
      <c r="J133" s="23">
        <v>45545</v>
      </c>
      <c r="K133" s="46">
        <v>0.49872685185185184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s="51">
        <f t="shared" si="43"/>
        <v>103.38800000000001</v>
      </c>
      <c r="Y133" s="20"/>
      <c r="Z133" s="20">
        <v>0</v>
      </c>
      <c r="AA133" s="20">
        <v>0</v>
      </c>
      <c r="AB133" s="20">
        <v>0</v>
      </c>
      <c r="AC133" s="20"/>
      <c r="AD133" s="20"/>
      <c r="AE133" s="20"/>
      <c r="AH133" t="s">
        <v>111</v>
      </c>
      <c r="AI133">
        <v>4</v>
      </c>
      <c r="AJ133" t="s">
        <v>7</v>
      </c>
      <c r="AK133">
        <v>26080</v>
      </c>
      <c r="AL133">
        <v>160</v>
      </c>
      <c r="AM133">
        <v>2</v>
      </c>
      <c r="AN133" s="41">
        <v>8</v>
      </c>
      <c r="AO133" s="1">
        <v>155.77000000000001</v>
      </c>
      <c r="AP133" s="20">
        <v>75.926000000000002</v>
      </c>
      <c r="AQ133" s="23">
        <v>45544</v>
      </c>
      <c r="AR133" s="44">
        <v>0.58230324074074069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 s="70"/>
      <c r="BF133" s="20">
        <f>BE129</f>
        <v>76.5244</v>
      </c>
    </row>
    <row r="134" spans="1:58">
      <c r="A134" t="s">
        <v>127</v>
      </c>
      <c r="B134">
        <v>0</v>
      </c>
      <c r="C134" t="s">
        <v>7</v>
      </c>
      <c r="D134">
        <v>52000</v>
      </c>
      <c r="E134">
        <v>160</v>
      </c>
      <c r="F134">
        <v>2</v>
      </c>
      <c r="G134">
        <v>8</v>
      </c>
      <c r="H134">
        <v>911.46</v>
      </c>
      <c r="I134" s="49">
        <v>102.85</v>
      </c>
      <c r="J134" s="23">
        <v>45545</v>
      </c>
      <c r="K134" s="46">
        <v>0.85619212962962965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s="50">
        <f t="shared" ref="X134" si="74">AVERAGE(I134:I138)</f>
        <v>103.114</v>
      </c>
      <c r="Y134" s="20"/>
      <c r="Z134" s="20">
        <v>0</v>
      </c>
      <c r="AA134" s="20">
        <v>0</v>
      </c>
      <c r="AB134" s="20">
        <v>0</v>
      </c>
      <c r="AC134" s="20"/>
      <c r="AD134" s="20"/>
      <c r="AE134" s="20"/>
      <c r="AH134" t="s">
        <v>72</v>
      </c>
      <c r="AI134">
        <v>0</v>
      </c>
      <c r="AJ134" t="s">
        <v>7</v>
      </c>
      <c r="AK134">
        <v>26080</v>
      </c>
      <c r="AL134">
        <v>160</v>
      </c>
      <c r="AM134">
        <v>2</v>
      </c>
      <c r="AN134" s="41">
        <v>8</v>
      </c>
      <c r="AO134" s="1">
        <v>156.47999999999999</v>
      </c>
      <c r="AP134" s="20">
        <v>75.581000000000003</v>
      </c>
      <c r="AQ134" s="23">
        <v>45544</v>
      </c>
      <c r="AR134" s="44">
        <v>0.58430555555555552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 s="68">
        <f t="shared" ref="BE134" si="75">AVERAGE(AP134:AP138)</f>
        <v>75.995599999999996</v>
      </c>
      <c r="BF134" s="20">
        <f>BE134</f>
        <v>75.995599999999996</v>
      </c>
    </row>
    <row r="135" spans="1:58">
      <c r="A135" t="s">
        <v>127</v>
      </c>
      <c r="B135">
        <v>1</v>
      </c>
      <c r="C135" t="s">
        <v>7</v>
      </c>
      <c r="D135">
        <v>52000</v>
      </c>
      <c r="E135">
        <v>160</v>
      </c>
      <c r="F135">
        <v>2</v>
      </c>
      <c r="G135">
        <v>8</v>
      </c>
      <c r="H135">
        <v>907.53</v>
      </c>
      <c r="I135" s="49">
        <v>103.29</v>
      </c>
      <c r="J135" s="23">
        <v>45545</v>
      </c>
      <c r="K135" s="46">
        <v>0.86692129629629633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s="51">
        <f t="shared" ref="X135" si="76">X134</f>
        <v>103.114</v>
      </c>
      <c r="Y135" s="20"/>
      <c r="Z135" s="20">
        <v>0</v>
      </c>
      <c r="AA135" s="20">
        <v>0</v>
      </c>
      <c r="AB135" s="20">
        <v>0</v>
      </c>
      <c r="AC135" s="20"/>
      <c r="AD135" s="20"/>
      <c r="AE135" s="20"/>
      <c r="AH135" t="s">
        <v>72</v>
      </c>
      <c r="AI135">
        <v>1</v>
      </c>
      <c r="AJ135" t="s">
        <v>7</v>
      </c>
      <c r="AK135">
        <v>26080</v>
      </c>
      <c r="AL135">
        <v>160</v>
      </c>
      <c r="AM135">
        <v>2</v>
      </c>
      <c r="AN135" s="41">
        <v>8</v>
      </c>
      <c r="AO135" s="1">
        <v>154.84</v>
      </c>
      <c r="AP135" s="20">
        <v>76.38</v>
      </c>
      <c r="AQ135" s="23">
        <v>45544</v>
      </c>
      <c r="AR135" s="44">
        <v>0.58629629629629632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 s="69"/>
      <c r="BF135" s="20">
        <f>BE134</f>
        <v>75.995599999999996</v>
      </c>
    </row>
    <row r="136" spans="1:58">
      <c r="A136" t="s">
        <v>127</v>
      </c>
      <c r="B136">
        <v>2</v>
      </c>
      <c r="C136" t="s">
        <v>7</v>
      </c>
      <c r="D136">
        <v>52000</v>
      </c>
      <c r="E136">
        <v>160</v>
      </c>
      <c r="F136">
        <v>2</v>
      </c>
      <c r="G136">
        <v>8</v>
      </c>
      <c r="H136">
        <v>907.17</v>
      </c>
      <c r="I136" s="49">
        <v>103.34</v>
      </c>
      <c r="J136" s="23">
        <v>45545</v>
      </c>
      <c r="K136" s="46">
        <v>0.87763888888888886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s="51">
        <f t="shared" si="43"/>
        <v>103.114</v>
      </c>
      <c r="Y136" s="20"/>
      <c r="Z136" s="20">
        <v>0</v>
      </c>
      <c r="AA136" s="20">
        <v>0</v>
      </c>
      <c r="AB136" s="20">
        <v>0</v>
      </c>
      <c r="AC136" s="20"/>
      <c r="AD136" s="20"/>
      <c r="AE136" s="20"/>
      <c r="AH136" t="s">
        <v>72</v>
      </c>
      <c r="AI136">
        <v>2</v>
      </c>
      <c r="AJ136" t="s">
        <v>7</v>
      </c>
      <c r="AK136">
        <v>26080</v>
      </c>
      <c r="AL136">
        <v>160</v>
      </c>
      <c r="AM136">
        <v>2</v>
      </c>
      <c r="AN136" s="41">
        <v>8</v>
      </c>
      <c r="AO136" s="1">
        <v>155.68</v>
      </c>
      <c r="AP136" s="20">
        <v>75.97</v>
      </c>
      <c r="AQ136" s="23">
        <v>45544</v>
      </c>
      <c r="AR136" s="44">
        <v>0.58829861111111115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 s="69"/>
      <c r="BF136" s="20">
        <f>BE134</f>
        <v>75.995599999999996</v>
      </c>
    </row>
    <row r="137" spans="1:58">
      <c r="A137" t="s">
        <v>127</v>
      </c>
      <c r="B137">
        <v>3</v>
      </c>
      <c r="C137" t="s">
        <v>7</v>
      </c>
      <c r="D137">
        <v>52000</v>
      </c>
      <c r="E137">
        <v>160</v>
      </c>
      <c r="F137">
        <v>2</v>
      </c>
      <c r="G137">
        <v>8</v>
      </c>
      <c r="H137">
        <v>908.99</v>
      </c>
      <c r="I137" s="49">
        <v>103.13</v>
      </c>
      <c r="J137" s="23">
        <v>45545</v>
      </c>
      <c r="K137" s="46">
        <v>0.88839120370370372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s="51">
        <f t="shared" si="43"/>
        <v>103.114</v>
      </c>
      <c r="Y137" s="20"/>
      <c r="Z137" s="20">
        <v>0</v>
      </c>
      <c r="AA137" s="20">
        <v>0</v>
      </c>
      <c r="AB137" s="20">
        <v>0</v>
      </c>
      <c r="AC137" s="20"/>
      <c r="AD137" s="20"/>
      <c r="AE137" s="20"/>
      <c r="AH137" t="s">
        <v>72</v>
      </c>
      <c r="AI137">
        <v>3</v>
      </c>
      <c r="AJ137" t="s">
        <v>7</v>
      </c>
      <c r="AK137">
        <v>26080</v>
      </c>
      <c r="AL137">
        <v>160</v>
      </c>
      <c r="AM137">
        <v>2</v>
      </c>
      <c r="AN137" s="41">
        <v>8</v>
      </c>
      <c r="AO137" s="1">
        <v>155.76</v>
      </c>
      <c r="AP137" s="20">
        <v>75.929000000000002</v>
      </c>
      <c r="AQ137" s="23">
        <v>45544</v>
      </c>
      <c r="AR137" s="44">
        <v>0.59030092592592598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 s="69"/>
      <c r="BF137" s="20">
        <f>BE134</f>
        <v>75.995599999999996</v>
      </c>
    </row>
    <row r="138" spans="1:58">
      <c r="A138" t="s">
        <v>127</v>
      </c>
      <c r="B138">
        <v>4</v>
      </c>
      <c r="C138" t="s">
        <v>7</v>
      </c>
      <c r="D138">
        <v>52000</v>
      </c>
      <c r="E138">
        <v>160</v>
      </c>
      <c r="F138">
        <v>2</v>
      </c>
      <c r="G138">
        <v>8</v>
      </c>
      <c r="H138">
        <v>910.49</v>
      </c>
      <c r="I138" s="49">
        <v>102.96</v>
      </c>
      <c r="J138" s="23">
        <v>45545</v>
      </c>
      <c r="K138" s="46">
        <v>0.89914351851851848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 s="51">
        <f t="shared" si="43"/>
        <v>103.114</v>
      </c>
      <c r="Y138" s="20"/>
      <c r="Z138" s="20">
        <v>0</v>
      </c>
      <c r="AA138" s="20">
        <v>0</v>
      </c>
      <c r="AB138" s="20">
        <v>0</v>
      </c>
      <c r="AC138" s="20"/>
      <c r="AD138" s="20"/>
      <c r="AE138" s="20"/>
      <c r="AH138" t="s">
        <v>72</v>
      </c>
      <c r="AI138">
        <v>4</v>
      </c>
      <c r="AJ138" t="s">
        <v>7</v>
      </c>
      <c r="AK138">
        <v>26080</v>
      </c>
      <c r="AL138">
        <v>160</v>
      </c>
      <c r="AM138">
        <v>2</v>
      </c>
      <c r="AN138" s="41">
        <v>8</v>
      </c>
      <c r="AO138" s="1">
        <v>155.38</v>
      </c>
      <c r="AP138" s="20">
        <v>76.117999999999995</v>
      </c>
      <c r="AQ138" s="23">
        <v>45544</v>
      </c>
      <c r="AR138" s="44">
        <v>0.59229166666666666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 s="70"/>
      <c r="BF138" s="20">
        <f>BE134</f>
        <v>75.995599999999996</v>
      </c>
    </row>
    <row r="139" spans="1:58">
      <c r="A139" t="s">
        <v>102</v>
      </c>
      <c r="B139">
        <v>0</v>
      </c>
      <c r="C139" t="s">
        <v>7</v>
      </c>
      <c r="D139">
        <v>52000</v>
      </c>
      <c r="E139">
        <v>160</v>
      </c>
      <c r="F139">
        <v>2</v>
      </c>
      <c r="G139">
        <v>8</v>
      </c>
      <c r="H139">
        <v>912.39</v>
      </c>
      <c r="I139" s="49">
        <v>102.74</v>
      </c>
      <c r="J139" s="23">
        <v>45545</v>
      </c>
      <c r="K139" s="46">
        <v>1.4907407407407407E-2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 s="50">
        <f t="shared" ref="X139" si="77">AVERAGE(I139:I143)</f>
        <v>102.922</v>
      </c>
      <c r="Y139" s="20"/>
      <c r="Z139" s="20">
        <v>0</v>
      </c>
      <c r="AA139" s="20">
        <v>0</v>
      </c>
      <c r="AB139" s="20">
        <v>0</v>
      </c>
      <c r="AC139" s="20"/>
      <c r="AD139" s="20"/>
      <c r="AE139" s="20"/>
      <c r="AH139" t="s">
        <v>102</v>
      </c>
      <c r="AI139">
        <v>0</v>
      </c>
      <c r="AJ139" t="s">
        <v>7</v>
      </c>
      <c r="AK139">
        <v>26080</v>
      </c>
      <c r="AL139">
        <v>160</v>
      </c>
      <c r="AM139">
        <v>2</v>
      </c>
      <c r="AN139" s="41">
        <v>8</v>
      </c>
      <c r="AO139" s="1">
        <v>155.52000000000001</v>
      </c>
      <c r="AP139" s="20">
        <v>76.048000000000002</v>
      </c>
      <c r="AQ139" s="23">
        <v>45544</v>
      </c>
      <c r="AR139" s="44">
        <v>0.50701388888888888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 s="68">
        <f t="shared" ref="BE139" si="78">AVERAGE(AP139:AP143)</f>
        <v>75.514600000000002</v>
      </c>
      <c r="BF139" s="20">
        <f>BE139</f>
        <v>75.514600000000002</v>
      </c>
    </row>
    <row r="140" spans="1:58">
      <c r="A140" t="s">
        <v>102</v>
      </c>
      <c r="B140">
        <v>1</v>
      </c>
      <c r="C140" t="s">
        <v>7</v>
      </c>
      <c r="D140">
        <v>52000</v>
      </c>
      <c r="E140">
        <v>160</v>
      </c>
      <c r="F140">
        <v>2</v>
      </c>
      <c r="G140">
        <v>8</v>
      </c>
      <c r="H140">
        <v>914.79</v>
      </c>
      <c r="I140" s="49">
        <v>102.47</v>
      </c>
      <c r="J140" s="23">
        <v>45545</v>
      </c>
      <c r="K140" s="46">
        <v>2.6168981481481481E-2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s="51">
        <f t="shared" ref="X140" si="79">X139</f>
        <v>102.922</v>
      </c>
      <c r="Y140" s="20"/>
      <c r="Z140" s="20">
        <v>0</v>
      </c>
      <c r="AA140" s="20">
        <v>0</v>
      </c>
      <c r="AB140" s="20">
        <v>0</v>
      </c>
      <c r="AC140" s="20"/>
      <c r="AD140" s="20"/>
      <c r="AE140" s="20"/>
      <c r="AH140" t="s">
        <v>102</v>
      </c>
      <c r="AI140">
        <v>1</v>
      </c>
      <c r="AJ140" t="s">
        <v>7</v>
      </c>
      <c r="AK140">
        <v>26080</v>
      </c>
      <c r="AL140">
        <v>160</v>
      </c>
      <c r="AM140">
        <v>2</v>
      </c>
      <c r="AN140" s="41">
        <v>8</v>
      </c>
      <c r="AO140" s="1">
        <v>157.08000000000001</v>
      </c>
      <c r="AP140" s="20">
        <v>75.290000000000006</v>
      </c>
      <c r="AQ140" s="23">
        <v>45544</v>
      </c>
      <c r="AR140" s="44">
        <v>0.50902777777777775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 s="69"/>
      <c r="BF140" s="20">
        <f>BE139</f>
        <v>75.514600000000002</v>
      </c>
    </row>
    <row r="141" spans="1:58">
      <c r="A141" t="s">
        <v>102</v>
      </c>
      <c r="B141">
        <v>2</v>
      </c>
      <c r="C141" t="s">
        <v>7</v>
      </c>
      <c r="D141">
        <v>52000</v>
      </c>
      <c r="E141">
        <v>160</v>
      </c>
      <c r="F141">
        <v>2</v>
      </c>
      <c r="G141">
        <v>8</v>
      </c>
      <c r="H141">
        <v>908.07</v>
      </c>
      <c r="I141" s="49">
        <v>103.23</v>
      </c>
      <c r="J141" s="23">
        <v>45545</v>
      </c>
      <c r="K141" s="46">
        <v>3.7349537037037035E-2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s="51">
        <f t="shared" si="43"/>
        <v>102.922</v>
      </c>
      <c r="Y141" s="20"/>
      <c r="Z141" s="20">
        <v>0</v>
      </c>
      <c r="AA141" s="20">
        <v>0</v>
      </c>
      <c r="AB141" s="20">
        <v>0</v>
      </c>
      <c r="AC141" s="20"/>
      <c r="AD141" s="20"/>
      <c r="AE141" s="20"/>
      <c r="AH141" t="s">
        <v>102</v>
      </c>
      <c r="AI141">
        <v>2</v>
      </c>
      <c r="AJ141" t="s">
        <v>7</v>
      </c>
      <c r="AK141">
        <v>26080</v>
      </c>
      <c r="AL141">
        <v>160</v>
      </c>
      <c r="AM141">
        <v>2</v>
      </c>
      <c r="AN141" s="41">
        <v>8</v>
      </c>
      <c r="AO141" s="1">
        <v>158.69</v>
      </c>
      <c r="AP141" s="20">
        <v>74.528999999999996</v>
      </c>
      <c r="AQ141" s="23">
        <v>45544</v>
      </c>
      <c r="AR141" s="44">
        <v>0.51106481481481481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 s="69"/>
      <c r="BF141" s="20">
        <f>BE139</f>
        <v>75.514600000000002</v>
      </c>
    </row>
    <row r="142" spans="1:58">
      <c r="A142" t="s">
        <v>102</v>
      </c>
      <c r="B142">
        <v>3</v>
      </c>
      <c r="C142" t="s">
        <v>7</v>
      </c>
      <c r="D142">
        <v>52000</v>
      </c>
      <c r="E142">
        <v>160</v>
      </c>
      <c r="F142">
        <v>2</v>
      </c>
      <c r="G142">
        <v>8</v>
      </c>
      <c r="H142">
        <v>910.91</v>
      </c>
      <c r="I142" s="49">
        <v>102.91</v>
      </c>
      <c r="J142" s="23">
        <v>45545</v>
      </c>
      <c r="K142" s="46">
        <v>4.8564814814814818E-2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s="51">
        <f t="shared" si="43"/>
        <v>102.922</v>
      </c>
      <c r="Y142" s="20"/>
      <c r="Z142" s="20">
        <v>0</v>
      </c>
      <c r="AA142" s="20">
        <v>0</v>
      </c>
      <c r="AB142" s="20">
        <v>0</v>
      </c>
      <c r="AC142" s="20"/>
      <c r="AD142" s="20"/>
      <c r="AE142" s="20"/>
      <c r="AH142" t="s">
        <v>102</v>
      </c>
      <c r="AI142">
        <v>3</v>
      </c>
      <c r="AJ142" t="s">
        <v>7</v>
      </c>
      <c r="AK142">
        <v>26080</v>
      </c>
      <c r="AL142">
        <v>160</v>
      </c>
      <c r="AM142">
        <v>2</v>
      </c>
      <c r="AN142" s="41">
        <v>8</v>
      </c>
      <c r="AO142" s="1">
        <v>155.35</v>
      </c>
      <c r="AP142" s="20">
        <v>76.132000000000005</v>
      </c>
      <c r="AQ142" s="23">
        <v>45544</v>
      </c>
      <c r="AR142" s="44">
        <v>0.5130555555555556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 s="69"/>
      <c r="BF142" s="20">
        <f>BE139</f>
        <v>75.514600000000002</v>
      </c>
    </row>
    <row r="143" spans="1:58">
      <c r="A143" t="s">
        <v>102</v>
      </c>
      <c r="B143">
        <v>4</v>
      </c>
      <c r="C143" t="s">
        <v>7</v>
      </c>
      <c r="D143">
        <v>52000</v>
      </c>
      <c r="E143">
        <v>160</v>
      </c>
      <c r="F143">
        <v>2</v>
      </c>
      <c r="G143">
        <v>8</v>
      </c>
      <c r="H143">
        <v>907.8</v>
      </c>
      <c r="I143" s="49">
        <v>103.26</v>
      </c>
      <c r="J143" s="23">
        <v>45545</v>
      </c>
      <c r="K143" s="46">
        <v>5.9756944444444446E-2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 s="51">
        <f t="shared" si="43"/>
        <v>102.922</v>
      </c>
      <c r="Y143" s="20"/>
      <c r="Z143" s="20">
        <v>0</v>
      </c>
      <c r="AA143" s="20">
        <v>0</v>
      </c>
      <c r="AB143" s="20">
        <v>0</v>
      </c>
      <c r="AC143" s="20"/>
      <c r="AD143" s="20"/>
      <c r="AE143" s="20"/>
      <c r="AH143" t="s">
        <v>102</v>
      </c>
      <c r="AI143">
        <v>4</v>
      </c>
      <c r="AJ143" t="s">
        <v>7</v>
      </c>
      <c r="AK143">
        <v>26080</v>
      </c>
      <c r="AL143">
        <v>160</v>
      </c>
      <c r="AM143">
        <v>2</v>
      </c>
      <c r="AN143" s="41">
        <v>8</v>
      </c>
      <c r="AO143" s="1">
        <v>156.49</v>
      </c>
      <c r="AP143" s="20">
        <v>75.573999999999998</v>
      </c>
      <c r="AQ143" s="23">
        <v>45544</v>
      </c>
      <c r="AR143" s="44">
        <v>0.51506944444444447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 s="70"/>
      <c r="BF143" s="20">
        <f>BE139</f>
        <v>75.514600000000002</v>
      </c>
    </row>
    <row r="144" spans="1:58">
      <c r="Z144">
        <v>0</v>
      </c>
      <c r="AA144">
        <v>0</v>
      </c>
      <c r="AB144">
        <v>0</v>
      </c>
    </row>
    <row r="145" spans="26:28">
      <c r="Z145">
        <v>0</v>
      </c>
      <c r="AA145">
        <v>0</v>
      </c>
      <c r="AB145">
        <v>0</v>
      </c>
    </row>
    <row r="146" spans="26:28">
      <c r="Z146">
        <v>0</v>
      </c>
      <c r="AA146">
        <v>0</v>
      </c>
      <c r="AB146">
        <v>0</v>
      </c>
    </row>
    <row r="147" spans="26:28">
      <c r="Z147">
        <v>0</v>
      </c>
      <c r="AA147">
        <v>0</v>
      </c>
      <c r="AB147">
        <v>0</v>
      </c>
    </row>
    <row r="148" spans="26:28">
      <c r="Z148">
        <v>0</v>
      </c>
      <c r="AA148">
        <v>0</v>
      </c>
      <c r="AB148">
        <v>0</v>
      </c>
    </row>
    <row r="149" spans="26:28">
      <c r="Z149">
        <v>0</v>
      </c>
      <c r="AA149">
        <v>0</v>
      </c>
      <c r="AB149">
        <v>0</v>
      </c>
    </row>
    <row r="150" spans="26:28">
      <c r="Z150">
        <v>0</v>
      </c>
      <c r="AA150">
        <v>0</v>
      </c>
      <c r="AB150">
        <v>0</v>
      </c>
    </row>
    <row r="151" spans="26:28">
      <c r="Z151">
        <v>0</v>
      </c>
      <c r="AA151">
        <v>0</v>
      </c>
      <c r="AB151">
        <v>0</v>
      </c>
    </row>
    <row r="152" spans="26:28">
      <c r="Z152">
        <v>0</v>
      </c>
      <c r="AA152">
        <v>0</v>
      </c>
      <c r="AB152">
        <v>0</v>
      </c>
    </row>
    <row r="153" spans="26:28">
      <c r="Z153">
        <v>0</v>
      </c>
      <c r="AA153">
        <v>0</v>
      </c>
      <c r="AB153">
        <v>0</v>
      </c>
    </row>
    <row r="154" spans="26:28">
      <c r="Z154">
        <v>0</v>
      </c>
      <c r="AA154">
        <v>0</v>
      </c>
      <c r="AB154">
        <v>0</v>
      </c>
    </row>
    <row r="155" spans="26:28">
      <c r="Z155">
        <v>0</v>
      </c>
      <c r="AA155">
        <v>0</v>
      </c>
      <c r="AB155">
        <v>0</v>
      </c>
    </row>
    <row r="156" spans="26:28">
      <c r="Z156">
        <v>0</v>
      </c>
      <c r="AA156">
        <v>0</v>
      </c>
      <c r="AB156">
        <v>0</v>
      </c>
    </row>
    <row r="157" spans="26:28">
      <c r="Z157">
        <v>0</v>
      </c>
      <c r="AA157">
        <v>0</v>
      </c>
      <c r="AB157">
        <v>0</v>
      </c>
    </row>
    <row r="158" spans="26:28">
      <c r="Z158">
        <v>0</v>
      </c>
      <c r="AA158">
        <v>0</v>
      </c>
      <c r="AB158">
        <v>0</v>
      </c>
    </row>
    <row r="159" spans="26:28">
      <c r="Z159">
        <v>0</v>
      </c>
      <c r="AA159">
        <v>0</v>
      </c>
      <c r="AB159">
        <v>0</v>
      </c>
    </row>
    <row r="160" spans="26:28">
      <c r="Z160">
        <v>0</v>
      </c>
      <c r="AA160">
        <v>0</v>
      </c>
      <c r="AB160">
        <v>0</v>
      </c>
    </row>
    <row r="161" spans="26:28">
      <c r="Z161">
        <v>0</v>
      </c>
      <c r="AA161">
        <v>0</v>
      </c>
      <c r="AB161">
        <v>0</v>
      </c>
    </row>
    <row r="162" spans="26:28">
      <c r="Z162">
        <v>0</v>
      </c>
      <c r="AA162">
        <v>0</v>
      </c>
      <c r="AB162">
        <v>0</v>
      </c>
    </row>
    <row r="163" spans="26:28">
      <c r="Z163">
        <v>0</v>
      </c>
      <c r="AA163">
        <v>0</v>
      </c>
      <c r="AB163">
        <v>0</v>
      </c>
    </row>
    <row r="164" spans="26:28">
      <c r="Z164">
        <v>0</v>
      </c>
      <c r="AA164">
        <v>0</v>
      </c>
      <c r="AB164">
        <v>0</v>
      </c>
    </row>
    <row r="165" spans="26:28">
      <c r="Z165">
        <v>0</v>
      </c>
      <c r="AA165">
        <v>0</v>
      </c>
      <c r="AB165">
        <v>0</v>
      </c>
    </row>
    <row r="166" spans="26:28">
      <c r="Z166">
        <v>0</v>
      </c>
      <c r="AA166">
        <v>0</v>
      </c>
      <c r="AB166">
        <v>0</v>
      </c>
    </row>
    <row r="167" spans="26:28">
      <c r="Z167">
        <v>0</v>
      </c>
      <c r="AA167">
        <v>0</v>
      </c>
      <c r="AB167">
        <v>0</v>
      </c>
    </row>
    <row r="168" spans="26:28">
      <c r="Z168">
        <v>0</v>
      </c>
      <c r="AA168">
        <v>0</v>
      </c>
      <c r="AB168">
        <v>0</v>
      </c>
    </row>
    <row r="169" spans="26:28">
      <c r="Z169">
        <v>0</v>
      </c>
      <c r="AA169">
        <v>0</v>
      </c>
      <c r="AB169">
        <v>0</v>
      </c>
    </row>
    <row r="170" spans="26:28">
      <c r="Z170">
        <v>0</v>
      </c>
      <c r="AA170">
        <v>0</v>
      </c>
      <c r="AB170">
        <v>0</v>
      </c>
    </row>
    <row r="171" spans="26:28">
      <c r="Z171">
        <v>0</v>
      </c>
      <c r="AA171">
        <v>0</v>
      </c>
      <c r="AB171">
        <v>0</v>
      </c>
    </row>
    <row r="172" spans="26:28">
      <c r="Z172">
        <v>0</v>
      </c>
      <c r="AA172">
        <v>0</v>
      </c>
      <c r="AB172">
        <v>0</v>
      </c>
    </row>
    <row r="173" spans="26:28">
      <c r="Z173">
        <v>0</v>
      </c>
      <c r="AA173">
        <v>0</v>
      </c>
      <c r="AB173">
        <v>0</v>
      </c>
    </row>
    <row r="174" spans="26:28">
      <c r="Z174">
        <v>0</v>
      </c>
      <c r="AA174">
        <v>0</v>
      </c>
      <c r="AB174">
        <v>0</v>
      </c>
    </row>
    <row r="175" spans="26:28">
      <c r="Z175">
        <v>0</v>
      </c>
      <c r="AA175">
        <v>0</v>
      </c>
      <c r="AB175">
        <v>0</v>
      </c>
    </row>
    <row r="176" spans="26:28">
      <c r="Z176">
        <v>0</v>
      </c>
      <c r="AA176">
        <v>0</v>
      </c>
      <c r="AB176">
        <v>0</v>
      </c>
    </row>
    <row r="177" spans="26:28">
      <c r="Z177">
        <v>0</v>
      </c>
      <c r="AA177">
        <v>0</v>
      </c>
      <c r="AB177">
        <v>0</v>
      </c>
    </row>
    <row r="178" spans="26:28">
      <c r="Z178">
        <v>0</v>
      </c>
      <c r="AA178">
        <v>0</v>
      </c>
      <c r="AB178">
        <v>0</v>
      </c>
    </row>
    <row r="179" spans="26:28">
      <c r="Z179">
        <v>0</v>
      </c>
      <c r="AA179">
        <v>0</v>
      </c>
      <c r="AB179">
        <v>0</v>
      </c>
    </row>
    <row r="180" spans="26:28">
      <c r="Z180">
        <v>0</v>
      </c>
      <c r="AA180">
        <v>0</v>
      </c>
      <c r="AB180">
        <v>0</v>
      </c>
    </row>
    <row r="181" spans="26:28">
      <c r="Z181">
        <v>0</v>
      </c>
      <c r="AA181">
        <v>0</v>
      </c>
      <c r="AB181">
        <v>0</v>
      </c>
    </row>
    <row r="182" spans="26:28">
      <c r="Z182">
        <v>0</v>
      </c>
      <c r="AA182">
        <v>0</v>
      </c>
      <c r="AB182">
        <v>0</v>
      </c>
    </row>
    <row r="183" spans="26:28">
      <c r="Z183">
        <v>0</v>
      </c>
      <c r="AA183">
        <v>0</v>
      </c>
      <c r="AB183">
        <v>0</v>
      </c>
    </row>
    <row r="184" spans="26:28">
      <c r="Z184">
        <v>0</v>
      </c>
      <c r="AA184">
        <v>0</v>
      </c>
      <c r="AB184">
        <v>0</v>
      </c>
    </row>
    <row r="185" spans="26:28">
      <c r="Z185">
        <v>0</v>
      </c>
      <c r="AA185">
        <v>0</v>
      </c>
      <c r="AB185">
        <v>0</v>
      </c>
    </row>
    <row r="186" spans="26:28">
      <c r="Z186">
        <v>0</v>
      </c>
      <c r="AA186">
        <v>0</v>
      </c>
      <c r="AB186">
        <v>0</v>
      </c>
    </row>
    <row r="187" spans="26:28">
      <c r="Z187">
        <v>0</v>
      </c>
      <c r="AA187">
        <v>0</v>
      </c>
      <c r="AB187">
        <v>0</v>
      </c>
    </row>
    <row r="188" spans="26:28">
      <c r="Z188">
        <v>0</v>
      </c>
      <c r="AA188">
        <v>0</v>
      </c>
      <c r="AB188">
        <v>0</v>
      </c>
    </row>
    <row r="189" spans="26:28">
      <c r="Z189">
        <v>0</v>
      </c>
      <c r="AA189">
        <v>0</v>
      </c>
      <c r="AB189">
        <v>0</v>
      </c>
    </row>
    <row r="190" spans="26:28">
      <c r="Z190">
        <v>0</v>
      </c>
      <c r="AA190">
        <v>0</v>
      </c>
      <c r="AB190">
        <v>0</v>
      </c>
    </row>
    <row r="191" spans="26:28">
      <c r="Z191">
        <v>0</v>
      </c>
      <c r="AA191">
        <v>0</v>
      </c>
      <c r="AB191">
        <v>0</v>
      </c>
    </row>
    <row r="192" spans="26:28">
      <c r="Z192">
        <v>0</v>
      </c>
      <c r="AA192">
        <v>0</v>
      </c>
      <c r="AB192">
        <v>0</v>
      </c>
    </row>
    <row r="193" spans="26:28">
      <c r="Z193">
        <v>0</v>
      </c>
      <c r="AA193">
        <v>0</v>
      </c>
      <c r="AB193">
        <v>0</v>
      </c>
    </row>
    <row r="194" spans="26:28">
      <c r="Z194">
        <v>0</v>
      </c>
      <c r="AA194">
        <v>0</v>
      </c>
      <c r="AB194">
        <v>0</v>
      </c>
    </row>
    <row r="195" spans="26:28">
      <c r="Z195">
        <v>0</v>
      </c>
      <c r="AA195">
        <v>0</v>
      </c>
      <c r="AB195">
        <v>0</v>
      </c>
    </row>
    <row r="196" spans="26:28">
      <c r="Z196">
        <v>0</v>
      </c>
      <c r="AA196">
        <v>0</v>
      </c>
      <c r="AB196">
        <v>0</v>
      </c>
    </row>
    <row r="197" spans="26:28">
      <c r="Z197">
        <v>0</v>
      </c>
      <c r="AA197">
        <v>0</v>
      </c>
      <c r="AB197">
        <v>0</v>
      </c>
    </row>
    <row r="198" spans="26:28">
      <c r="Z198">
        <v>0</v>
      </c>
      <c r="AA198">
        <v>0</v>
      </c>
      <c r="AB198">
        <v>0</v>
      </c>
    </row>
    <row r="199" spans="26:28">
      <c r="Z199">
        <v>0</v>
      </c>
      <c r="AA199">
        <v>0</v>
      </c>
      <c r="AB199">
        <v>0</v>
      </c>
    </row>
    <row r="200" spans="26:28">
      <c r="Z200">
        <v>0</v>
      </c>
      <c r="AA200">
        <v>0</v>
      </c>
      <c r="AB200">
        <v>0</v>
      </c>
    </row>
    <row r="201" spans="26:28">
      <c r="Z201">
        <v>0</v>
      </c>
      <c r="AA201">
        <v>0</v>
      </c>
      <c r="AB201">
        <v>0</v>
      </c>
    </row>
    <row r="202" spans="26:28">
      <c r="Z202">
        <v>0</v>
      </c>
      <c r="AA202">
        <v>0</v>
      </c>
      <c r="AB202">
        <v>0</v>
      </c>
    </row>
    <row r="203" spans="26:28">
      <c r="Z203">
        <v>0</v>
      </c>
      <c r="AA203">
        <v>0</v>
      </c>
      <c r="AB203">
        <v>0</v>
      </c>
    </row>
    <row r="204" spans="26:28">
      <c r="Z204">
        <v>0</v>
      </c>
      <c r="AA204">
        <v>0</v>
      </c>
      <c r="AB204">
        <v>0</v>
      </c>
    </row>
    <row r="205" spans="26:28">
      <c r="Z205">
        <v>0</v>
      </c>
      <c r="AA205">
        <v>0</v>
      </c>
      <c r="AB205">
        <v>0</v>
      </c>
    </row>
    <row r="206" spans="26:28">
      <c r="Z206">
        <v>0</v>
      </c>
      <c r="AA206">
        <v>0</v>
      </c>
      <c r="AB206">
        <v>0</v>
      </c>
    </row>
    <row r="207" spans="26:28">
      <c r="Z207">
        <v>0</v>
      </c>
      <c r="AA207">
        <v>0</v>
      </c>
      <c r="AB207">
        <v>0</v>
      </c>
    </row>
    <row r="208" spans="26:28">
      <c r="Z208">
        <v>0</v>
      </c>
      <c r="AA208">
        <v>0</v>
      </c>
      <c r="AB208">
        <v>0</v>
      </c>
    </row>
    <row r="209" spans="26:28">
      <c r="Z209">
        <v>0</v>
      </c>
      <c r="AA209">
        <v>0</v>
      </c>
      <c r="AB209">
        <v>0</v>
      </c>
    </row>
    <row r="210" spans="26:28">
      <c r="Z210">
        <v>0</v>
      </c>
      <c r="AA210">
        <v>0</v>
      </c>
      <c r="AB210">
        <v>0</v>
      </c>
    </row>
    <row r="211" spans="26:28">
      <c r="Z211">
        <v>0</v>
      </c>
      <c r="AA211">
        <v>0</v>
      </c>
      <c r="AB211">
        <v>0</v>
      </c>
    </row>
    <row r="212" spans="26:28">
      <c r="Z212">
        <v>0</v>
      </c>
      <c r="AA212">
        <v>0</v>
      </c>
      <c r="AB212">
        <v>0</v>
      </c>
    </row>
    <row r="213" spans="26:28">
      <c r="Z213">
        <v>0</v>
      </c>
      <c r="AA213">
        <v>0</v>
      </c>
      <c r="AB213">
        <v>0</v>
      </c>
    </row>
    <row r="214" spans="26:28">
      <c r="Z214">
        <v>0</v>
      </c>
      <c r="AA214">
        <v>0</v>
      </c>
      <c r="AB214">
        <v>0</v>
      </c>
    </row>
    <row r="215" spans="26:28">
      <c r="Z215">
        <v>0</v>
      </c>
      <c r="AA215">
        <v>0</v>
      </c>
      <c r="AB215">
        <v>0</v>
      </c>
    </row>
    <row r="216" spans="26:28">
      <c r="Z216">
        <v>0</v>
      </c>
      <c r="AA216">
        <v>0</v>
      </c>
      <c r="AB216">
        <v>0</v>
      </c>
    </row>
    <row r="217" spans="26:28">
      <c r="Z217">
        <v>0</v>
      </c>
      <c r="AA217">
        <v>0</v>
      </c>
      <c r="AB217">
        <v>0</v>
      </c>
    </row>
    <row r="218" spans="26:28">
      <c r="Z218">
        <v>0</v>
      </c>
      <c r="AA218">
        <v>0</v>
      </c>
      <c r="AB218">
        <v>0</v>
      </c>
    </row>
    <row r="219" spans="26:28">
      <c r="Z219">
        <v>0</v>
      </c>
      <c r="AA219">
        <v>0</v>
      </c>
      <c r="AB219">
        <v>0</v>
      </c>
    </row>
    <row r="220" spans="26:28">
      <c r="Z220">
        <v>0</v>
      </c>
      <c r="AA220">
        <v>0</v>
      </c>
      <c r="AB220">
        <v>0</v>
      </c>
    </row>
    <row r="221" spans="26:28">
      <c r="Z221">
        <v>0</v>
      </c>
      <c r="AA221">
        <v>0</v>
      </c>
      <c r="AB221">
        <v>0</v>
      </c>
    </row>
    <row r="222" spans="26:28">
      <c r="Z222">
        <v>0</v>
      </c>
      <c r="AA222">
        <v>0</v>
      </c>
      <c r="AB222">
        <v>0</v>
      </c>
    </row>
    <row r="223" spans="26:28">
      <c r="Z223">
        <v>0</v>
      </c>
      <c r="AA223">
        <v>0</v>
      </c>
      <c r="AB223">
        <v>0</v>
      </c>
    </row>
    <row r="224" spans="26:28">
      <c r="Z224">
        <v>0</v>
      </c>
      <c r="AA224">
        <v>0</v>
      </c>
      <c r="AB224">
        <v>0</v>
      </c>
    </row>
    <row r="225" spans="26:28">
      <c r="Z225">
        <v>0</v>
      </c>
      <c r="AA225">
        <v>0</v>
      </c>
      <c r="AB225">
        <v>0</v>
      </c>
    </row>
    <row r="226" spans="26:28">
      <c r="Z226">
        <v>0</v>
      </c>
      <c r="AA226">
        <v>0</v>
      </c>
      <c r="AB226">
        <v>0</v>
      </c>
    </row>
    <row r="227" spans="26:28">
      <c r="Z227">
        <v>0</v>
      </c>
      <c r="AA227">
        <v>0</v>
      </c>
      <c r="AB227">
        <v>0</v>
      </c>
    </row>
    <row r="228" spans="26:28">
      <c r="Z228">
        <v>0</v>
      </c>
      <c r="AA228">
        <v>0</v>
      </c>
      <c r="AB228">
        <v>0</v>
      </c>
    </row>
    <row r="229" spans="26:28">
      <c r="Z229">
        <v>0</v>
      </c>
      <c r="AA229">
        <v>0</v>
      </c>
      <c r="AB229">
        <v>0</v>
      </c>
    </row>
    <row r="230" spans="26:28">
      <c r="Z230">
        <v>0</v>
      </c>
      <c r="AA230">
        <v>0</v>
      </c>
      <c r="AB230">
        <v>0</v>
      </c>
    </row>
    <row r="231" spans="26:28">
      <c r="Z231">
        <v>0</v>
      </c>
      <c r="AA231">
        <v>0</v>
      </c>
      <c r="AB231">
        <v>0</v>
      </c>
    </row>
    <row r="232" spans="26:28">
      <c r="Z232">
        <v>0</v>
      </c>
      <c r="AA232">
        <v>0</v>
      </c>
      <c r="AB232">
        <v>0</v>
      </c>
    </row>
    <row r="233" spans="26:28">
      <c r="Z233">
        <v>0</v>
      </c>
      <c r="AA233">
        <v>0</v>
      </c>
      <c r="AB233">
        <v>0</v>
      </c>
    </row>
    <row r="234" spans="26:28">
      <c r="Z234">
        <v>0</v>
      </c>
      <c r="AA234">
        <v>0</v>
      </c>
      <c r="AB234">
        <v>0</v>
      </c>
    </row>
    <row r="235" spans="26:28">
      <c r="Z235">
        <v>0</v>
      </c>
      <c r="AA235">
        <v>0</v>
      </c>
      <c r="AB235">
        <v>0</v>
      </c>
    </row>
    <row r="236" spans="26:28">
      <c r="Z236">
        <v>0</v>
      </c>
      <c r="AA236">
        <v>0</v>
      </c>
      <c r="AB236">
        <v>0</v>
      </c>
    </row>
    <row r="237" spans="26:28">
      <c r="Z237">
        <v>0</v>
      </c>
      <c r="AA237">
        <v>0</v>
      </c>
      <c r="AB237">
        <v>0</v>
      </c>
    </row>
    <row r="238" spans="26:28">
      <c r="Z238">
        <v>0</v>
      </c>
      <c r="AA238">
        <v>0</v>
      </c>
      <c r="AB238">
        <v>0</v>
      </c>
    </row>
    <row r="239" spans="26:28">
      <c r="Z239">
        <v>0</v>
      </c>
      <c r="AA239">
        <v>0</v>
      </c>
      <c r="AB239">
        <v>0</v>
      </c>
    </row>
    <row r="240" spans="26:28">
      <c r="Z240">
        <v>0</v>
      </c>
      <c r="AA240">
        <v>0</v>
      </c>
      <c r="AB240">
        <v>0</v>
      </c>
    </row>
    <row r="241" spans="26:28">
      <c r="Z241">
        <v>0</v>
      </c>
      <c r="AA241">
        <v>0</v>
      </c>
      <c r="AB241">
        <v>0</v>
      </c>
    </row>
    <row r="242" spans="26:28">
      <c r="Z242">
        <v>0</v>
      </c>
      <c r="AA242">
        <v>0</v>
      </c>
      <c r="AB242">
        <v>0</v>
      </c>
    </row>
    <row r="243" spans="26:28">
      <c r="Z243">
        <v>0</v>
      </c>
      <c r="AA243">
        <v>0</v>
      </c>
      <c r="AB243">
        <v>0</v>
      </c>
    </row>
    <row r="244" spans="26:28">
      <c r="Z244">
        <v>0</v>
      </c>
      <c r="AA244">
        <v>0</v>
      </c>
      <c r="AB244">
        <v>0</v>
      </c>
    </row>
    <row r="245" spans="26:28">
      <c r="Z245">
        <v>0</v>
      </c>
      <c r="AA245">
        <v>0</v>
      </c>
      <c r="AB245">
        <v>0</v>
      </c>
    </row>
    <row r="246" spans="26:28">
      <c r="Z246">
        <v>0</v>
      </c>
      <c r="AA246">
        <v>0</v>
      </c>
      <c r="AB246">
        <v>0</v>
      </c>
    </row>
    <row r="247" spans="26:28">
      <c r="Z247">
        <v>0</v>
      </c>
      <c r="AA247">
        <v>0</v>
      </c>
      <c r="AB247">
        <v>0</v>
      </c>
    </row>
    <row r="248" spans="26:28">
      <c r="Z248">
        <v>0</v>
      </c>
      <c r="AA248">
        <v>0</v>
      </c>
      <c r="AB248">
        <v>0</v>
      </c>
    </row>
    <row r="249" spans="26:28">
      <c r="Z249">
        <v>0</v>
      </c>
      <c r="AA249">
        <v>0</v>
      </c>
      <c r="AB249">
        <v>0</v>
      </c>
    </row>
    <row r="250" spans="26:28">
      <c r="Z250">
        <v>0</v>
      </c>
      <c r="AA250">
        <v>0</v>
      </c>
      <c r="AB250">
        <v>0</v>
      </c>
    </row>
    <row r="251" spans="26:28">
      <c r="Z251">
        <v>0</v>
      </c>
      <c r="AA251">
        <v>0</v>
      </c>
      <c r="AB251">
        <v>0</v>
      </c>
    </row>
    <row r="252" spans="26:28">
      <c r="Z252">
        <v>0</v>
      </c>
      <c r="AA252">
        <v>0</v>
      </c>
      <c r="AB252">
        <v>0</v>
      </c>
    </row>
    <row r="253" spans="26:28">
      <c r="Z253">
        <v>0</v>
      </c>
      <c r="AA253">
        <v>0</v>
      </c>
      <c r="AB253">
        <v>0</v>
      </c>
    </row>
    <row r="254" spans="26:28">
      <c r="Z254">
        <v>0</v>
      </c>
      <c r="AA254">
        <v>0</v>
      </c>
      <c r="AB254">
        <v>0</v>
      </c>
    </row>
    <row r="255" spans="26:28">
      <c r="Z255">
        <v>0</v>
      </c>
      <c r="AA255">
        <v>0</v>
      </c>
      <c r="AB255">
        <v>0</v>
      </c>
    </row>
    <row r="256" spans="26:28">
      <c r="Z256">
        <v>0</v>
      </c>
      <c r="AA256">
        <v>0</v>
      </c>
      <c r="AB256">
        <v>0</v>
      </c>
    </row>
    <row r="257" spans="26:28">
      <c r="Z257">
        <v>0</v>
      </c>
      <c r="AA257">
        <v>0</v>
      </c>
      <c r="AB257">
        <v>0</v>
      </c>
    </row>
    <row r="258" spans="26:28">
      <c r="Z258">
        <v>0</v>
      </c>
      <c r="AA258">
        <v>0</v>
      </c>
      <c r="AB258">
        <v>0</v>
      </c>
    </row>
    <row r="259" spans="26:28">
      <c r="Z259">
        <v>0</v>
      </c>
      <c r="AA259">
        <v>0</v>
      </c>
      <c r="AB259">
        <v>0</v>
      </c>
    </row>
    <row r="260" spans="26:28">
      <c r="Z260">
        <v>0</v>
      </c>
      <c r="AA260">
        <v>0</v>
      </c>
      <c r="AB260">
        <v>0</v>
      </c>
    </row>
    <row r="261" spans="26:28">
      <c r="Z261">
        <v>0</v>
      </c>
      <c r="AA261">
        <v>0</v>
      </c>
      <c r="AB261">
        <v>0</v>
      </c>
    </row>
    <row r="262" spans="26:28">
      <c r="Z262">
        <v>0</v>
      </c>
      <c r="AA262">
        <v>0</v>
      </c>
      <c r="AB262">
        <v>0</v>
      </c>
    </row>
    <row r="263" spans="26:28">
      <c r="Z263">
        <v>0</v>
      </c>
      <c r="AA263">
        <v>0</v>
      </c>
      <c r="AB263">
        <v>0</v>
      </c>
    </row>
    <row r="264" spans="26:28">
      <c r="Z264">
        <v>0</v>
      </c>
      <c r="AA264">
        <v>0</v>
      </c>
      <c r="AB264">
        <v>0</v>
      </c>
    </row>
    <row r="265" spans="26:28">
      <c r="Z265">
        <v>0</v>
      </c>
      <c r="AA265">
        <v>0</v>
      </c>
      <c r="AB265">
        <v>0</v>
      </c>
    </row>
    <row r="266" spans="26:28">
      <c r="Z266">
        <v>0</v>
      </c>
      <c r="AA266">
        <v>0</v>
      </c>
      <c r="AB266">
        <v>0</v>
      </c>
    </row>
    <row r="267" spans="26:28">
      <c r="Z267">
        <v>0</v>
      </c>
      <c r="AA267">
        <v>0</v>
      </c>
      <c r="AB267">
        <v>0</v>
      </c>
    </row>
    <row r="268" spans="26:28">
      <c r="Z268">
        <v>0</v>
      </c>
      <c r="AA268">
        <v>0</v>
      </c>
      <c r="AB268">
        <v>0</v>
      </c>
    </row>
    <row r="269" spans="26:28">
      <c r="Z269">
        <v>0</v>
      </c>
      <c r="AA269">
        <v>0</v>
      </c>
      <c r="AB269">
        <v>0</v>
      </c>
    </row>
    <row r="270" spans="26:28">
      <c r="Z270">
        <v>0</v>
      </c>
      <c r="AA270">
        <v>0</v>
      </c>
      <c r="AB270">
        <v>0</v>
      </c>
    </row>
    <row r="271" spans="26:28">
      <c r="Z271">
        <v>0</v>
      </c>
      <c r="AA271">
        <v>0</v>
      </c>
      <c r="AB271">
        <v>0</v>
      </c>
    </row>
    <row r="272" spans="26:28">
      <c r="Z272">
        <v>0</v>
      </c>
      <c r="AA272">
        <v>0</v>
      </c>
      <c r="AB272">
        <v>0</v>
      </c>
    </row>
    <row r="273" spans="26:28">
      <c r="Z273">
        <v>0</v>
      </c>
      <c r="AA273">
        <v>0</v>
      </c>
      <c r="AB273">
        <v>0</v>
      </c>
    </row>
    <row r="274" spans="26:28">
      <c r="Z274">
        <v>0</v>
      </c>
      <c r="AA274">
        <v>0</v>
      </c>
      <c r="AB274">
        <v>0</v>
      </c>
    </row>
    <row r="275" spans="26:28">
      <c r="Z275">
        <v>0</v>
      </c>
      <c r="AA275">
        <v>0</v>
      </c>
      <c r="AB275">
        <v>0</v>
      </c>
    </row>
    <row r="276" spans="26:28">
      <c r="Z276">
        <v>0</v>
      </c>
      <c r="AA276">
        <v>0</v>
      </c>
      <c r="AB276">
        <v>0</v>
      </c>
    </row>
    <row r="277" spans="26:28">
      <c r="Z277">
        <v>0</v>
      </c>
      <c r="AA277">
        <v>0</v>
      </c>
      <c r="AB277">
        <v>0</v>
      </c>
    </row>
    <row r="278" spans="26:28">
      <c r="Z278">
        <v>0</v>
      </c>
      <c r="AA278">
        <v>0</v>
      </c>
      <c r="AB278">
        <v>0</v>
      </c>
    </row>
    <row r="279" spans="26:28">
      <c r="Z279">
        <v>0</v>
      </c>
      <c r="AA279">
        <v>0</v>
      </c>
      <c r="AB279">
        <v>0</v>
      </c>
    </row>
    <row r="280" spans="26:28">
      <c r="Z280">
        <v>0</v>
      </c>
      <c r="AA280">
        <v>0</v>
      </c>
      <c r="AB280">
        <v>0</v>
      </c>
    </row>
    <row r="281" spans="26:28">
      <c r="Z281">
        <v>0</v>
      </c>
      <c r="AA281">
        <v>0</v>
      </c>
      <c r="AB281">
        <v>0</v>
      </c>
    </row>
    <row r="282" spans="26:28">
      <c r="Z282">
        <v>0</v>
      </c>
      <c r="AA282">
        <v>0</v>
      </c>
      <c r="AB282">
        <v>0</v>
      </c>
    </row>
    <row r="283" spans="26:28">
      <c r="Z283">
        <v>0</v>
      </c>
      <c r="AA283">
        <v>0</v>
      </c>
      <c r="AB283">
        <v>0</v>
      </c>
    </row>
    <row r="284" spans="26:28">
      <c r="Z284">
        <v>0</v>
      </c>
      <c r="AA284">
        <v>0</v>
      </c>
      <c r="AB284">
        <v>0</v>
      </c>
    </row>
    <row r="285" spans="26:28">
      <c r="Z285">
        <v>0</v>
      </c>
      <c r="AA285">
        <v>0</v>
      </c>
      <c r="AB285">
        <v>0</v>
      </c>
    </row>
    <row r="286" spans="26:28">
      <c r="Z286">
        <v>0</v>
      </c>
      <c r="AA286">
        <v>0</v>
      </c>
      <c r="AB286">
        <v>0</v>
      </c>
    </row>
    <row r="287" spans="26:28">
      <c r="Z287">
        <v>0</v>
      </c>
      <c r="AA287">
        <v>0</v>
      </c>
      <c r="AB287">
        <v>0</v>
      </c>
    </row>
    <row r="288" spans="26:28">
      <c r="Z288">
        <v>0</v>
      </c>
      <c r="AA288">
        <v>0</v>
      </c>
      <c r="AB288">
        <v>0</v>
      </c>
    </row>
    <row r="289" spans="26:28">
      <c r="Z289">
        <v>0</v>
      </c>
      <c r="AA289">
        <v>0</v>
      </c>
      <c r="AB289">
        <v>0</v>
      </c>
    </row>
    <row r="290" spans="26:28">
      <c r="Z290">
        <v>0</v>
      </c>
      <c r="AA290">
        <v>0</v>
      </c>
      <c r="AB290">
        <v>0</v>
      </c>
    </row>
    <row r="291" spans="26:28">
      <c r="Z291">
        <v>0</v>
      </c>
      <c r="AA291">
        <v>0</v>
      </c>
      <c r="AB291">
        <v>0</v>
      </c>
    </row>
    <row r="292" spans="26:28">
      <c r="Z292">
        <v>0</v>
      </c>
      <c r="AA292">
        <v>0</v>
      </c>
      <c r="AB292">
        <v>0</v>
      </c>
    </row>
    <row r="293" spans="26:28">
      <c r="Z293">
        <v>0</v>
      </c>
      <c r="AA293">
        <v>0</v>
      </c>
      <c r="AB293">
        <v>0</v>
      </c>
    </row>
    <row r="294" spans="26:28">
      <c r="Z294">
        <v>0</v>
      </c>
      <c r="AA294">
        <v>0</v>
      </c>
      <c r="AB294">
        <v>0</v>
      </c>
    </row>
    <row r="295" spans="26:28">
      <c r="Z295">
        <v>0</v>
      </c>
      <c r="AA295">
        <v>0</v>
      </c>
      <c r="AB295">
        <v>0</v>
      </c>
    </row>
    <row r="296" spans="26:28">
      <c r="Z296">
        <v>0</v>
      </c>
      <c r="AA296">
        <v>0</v>
      </c>
      <c r="AB296">
        <v>0</v>
      </c>
    </row>
    <row r="297" spans="26:28">
      <c r="Z297">
        <v>0</v>
      </c>
      <c r="AA297">
        <v>0</v>
      </c>
      <c r="AB297">
        <v>0</v>
      </c>
    </row>
    <row r="298" spans="26:28">
      <c r="Z298">
        <v>0</v>
      </c>
      <c r="AA298">
        <v>0</v>
      </c>
      <c r="AB298">
        <v>0</v>
      </c>
    </row>
    <row r="299" spans="26:28">
      <c r="Z299">
        <v>0</v>
      </c>
      <c r="AA299">
        <v>0</v>
      </c>
      <c r="AB299">
        <v>0</v>
      </c>
    </row>
    <row r="300" spans="26:28">
      <c r="Z300">
        <v>0</v>
      </c>
      <c r="AA300">
        <v>0</v>
      </c>
      <c r="AB300">
        <v>0</v>
      </c>
    </row>
    <row r="301" spans="26:28">
      <c r="Z301">
        <v>0</v>
      </c>
      <c r="AA301">
        <v>0</v>
      </c>
      <c r="AB301">
        <v>0</v>
      </c>
    </row>
    <row r="302" spans="26:28">
      <c r="Z302">
        <v>0</v>
      </c>
      <c r="AA302">
        <v>0</v>
      </c>
      <c r="AB302">
        <v>0</v>
      </c>
    </row>
    <row r="303" spans="26:28">
      <c r="Z303">
        <v>0</v>
      </c>
      <c r="AA303">
        <v>0</v>
      </c>
      <c r="AB303">
        <v>0</v>
      </c>
    </row>
    <row r="304" spans="26:28">
      <c r="Z304">
        <v>0</v>
      </c>
      <c r="AA304">
        <v>0</v>
      </c>
      <c r="AB304">
        <v>0</v>
      </c>
    </row>
    <row r="305" spans="26:28">
      <c r="Z305">
        <v>0</v>
      </c>
      <c r="AA305">
        <v>0</v>
      </c>
      <c r="AB305">
        <v>0</v>
      </c>
    </row>
    <row r="306" spans="26:28">
      <c r="Z306">
        <v>0</v>
      </c>
      <c r="AA306">
        <v>0</v>
      </c>
      <c r="AB306">
        <v>0</v>
      </c>
    </row>
    <row r="307" spans="26:28">
      <c r="Z307">
        <v>0</v>
      </c>
      <c r="AA307">
        <v>0</v>
      </c>
      <c r="AB307">
        <v>0</v>
      </c>
    </row>
    <row r="308" spans="26:28">
      <c r="Z308">
        <v>0</v>
      </c>
      <c r="AA308">
        <v>0</v>
      </c>
      <c r="AB308">
        <v>0</v>
      </c>
    </row>
    <row r="309" spans="26:28">
      <c r="Z309">
        <v>0</v>
      </c>
      <c r="AA309">
        <v>0</v>
      </c>
      <c r="AB309">
        <v>0</v>
      </c>
    </row>
    <row r="310" spans="26:28">
      <c r="Z310">
        <v>0</v>
      </c>
      <c r="AA310">
        <v>0</v>
      </c>
      <c r="AB310">
        <v>0</v>
      </c>
    </row>
    <row r="311" spans="26:28">
      <c r="Z311">
        <v>0</v>
      </c>
      <c r="AA311">
        <v>0</v>
      </c>
      <c r="AB311">
        <v>0</v>
      </c>
    </row>
    <row r="312" spans="26:28">
      <c r="Z312">
        <v>0</v>
      </c>
      <c r="AA312">
        <v>0</v>
      </c>
      <c r="AB312">
        <v>0</v>
      </c>
    </row>
    <row r="313" spans="26:28">
      <c r="Z313">
        <v>0</v>
      </c>
      <c r="AA313">
        <v>0</v>
      </c>
      <c r="AB313">
        <v>0</v>
      </c>
    </row>
    <row r="314" spans="26:28">
      <c r="Z314">
        <v>0</v>
      </c>
      <c r="AA314">
        <v>0</v>
      </c>
      <c r="AB314">
        <v>0</v>
      </c>
    </row>
    <row r="315" spans="26:28">
      <c r="Z315">
        <v>0</v>
      </c>
      <c r="AA315">
        <v>0</v>
      </c>
      <c r="AB315">
        <v>0</v>
      </c>
    </row>
    <row r="316" spans="26:28">
      <c r="Z316">
        <v>0</v>
      </c>
      <c r="AA316">
        <v>0</v>
      </c>
      <c r="AB316">
        <v>0</v>
      </c>
    </row>
    <row r="317" spans="26:28">
      <c r="Z317">
        <v>0</v>
      </c>
      <c r="AA317">
        <v>0</v>
      </c>
      <c r="AB317">
        <v>0</v>
      </c>
    </row>
    <row r="318" spans="26:28">
      <c r="Z318">
        <v>0</v>
      </c>
      <c r="AA318">
        <v>0</v>
      </c>
      <c r="AB318">
        <v>0</v>
      </c>
    </row>
    <row r="319" spans="26:28">
      <c r="Z319">
        <v>0</v>
      </c>
      <c r="AA319">
        <v>0</v>
      </c>
      <c r="AB319">
        <v>0</v>
      </c>
    </row>
    <row r="320" spans="26:28">
      <c r="Z320">
        <v>0</v>
      </c>
      <c r="AA320">
        <v>0</v>
      </c>
      <c r="AB320">
        <v>0</v>
      </c>
    </row>
    <row r="321" spans="26:28">
      <c r="Z321">
        <v>0</v>
      </c>
      <c r="AA321">
        <v>0</v>
      </c>
      <c r="AB321">
        <v>0</v>
      </c>
    </row>
    <row r="322" spans="26:28">
      <c r="Z322">
        <v>0</v>
      </c>
      <c r="AA322">
        <v>0</v>
      </c>
      <c r="AB322">
        <v>0</v>
      </c>
    </row>
    <row r="323" spans="26:28">
      <c r="Z323">
        <v>0</v>
      </c>
      <c r="AA323">
        <v>0</v>
      </c>
      <c r="AB323">
        <v>0</v>
      </c>
    </row>
    <row r="324" spans="26:28">
      <c r="Z324">
        <v>0</v>
      </c>
      <c r="AA324">
        <v>0</v>
      </c>
      <c r="AB324">
        <v>0</v>
      </c>
    </row>
    <row r="325" spans="26:28">
      <c r="Z325">
        <v>0</v>
      </c>
      <c r="AA325">
        <v>0</v>
      </c>
      <c r="AB325">
        <v>0</v>
      </c>
    </row>
    <row r="326" spans="26:28">
      <c r="Z326">
        <v>0</v>
      </c>
      <c r="AA326">
        <v>0</v>
      </c>
      <c r="AB326">
        <v>0</v>
      </c>
    </row>
    <row r="327" spans="26:28">
      <c r="Z327">
        <v>0</v>
      </c>
      <c r="AA327">
        <v>0</v>
      </c>
      <c r="AB327">
        <v>0</v>
      </c>
    </row>
    <row r="328" spans="26:28">
      <c r="Z328">
        <v>0</v>
      </c>
      <c r="AA328">
        <v>0</v>
      </c>
      <c r="AB328">
        <v>0</v>
      </c>
    </row>
    <row r="329" spans="26:28">
      <c r="Z329">
        <v>0</v>
      </c>
      <c r="AA329">
        <v>0</v>
      </c>
      <c r="AB329">
        <v>0</v>
      </c>
    </row>
    <row r="330" spans="26:28">
      <c r="Z330">
        <v>0</v>
      </c>
      <c r="AA330">
        <v>0</v>
      </c>
      <c r="AB330">
        <v>0</v>
      </c>
    </row>
    <row r="331" spans="26:28">
      <c r="Z331">
        <v>0</v>
      </c>
      <c r="AA331">
        <v>0</v>
      </c>
      <c r="AB331">
        <v>0</v>
      </c>
    </row>
    <row r="332" spans="26:28">
      <c r="Z332">
        <v>0</v>
      </c>
      <c r="AA332">
        <v>0</v>
      </c>
      <c r="AB332">
        <v>0</v>
      </c>
    </row>
    <row r="333" spans="26:28">
      <c r="Z333">
        <v>0</v>
      </c>
      <c r="AA333">
        <v>0</v>
      </c>
      <c r="AB333">
        <v>0</v>
      </c>
    </row>
    <row r="334" spans="26:28">
      <c r="Z334">
        <v>0</v>
      </c>
      <c r="AA334">
        <v>0</v>
      </c>
      <c r="AB334">
        <v>0</v>
      </c>
    </row>
    <row r="335" spans="26:28">
      <c r="Z335">
        <v>0</v>
      </c>
      <c r="AA335">
        <v>0</v>
      </c>
      <c r="AB335">
        <v>0</v>
      </c>
    </row>
    <row r="336" spans="26:28">
      <c r="Z336">
        <v>0</v>
      </c>
      <c r="AA336">
        <v>0</v>
      </c>
      <c r="AB336">
        <v>0</v>
      </c>
    </row>
    <row r="337" spans="26:28">
      <c r="Z337">
        <v>0</v>
      </c>
      <c r="AA337">
        <v>0</v>
      </c>
      <c r="AB337">
        <v>0</v>
      </c>
    </row>
    <row r="338" spans="26:28">
      <c r="Z338">
        <v>0</v>
      </c>
      <c r="AA338">
        <v>0</v>
      </c>
      <c r="AB338">
        <v>0</v>
      </c>
    </row>
    <row r="339" spans="26:28">
      <c r="Z339">
        <v>0</v>
      </c>
      <c r="AA339">
        <v>0</v>
      </c>
      <c r="AB339">
        <v>0</v>
      </c>
    </row>
    <row r="340" spans="26:28">
      <c r="Z340">
        <v>0</v>
      </c>
      <c r="AA340">
        <v>0</v>
      </c>
      <c r="AB340">
        <v>0</v>
      </c>
    </row>
    <row r="341" spans="26:28">
      <c r="Z341">
        <v>0</v>
      </c>
      <c r="AA341">
        <v>0</v>
      </c>
      <c r="AB341">
        <v>0</v>
      </c>
    </row>
    <row r="342" spans="26:28">
      <c r="Z342">
        <v>0</v>
      </c>
      <c r="AA342">
        <v>0</v>
      </c>
      <c r="AB342">
        <v>0</v>
      </c>
    </row>
    <row r="343" spans="26:28">
      <c r="Z343">
        <v>0</v>
      </c>
      <c r="AA343">
        <v>0</v>
      </c>
      <c r="AB343">
        <v>0</v>
      </c>
    </row>
    <row r="344" spans="26:28">
      <c r="Z344">
        <v>0</v>
      </c>
      <c r="AA344">
        <v>0</v>
      </c>
      <c r="AB344">
        <v>0</v>
      </c>
    </row>
    <row r="345" spans="26:28">
      <c r="Z345">
        <v>0</v>
      </c>
      <c r="AA345">
        <v>0</v>
      </c>
      <c r="AB345">
        <v>0</v>
      </c>
    </row>
    <row r="346" spans="26:28">
      <c r="Z346">
        <v>0</v>
      </c>
      <c r="AA346">
        <v>0</v>
      </c>
      <c r="AB346">
        <v>0</v>
      </c>
    </row>
    <row r="347" spans="26:28">
      <c r="Z347">
        <v>0</v>
      </c>
      <c r="AA347">
        <v>0</v>
      </c>
      <c r="AB347">
        <v>0</v>
      </c>
    </row>
    <row r="348" spans="26:28">
      <c r="Z348">
        <v>0</v>
      </c>
      <c r="AA348">
        <v>0</v>
      </c>
      <c r="AB348">
        <v>0</v>
      </c>
    </row>
    <row r="349" spans="26:28">
      <c r="Z349">
        <v>0</v>
      </c>
      <c r="AA349">
        <v>0</v>
      </c>
      <c r="AB349">
        <v>0</v>
      </c>
    </row>
    <row r="350" spans="26:28">
      <c r="Z350">
        <v>0</v>
      </c>
      <c r="AA350">
        <v>0</v>
      </c>
      <c r="AB350">
        <v>0</v>
      </c>
    </row>
    <row r="351" spans="26:28">
      <c r="Z351">
        <v>0</v>
      </c>
      <c r="AA351">
        <v>0</v>
      </c>
      <c r="AB351">
        <v>0</v>
      </c>
    </row>
    <row r="352" spans="26:28">
      <c r="Z352">
        <v>0</v>
      </c>
      <c r="AA352">
        <v>0</v>
      </c>
      <c r="AB352">
        <v>0</v>
      </c>
    </row>
    <row r="353" spans="26:28">
      <c r="Z353">
        <v>0</v>
      </c>
      <c r="AA353">
        <v>0</v>
      </c>
      <c r="AB353">
        <v>0</v>
      </c>
    </row>
    <row r="354" spans="26:28">
      <c r="Z354">
        <v>0</v>
      </c>
      <c r="AA354">
        <v>0</v>
      </c>
      <c r="AB354">
        <v>0</v>
      </c>
    </row>
    <row r="355" spans="26:28">
      <c r="Z355">
        <v>0</v>
      </c>
      <c r="AA355">
        <v>0</v>
      </c>
      <c r="AB355">
        <v>0</v>
      </c>
    </row>
    <row r="356" spans="26:28">
      <c r="Z356">
        <v>0</v>
      </c>
      <c r="AA356">
        <v>0</v>
      </c>
      <c r="AB356">
        <v>0</v>
      </c>
    </row>
    <row r="357" spans="26:28">
      <c r="Z357">
        <v>0</v>
      </c>
      <c r="AA357">
        <v>0</v>
      </c>
      <c r="AB357">
        <v>0</v>
      </c>
    </row>
    <row r="358" spans="26:28">
      <c r="Z358">
        <v>0</v>
      </c>
      <c r="AA358">
        <v>0</v>
      </c>
      <c r="AB358">
        <v>0</v>
      </c>
    </row>
    <row r="359" spans="26:28">
      <c r="Z359">
        <v>0</v>
      </c>
      <c r="AA359">
        <v>0</v>
      </c>
      <c r="AB359">
        <v>0</v>
      </c>
    </row>
    <row r="360" spans="26:28">
      <c r="Z360">
        <v>0</v>
      </c>
      <c r="AA360">
        <v>0</v>
      </c>
      <c r="AB360">
        <v>0</v>
      </c>
    </row>
    <row r="361" spans="26:28">
      <c r="Z361">
        <v>0</v>
      </c>
      <c r="AA361">
        <v>0</v>
      </c>
      <c r="AB361">
        <v>0</v>
      </c>
    </row>
    <row r="362" spans="26:28">
      <c r="Z362">
        <v>0</v>
      </c>
      <c r="AA362">
        <v>0</v>
      </c>
      <c r="AB362">
        <v>0</v>
      </c>
    </row>
    <row r="363" spans="26:28">
      <c r="Z363">
        <v>0</v>
      </c>
      <c r="AA363">
        <v>0</v>
      </c>
      <c r="AB363">
        <v>0</v>
      </c>
    </row>
    <row r="364" spans="26:28">
      <c r="Z364">
        <v>0</v>
      </c>
      <c r="AA364">
        <v>0</v>
      </c>
      <c r="AB364">
        <v>0</v>
      </c>
    </row>
    <row r="365" spans="26:28">
      <c r="Z365">
        <v>0</v>
      </c>
      <c r="AA365">
        <v>0</v>
      </c>
      <c r="AB365">
        <v>0</v>
      </c>
    </row>
    <row r="366" spans="26:28">
      <c r="Z366">
        <v>0</v>
      </c>
      <c r="AA366">
        <v>0</v>
      </c>
      <c r="AB366">
        <v>0</v>
      </c>
    </row>
    <row r="367" spans="26:28">
      <c r="Z367">
        <v>0</v>
      </c>
      <c r="AA367">
        <v>0</v>
      </c>
      <c r="AB367">
        <v>0</v>
      </c>
    </row>
    <row r="368" spans="26:28">
      <c r="Z368">
        <v>0</v>
      </c>
      <c r="AA368">
        <v>0</v>
      </c>
      <c r="AB368">
        <v>0</v>
      </c>
    </row>
    <row r="369" spans="26:28">
      <c r="Z369">
        <v>0</v>
      </c>
      <c r="AA369">
        <v>0</v>
      </c>
      <c r="AB369">
        <v>0</v>
      </c>
    </row>
    <row r="370" spans="26:28">
      <c r="Z370">
        <v>0</v>
      </c>
      <c r="AA370">
        <v>0</v>
      </c>
      <c r="AB370">
        <v>0</v>
      </c>
    </row>
    <row r="371" spans="26:28">
      <c r="Z371">
        <v>0</v>
      </c>
      <c r="AA371">
        <v>0</v>
      </c>
      <c r="AB371">
        <v>0</v>
      </c>
    </row>
    <row r="372" spans="26:28">
      <c r="Z372">
        <v>0</v>
      </c>
      <c r="AA372">
        <v>0</v>
      </c>
      <c r="AB372">
        <v>0</v>
      </c>
    </row>
    <row r="373" spans="26:28">
      <c r="Z373">
        <v>0</v>
      </c>
      <c r="AA373">
        <v>0</v>
      </c>
      <c r="AB373">
        <v>0</v>
      </c>
    </row>
    <row r="374" spans="26:28">
      <c r="Z374">
        <v>0</v>
      </c>
      <c r="AA374">
        <v>0</v>
      </c>
      <c r="AB374">
        <v>0</v>
      </c>
    </row>
    <row r="375" spans="26:28">
      <c r="Z375">
        <v>0</v>
      </c>
      <c r="AA375">
        <v>0</v>
      </c>
      <c r="AB375">
        <v>0</v>
      </c>
    </row>
    <row r="376" spans="26:28">
      <c r="Z376">
        <v>0</v>
      </c>
      <c r="AA376">
        <v>0</v>
      </c>
      <c r="AB376">
        <v>0</v>
      </c>
    </row>
    <row r="377" spans="26:28">
      <c r="Z377">
        <v>0</v>
      </c>
      <c r="AA377">
        <v>0</v>
      </c>
      <c r="AB377">
        <v>0</v>
      </c>
    </row>
    <row r="378" spans="26:28">
      <c r="Z378">
        <v>0</v>
      </c>
      <c r="AA378">
        <v>0</v>
      </c>
      <c r="AB378">
        <v>0</v>
      </c>
    </row>
    <row r="379" spans="26:28">
      <c r="Z379">
        <v>0</v>
      </c>
      <c r="AA379">
        <v>0</v>
      </c>
      <c r="AB379">
        <v>0</v>
      </c>
    </row>
    <row r="380" spans="26:28">
      <c r="Z380">
        <v>0</v>
      </c>
      <c r="AA380">
        <v>0</v>
      </c>
      <c r="AB380">
        <v>0</v>
      </c>
    </row>
    <row r="381" spans="26:28">
      <c r="Z381">
        <v>0</v>
      </c>
      <c r="AA381">
        <v>0</v>
      </c>
      <c r="AB381">
        <v>0</v>
      </c>
    </row>
    <row r="382" spans="26:28">
      <c r="Z382">
        <v>0</v>
      </c>
      <c r="AA382">
        <v>0</v>
      </c>
      <c r="AB382">
        <v>0</v>
      </c>
    </row>
    <row r="383" spans="26:28">
      <c r="Z383">
        <v>0</v>
      </c>
      <c r="AA383">
        <v>0</v>
      </c>
      <c r="AB383">
        <v>0</v>
      </c>
    </row>
    <row r="384" spans="26:28">
      <c r="Z384">
        <v>0</v>
      </c>
      <c r="AA384">
        <v>0</v>
      </c>
      <c r="AB384">
        <v>0</v>
      </c>
    </row>
    <row r="385" spans="26:28">
      <c r="Z385">
        <v>0</v>
      </c>
      <c r="AA385">
        <v>0</v>
      </c>
      <c r="AB385">
        <v>0</v>
      </c>
    </row>
    <row r="386" spans="26:28">
      <c r="Z386">
        <v>0</v>
      </c>
      <c r="AA386">
        <v>0</v>
      </c>
      <c r="AB386">
        <v>0</v>
      </c>
    </row>
    <row r="387" spans="26:28">
      <c r="Z387">
        <v>0</v>
      </c>
      <c r="AA387">
        <v>0</v>
      </c>
      <c r="AB387">
        <v>0</v>
      </c>
    </row>
    <row r="388" spans="26:28">
      <c r="Z388">
        <v>0</v>
      </c>
      <c r="AA388">
        <v>0</v>
      </c>
      <c r="AB388">
        <v>0</v>
      </c>
    </row>
  </sheetData>
  <sortState xmlns:xlrd2="http://schemas.microsoft.com/office/spreadsheetml/2017/richdata2" ref="A4:Y143">
    <sortCondition descending="1" ref="Y4:Y143"/>
    <sortCondition ref="A4:A143"/>
    <sortCondition ref="B4:B143"/>
  </sortState>
  <mergeCells count="44">
    <mergeCell ref="B1:E1"/>
    <mergeCell ref="L1:W1"/>
    <mergeCell ref="X1:X3"/>
    <mergeCell ref="A2:C2"/>
    <mergeCell ref="L2:N2"/>
    <mergeCell ref="O2:Q2"/>
    <mergeCell ref="R2:T2"/>
    <mergeCell ref="U2:W2"/>
    <mergeCell ref="AI1:AL1"/>
    <mergeCell ref="AS1:BD1"/>
    <mergeCell ref="BE1:BE3"/>
    <mergeCell ref="AH2:AJ2"/>
    <mergeCell ref="AS2:AU2"/>
    <mergeCell ref="AV2:AX2"/>
    <mergeCell ref="AY2:BA2"/>
    <mergeCell ref="BB2:BD2"/>
    <mergeCell ref="BE4:BE8"/>
    <mergeCell ref="BE9:BE13"/>
    <mergeCell ref="BE14:BE18"/>
    <mergeCell ref="BE19:BE23"/>
    <mergeCell ref="BE24:BE28"/>
    <mergeCell ref="BE29:BE33"/>
    <mergeCell ref="BE34:BE38"/>
    <mergeCell ref="BE39:BE43"/>
    <mergeCell ref="BE44:BE48"/>
    <mergeCell ref="BE49:BE53"/>
    <mergeCell ref="BE54:BE58"/>
    <mergeCell ref="BE59:BE63"/>
    <mergeCell ref="BE64:BE68"/>
    <mergeCell ref="BE69:BE73"/>
    <mergeCell ref="BE74:BE78"/>
    <mergeCell ref="BE79:BE83"/>
    <mergeCell ref="BE84:BE88"/>
    <mergeCell ref="BE89:BE93"/>
    <mergeCell ref="BE94:BE98"/>
    <mergeCell ref="BE99:BE103"/>
    <mergeCell ref="BE129:BE133"/>
    <mergeCell ref="BE134:BE138"/>
    <mergeCell ref="BE139:BE143"/>
    <mergeCell ref="BE104:BE108"/>
    <mergeCell ref="BE109:BE113"/>
    <mergeCell ref="BE114:BE118"/>
    <mergeCell ref="BE119:BE123"/>
    <mergeCell ref="BE124:BE128"/>
  </mergeCells>
  <conditionalFormatting sqref="X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9 X14 X19 X24 X29 X34 X39 X44 X49 X54 X59 X64 X69 X74 X79 X84 X89 X94 X99 X104 X109 X114 X119 X124 X129 X134 X1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9 BE4 BE14 BE24 BE34 BE44 BE54 BE64 BE74 BE84 BE94 BE104 BE114 BE124 BE134 BE19 BE29 BE39 BE49 BE59 BE69 BE79 BE89 BE99 BE109 BE119 BE129 BE13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E7B5-691F-4D43-A5CE-6453C39061F4}">
  <dimension ref="A1:BN292"/>
  <sheetViews>
    <sheetView zoomScaleNormal="100" workbookViewId="0">
      <selection activeCell="A4" sqref="A4:O243"/>
    </sheetView>
  </sheetViews>
  <sheetFormatPr defaultColWidth="8.85546875" defaultRowHeight="15"/>
  <cols>
    <col min="7" max="7" width="9.140625" style="41"/>
    <col min="8" max="8" width="9.140625" style="1"/>
    <col min="9" max="9" width="9.140625" style="20"/>
    <col min="23" max="23" width="9.140625" style="41"/>
    <col min="25" max="25" width="9.140625" style="1"/>
    <col min="26" max="26" width="9.140625" style="20"/>
    <col min="32" max="32" width="9.140625" style="1"/>
    <col min="33" max="33" width="9.42578125" style="55" bestFit="1" customWidth="1"/>
    <col min="34" max="34" width="9.140625" style="1"/>
    <col min="40" max="40" width="9.140625" style="41"/>
    <col min="42" max="42" width="9.140625" style="1"/>
    <col min="43" max="43" width="9.140625" style="20"/>
    <col min="59" max="59" width="9.140625" style="1"/>
    <col min="60" max="60" width="9.140625" style="20"/>
  </cols>
  <sheetData>
    <row r="1" spans="1:66">
      <c r="A1" s="80" t="s">
        <v>74</v>
      </c>
      <c r="B1" s="80"/>
      <c r="C1" s="80"/>
      <c r="D1" s="80"/>
      <c r="E1" s="80"/>
      <c r="F1" s="26">
        <f>MAX(O:O)</f>
        <v>36.402199999999993</v>
      </c>
      <c r="G1" s="40">
        <f>INDEX(D:D,MATCH(MAX($O:$O),$O:$O,0))</f>
        <v>26080</v>
      </c>
      <c r="H1" s="36">
        <f t="shared" ref="H1:J1" si="0">INDEX(E:E,MATCH(MAX($O:$O),$O:$O,0))</f>
        <v>160</v>
      </c>
      <c r="I1" s="37">
        <f t="shared" si="0"/>
        <v>1</v>
      </c>
      <c r="J1" s="40">
        <f t="shared" si="0"/>
        <v>4</v>
      </c>
      <c r="K1" s="76" t="s">
        <v>159</v>
      </c>
      <c r="L1" s="77"/>
      <c r="M1" s="77"/>
      <c r="N1" s="77"/>
      <c r="O1" s="79" t="s">
        <v>81</v>
      </c>
      <c r="R1" s="80" t="s">
        <v>74</v>
      </c>
      <c r="S1" s="80"/>
      <c r="T1" s="80"/>
      <c r="U1" s="80"/>
      <c r="V1" s="80"/>
      <c r="W1" s="59">
        <f>MAX(AF:AF)</f>
        <v>35.987800000000007</v>
      </c>
      <c r="X1" s="40">
        <f>INDEX(U:U,MATCH(MAX($AF:$AF),$AF:$AF,0))</f>
        <v>26080</v>
      </c>
      <c r="Y1" s="36">
        <f t="shared" ref="Y1:AA1" si="1">INDEX(V:V,MATCH(MAX($AF:$AF),$AF:$AF,0))</f>
        <v>160</v>
      </c>
      <c r="Z1" s="37">
        <f t="shared" si="1"/>
        <v>1</v>
      </c>
      <c r="AA1" s="40">
        <f t="shared" si="1"/>
        <v>4</v>
      </c>
      <c r="AB1" s="76" t="s">
        <v>161</v>
      </c>
      <c r="AC1" s="77"/>
      <c r="AD1" s="77"/>
      <c r="AE1" s="78"/>
      <c r="AF1" s="79" t="s">
        <v>81</v>
      </c>
      <c r="AG1"/>
      <c r="AH1"/>
      <c r="AI1" s="80" t="s">
        <v>74</v>
      </c>
      <c r="AJ1" s="80"/>
      <c r="AK1" s="80"/>
      <c r="AL1" s="80"/>
      <c r="AM1" s="80"/>
      <c r="AN1" s="59">
        <f>MAX(AW:AW)</f>
        <v>42.326000000000001</v>
      </c>
      <c r="AO1" s="40">
        <f>INDEX(AL:AL,MATCH(MAX($AW:$AW),$AW:$AW,0))</f>
        <v>29120</v>
      </c>
      <c r="AP1" s="36">
        <f t="shared" ref="AP1:AR1" si="2">INDEX(AM:AM,MATCH(MAX($AW:$AW),$AW:$AW,0))</f>
        <v>224</v>
      </c>
      <c r="AQ1" s="37">
        <f t="shared" si="2"/>
        <v>1</v>
      </c>
      <c r="AR1" s="40">
        <f t="shared" si="2"/>
        <v>4</v>
      </c>
      <c r="AS1" s="76" t="s">
        <v>160</v>
      </c>
      <c r="AT1" s="77"/>
      <c r="AU1" s="77"/>
      <c r="AV1" s="78"/>
      <c r="AW1" s="79" t="s">
        <v>81</v>
      </c>
      <c r="AZ1" s="80" t="s">
        <v>74</v>
      </c>
      <c r="BA1" s="80"/>
      <c r="BB1" s="80"/>
      <c r="BC1" s="80"/>
      <c r="BD1" s="80"/>
      <c r="BE1" s="26">
        <f>MAX(BN:BN)</f>
        <v>39.205399999999997</v>
      </c>
      <c r="BF1" s="40">
        <f>INDEX(BC:BC,MATCH(MAX($BN:$BN),$BN:$BN,0))</f>
        <v>29120</v>
      </c>
      <c r="BG1" s="36">
        <f t="shared" ref="BG1:BI1" si="3">INDEX(BD:BD,MATCH(MAX($BN:$BN),$BN:$BN,0))</f>
        <v>224</v>
      </c>
      <c r="BH1" s="37">
        <f t="shared" si="3"/>
        <v>1</v>
      </c>
      <c r="BI1" s="40">
        <f t="shared" si="3"/>
        <v>4</v>
      </c>
      <c r="BJ1" s="76" t="s">
        <v>82</v>
      </c>
      <c r="BK1" s="77"/>
      <c r="BL1" s="77"/>
      <c r="BM1" s="78"/>
      <c r="BN1" s="79" t="s">
        <v>81</v>
      </c>
    </row>
    <row r="2" spans="1:66">
      <c r="A2" s="74" t="s">
        <v>77</v>
      </c>
      <c r="B2" s="74"/>
      <c r="C2" s="74"/>
      <c r="D2" s="29">
        <f>MAX(I4:I856)</f>
        <v>36.47</v>
      </c>
      <c r="E2" s="30"/>
      <c r="F2" s="30"/>
      <c r="G2" s="27"/>
      <c r="H2" s="31"/>
      <c r="I2" s="32"/>
      <c r="J2" s="30"/>
      <c r="K2" s="28"/>
      <c r="L2" s="81" t="s">
        <v>155</v>
      </c>
      <c r="M2" s="81"/>
      <c r="N2" s="82"/>
      <c r="O2" s="79"/>
      <c r="R2" s="74" t="s">
        <v>77</v>
      </c>
      <c r="S2" s="74"/>
      <c r="T2" s="74"/>
      <c r="U2" s="29">
        <f>MAX(Z4:Z856)</f>
        <v>36.116999999999997</v>
      </c>
      <c r="V2" s="30"/>
      <c r="W2" s="27"/>
      <c r="X2" s="30"/>
      <c r="Y2" s="31"/>
      <c r="Z2" s="32"/>
      <c r="AA2" s="30"/>
      <c r="AB2" s="28"/>
      <c r="AC2" s="81" t="s">
        <v>155</v>
      </c>
      <c r="AD2" s="81"/>
      <c r="AE2" s="81"/>
      <c r="AF2" s="79"/>
      <c r="AG2"/>
      <c r="AH2"/>
      <c r="AI2" s="74" t="s">
        <v>77</v>
      </c>
      <c r="AJ2" s="74"/>
      <c r="AK2" s="74"/>
      <c r="AL2" s="29">
        <f>MAX(AQ4:AQ856)</f>
        <v>42.69</v>
      </c>
      <c r="AM2" s="30"/>
      <c r="AN2" s="27"/>
      <c r="AO2" s="30"/>
      <c r="AP2" s="31"/>
      <c r="AQ2" s="32"/>
      <c r="AR2" s="30"/>
      <c r="AS2" s="28"/>
      <c r="AT2" s="81" t="s">
        <v>155</v>
      </c>
      <c r="AU2" s="81"/>
      <c r="AV2" s="81"/>
      <c r="AW2" s="79"/>
      <c r="AZ2" s="74" t="s">
        <v>77</v>
      </c>
      <c r="BA2" s="74"/>
      <c r="BB2" s="74"/>
      <c r="BC2" s="29">
        <f>MAX(BH4:BH856)</f>
        <v>39.362000000000002</v>
      </c>
      <c r="BD2" s="30"/>
      <c r="BE2" s="30"/>
      <c r="BF2" s="30"/>
      <c r="BG2" s="31"/>
      <c r="BH2" s="32"/>
      <c r="BI2" s="30"/>
      <c r="BJ2" s="28"/>
      <c r="BK2" s="81" t="s">
        <v>155</v>
      </c>
      <c r="BL2" s="81"/>
      <c r="BM2" s="81"/>
      <c r="BN2" s="79"/>
    </row>
    <row r="3" spans="1:66">
      <c r="A3" s="35" t="s">
        <v>78</v>
      </c>
      <c r="B3" s="35" t="s">
        <v>79</v>
      </c>
      <c r="C3" s="35"/>
      <c r="D3" s="35" t="s">
        <v>1</v>
      </c>
      <c r="E3" s="35" t="s">
        <v>2</v>
      </c>
      <c r="F3" s="35" t="s">
        <v>3</v>
      </c>
      <c r="G3" s="40" t="s">
        <v>4</v>
      </c>
      <c r="H3" s="36" t="s">
        <v>5</v>
      </c>
      <c r="I3" s="37" t="s">
        <v>6</v>
      </c>
      <c r="J3" s="38" t="s">
        <v>80</v>
      </c>
      <c r="K3" s="39" t="s">
        <v>5</v>
      </c>
      <c r="L3" s="33" t="s">
        <v>156</v>
      </c>
      <c r="M3" s="33" t="s">
        <v>157</v>
      </c>
      <c r="N3" s="56" t="s">
        <v>158</v>
      </c>
      <c r="O3" s="79"/>
      <c r="R3" s="35" t="s">
        <v>78</v>
      </c>
      <c r="S3" s="35" t="s">
        <v>79</v>
      </c>
      <c r="T3" s="35"/>
      <c r="U3" s="35" t="s">
        <v>1</v>
      </c>
      <c r="V3" s="35" t="s">
        <v>2</v>
      </c>
      <c r="W3" s="40" t="s">
        <v>3</v>
      </c>
      <c r="X3" s="35" t="s">
        <v>4</v>
      </c>
      <c r="Y3" s="36" t="s">
        <v>5</v>
      </c>
      <c r="Z3" s="37" t="s">
        <v>6</v>
      </c>
      <c r="AA3" s="38" t="s">
        <v>80</v>
      </c>
      <c r="AB3" s="39" t="s">
        <v>5</v>
      </c>
      <c r="AC3" s="33" t="s">
        <v>156</v>
      </c>
      <c r="AD3" s="33" t="s">
        <v>157</v>
      </c>
      <c r="AE3" s="33" t="s">
        <v>158</v>
      </c>
      <c r="AF3" s="79"/>
      <c r="AG3"/>
      <c r="AH3"/>
      <c r="AI3" s="35" t="s">
        <v>78</v>
      </c>
      <c r="AJ3" s="35" t="s">
        <v>79</v>
      </c>
      <c r="AK3" s="35"/>
      <c r="AL3" s="35" t="s">
        <v>1</v>
      </c>
      <c r="AM3" s="35" t="s">
        <v>2</v>
      </c>
      <c r="AN3" s="40" t="s">
        <v>3</v>
      </c>
      <c r="AO3" s="35" t="s">
        <v>4</v>
      </c>
      <c r="AP3" s="36" t="s">
        <v>5</v>
      </c>
      <c r="AQ3" s="37" t="s">
        <v>6</v>
      </c>
      <c r="AR3" s="38" t="s">
        <v>80</v>
      </c>
      <c r="AS3" s="39" t="s">
        <v>5</v>
      </c>
      <c r="AT3" s="33" t="s">
        <v>156</v>
      </c>
      <c r="AU3" s="33" t="s">
        <v>157</v>
      </c>
      <c r="AV3" s="33" t="s">
        <v>158</v>
      </c>
      <c r="AW3" s="79"/>
      <c r="AZ3" s="35" t="s">
        <v>78</v>
      </c>
      <c r="BA3" s="35" t="s">
        <v>79</v>
      </c>
      <c r="BB3" s="35"/>
      <c r="BC3" s="35" t="s">
        <v>1</v>
      </c>
      <c r="BD3" s="35" t="s">
        <v>2</v>
      </c>
      <c r="BE3" s="35" t="s">
        <v>3</v>
      </c>
      <c r="BF3" s="35" t="s">
        <v>4</v>
      </c>
      <c r="BG3" s="36" t="s">
        <v>5</v>
      </c>
      <c r="BH3" s="37" t="s">
        <v>6</v>
      </c>
      <c r="BI3" s="38" t="s">
        <v>80</v>
      </c>
      <c r="BJ3" s="39" t="s">
        <v>5</v>
      </c>
      <c r="BK3" s="33" t="s">
        <v>156</v>
      </c>
      <c r="BL3" s="33" t="s">
        <v>157</v>
      </c>
      <c r="BM3" s="33" t="s">
        <v>158</v>
      </c>
      <c r="BN3" s="79"/>
    </row>
    <row r="4" spans="1:66">
      <c r="A4" t="s">
        <v>103</v>
      </c>
      <c r="B4">
        <v>0</v>
      </c>
      <c r="C4" t="s">
        <v>7</v>
      </c>
      <c r="D4">
        <v>26048</v>
      </c>
      <c r="E4">
        <v>32</v>
      </c>
      <c r="F4">
        <v>1</v>
      </c>
      <c r="G4" s="41">
        <v>4</v>
      </c>
      <c r="H4" s="1">
        <v>940.5</v>
      </c>
      <c r="I4" s="54">
        <v>12.529</v>
      </c>
      <c r="J4" s="23">
        <v>45558</v>
      </c>
      <c r="K4" s="46">
        <v>0.2882986111111111</v>
      </c>
      <c r="L4">
        <v>0</v>
      </c>
      <c r="M4">
        <v>0</v>
      </c>
      <c r="N4">
        <v>0</v>
      </c>
      <c r="O4" s="57">
        <f>AVERAGE(I4:I8)</f>
        <v>12.5252</v>
      </c>
      <c r="R4" t="s">
        <v>103</v>
      </c>
      <c r="S4">
        <v>0</v>
      </c>
      <c r="T4" t="s">
        <v>7</v>
      </c>
      <c r="U4">
        <v>26048</v>
      </c>
      <c r="V4">
        <v>32</v>
      </c>
      <c r="W4" s="41">
        <v>1</v>
      </c>
      <c r="X4">
        <v>4</v>
      </c>
      <c r="Y4" s="1">
        <v>935.38</v>
      </c>
      <c r="Z4" s="54">
        <v>12.597</v>
      </c>
      <c r="AA4" s="23">
        <v>45558</v>
      </c>
      <c r="AB4" s="46">
        <v>0.2865509259259259</v>
      </c>
      <c r="AC4">
        <v>0</v>
      </c>
      <c r="AD4">
        <v>0</v>
      </c>
      <c r="AE4">
        <v>0</v>
      </c>
      <c r="AF4" s="57">
        <f>AVERAGE(Z4:Z8)</f>
        <v>12.535799999999998</v>
      </c>
      <c r="AG4"/>
      <c r="AH4"/>
      <c r="AI4" t="s">
        <v>154</v>
      </c>
      <c r="AJ4">
        <v>0</v>
      </c>
      <c r="AK4" t="s">
        <v>7</v>
      </c>
      <c r="AL4">
        <v>26048</v>
      </c>
      <c r="AM4">
        <v>32</v>
      </c>
      <c r="AN4" s="41">
        <v>1</v>
      </c>
      <c r="AO4">
        <v>4</v>
      </c>
      <c r="AP4" s="1">
        <v>934.1</v>
      </c>
      <c r="AQ4" s="54">
        <v>12.615</v>
      </c>
      <c r="AR4" s="23">
        <v>45558</v>
      </c>
      <c r="AS4" s="46">
        <v>0.28670138888888891</v>
      </c>
      <c r="AT4">
        <v>0</v>
      </c>
      <c r="AU4">
        <v>0</v>
      </c>
      <c r="AV4">
        <v>0</v>
      </c>
      <c r="AW4" s="57">
        <f>AVERAGE(AQ4:AQ8)</f>
        <v>12.621799999999999</v>
      </c>
      <c r="AZ4" t="s">
        <v>154</v>
      </c>
      <c r="BA4">
        <v>0</v>
      </c>
      <c r="BB4" t="s">
        <v>7</v>
      </c>
      <c r="BC4">
        <v>26048</v>
      </c>
      <c r="BD4">
        <v>32</v>
      </c>
      <c r="BE4">
        <v>1</v>
      </c>
      <c r="BF4">
        <v>4</v>
      </c>
      <c r="BG4" s="1">
        <v>956.18</v>
      </c>
      <c r="BH4" s="54">
        <v>12.323</v>
      </c>
      <c r="BI4" s="23">
        <v>45558</v>
      </c>
      <c r="BJ4" s="46">
        <v>0.28813657407407406</v>
      </c>
      <c r="BK4">
        <v>0</v>
      </c>
      <c r="BL4">
        <v>0</v>
      </c>
      <c r="BM4">
        <v>0</v>
      </c>
      <c r="BN4" s="57">
        <f>AVERAGE(BH4:BH8)</f>
        <v>12.3224</v>
      </c>
    </row>
    <row r="5" spans="1:66">
      <c r="A5" t="s">
        <v>103</v>
      </c>
      <c r="B5">
        <v>1</v>
      </c>
      <c r="C5" t="s">
        <v>7</v>
      </c>
      <c r="D5">
        <v>26048</v>
      </c>
      <c r="E5">
        <v>32</v>
      </c>
      <c r="F5">
        <v>1</v>
      </c>
      <c r="G5" s="41">
        <v>4</v>
      </c>
      <c r="H5" s="1">
        <v>941.08</v>
      </c>
      <c r="I5" s="54">
        <v>12.521000000000001</v>
      </c>
      <c r="J5" s="23">
        <v>45558</v>
      </c>
      <c r="K5" s="46">
        <v>0.63039351851851855</v>
      </c>
      <c r="L5">
        <v>0</v>
      </c>
      <c r="M5">
        <v>0</v>
      </c>
      <c r="N5">
        <v>0</v>
      </c>
      <c r="O5" s="57">
        <f>O4</f>
        <v>12.5252</v>
      </c>
      <c r="R5" t="s">
        <v>103</v>
      </c>
      <c r="S5">
        <v>1</v>
      </c>
      <c r="T5" t="s">
        <v>7</v>
      </c>
      <c r="U5">
        <v>26048</v>
      </c>
      <c r="V5">
        <v>32</v>
      </c>
      <c r="W5" s="41">
        <v>1</v>
      </c>
      <c r="X5">
        <v>4</v>
      </c>
      <c r="Y5" s="1">
        <v>942.37</v>
      </c>
      <c r="Z5" s="54">
        <v>12.504</v>
      </c>
      <c r="AA5" s="23">
        <v>45558</v>
      </c>
      <c r="AB5" s="46">
        <v>0.6296180555555555</v>
      </c>
      <c r="AC5">
        <v>0</v>
      </c>
      <c r="AD5">
        <v>0</v>
      </c>
      <c r="AE5">
        <v>0</v>
      </c>
      <c r="AF5" s="57">
        <f t="shared" ref="AF5:AF68" si="4">AF4</f>
        <v>12.535799999999998</v>
      </c>
      <c r="AG5"/>
      <c r="AH5"/>
      <c r="AI5" s="23" t="s">
        <v>154</v>
      </c>
      <c r="AJ5" s="46">
        <v>1</v>
      </c>
      <c r="AK5" t="s">
        <v>7</v>
      </c>
      <c r="AL5">
        <v>26048</v>
      </c>
      <c r="AM5">
        <v>32</v>
      </c>
      <c r="AN5" s="41">
        <v>1</v>
      </c>
      <c r="AO5">
        <v>4</v>
      </c>
      <c r="AP5" s="1">
        <v>933.46</v>
      </c>
      <c r="AQ5" s="54">
        <v>12.622999999999999</v>
      </c>
      <c r="AR5" s="23">
        <v>45558</v>
      </c>
      <c r="AS5" s="46">
        <v>0.46234953703703702</v>
      </c>
      <c r="AT5">
        <v>0</v>
      </c>
      <c r="AU5">
        <v>0</v>
      </c>
      <c r="AV5">
        <v>0</v>
      </c>
      <c r="AW5" s="57">
        <f>AW4</f>
        <v>12.621799999999999</v>
      </c>
      <c r="AZ5" t="s">
        <v>154</v>
      </c>
      <c r="BA5">
        <v>1</v>
      </c>
      <c r="BB5" t="s">
        <v>7</v>
      </c>
      <c r="BC5">
        <v>26048</v>
      </c>
      <c r="BD5">
        <v>32</v>
      </c>
      <c r="BE5">
        <v>1</v>
      </c>
      <c r="BF5">
        <v>4</v>
      </c>
      <c r="BG5" s="1">
        <v>957.85</v>
      </c>
      <c r="BH5" s="54">
        <v>12.302</v>
      </c>
      <c r="BI5" s="23">
        <v>45558</v>
      </c>
      <c r="BJ5" s="46">
        <v>0.60902777777777772</v>
      </c>
      <c r="BK5">
        <v>0</v>
      </c>
      <c r="BL5">
        <v>0</v>
      </c>
      <c r="BM5">
        <v>0</v>
      </c>
      <c r="BN5" s="57">
        <f>BN4</f>
        <v>12.3224</v>
      </c>
    </row>
    <row r="6" spans="1:66">
      <c r="A6" t="s">
        <v>103</v>
      </c>
      <c r="B6">
        <v>2</v>
      </c>
      <c r="C6" t="s">
        <v>7</v>
      </c>
      <c r="D6">
        <v>26048</v>
      </c>
      <c r="E6">
        <v>32</v>
      </c>
      <c r="F6">
        <v>1</v>
      </c>
      <c r="G6" s="41">
        <v>4</v>
      </c>
      <c r="H6" s="1">
        <v>939.72</v>
      </c>
      <c r="I6" s="54">
        <v>12.539</v>
      </c>
      <c r="J6" s="23">
        <v>45558</v>
      </c>
      <c r="K6" s="46">
        <v>0.97256944444444449</v>
      </c>
      <c r="L6">
        <v>0</v>
      </c>
      <c r="M6">
        <v>0</v>
      </c>
      <c r="N6">
        <v>0</v>
      </c>
      <c r="O6" s="57">
        <f t="shared" ref="O6:O8" si="5">O5</f>
        <v>12.5252</v>
      </c>
      <c r="R6" t="s">
        <v>103</v>
      </c>
      <c r="S6">
        <v>2</v>
      </c>
      <c r="T6" t="s">
        <v>7</v>
      </c>
      <c r="U6">
        <v>26048</v>
      </c>
      <c r="V6">
        <v>32</v>
      </c>
      <c r="W6" s="58">
        <v>1</v>
      </c>
      <c r="X6">
        <v>4</v>
      </c>
      <c r="Y6" s="1">
        <v>940.92</v>
      </c>
      <c r="Z6" s="54">
        <v>12.523</v>
      </c>
      <c r="AA6" s="23">
        <v>45558</v>
      </c>
      <c r="AB6" s="46">
        <v>0.97268518518518521</v>
      </c>
      <c r="AC6">
        <v>0</v>
      </c>
      <c r="AD6">
        <v>0</v>
      </c>
      <c r="AE6">
        <v>0</v>
      </c>
      <c r="AF6" s="57">
        <f t="shared" si="4"/>
        <v>12.535799999999998</v>
      </c>
      <c r="AG6"/>
      <c r="AH6"/>
      <c r="AI6" s="23" t="s">
        <v>154</v>
      </c>
      <c r="AJ6" s="46">
        <v>2</v>
      </c>
      <c r="AK6" t="s">
        <v>7</v>
      </c>
      <c r="AL6">
        <v>26048</v>
      </c>
      <c r="AM6">
        <v>32</v>
      </c>
      <c r="AN6" s="41">
        <v>1</v>
      </c>
      <c r="AO6">
        <v>4</v>
      </c>
      <c r="AP6" s="1">
        <v>935.99</v>
      </c>
      <c r="AQ6" s="54">
        <v>12.589</v>
      </c>
      <c r="AR6" s="23">
        <v>45558</v>
      </c>
      <c r="AS6" s="46">
        <v>0.86827546296296299</v>
      </c>
      <c r="AT6">
        <v>0</v>
      </c>
      <c r="AU6">
        <v>0</v>
      </c>
      <c r="AV6">
        <v>0</v>
      </c>
      <c r="AW6" s="57">
        <f>AW5</f>
        <v>12.621799999999999</v>
      </c>
      <c r="AZ6" t="s">
        <v>154</v>
      </c>
      <c r="BA6">
        <v>2</v>
      </c>
      <c r="BB6" t="s">
        <v>7</v>
      </c>
      <c r="BC6">
        <v>26048</v>
      </c>
      <c r="BD6">
        <v>32</v>
      </c>
      <c r="BE6">
        <v>1</v>
      </c>
      <c r="BF6">
        <v>4</v>
      </c>
      <c r="BG6" s="1">
        <v>955.99</v>
      </c>
      <c r="BH6" s="54">
        <v>12.326000000000001</v>
      </c>
      <c r="BI6" s="23">
        <v>45558</v>
      </c>
      <c r="BJ6" s="46">
        <v>0.91773148148148154</v>
      </c>
      <c r="BK6">
        <v>0</v>
      </c>
      <c r="BL6">
        <v>0</v>
      </c>
      <c r="BM6">
        <v>0</v>
      </c>
      <c r="BN6" s="57">
        <f>BN5</f>
        <v>12.3224</v>
      </c>
    </row>
    <row r="7" spans="1:66">
      <c r="A7" t="s">
        <v>103</v>
      </c>
      <c r="B7">
        <v>3</v>
      </c>
      <c r="C7" t="s">
        <v>7</v>
      </c>
      <c r="D7">
        <v>26048</v>
      </c>
      <c r="E7">
        <v>32</v>
      </c>
      <c r="F7">
        <v>1</v>
      </c>
      <c r="G7" s="41">
        <v>4</v>
      </c>
      <c r="H7" s="1">
        <v>940.66</v>
      </c>
      <c r="I7" s="54">
        <v>12.526999999999999</v>
      </c>
      <c r="J7" s="23">
        <v>45559</v>
      </c>
      <c r="K7" s="46">
        <v>0.31483796296296296</v>
      </c>
      <c r="L7">
        <v>0</v>
      </c>
      <c r="M7">
        <v>0</v>
      </c>
      <c r="N7">
        <v>0</v>
      </c>
      <c r="O7" s="57">
        <f t="shared" si="5"/>
        <v>12.5252</v>
      </c>
      <c r="R7" t="s">
        <v>103</v>
      </c>
      <c r="S7">
        <v>3</v>
      </c>
      <c r="T7" t="s">
        <v>7</v>
      </c>
      <c r="U7">
        <v>26048</v>
      </c>
      <c r="V7">
        <v>32</v>
      </c>
      <c r="W7" s="58">
        <v>1</v>
      </c>
      <c r="X7">
        <v>4</v>
      </c>
      <c r="Y7" s="1">
        <v>940.39</v>
      </c>
      <c r="Z7" s="54">
        <v>12.53</v>
      </c>
      <c r="AA7" s="23">
        <v>45559</v>
      </c>
      <c r="AB7" s="46">
        <v>0.3157638888888889</v>
      </c>
      <c r="AC7">
        <v>0</v>
      </c>
      <c r="AD7">
        <v>0</v>
      </c>
      <c r="AE7">
        <v>0</v>
      </c>
      <c r="AF7" s="57">
        <f t="shared" si="4"/>
        <v>12.535799999999998</v>
      </c>
      <c r="AG7"/>
      <c r="AH7"/>
      <c r="AI7" s="23" t="s">
        <v>154</v>
      </c>
      <c r="AJ7" s="46">
        <v>3</v>
      </c>
      <c r="AK7" t="s">
        <v>7</v>
      </c>
      <c r="AL7">
        <v>26048</v>
      </c>
      <c r="AM7">
        <v>32</v>
      </c>
      <c r="AN7" s="41">
        <v>1</v>
      </c>
      <c r="AO7">
        <v>4</v>
      </c>
      <c r="AP7" s="1">
        <v>933.49</v>
      </c>
      <c r="AQ7" s="54">
        <v>12.622999999999999</v>
      </c>
      <c r="AR7" s="23">
        <v>45559</v>
      </c>
      <c r="AS7" s="46">
        <v>0.15710648148148149</v>
      </c>
      <c r="AT7">
        <v>0</v>
      </c>
      <c r="AU7">
        <v>0</v>
      </c>
      <c r="AV7">
        <v>0</v>
      </c>
      <c r="AW7" s="57">
        <f>AW6</f>
        <v>12.621799999999999</v>
      </c>
      <c r="AZ7" t="s">
        <v>154</v>
      </c>
      <c r="BA7">
        <v>3</v>
      </c>
      <c r="BB7" t="s">
        <v>7</v>
      </c>
      <c r="BC7">
        <v>26048</v>
      </c>
      <c r="BD7">
        <v>32</v>
      </c>
      <c r="BE7">
        <v>1</v>
      </c>
      <c r="BF7">
        <v>4</v>
      </c>
      <c r="BG7" s="1">
        <v>954.49</v>
      </c>
      <c r="BH7" s="54">
        <v>12.345000000000001</v>
      </c>
      <c r="BI7" s="23">
        <v>45559</v>
      </c>
      <c r="BJ7" s="46">
        <v>0.22628472222222223</v>
      </c>
      <c r="BK7">
        <v>0</v>
      </c>
      <c r="BL7">
        <v>0</v>
      </c>
      <c r="BM7">
        <v>0</v>
      </c>
      <c r="BN7" s="57">
        <f>BN6</f>
        <v>12.3224</v>
      </c>
    </row>
    <row r="8" spans="1:66">
      <c r="A8" t="s">
        <v>103</v>
      </c>
      <c r="B8">
        <v>4</v>
      </c>
      <c r="C8" t="s">
        <v>7</v>
      </c>
      <c r="D8">
        <v>26048</v>
      </c>
      <c r="E8">
        <v>32</v>
      </c>
      <c r="F8">
        <v>1</v>
      </c>
      <c r="G8" s="41">
        <v>4</v>
      </c>
      <c r="H8" s="1">
        <v>941.94</v>
      </c>
      <c r="I8" s="54">
        <v>12.51</v>
      </c>
      <c r="J8" s="23">
        <v>45559</v>
      </c>
      <c r="K8" s="46">
        <v>0.65717592592592589</v>
      </c>
      <c r="L8">
        <v>0</v>
      </c>
      <c r="M8">
        <v>0</v>
      </c>
      <c r="N8">
        <v>0</v>
      </c>
      <c r="O8" s="57">
        <f t="shared" si="5"/>
        <v>12.5252</v>
      </c>
      <c r="R8" t="s">
        <v>103</v>
      </c>
      <c r="S8">
        <v>4</v>
      </c>
      <c r="T8" t="s">
        <v>7</v>
      </c>
      <c r="U8">
        <v>26048</v>
      </c>
      <c r="V8">
        <v>32</v>
      </c>
      <c r="W8" s="58">
        <v>1</v>
      </c>
      <c r="X8">
        <v>4</v>
      </c>
      <c r="Y8" s="1">
        <v>940.75</v>
      </c>
      <c r="Z8" s="54">
        <v>12.525</v>
      </c>
      <c r="AA8" s="23">
        <v>45559</v>
      </c>
      <c r="AB8" s="46">
        <v>0.65900462962962958</v>
      </c>
      <c r="AC8">
        <v>0</v>
      </c>
      <c r="AD8">
        <v>0</v>
      </c>
      <c r="AE8">
        <v>0</v>
      </c>
      <c r="AF8" s="57">
        <f t="shared" si="4"/>
        <v>12.535799999999998</v>
      </c>
      <c r="AG8"/>
      <c r="AH8"/>
      <c r="AI8" s="23" t="s">
        <v>154</v>
      </c>
      <c r="AJ8" s="46">
        <v>4</v>
      </c>
      <c r="AK8" t="s">
        <v>7</v>
      </c>
      <c r="AL8">
        <v>26048</v>
      </c>
      <c r="AM8">
        <v>32</v>
      </c>
      <c r="AN8" s="41">
        <v>1</v>
      </c>
      <c r="AO8">
        <v>4</v>
      </c>
      <c r="AP8" s="1">
        <v>930.85</v>
      </c>
      <c r="AQ8" s="54">
        <v>12.659000000000001</v>
      </c>
      <c r="AR8" s="23">
        <v>45559</v>
      </c>
      <c r="AS8" s="46">
        <v>0.4463773148148148</v>
      </c>
      <c r="AT8">
        <v>0</v>
      </c>
      <c r="AU8">
        <v>0</v>
      </c>
      <c r="AV8">
        <v>0</v>
      </c>
      <c r="AW8" s="57">
        <f>AW7</f>
        <v>12.621799999999999</v>
      </c>
      <c r="AZ8" t="s">
        <v>154</v>
      </c>
      <c r="BA8">
        <v>4</v>
      </c>
      <c r="BB8" t="s">
        <v>7</v>
      </c>
      <c r="BC8">
        <v>26048</v>
      </c>
      <c r="BD8">
        <v>32</v>
      </c>
      <c r="BE8">
        <v>1</v>
      </c>
      <c r="BF8">
        <v>4</v>
      </c>
      <c r="BG8" s="1">
        <v>956.76</v>
      </c>
      <c r="BH8" s="54">
        <v>12.316000000000001</v>
      </c>
      <c r="BI8" s="23">
        <v>45559</v>
      </c>
      <c r="BJ8" s="46">
        <v>0.53479166666666667</v>
      </c>
      <c r="BK8">
        <v>0</v>
      </c>
      <c r="BL8">
        <v>0</v>
      </c>
      <c r="BM8">
        <v>0</v>
      </c>
      <c r="BN8" s="57">
        <f>BN7</f>
        <v>12.3224</v>
      </c>
    </row>
    <row r="9" spans="1:66">
      <c r="A9" t="s">
        <v>103</v>
      </c>
      <c r="B9">
        <v>0</v>
      </c>
      <c r="C9" t="s">
        <v>7</v>
      </c>
      <c r="D9">
        <v>27584</v>
      </c>
      <c r="E9">
        <v>32</v>
      </c>
      <c r="F9">
        <v>1</v>
      </c>
      <c r="G9" s="41">
        <v>4</v>
      </c>
      <c r="H9" s="1">
        <v>1142.6199999999999</v>
      </c>
      <c r="I9" s="54">
        <v>12.247</v>
      </c>
      <c r="J9" s="23">
        <v>45558</v>
      </c>
      <c r="K9" s="46">
        <v>0.3853935185185185</v>
      </c>
      <c r="L9">
        <v>0</v>
      </c>
      <c r="M9">
        <v>0</v>
      </c>
      <c r="N9">
        <v>0</v>
      </c>
      <c r="O9" s="57">
        <f t="shared" ref="O9" si="6">AVERAGE(I9:I13)</f>
        <v>12.228</v>
      </c>
      <c r="R9" t="s">
        <v>103</v>
      </c>
      <c r="S9">
        <v>0</v>
      </c>
      <c r="T9" t="s">
        <v>7</v>
      </c>
      <c r="U9">
        <v>27584</v>
      </c>
      <c r="V9">
        <v>32</v>
      </c>
      <c r="W9" s="41">
        <v>1</v>
      </c>
      <c r="X9">
        <v>4</v>
      </c>
      <c r="Y9" s="1">
        <v>1140.03</v>
      </c>
      <c r="Z9" s="54">
        <v>12.273999999999999</v>
      </c>
      <c r="AA9" s="23">
        <v>45558</v>
      </c>
      <c r="AB9" s="46">
        <v>0.38394675925925925</v>
      </c>
      <c r="AC9">
        <v>0</v>
      </c>
      <c r="AD9">
        <v>0</v>
      </c>
      <c r="AE9">
        <v>0</v>
      </c>
      <c r="AF9" s="57">
        <f t="shared" ref="AF9" si="7">AVERAGE(Z9:Z13)</f>
        <v>12.267800000000001</v>
      </c>
      <c r="AI9" s="23" t="s">
        <v>154</v>
      </c>
      <c r="AJ9" s="46">
        <v>0</v>
      </c>
      <c r="AK9" t="s">
        <v>7</v>
      </c>
      <c r="AL9">
        <v>27584</v>
      </c>
      <c r="AM9">
        <v>32</v>
      </c>
      <c r="AN9" s="41">
        <v>1</v>
      </c>
      <c r="AO9">
        <v>4</v>
      </c>
      <c r="AP9" s="1">
        <v>1130.23</v>
      </c>
      <c r="AQ9" s="54">
        <v>12.381</v>
      </c>
      <c r="AR9" s="23">
        <v>45558</v>
      </c>
      <c r="AS9" s="46">
        <v>0.36899305555555556</v>
      </c>
      <c r="AT9">
        <v>0</v>
      </c>
      <c r="AU9">
        <v>0</v>
      </c>
      <c r="AV9">
        <v>0</v>
      </c>
      <c r="AW9" s="57">
        <f t="shared" ref="AW9" si="8">AVERAGE(AQ9:AQ13)</f>
        <v>12.356799999999998</v>
      </c>
      <c r="AZ9" t="s">
        <v>154</v>
      </c>
      <c r="BA9">
        <v>0</v>
      </c>
      <c r="BB9" t="s">
        <v>7</v>
      </c>
      <c r="BC9">
        <v>27584</v>
      </c>
      <c r="BD9">
        <v>32</v>
      </c>
      <c r="BE9">
        <v>1</v>
      </c>
      <c r="BF9">
        <v>4</v>
      </c>
      <c r="BG9" s="1">
        <v>1144.72</v>
      </c>
      <c r="BH9" s="54">
        <v>12.224</v>
      </c>
      <c r="BI9" s="23">
        <v>45558</v>
      </c>
      <c r="BJ9" s="46">
        <v>0.37717592592592591</v>
      </c>
      <c r="BK9">
        <v>0</v>
      </c>
      <c r="BL9">
        <v>0</v>
      </c>
      <c r="BM9">
        <v>0</v>
      </c>
      <c r="BN9" s="57">
        <f t="shared" ref="BN9" si="9">AVERAGE(BH9:BH13)</f>
        <v>12.221399999999999</v>
      </c>
    </row>
    <row r="10" spans="1:66">
      <c r="A10" t="s">
        <v>103</v>
      </c>
      <c r="B10">
        <v>1</v>
      </c>
      <c r="C10" t="s">
        <v>7</v>
      </c>
      <c r="D10">
        <v>27584</v>
      </c>
      <c r="E10">
        <v>32</v>
      </c>
      <c r="F10">
        <v>1</v>
      </c>
      <c r="G10" s="41">
        <v>4</v>
      </c>
      <c r="H10" s="1">
        <v>1146.43</v>
      </c>
      <c r="I10" s="54">
        <v>12.206</v>
      </c>
      <c r="J10" s="23">
        <v>45558</v>
      </c>
      <c r="K10" s="46">
        <v>0.72755787037037034</v>
      </c>
      <c r="L10">
        <v>0</v>
      </c>
      <c r="M10">
        <v>0</v>
      </c>
      <c r="N10">
        <v>0</v>
      </c>
      <c r="O10" s="57">
        <f t="shared" ref="O10:O73" si="10">O9</f>
        <v>12.228</v>
      </c>
      <c r="R10" t="s">
        <v>103</v>
      </c>
      <c r="S10">
        <v>1</v>
      </c>
      <c r="T10" t="s">
        <v>7</v>
      </c>
      <c r="U10">
        <v>27584</v>
      </c>
      <c r="V10">
        <v>32</v>
      </c>
      <c r="W10" s="41">
        <v>1</v>
      </c>
      <c r="X10">
        <v>4</v>
      </c>
      <c r="Y10" s="1">
        <v>1145.18</v>
      </c>
      <c r="Z10" s="54">
        <v>12.218999999999999</v>
      </c>
      <c r="AA10" s="23">
        <v>45558</v>
      </c>
      <c r="AB10" s="46">
        <v>0.72711805555555553</v>
      </c>
      <c r="AC10">
        <v>0</v>
      </c>
      <c r="AD10">
        <v>0</v>
      </c>
      <c r="AE10">
        <v>0</v>
      </c>
      <c r="AF10" s="57">
        <f t="shared" si="4"/>
        <v>12.267800000000001</v>
      </c>
      <c r="AI10" s="23" t="s">
        <v>154</v>
      </c>
      <c r="AJ10" s="46">
        <v>1</v>
      </c>
      <c r="AK10" t="s">
        <v>7</v>
      </c>
      <c r="AL10">
        <v>27584</v>
      </c>
      <c r="AM10">
        <v>32</v>
      </c>
      <c r="AN10" s="41">
        <v>1</v>
      </c>
      <c r="AO10">
        <v>4</v>
      </c>
      <c r="AP10" s="1">
        <v>1130.9100000000001</v>
      </c>
      <c r="AQ10" s="54">
        <v>12.372999999999999</v>
      </c>
      <c r="AR10" s="23">
        <v>45558</v>
      </c>
      <c r="AS10" s="46">
        <v>0.66153935185185186</v>
      </c>
      <c r="AT10">
        <v>0</v>
      </c>
      <c r="AU10">
        <v>0</v>
      </c>
      <c r="AV10">
        <v>0</v>
      </c>
      <c r="AW10" s="57">
        <f t="shared" ref="AW10:AW13" si="11">AW9</f>
        <v>12.356799999999998</v>
      </c>
      <c r="AZ10" t="s">
        <v>154</v>
      </c>
      <c r="BA10">
        <v>1</v>
      </c>
      <c r="BB10" t="s">
        <v>7</v>
      </c>
      <c r="BC10">
        <v>27584</v>
      </c>
      <c r="BD10">
        <v>32</v>
      </c>
      <c r="BE10">
        <v>1</v>
      </c>
      <c r="BF10">
        <v>4</v>
      </c>
      <c r="BG10" s="1">
        <v>1144.6099999999999</v>
      </c>
      <c r="BH10" s="54">
        <v>12.225</v>
      </c>
      <c r="BI10" s="23">
        <v>45558</v>
      </c>
      <c r="BJ10" s="46">
        <v>0.69796296296296301</v>
      </c>
      <c r="BK10">
        <v>0</v>
      </c>
      <c r="BL10">
        <v>0</v>
      </c>
      <c r="BM10">
        <v>0</v>
      </c>
      <c r="BN10" s="57">
        <f t="shared" ref="BN10:BN13" si="12">BN9</f>
        <v>12.221399999999999</v>
      </c>
    </row>
    <row r="11" spans="1:66">
      <c r="A11" t="s">
        <v>103</v>
      </c>
      <c r="B11">
        <v>2</v>
      </c>
      <c r="C11" t="s">
        <v>7</v>
      </c>
      <c r="D11">
        <v>27584</v>
      </c>
      <c r="E11">
        <v>32</v>
      </c>
      <c r="F11">
        <v>1</v>
      </c>
      <c r="G11" s="41">
        <v>4</v>
      </c>
      <c r="H11" s="1">
        <v>1146.82</v>
      </c>
      <c r="I11" s="54">
        <v>12.202</v>
      </c>
      <c r="J11" s="23">
        <v>45559</v>
      </c>
      <c r="K11" s="46">
        <v>6.9733796296296294E-2</v>
      </c>
      <c r="L11">
        <v>0</v>
      </c>
      <c r="M11">
        <v>0</v>
      </c>
      <c r="N11">
        <v>0</v>
      </c>
      <c r="O11" s="57">
        <f t="shared" si="10"/>
        <v>12.228</v>
      </c>
      <c r="R11" t="s">
        <v>103</v>
      </c>
      <c r="S11">
        <v>2</v>
      </c>
      <c r="T11" t="s">
        <v>7</v>
      </c>
      <c r="U11">
        <v>27584</v>
      </c>
      <c r="V11">
        <v>32</v>
      </c>
      <c r="W11" s="58">
        <v>1</v>
      </c>
      <c r="X11">
        <v>4</v>
      </c>
      <c r="Y11" s="1">
        <v>1138.9000000000001</v>
      </c>
      <c r="Z11" s="54">
        <v>12.287000000000001</v>
      </c>
      <c r="AA11" s="23">
        <v>45559</v>
      </c>
      <c r="AB11" s="46">
        <v>7.013888888888889E-2</v>
      </c>
      <c r="AC11">
        <v>0</v>
      </c>
      <c r="AD11">
        <v>0</v>
      </c>
      <c r="AE11">
        <v>0</v>
      </c>
      <c r="AF11" s="57">
        <f t="shared" si="4"/>
        <v>12.267800000000001</v>
      </c>
      <c r="AI11" s="23" t="s">
        <v>154</v>
      </c>
      <c r="AJ11" s="46">
        <v>2</v>
      </c>
      <c r="AK11" t="s">
        <v>7</v>
      </c>
      <c r="AL11">
        <v>27584</v>
      </c>
      <c r="AM11">
        <v>32</v>
      </c>
      <c r="AN11" s="41">
        <v>1</v>
      </c>
      <c r="AO11">
        <v>4</v>
      </c>
      <c r="AP11" s="1">
        <v>1135.68</v>
      </c>
      <c r="AQ11" s="54">
        <v>12.321</v>
      </c>
      <c r="AR11" s="23">
        <v>45558</v>
      </c>
      <c r="AS11" s="46">
        <v>0.95070601851851855</v>
      </c>
      <c r="AT11">
        <v>0</v>
      </c>
      <c r="AU11">
        <v>0</v>
      </c>
      <c r="AV11">
        <v>0</v>
      </c>
      <c r="AW11" s="57">
        <f t="shared" si="11"/>
        <v>12.356799999999998</v>
      </c>
      <c r="AZ11" t="s">
        <v>154</v>
      </c>
      <c r="BA11">
        <v>2</v>
      </c>
      <c r="BB11" t="s">
        <v>7</v>
      </c>
      <c r="BC11">
        <v>27584</v>
      </c>
      <c r="BD11">
        <v>32</v>
      </c>
      <c r="BE11">
        <v>1</v>
      </c>
      <c r="BF11">
        <v>4</v>
      </c>
      <c r="BG11" s="1">
        <v>1146.83</v>
      </c>
      <c r="BH11" s="54">
        <v>12.202</v>
      </c>
      <c r="BI11" s="23">
        <v>45559</v>
      </c>
      <c r="BJ11" s="46">
        <v>6.6319444444444446E-3</v>
      </c>
      <c r="BK11">
        <v>0</v>
      </c>
      <c r="BL11">
        <v>0</v>
      </c>
      <c r="BM11">
        <v>0</v>
      </c>
      <c r="BN11" s="57">
        <f t="shared" si="12"/>
        <v>12.221399999999999</v>
      </c>
    </row>
    <row r="12" spans="1:66">
      <c r="A12" t="s">
        <v>103</v>
      </c>
      <c r="B12">
        <v>3</v>
      </c>
      <c r="C12" t="s">
        <v>7</v>
      </c>
      <c r="D12">
        <v>27584</v>
      </c>
      <c r="E12">
        <v>32</v>
      </c>
      <c r="F12">
        <v>1</v>
      </c>
      <c r="G12" s="41">
        <v>4</v>
      </c>
      <c r="H12" s="1">
        <v>1142.67</v>
      </c>
      <c r="I12" s="54">
        <v>12.246</v>
      </c>
      <c r="J12" s="23">
        <v>45559</v>
      </c>
      <c r="K12" s="46">
        <v>0.4120949074074074</v>
      </c>
      <c r="L12">
        <v>0</v>
      </c>
      <c r="M12">
        <v>0</v>
      </c>
      <c r="N12">
        <v>0</v>
      </c>
      <c r="O12" s="57">
        <f t="shared" si="10"/>
        <v>12.228</v>
      </c>
      <c r="R12" t="s">
        <v>103</v>
      </c>
      <c r="S12">
        <v>3</v>
      </c>
      <c r="T12" t="s">
        <v>7</v>
      </c>
      <c r="U12">
        <v>27584</v>
      </c>
      <c r="V12">
        <v>32</v>
      </c>
      <c r="W12" s="58">
        <v>1</v>
      </c>
      <c r="X12">
        <v>4</v>
      </c>
      <c r="Y12" s="1">
        <v>1137.32</v>
      </c>
      <c r="Z12" s="54">
        <v>12.304</v>
      </c>
      <c r="AA12" s="23">
        <v>45559</v>
      </c>
      <c r="AB12" s="46">
        <v>0.41325231481481484</v>
      </c>
      <c r="AC12">
        <v>0</v>
      </c>
      <c r="AD12">
        <v>0</v>
      </c>
      <c r="AE12">
        <v>0</v>
      </c>
      <c r="AF12" s="57">
        <f t="shared" si="4"/>
        <v>12.267800000000001</v>
      </c>
      <c r="AI12" s="23" t="s">
        <v>154</v>
      </c>
      <c r="AJ12" s="46">
        <v>3</v>
      </c>
      <c r="AK12" t="s">
        <v>7</v>
      </c>
      <c r="AL12">
        <v>27584</v>
      </c>
      <c r="AM12">
        <v>32</v>
      </c>
      <c r="AN12" s="41">
        <v>1</v>
      </c>
      <c r="AO12">
        <v>4</v>
      </c>
      <c r="AP12" s="1">
        <v>1130.25</v>
      </c>
      <c r="AQ12" s="54">
        <v>12.381</v>
      </c>
      <c r="AR12" s="23">
        <v>45559</v>
      </c>
      <c r="AS12" s="46">
        <v>0.23966435185185186</v>
      </c>
      <c r="AT12">
        <v>0</v>
      </c>
      <c r="AU12">
        <v>0</v>
      </c>
      <c r="AV12">
        <v>0</v>
      </c>
      <c r="AW12" s="57">
        <f t="shared" si="11"/>
        <v>12.356799999999998</v>
      </c>
      <c r="AZ12" t="s">
        <v>154</v>
      </c>
      <c r="BA12">
        <v>3</v>
      </c>
      <c r="BB12" t="s">
        <v>7</v>
      </c>
      <c r="BC12">
        <v>27584</v>
      </c>
      <c r="BD12">
        <v>32</v>
      </c>
      <c r="BE12">
        <v>1</v>
      </c>
      <c r="BF12">
        <v>4</v>
      </c>
      <c r="BG12" s="1">
        <v>1144.83</v>
      </c>
      <c r="BH12" s="54">
        <v>12.223000000000001</v>
      </c>
      <c r="BI12" s="23">
        <v>45559</v>
      </c>
      <c r="BJ12" s="46">
        <v>0.31515046296296295</v>
      </c>
      <c r="BK12">
        <v>0</v>
      </c>
      <c r="BL12">
        <v>0</v>
      </c>
      <c r="BM12">
        <v>0</v>
      </c>
      <c r="BN12" s="57">
        <f t="shared" si="12"/>
        <v>12.221399999999999</v>
      </c>
    </row>
    <row r="13" spans="1:66">
      <c r="A13" t="s">
        <v>103</v>
      </c>
      <c r="B13">
        <v>4</v>
      </c>
      <c r="C13" t="s">
        <v>7</v>
      </c>
      <c r="D13">
        <v>27584</v>
      </c>
      <c r="E13">
        <v>32</v>
      </c>
      <c r="F13">
        <v>1</v>
      </c>
      <c r="G13" s="41">
        <v>4</v>
      </c>
      <c r="H13" s="1">
        <v>1143.3</v>
      </c>
      <c r="I13" s="54">
        <v>12.239000000000001</v>
      </c>
      <c r="J13" s="23">
        <v>45559</v>
      </c>
      <c r="K13" s="46">
        <v>0.75436342592592598</v>
      </c>
      <c r="L13">
        <v>0</v>
      </c>
      <c r="M13">
        <v>0</v>
      </c>
      <c r="N13">
        <v>0</v>
      </c>
      <c r="O13" s="57">
        <f t="shared" si="10"/>
        <v>12.228</v>
      </c>
      <c r="R13" t="s">
        <v>103</v>
      </c>
      <c r="S13">
        <v>4</v>
      </c>
      <c r="T13" t="s">
        <v>7</v>
      </c>
      <c r="U13">
        <v>27584</v>
      </c>
      <c r="V13">
        <v>32</v>
      </c>
      <c r="W13" s="58">
        <v>1</v>
      </c>
      <c r="X13">
        <v>4</v>
      </c>
      <c r="Y13" s="1">
        <v>1141.8</v>
      </c>
      <c r="Z13" s="54">
        <v>12.255000000000001</v>
      </c>
      <c r="AA13" s="23">
        <v>45559</v>
      </c>
      <c r="AB13" s="46">
        <v>0.75634259259259262</v>
      </c>
      <c r="AC13">
        <v>0</v>
      </c>
      <c r="AD13">
        <v>0</v>
      </c>
      <c r="AE13">
        <v>0</v>
      </c>
      <c r="AF13" s="57">
        <f t="shared" si="4"/>
        <v>12.267800000000001</v>
      </c>
      <c r="AI13" s="23" t="s">
        <v>154</v>
      </c>
      <c r="AJ13" s="46">
        <v>4</v>
      </c>
      <c r="AK13" t="s">
        <v>7</v>
      </c>
      <c r="AL13">
        <v>27584</v>
      </c>
      <c r="AM13">
        <v>32</v>
      </c>
      <c r="AN13" s="41">
        <v>1</v>
      </c>
      <c r="AO13">
        <v>4</v>
      </c>
      <c r="AP13" s="1">
        <v>1135.1199999999999</v>
      </c>
      <c r="AQ13" s="54">
        <v>12.327999999999999</v>
      </c>
      <c r="AR13" s="23">
        <v>45559</v>
      </c>
      <c r="AS13" s="46">
        <v>0.5289814814814815</v>
      </c>
      <c r="AT13">
        <v>0</v>
      </c>
      <c r="AU13">
        <v>0</v>
      </c>
      <c r="AV13">
        <v>0</v>
      </c>
      <c r="AW13" s="57">
        <f t="shared" si="11"/>
        <v>12.356799999999998</v>
      </c>
      <c r="AZ13" t="s">
        <v>154</v>
      </c>
      <c r="BA13">
        <v>4</v>
      </c>
      <c r="BB13" t="s">
        <v>7</v>
      </c>
      <c r="BC13">
        <v>27584</v>
      </c>
      <c r="BD13">
        <v>32</v>
      </c>
      <c r="BE13">
        <v>1</v>
      </c>
      <c r="BF13">
        <v>4</v>
      </c>
      <c r="BG13" s="1">
        <v>1143.8800000000001</v>
      </c>
      <c r="BH13" s="54">
        <v>12.233000000000001</v>
      </c>
      <c r="BI13" s="23">
        <v>45559</v>
      </c>
      <c r="BJ13" s="46">
        <v>0.62356481481481485</v>
      </c>
      <c r="BK13">
        <v>0</v>
      </c>
      <c r="BL13">
        <v>0</v>
      </c>
      <c r="BM13">
        <v>0</v>
      </c>
      <c r="BN13" s="57">
        <f t="shared" si="12"/>
        <v>12.221399999999999</v>
      </c>
    </row>
    <row r="14" spans="1:66">
      <c r="A14" t="s">
        <v>103</v>
      </c>
      <c r="B14">
        <v>0</v>
      </c>
      <c r="C14" t="s">
        <v>7</v>
      </c>
      <c r="D14">
        <v>29120</v>
      </c>
      <c r="E14">
        <v>32</v>
      </c>
      <c r="F14">
        <v>1</v>
      </c>
      <c r="G14" s="41">
        <v>4</v>
      </c>
      <c r="H14" s="1">
        <v>1347.01</v>
      </c>
      <c r="I14" s="54">
        <v>12.222</v>
      </c>
      <c r="J14" s="23">
        <v>45558</v>
      </c>
      <c r="K14" s="46">
        <v>0.50171296296296297</v>
      </c>
      <c r="L14">
        <v>0</v>
      </c>
      <c r="M14">
        <v>0</v>
      </c>
      <c r="N14">
        <v>0</v>
      </c>
      <c r="O14" s="57">
        <f t="shared" ref="O14" si="13">AVERAGE(I14:I18)</f>
        <v>12.223800000000001</v>
      </c>
      <c r="R14" t="s">
        <v>103</v>
      </c>
      <c r="S14">
        <v>0</v>
      </c>
      <c r="T14" t="s">
        <v>7</v>
      </c>
      <c r="U14">
        <v>29120</v>
      </c>
      <c r="V14">
        <v>32</v>
      </c>
      <c r="W14" s="41">
        <v>1</v>
      </c>
      <c r="X14">
        <v>4</v>
      </c>
      <c r="Y14" s="1">
        <v>1342.01</v>
      </c>
      <c r="Z14" s="54">
        <v>12.268000000000001</v>
      </c>
      <c r="AA14" s="23">
        <v>45558</v>
      </c>
      <c r="AB14" s="46">
        <v>0.50048611111111108</v>
      </c>
      <c r="AC14">
        <v>0</v>
      </c>
      <c r="AD14">
        <v>0</v>
      </c>
      <c r="AE14">
        <v>0</v>
      </c>
      <c r="AF14" s="57">
        <f t="shared" ref="AF14" si="14">AVERAGE(Z14:Z18)</f>
        <v>12.261800000000001</v>
      </c>
      <c r="AI14" s="23" t="s">
        <v>154</v>
      </c>
      <c r="AJ14" s="46">
        <v>0</v>
      </c>
      <c r="AK14" t="s">
        <v>7</v>
      </c>
      <c r="AL14">
        <v>29120</v>
      </c>
      <c r="AM14">
        <v>32</v>
      </c>
      <c r="AN14" s="41">
        <v>1</v>
      </c>
      <c r="AO14">
        <v>4</v>
      </c>
      <c r="AP14" s="1">
        <v>1315.06</v>
      </c>
      <c r="AQ14" s="54">
        <v>12.519</v>
      </c>
      <c r="AR14" s="23">
        <v>45558</v>
      </c>
      <c r="AS14" s="46">
        <v>0.49303240740740739</v>
      </c>
      <c r="AT14">
        <v>0</v>
      </c>
      <c r="AU14">
        <v>0</v>
      </c>
      <c r="AV14">
        <v>0</v>
      </c>
      <c r="AW14" s="57">
        <f t="shared" ref="AW14" si="15">AVERAGE(AQ14:AQ18)</f>
        <v>12.504799999999999</v>
      </c>
      <c r="AZ14" t="s">
        <v>154</v>
      </c>
      <c r="BA14">
        <v>0</v>
      </c>
      <c r="BB14" t="s">
        <v>7</v>
      </c>
      <c r="BC14">
        <v>29120</v>
      </c>
      <c r="BD14">
        <v>32</v>
      </c>
      <c r="BE14">
        <v>1</v>
      </c>
      <c r="BF14">
        <v>4</v>
      </c>
      <c r="BG14" s="1">
        <v>1325.18</v>
      </c>
      <c r="BH14" s="54">
        <v>12.423</v>
      </c>
      <c r="BI14" s="23">
        <v>45558</v>
      </c>
      <c r="BJ14" s="46">
        <v>0.4931828703703704</v>
      </c>
      <c r="BK14">
        <v>0</v>
      </c>
      <c r="BL14">
        <v>0</v>
      </c>
      <c r="BM14">
        <v>0</v>
      </c>
      <c r="BN14" s="57">
        <f t="shared" ref="BN14" si="16">AVERAGE(BH14:BH18)</f>
        <v>12.427800000000001</v>
      </c>
    </row>
    <row r="15" spans="1:66">
      <c r="A15" t="s">
        <v>103</v>
      </c>
      <c r="B15">
        <v>1</v>
      </c>
      <c r="C15" t="s">
        <v>7</v>
      </c>
      <c r="D15">
        <v>29120</v>
      </c>
      <c r="E15">
        <v>32</v>
      </c>
      <c r="F15">
        <v>1</v>
      </c>
      <c r="G15" s="41">
        <v>4</v>
      </c>
      <c r="H15" s="1">
        <v>1349.61</v>
      </c>
      <c r="I15" s="54">
        <v>12.199</v>
      </c>
      <c r="J15" s="23">
        <v>45558</v>
      </c>
      <c r="K15" s="46">
        <v>0.8439699074074074</v>
      </c>
      <c r="L15">
        <v>0</v>
      </c>
      <c r="M15">
        <v>0</v>
      </c>
      <c r="N15">
        <v>0</v>
      </c>
      <c r="O15" s="57">
        <f t="shared" ref="O15" si="17">O14</f>
        <v>12.223800000000001</v>
      </c>
      <c r="R15" t="s">
        <v>103</v>
      </c>
      <c r="S15">
        <v>1</v>
      </c>
      <c r="T15" t="s">
        <v>7</v>
      </c>
      <c r="U15">
        <v>29120</v>
      </c>
      <c r="V15">
        <v>32</v>
      </c>
      <c r="W15" s="58">
        <v>1</v>
      </c>
      <c r="X15">
        <v>4</v>
      </c>
      <c r="Y15" s="1">
        <v>1346</v>
      </c>
      <c r="Z15" s="54">
        <v>12.231</v>
      </c>
      <c r="AA15" s="23">
        <v>45558</v>
      </c>
      <c r="AB15" s="46">
        <v>0.84365740740740736</v>
      </c>
      <c r="AC15">
        <v>0</v>
      </c>
      <c r="AD15">
        <v>0</v>
      </c>
      <c r="AE15">
        <v>0</v>
      </c>
      <c r="AF15" s="57">
        <f t="shared" si="4"/>
        <v>12.261800000000001</v>
      </c>
      <c r="AI15" s="23" t="s">
        <v>154</v>
      </c>
      <c r="AJ15" s="46">
        <v>1</v>
      </c>
      <c r="AK15" t="s">
        <v>7</v>
      </c>
      <c r="AL15">
        <v>29120</v>
      </c>
      <c r="AM15">
        <v>32</v>
      </c>
      <c r="AN15" s="41">
        <v>1</v>
      </c>
      <c r="AO15">
        <v>4</v>
      </c>
      <c r="AP15" s="1">
        <v>1321.79</v>
      </c>
      <c r="AQ15" s="54">
        <v>12.455</v>
      </c>
      <c r="AR15" s="23">
        <v>45558</v>
      </c>
      <c r="AS15" s="46">
        <v>0.75931712962962961</v>
      </c>
      <c r="AT15">
        <v>0</v>
      </c>
      <c r="AU15">
        <v>0</v>
      </c>
      <c r="AV15">
        <v>0</v>
      </c>
      <c r="AW15" s="57">
        <f t="shared" ref="AW15:AW18" si="18">AW14</f>
        <v>12.504799999999999</v>
      </c>
      <c r="AZ15" t="s">
        <v>154</v>
      </c>
      <c r="BA15">
        <v>1</v>
      </c>
      <c r="BB15" t="s">
        <v>7</v>
      </c>
      <c r="BC15">
        <v>29120</v>
      </c>
      <c r="BD15">
        <v>32</v>
      </c>
      <c r="BE15">
        <v>1</v>
      </c>
      <c r="BF15">
        <v>4</v>
      </c>
      <c r="BG15" s="1">
        <v>1324.34</v>
      </c>
      <c r="BH15" s="54">
        <v>12.430999999999999</v>
      </c>
      <c r="BI15" s="23">
        <v>45558</v>
      </c>
      <c r="BJ15" s="46">
        <v>0.80209490740740741</v>
      </c>
      <c r="BK15">
        <v>0</v>
      </c>
      <c r="BL15">
        <v>0</v>
      </c>
      <c r="BM15">
        <v>0</v>
      </c>
      <c r="BN15" s="57">
        <f t="shared" ref="BN15:BN18" si="19">BN14</f>
        <v>12.427800000000001</v>
      </c>
    </row>
    <row r="16" spans="1:66">
      <c r="A16" t="s">
        <v>103</v>
      </c>
      <c r="B16">
        <v>2</v>
      </c>
      <c r="C16" t="s">
        <v>7</v>
      </c>
      <c r="D16">
        <v>29120</v>
      </c>
      <c r="E16">
        <v>32</v>
      </c>
      <c r="F16">
        <v>1</v>
      </c>
      <c r="G16" s="41">
        <v>4</v>
      </c>
      <c r="H16" s="1">
        <v>1345.4</v>
      </c>
      <c r="I16" s="54">
        <v>12.237</v>
      </c>
      <c r="J16" s="23">
        <v>45559</v>
      </c>
      <c r="K16" s="46">
        <v>0.18604166666666666</v>
      </c>
      <c r="L16">
        <v>0</v>
      </c>
      <c r="M16">
        <v>0</v>
      </c>
      <c r="N16">
        <v>0</v>
      </c>
      <c r="O16" s="57">
        <f t="shared" si="10"/>
        <v>12.223800000000001</v>
      </c>
      <c r="R16" t="s">
        <v>103</v>
      </c>
      <c r="S16">
        <v>2</v>
      </c>
      <c r="T16" t="s">
        <v>7</v>
      </c>
      <c r="U16">
        <v>29120</v>
      </c>
      <c r="V16">
        <v>32</v>
      </c>
      <c r="W16" s="58">
        <v>1</v>
      </c>
      <c r="X16">
        <v>4</v>
      </c>
      <c r="Y16" s="1">
        <v>1338.65</v>
      </c>
      <c r="Z16" s="54">
        <v>12.298</v>
      </c>
      <c r="AA16" s="23">
        <v>45559</v>
      </c>
      <c r="AB16" s="46">
        <v>0.18659722222222222</v>
      </c>
      <c r="AC16">
        <v>0</v>
      </c>
      <c r="AD16">
        <v>0</v>
      </c>
      <c r="AE16">
        <v>0</v>
      </c>
      <c r="AF16" s="57">
        <f t="shared" si="4"/>
        <v>12.261800000000001</v>
      </c>
      <c r="AI16" s="23" t="s">
        <v>154</v>
      </c>
      <c r="AJ16" s="46">
        <v>2</v>
      </c>
      <c r="AK16" t="s">
        <v>7</v>
      </c>
      <c r="AL16">
        <v>29120</v>
      </c>
      <c r="AM16">
        <v>32</v>
      </c>
      <c r="AN16" s="41">
        <v>1</v>
      </c>
      <c r="AO16">
        <v>4</v>
      </c>
      <c r="AP16" s="1">
        <v>1311.79</v>
      </c>
      <c r="AQ16" s="54">
        <v>12.55</v>
      </c>
      <c r="AR16" s="23">
        <v>45559</v>
      </c>
      <c r="AS16" s="46">
        <v>4.8206018518518516E-2</v>
      </c>
      <c r="AT16">
        <v>0</v>
      </c>
      <c r="AU16">
        <v>0</v>
      </c>
      <c r="AV16">
        <v>0</v>
      </c>
      <c r="AW16" s="57">
        <f t="shared" si="18"/>
        <v>12.504799999999999</v>
      </c>
      <c r="AZ16" t="s">
        <v>154</v>
      </c>
      <c r="BA16">
        <v>2</v>
      </c>
      <c r="BB16" t="s">
        <v>7</v>
      </c>
      <c r="BC16">
        <v>29120</v>
      </c>
      <c r="BD16">
        <v>32</v>
      </c>
      <c r="BE16">
        <v>1</v>
      </c>
      <c r="BF16">
        <v>4</v>
      </c>
      <c r="BG16" s="1">
        <v>1324.31</v>
      </c>
      <c r="BH16" s="54">
        <v>12.432</v>
      </c>
      <c r="BI16" s="23">
        <v>45559</v>
      </c>
      <c r="BJ16" s="46">
        <v>0.11075231481481482</v>
      </c>
      <c r="BK16">
        <v>0</v>
      </c>
      <c r="BL16">
        <v>0</v>
      </c>
      <c r="BM16">
        <v>0</v>
      </c>
      <c r="BN16" s="57">
        <f t="shared" si="19"/>
        <v>12.427800000000001</v>
      </c>
    </row>
    <row r="17" spans="1:66">
      <c r="A17" t="s">
        <v>103</v>
      </c>
      <c r="B17">
        <v>3</v>
      </c>
      <c r="C17" t="s">
        <v>7</v>
      </c>
      <c r="D17">
        <v>29120</v>
      </c>
      <c r="E17">
        <v>32</v>
      </c>
      <c r="F17">
        <v>1</v>
      </c>
      <c r="G17" s="41">
        <v>4</v>
      </c>
      <c r="H17" s="1">
        <v>1346.44</v>
      </c>
      <c r="I17" s="54">
        <v>12.227</v>
      </c>
      <c r="J17" s="23">
        <v>45559</v>
      </c>
      <c r="K17" s="46">
        <v>0.52839120370370374</v>
      </c>
      <c r="L17">
        <v>0</v>
      </c>
      <c r="M17">
        <v>0</v>
      </c>
      <c r="N17">
        <v>0</v>
      </c>
      <c r="O17" s="57">
        <f t="shared" si="10"/>
        <v>12.223800000000001</v>
      </c>
      <c r="R17" t="s">
        <v>103</v>
      </c>
      <c r="S17">
        <v>3</v>
      </c>
      <c r="T17" t="s">
        <v>7</v>
      </c>
      <c r="U17">
        <v>29120</v>
      </c>
      <c r="V17">
        <v>32</v>
      </c>
      <c r="W17" s="58">
        <v>1</v>
      </c>
      <c r="X17">
        <v>4</v>
      </c>
      <c r="Y17" s="1">
        <v>1342.63</v>
      </c>
      <c r="Z17" s="54">
        <v>12.262</v>
      </c>
      <c r="AA17" s="23">
        <v>45559</v>
      </c>
      <c r="AB17" s="46">
        <v>0.52984953703703708</v>
      </c>
      <c r="AC17">
        <v>0</v>
      </c>
      <c r="AD17">
        <v>0</v>
      </c>
      <c r="AE17">
        <v>0</v>
      </c>
      <c r="AF17" s="57">
        <f t="shared" si="4"/>
        <v>12.261800000000001</v>
      </c>
      <c r="AI17" s="23" t="s">
        <v>154</v>
      </c>
      <c r="AJ17" s="46">
        <v>3</v>
      </c>
      <c r="AK17" t="s">
        <v>7</v>
      </c>
      <c r="AL17">
        <v>29120</v>
      </c>
      <c r="AM17">
        <v>32</v>
      </c>
      <c r="AN17" s="41">
        <v>1</v>
      </c>
      <c r="AO17">
        <v>4</v>
      </c>
      <c r="AP17" s="1">
        <v>1313.91</v>
      </c>
      <c r="AQ17" s="54">
        <v>12.53</v>
      </c>
      <c r="AR17" s="23">
        <v>45559</v>
      </c>
      <c r="AS17" s="46">
        <v>0.33728009259259262</v>
      </c>
      <c r="AT17">
        <v>0</v>
      </c>
      <c r="AU17">
        <v>0</v>
      </c>
      <c r="AV17">
        <v>0</v>
      </c>
      <c r="AW17" s="57">
        <f t="shared" si="18"/>
        <v>12.504799999999999</v>
      </c>
      <c r="AZ17" t="s">
        <v>154</v>
      </c>
      <c r="BA17">
        <v>3</v>
      </c>
      <c r="BB17" t="s">
        <v>7</v>
      </c>
      <c r="BC17">
        <v>29120</v>
      </c>
      <c r="BD17">
        <v>32</v>
      </c>
      <c r="BE17">
        <v>1</v>
      </c>
      <c r="BF17">
        <v>4</v>
      </c>
      <c r="BG17" s="1">
        <v>1325.15</v>
      </c>
      <c r="BH17" s="54">
        <v>12.423999999999999</v>
      </c>
      <c r="BI17" s="23">
        <v>45559</v>
      </c>
      <c r="BJ17" s="46">
        <v>0.41912037037037037</v>
      </c>
      <c r="BK17">
        <v>0</v>
      </c>
      <c r="BL17">
        <v>0</v>
      </c>
      <c r="BM17">
        <v>0</v>
      </c>
      <c r="BN17" s="57">
        <f t="shared" si="19"/>
        <v>12.427800000000001</v>
      </c>
    </row>
    <row r="18" spans="1:66">
      <c r="A18" t="s">
        <v>103</v>
      </c>
      <c r="B18">
        <v>4</v>
      </c>
      <c r="C18" t="s">
        <v>7</v>
      </c>
      <c r="D18">
        <v>29120</v>
      </c>
      <c r="E18">
        <v>32</v>
      </c>
      <c r="F18">
        <v>1</v>
      </c>
      <c r="G18" s="41">
        <v>4</v>
      </c>
      <c r="H18" s="1">
        <v>1345.66</v>
      </c>
      <c r="I18" s="54">
        <v>12.234</v>
      </c>
      <c r="J18" s="23">
        <v>45559</v>
      </c>
      <c r="K18" s="46">
        <v>0.87063657407407402</v>
      </c>
      <c r="L18">
        <v>0</v>
      </c>
      <c r="M18">
        <v>0</v>
      </c>
      <c r="N18">
        <v>0</v>
      </c>
      <c r="O18" s="57">
        <f t="shared" si="10"/>
        <v>12.223800000000001</v>
      </c>
      <c r="R18" t="s">
        <v>103</v>
      </c>
      <c r="S18">
        <v>4</v>
      </c>
      <c r="T18" t="s">
        <v>7</v>
      </c>
      <c r="U18">
        <v>29120</v>
      </c>
      <c r="V18">
        <v>32</v>
      </c>
      <c r="W18" s="58">
        <v>1</v>
      </c>
      <c r="X18">
        <v>4</v>
      </c>
      <c r="Y18" s="1">
        <v>1343.98</v>
      </c>
      <c r="Z18" s="54">
        <v>12.25</v>
      </c>
      <c r="AA18" s="23">
        <v>45559</v>
      </c>
      <c r="AB18" s="46">
        <v>0.87275462962962957</v>
      </c>
      <c r="AC18">
        <v>0</v>
      </c>
      <c r="AD18">
        <v>0</v>
      </c>
      <c r="AE18">
        <v>0</v>
      </c>
      <c r="AF18" s="57">
        <f t="shared" si="4"/>
        <v>12.261800000000001</v>
      </c>
      <c r="AI18" s="23" t="s">
        <v>154</v>
      </c>
      <c r="AJ18" s="46">
        <v>4</v>
      </c>
      <c r="AK18" t="s">
        <v>7</v>
      </c>
      <c r="AL18">
        <v>29120</v>
      </c>
      <c r="AM18">
        <v>32</v>
      </c>
      <c r="AN18" s="41">
        <v>1</v>
      </c>
      <c r="AO18">
        <v>4</v>
      </c>
      <c r="AP18" s="1">
        <v>1320.23</v>
      </c>
      <c r="AQ18" s="54">
        <v>12.47</v>
      </c>
      <c r="AR18" s="23">
        <v>45559</v>
      </c>
      <c r="AS18" s="46">
        <v>0.62706018518518514</v>
      </c>
      <c r="AT18">
        <v>0</v>
      </c>
      <c r="AU18">
        <v>0</v>
      </c>
      <c r="AV18">
        <v>0</v>
      </c>
      <c r="AW18" s="57">
        <f t="shared" si="18"/>
        <v>12.504799999999999</v>
      </c>
      <c r="AZ18" t="s">
        <v>154</v>
      </c>
      <c r="BA18">
        <v>4</v>
      </c>
      <c r="BB18" t="s">
        <v>7</v>
      </c>
      <c r="BC18">
        <v>29120</v>
      </c>
      <c r="BD18">
        <v>32</v>
      </c>
      <c r="BE18">
        <v>1</v>
      </c>
      <c r="BF18">
        <v>4</v>
      </c>
      <c r="BG18" s="1">
        <v>1324.61</v>
      </c>
      <c r="BH18" s="54">
        <v>12.429</v>
      </c>
      <c r="BI18" s="23">
        <v>45559</v>
      </c>
      <c r="BJ18" s="46">
        <v>0.72756944444444449</v>
      </c>
      <c r="BK18">
        <v>0</v>
      </c>
      <c r="BL18">
        <v>0</v>
      </c>
      <c r="BM18">
        <v>0</v>
      </c>
      <c r="BN18" s="57">
        <f t="shared" si="19"/>
        <v>12.427800000000001</v>
      </c>
    </row>
    <row r="19" spans="1:66">
      <c r="A19" t="s">
        <v>103</v>
      </c>
      <c r="B19">
        <v>0</v>
      </c>
      <c r="C19" t="s">
        <v>7</v>
      </c>
      <c r="D19">
        <v>26048</v>
      </c>
      <c r="E19">
        <v>32</v>
      </c>
      <c r="F19">
        <v>2</v>
      </c>
      <c r="G19" s="41">
        <v>2</v>
      </c>
      <c r="H19" s="1">
        <v>959.8</v>
      </c>
      <c r="I19" s="54">
        <v>12.276999999999999</v>
      </c>
      <c r="J19" s="23">
        <v>45558</v>
      </c>
      <c r="K19" s="46">
        <v>0.30006944444444444</v>
      </c>
      <c r="L19">
        <v>0</v>
      </c>
      <c r="M19">
        <v>0</v>
      </c>
      <c r="N19">
        <v>0</v>
      </c>
      <c r="O19" s="57">
        <f t="shared" ref="O19" si="20">AVERAGE(I19:I23)</f>
        <v>12.291799999999999</v>
      </c>
      <c r="R19" t="s">
        <v>103</v>
      </c>
      <c r="S19">
        <v>0</v>
      </c>
      <c r="T19" t="s">
        <v>7</v>
      </c>
      <c r="U19">
        <v>26048</v>
      </c>
      <c r="V19">
        <v>32</v>
      </c>
      <c r="W19" s="41">
        <v>2</v>
      </c>
      <c r="X19">
        <v>2</v>
      </c>
      <c r="Y19" s="1">
        <v>955.78</v>
      </c>
      <c r="Z19" s="54">
        <v>12.329000000000001</v>
      </c>
      <c r="AA19" s="23">
        <v>45558</v>
      </c>
      <c r="AB19" s="46">
        <v>0.29826388888888888</v>
      </c>
      <c r="AC19">
        <v>0</v>
      </c>
      <c r="AD19">
        <v>0</v>
      </c>
      <c r="AE19">
        <v>0</v>
      </c>
      <c r="AF19" s="57">
        <f t="shared" ref="AF19" si="21">AVERAGE(Z19:Z23)</f>
        <v>12.329599999999999</v>
      </c>
      <c r="AI19" t="s">
        <v>154</v>
      </c>
      <c r="AJ19">
        <v>0</v>
      </c>
      <c r="AK19" t="s">
        <v>7</v>
      </c>
      <c r="AL19">
        <v>26048</v>
      </c>
      <c r="AM19">
        <v>32</v>
      </c>
      <c r="AN19" s="41">
        <v>2</v>
      </c>
      <c r="AO19">
        <v>2</v>
      </c>
      <c r="AP19" s="1">
        <v>1012.12</v>
      </c>
      <c r="AQ19" s="54">
        <v>11.641999999999999</v>
      </c>
      <c r="AR19" s="23">
        <v>45558</v>
      </c>
      <c r="AS19" s="46">
        <v>0.2986111111111111</v>
      </c>
      <c r="AT19">
        <v>0</v>
      </c>
      <c r="AU19">
        <v>0</v>
      </c>
      <c r="AV19">
        <v>0</v>
      </c>
      <c r="AW19" s="57">
        <f t="shared" ref="AW19" si="22">AVERAGE(AQ19:AQ23)</f>
        <v>11.678799999999999</v>
      </c>
      <c r="AZ19" t="s">
        <v>154</v>
      </c>
      <c r="BA19">
        <v>0</v>
      </c>
      <c r="BB19" t="s">
        <v>7</v>
      </c>
      <c r="BC19">
        <v>26048</v>
      </c>
      <c r="BD19">
        <v>32</v>
      </c>
      <c r="BE19">
        <v>2</v>
      </c>
      <c r="BF19">
        <v>2</v>
      </c>
      <c r="BG19" s="1">
        <v>994.72</v>
      </c>
      <c r="BH19" s="54">
        <v>11.846</v>
      </c>
      <c r="BI19" s="23">
        <v>45558</v>
      </c>
      <c r="BJ19" s="46">
        <v>0.29986111111111113</v>
      </c>
      <c r="BK19">
        <v>0</v>
      </c>
      <c r="BL19">
        <v>0</v>
      </c>
      <c r="BM19">
        <v>0</v>
      </c>
      <c r="BN19" s="57">
        <f t="shared" ref="BN19" si="23">AVERAGE(BH19:BH23)</f>
        <v>11.818999999999999</v>
      </c>
    </row>
    <row r="20" spans="1:66">
      <c r="A20" t="s">
        <v>103</v>
      </c>
      <c r="B20">
        <v>1</v>
      </c>
      <c r="C20" t="s">
        <v>7</v>
      </c>
      <c r="D20">
        <v>26048</v>
      </c>
      <c r="E20">
        <v>32</v>
      </c>
      <c r="F20">
        <v>2</v>
      </c>
      <c r="G20" s="41">
        <v>2</v>
      </c>
      <c r="H20" s="1">
        <v>957.67</v>
      </c>
      <c r="I20" s="54">
        <v>12.304</v>
      </c>
      <c r="J20" s="23">
        <v>45558</v>
      </c>
      <c r="K20" s="46">
        <v>0.64214120370370376</v>
      </c>
      <c r="L20">
        <v>0</v>
      </c>
      <c r="M20">
        <v>0</v>
      </c>
      <c r="N20">
        <v>0</v>
      </c>
      <c r="O20" s="57">
        <f t="shared" ref="O20" si="24">O19</f>
        <v>12.291799999999999</v>
      </c>
      <c r="R20" t="s">
        <v>103</v>
      </c>
      <c r="S20">
        <v>1</v>
      </c>
      <c r="T20" t="s">
        <v>7</v>
      </c>
      <c r="U20">
        <v>26048</v>
      </c>
      <c r="V20">
        <v>32</v>
      </c>
      <c r="W20" s="41">
        <v>2</v>
      </c>
      <c r="X20">
        <v>2</v>
      </c>
      <c r="Y20" s="1">
        <v>957.03</v>
      </c>
      <c r="Z20" s="54">
        <v>12.311999999999999</v>
      </c>
      <c r="AA20" s="23">
        <v>45558</v>
      </c>
      <c r="AB20" s="46">
        <v>0.64135416666666667</v>
      </c>
      <c r="AC20">
        <v>0</v>
      </c>
      <c r="AD20">
        <v>0</v>
      </c>
      <c r="AE20">
        <v>0</v>
      </c>
      <c r="AF20" s="57">
        <f t="shared" si="4"/>
        <v>12.329599999999999</v>
      </c>
      <c r="AI20" s="23" t="s">
        <v>154</v>
      </c>
      <c r="AJ20" s="46">
        <v>1</v>
      </c>
      <c r="AK20" t="s">
        <v>7</v>
      </c>
      <c r="AL20">
        <v>26048</v>
      </c>
      <c r="AM20">
        <v>32</v>
      </c>
      <c r="AN20" s="41">
        <v>2</v>
      </c>
      <c r="AO20">
        <v>2</v>
      </c>
      <c r="AP20" s="1">
        <v>1005.24</v>
      </c>
      <c r="AQ20" s="54">
        <v>11.722</v>
      </c>
      <c r="AR20" s="23">
        <v>45558</v>
      </c>
      <c r="AS20" s="46">
        <v>0.47418981481481481</v>
      </c>
      <c r="AT20">
        <v>0</v>
      </c>
      <c r="AU20">
        <v>0</v>
      </c>
      <c r="AV20">
        <v>0</v>
      </c>
      <c r="AW20" s="57">
        <f t="shared" ref="AW20:AW23" si="25">AW19</f>
        <v>11.678799999999999</v>
      </c>
      <c r="AZ20" t="s">
        <v>154</v>
      </c>
      <c r="BA20">
        <v>1</v>
      </c>
      <c r="BB20" t="s">
        <v>7</v>
      </c>
      <c r="BC20">
        <v>26048</v>
      </c>
      <c r="BD20">
        <v>32</v>
      </c>
      <c r="BE20">
        <v>2</v>
      </c>
      <c r="BF20">
        <v>2</v>
      </c>
      <c r="BG20" s="1">
        <v>999.17</v>
      </c>
      <c r="BH20" s="54">
        <v>11.792999999999999</v>
      </c>
      <c r="BI20" s="23">
        <v>45558</v>
      </c>
      <c r="BJ20" s="46">
        <v>0.62079861111111112</v>
      </c>
      <c r="BK20">
        <v>0</v>
      </c>
      <c r="BL20">
        <v>0</v>
      </c>
      <c r="BM20">
        <v>0</v>
      </c>
      <c r="BN20" s="57">
        <f t="shared" ref="BN20:BN23" si="26">BN19</f>
        <v>11.818999999999999</v>
      </c>
    </row>
    <row r="21" spans="1:66">
      <c r="A21" t="s">
        <v>103</v>
      </c>
      <c r="B21">
        <v>2</v>
      </c>
      <c r="C21" t="s">
        <v>7</v>
      </c>
      <c r="D21">
        <v>26048</v>
      </c>
      <c r="E21">
        <v>32</v>
      </c>
      <c r="F21">
        <v>2</v>
      </c>
      <c r="G21" s="41">
        <v>2</v>
      </c>
      <c r="H21" s="1">
        <v>958.59</v>
      </c>
      <c r="I21" s="54">
        <v>12.292</v>
      </c>
      <c r="J21" s="23">
        <v>45558</v>
      </c>
      <c r="K21" s="46">
        <v>0.98432870370370373</v>
      </c>
      <c r="L21">
        <v>0</v>
      </c>
      <c r="M21">
        <v>0</v>
      </c>
      <c r="N21">
        <v>0</v>
      </c>
      <c r="O21" s="57">
        <f t="shared" si="10"/>
        <v>12.291799999999999</v>
      </c>
      <c r="R21" t="s">
        <v>103</v>
      </c>
      <c r="S21">
        <v>2</v>
      </c>
      <c r="T21" t="s">
        <v>7</v>
      </c>
      <c r="U21">
        <v>26048</v>
      </c>
      <c r="V21">
        <v>32</v>
      </c>
      <c r="W21" s="58">
        <v>2</v>
      </c>
      <c r="X21">
        <v>2</v>
      </c>
      <c r="Y21" s="1">
        <v>954.2</v>
      </c>
      <c r="Z21" s="54">
        <v>12.349</v>
      </c>
      <c r="AA21" s="23">
        <v>45558</v>
      </c>
      <c r="AB21" s="46">
        <v>0.98438657407407404</v>
      </c>
      <c r="AC21">
        <v>0</v>
      </c>
      <c r="AD21">
        <v>0</v>
      </c>
      <c r="AE21">
        <v>0</v>
      </c>
      <c r="AF21" s="57">
        <f t="shared" si="4"/>
        <v>12.329599999999999</v>
      </c>
      <c r="AI21" s="23" t="s">
        <v>154</v>
      </c>
      <c r="AJ21" s="46">
        <v>2</v>
      </c>
      <c r="AK21" t="s">
        <v>7</v>
      </c>
      <c r="AL21">
        <v>26048</v>
      </c>
      <c r="AM21">
        <v>32</v>
      </c>
      <c r="AN21" s="41">
        <v>2</v>
      </c>
      <c r="AO21">
        <v>2</v>
      </c>
      <c r="AP21" s="1">
        <v>1007.46</v>
      </c>
      <c r="AQ21" s="54">
        <v>11.696</v>
      </c>
      <c r="AR21" s="23">
        <v>45558</v>
      </c>
      <c r="AS21" s="46">
        <v>0.88013888888888892</v>
      </c>
      <c r="AT21">
        <v>0</v>
      </c>
      <c r="AU21">
        <v>0</v>
      </c>
      <c r="AV21">
        <v>0</v>
      </c>
      <c r="AW21" s="57">
        <f t="shared" si="25"/>
        <v>11.678799999999999</v>
      </c>
      <c r="AZ21" t="s">
        <v>154</v>
      </c>
      <c r="BA21">
        <v>2</v>
      </c>
      <c r="BB21" t="s">
        <v>7</v>
      </c>
      <c r="BC21">
        <v>26048</v>
      </c>
      <c r="BD21">
        <v>32</v>
      </c>
      <c r="BE21">
        <v>2</v>
      </c>
      <c r="BF21">
        <v>2</v>
      </c>
      <c r="BG21" s="1">
        <v>994.62</v>
      </c>
      <c r="BH21" s="54">
        <v>11.847</v>
      </c>
      <c r="BI21" s="23">
        <v>45558</v>
      </c>
      <c r="BJ21" s="46">
        <v>0.92944444444444441</v>
      </c>
      <c r="BK21">
        <v>0</v>
      </c>
      <c r="BL21">
        <v>0</v>
      </c>
      <c r="BM21">
        <v>0</v>
      </c>
      <c r="BN21" s="57">
        <f t="shared" si="26"/>
        <v>11.818999999999999</v>
      </c>
    </row>
    <row r="22" spans="1:66">
      <c r="A22" t="s">
        <v>103</v>
      </c>
      <c r="B22">
        <v>3</v>
      </c>
      <c r="C22" t="s">
        <v>7</v>
      </c>
      <c r="D22">
        <v>26048</v>
      </c>
      <c r="E22">
        <v>32</v>
      </c>
      <c r="F22">
        <v>2</v>
      </c>
      <c r="G22" s="41">
        <v>2</v>
      </c>
      <c r="H22" s="1">
        <v>959.92</v>
      </c>
      <c r="I22" s="54">
        <v>12.275</v>
      </c>
      <c r="J22" s="23">
        <v>45559</v>
      </c>
      <c r="K22" s="46">
        <v>0.32662037037037039</v>
      </c>
      <c r="L22">
        <v>0</v>
      </c>
      <c r="M22">
        <v>0</v>
      </c>
      <c r="N22">
        <v>0</v>
      </c>
      <c r="O22" s="57">
        <f t="shared" si="10"/>
        <v>12.291799999999999</v>
      </c>
      <c r="R22" t="s">
        <v>103</v>
      </c>
      <c r="S22">
        <v>3</v>
      </c>
      <c r="T22" t="s">
        <v>7</v>
      </c>
      <c r="U22">
        <v>26048</v>
      </c>
      <c r="V22">
        <v>32</v>
      </c>
      <c r="W22" s="58">
        <v>2</v>
      </c>
      <c r="X22">
        <v>2</v>
      </c>
      <c r="Y22" s="1">
        <v>956.98</v>
      </c>
      <c r="Z22" s="54">
        <v>12.313000000000001</v>
      </c>
      <c r="AA22" s="23">
        <v>45559</v>
      </c>
      <c r="AB22" s="46">
        <v>0.32750000000000001</v>
      </c>
      <c r="AC22">
        <v>0</v>
      </c>
      <c r="AD22">
        <v>0</v>
      </c>
      <c r="AE22">
        <v>0</v>
      </c>
      <c r="AF22" s="57">
        <f t="shared" si="4"/>
        <v>12.329599999999999</v>
      </c>
      <c r="AI22" s="23" t="s">
        <v>154</v>
      </c>
      <c r="AJ22" s="46">
        <v>3</v>
      </c>
      <c r="AK22" t="s">
        <v>7</v>
      </c>
      <c r="AL22">
        <v>26048</v>
      </c>
      <c r="AM22">
        <v>32</v>
      </c>
      <c r="AN22" s="41">
        <v>2</v>
      </c>
      <c r="AO22">
        <v>2</v>
      </c>
      <c r="AP22" s="1">
        <v>1010.17</v>
      </c>
      <c r="AQ22" s="54">
        <v>11.664999999999999</v>
      </c>
      <c r="AR22" s="23">
        <v>45559</v>
      </c>
      <c r="AS22" s="46">
        <v>0.16900462962962962</v>
      </c>
      <c r="AT22">
        <v>0</v>
      </c>
      <c r="AU22">
        <v>0</v>
      </c>
      <c r="AV22">
        <v>0</v>
      </c>
      <c r="AW22" s="57">
        <f t="shared" si="25"/>
        <v>11.678799999999999</v>
      </c>
      <c r="AZ22" t="s">
        <v>154</v>
      </c>
      <c r="BA22">
        <v>3</v>
      </c>
      <c r="BB22" t="s">
        <v>7</v>
      </c>
      <c r="BC22">
        <v>26048</v>
      </c>
      <c r="BD22">
        <v>32</v>
      </c>
      <c r="BE22">
        <v>2</v>
      </c>
      <c r="BF22">
        <v>2</v>
      </c>
      <c r="BG22" s="1">
        <v>1000.54</v>
      </c>
      <c r="BH22" s="54">
        <v>11.776999999999999</v>
      </c>
      <c r="BI22" s="23">
        <v>45559</v>
      </c>
      <c r="BJ22" s="46">
        <v>0.23806712962962964</v>
      </c>
      <c r="BK22">
        <v>0</v>
      </c>
      <c r="BL22">
        <v>0</v>
      </c>
      <c r="BM22">
        <v>0</v>
      </c>
      <c r="BN22" s="57">
        <f t="shared" si="26"/>
        <v>11.818999999999999</v>
      </c>
    </row>
    <row r="23" spans="1:66">
      <c r="A23" t="s">
        <v>103</v>
      </c>
      <c r="B23">
        <v>4</v>
      </c>
      <c r="C23" t="s">
        <v>7</v>
      </c>
      <c r="D23">
        <v>26048</v>
      </c>
      <c r="E23">
        <v>32</v>
      </c>
      <c r="F23">
        <v>2</v>
      </c>
      <c r="G23" s="41">
        <v>2</v>
      </c>
      <c r="H23" s="1">
        <v>957.13</v>
      </c>
      <c r="I23" s="54">
        <v>12.311</v>
      </c>
      <c r="J23" s="23">
        <v>45559</v>
      </c>
      <c r="K23" s="46">
        <v>0.66892361111111109</v>
      </c>
      <c r="L23">
        <v>0</v>
      </c>
      <c r="M23">
        <v>0</v>
      </c>
      <c r="N23">
        <v>0</v>
      </c>
      <c r="O23" s="57">
        <f t="shared" si="10"/>
        <v>12.291799999999999</v>
      </c>
      <c r="R23" t="s">
        <v>103</v>
      </c>
      <c r="S23">
        <v>4</v>
      </c>
      <c r="T23" t="s">
        <v>7</v>
      </c>
      <c r="U23">
        <v>26048</v>
      </c>
      <c r="V23">
        <v>32</v>
      </c>
      <c r="W23" s="58">
        <v>2</v>
      </c>
      <c r="X23">
        <v>2</v>
      </c>
      <c r="Y23" s="1">
        <v>954.49</v>
      </c>
      <c r="Z23" s="54">
        <v>12.345000000000001</v>
      </c>
      <c r="AA23" s="23">
        <v>45559</v>
      </c>
      <c r="AB23" s="46">
        <v>0.67070601851851852</v>
      </c>
      <c r="AC23">
        <v>0</v>
      </c>
      <c r="AD23">
        <v>0</v>
      </c>
      <c r="AE23">
        <v>0</v>
      </c>
      <c r="AF23" s="57">
        <f t="shared" si="4"/>
        <v>12.329599999999999</v>
      </c>
      <c r="AI23" s="23" t="s">
        <v>154</v>
      </c>
      <c r="AJ23" s="46">
        <v>4</v>
      </c>
      <c r="AK23" t="s">
        <v>7</v>
      </c>
      <c r="AL23">
        <v>26048</v>
      </c>
      <c r="AM23">
        <v>32</v>
      </c>
      <c r="AN23" s="41">
        <v>2</v>
      </c>
      <c r="AO23">
        <v>2</v>
      </c>
      <c r="AP23" s="1">
        <v>1009.8</v>
      </c>
      <c r="AQ23" s="54">
        <v>11.669</v>
      </c>
      <c r="AR23" s="23">
        <v>45559</v>
      </c>
      <c r="AS23" s="46">
        <v>0.45827546296296295</v>
      </c>
      <c r="AT23">
        <v>0</v>
      </c>
      <c r="AU23">
        <v>0</v>
      </c>
      <c r="AV23">
        <v>0</v>
      </c>
      <c r="AW23" s="57">
        <f t="shared" si="25"/>
        <v>11.678799999999999</v>
      </c>
      <c r="AZ23" t="s">
        <v>154</v>
      </c>
      <c r="BA23">
        <v>4</v>
      </c>
      <c r="BB23" t="s">
        <v>7</v>
      </c>
      <c r="BC23">
        <v>26048</v>
      </c>
      <c r="BD23">
        <v>32</v>
      </c>
      <c r="BE23">
        <v>2</v>
      </c>
      <c r="BF23">
        <v>2</v>
      </c>
      <c r="BG23" s="1">
        <v>995.85</v>
      </c>
      <c r="BH23" s="54">
        <v>11.832000000000001</v>
      </c>
      <c r="BI23" s="23">
        <v>45559</v>
      </c>
      <c r="BJ23" s="46">
        <v>0.54652777777777772</v>
      </c>
      <c r="BK23">
        <v>0</v>
      </c>
      <c r="BL23">
        <v>0</v>
      </c>
      <c r="BM23">
        <v>0</v>
      </c>
      <c r="BN23" s="57">
        <f t="shared" si="26"/>
        <v>11.818999999999999</v>
      </c>
    </row>
    <row r="24" spans="1:66">
      <c r="A24" t="s">
        <v>103</v>
      </c>
      <c r="B24">
        <v>0</v>
      </c>
      <c r="C24" t="s">
        <v>7</v>
      </c>
      <c r="D24">
        <v>27584</v>
      </c>
      <c r="E24">
        <v>32</v>
      </c>
      <c r="F24">
        <v>2</v>
      </c>
      <c r="G24" s="41">
        <v>2</v>
      </c>
      <c r="H24" s="1">
        <v>1148.45</v>
      </c>
      <c r="I24" s="54">
        <v>12.183999999999999</v>
      </c>
      <c r="J24" s="23">
        <v>45558</v>
      </c>
      <c r="K24" s="46">
        <v>0.3994328703703704</v>
      </c>
      <c r="L24">
        <v>0</v>
      </c>
      <c r="M24">
        <v>0</v>
      </c>
      <c r="N24">
        <v>0</v>
      </c>
      <c r="O24" s="57">
        <f t="shared" ref="O24" si="27">AVERAGE(I24:I28)</f>
        <v>12.1714</v>
      </c>
      <c r="R24" t="s">
        <v>103</v>
      </c>
      <c r="S24">
        <v>0</v>
      </c>
      <c r="T24" t="s">
        <v>7</v>
      </c>
      <c r="U24">
        <v>27584</v>
      </c>
      <c r="V24">
        <v>32</v>
      </c>
      <c r="W24" s="41">
        <v>2</v>
      </c>
      <c r="X24">
        <v>2</v>
      </c>
      <c r="Y24" s="1">
        <v>1145.9000000000001</v>
      </c>
      <c r="Z24" s="54">
        <v>12.211</v>
      </c>
      <c r="AA24" s="23">
        <v>45558</v>
      </c>
      <c r="AB24" s="46">
        <v>0.39795138888888887</v>
      </c>
      <c r="AC24">
        <v>0</v>
      </c>
      <c r="AD24">
        <v>0</v>
      </c>
      <c r="AE24">
        <v>0</v>
      </c>
      <c r="AF24" s="57">
        <f t="shared" ref="AF24" si="28">AVERAGE(Z24:Z28)</f>
        <v>12.210400000000002</v>
      </c>
      <c r="AI24" s="23" t="s">
        <v>154</v>
      </c>
      <c r="AJ24" s="46">
        <v>0</v>
      </c>
      <c r="AK24" t="s">
        <v>7</v>
      </c>
      <c r="AL24">
        <v>27584</v>
      </c>
      <c r="AM24">
        <v>32</v>
      </c>
      <c r="AN24" s="41">
        <v>2</v>
      </c>
      <c r="AO24">
        <v>2</v>
      </c>
      <c r="AP24" s="1">
        <v>1179.71</v>
      </c>
      <c r="AQ24" s="54">
        <v>11.861000000000001</v>
      </c>
      <c r="AR24" s="23">
        <v>45558</v>
      </c>
      <c r="AS24" s="46">
        <v>0.38288194444444446</v>
      </c>
      <c r="AT24">
        <v>0</v>
      </c>
      <c r="AU24">
        <v>0</v>
      </c>
      <c r="AV24">
        <v>0</v>
      </c>
      <c r="AW24" s="57">
        <f t="shared" ref="AW24" si="29">AVERAGE(AQ24:AQ28)</f>
        <v>11.844000000000001</v>
      </c>
      <c r="AZ24" t="s">
        <v>154</v>
      </c>
      <c r="BA24">
        <v>0</v>
      </c>
      <c r="BB24" t="s">
        <v>7</v>
      </c>
      <c r="BC24">
        <v>27584</v>
      </c>
      <c r="BD24">
        <v>32</v>
      </c>
      <c r="BE24">
        <v>2</v>
      </c>
      <c r="BF24">
        <v>2</v>
      </c>
      <c r="BG24" s="1">
        <v>1152.1600000000001</v>
      </c>
      <c r="BH24" s="54">
        <v>12.145</v>
      </c>
      <c r="BI24" s="23">
        <v>45558</v>
      </c>
      <c r="BJ24" s="46">
        <v>0.39074074074074072</v>
      </c>
      <c r="BK24">
        <v>0</v>
      </c>
      <c r="BL24">
        <v>0</v>
      </c>
      <c r="BM24">
        <v>0</v>
      </c>
      <c r="BN24" s="57">
        <f t="shared" ref="BN24" si="30">AVERAGE(BH24:BH28)</f>
        <v>12.125</v>
      </c>
    </row>
    <row r="25" spans="1:66">
      <c r="A25" t="s">
        <v>103</v>
      </c>
      <c r="B25">
        <v>1</v>
      </c>
      <c r="C25" t="s">
        <v>7</v>
      </c>
      <c r="D25">
        <v>27584</v>
      </c>
      <c r="E25">
        <v>32</v>
      </c>
      <c r="F25">
        <v>2</v>
      </c>
      <c r="G25" s="41">
        <v>2</v>
      </c>
      <c r="H25" s="1">
        <v>1150.8399999999999</v>
      </c>
      <c r="I25" s="54">
        <v>12.159000000000001</v>
      </c>
      <c r="J25" s="23">
        <v>45558</v>
      </c>
      <c r="K25" s="46">
        <v>0.74162037037037032</v>
      </c>
      <c r="L25">
        <v>0</v>
      </c>
      <c r="M25">
        <v>0</v>
      </c>
      <c r="N25">
        <v>0</v>
      </c>
      <c r="O25" s="57">
        <f t="shared" ref="O25" si="31">O24</f>
        <v>12.1714</v>
      </c>
      <c r="R25" t="s">
        <v>103</v>
      </c>
      <c r="S25">
        <v>1</v>
      </c>
      <c r="T25" t="s">
        <v>7</v>
      </c>
      <c r="U25">
        <v>27584</v>
      </c>
      <c r="V25">
        <v>32</v>
      </c>
      <c r="W25" s="41">
        <v>2</v>
      </c>
      <c r="X25">
        <v>2</v>
      </c>
      <c r="Y25" s="1">
        <v>1145.3</v>
      </c>
      <c r="Z25" s="54">
        <v>12.218</v>
      </c>
      <c r="AA25" s="23">
        <v>45558</v>
      </c>
      <c r="AB25" s="46">
        <v>0.74111111111111116</v>
      </c>
      <c r="AC25">
        <v>0</v>
      </c>
      <c r="AD25">
        <v>0</v>
      </c>
      <c r="AE25">
        <v>0</v>
      </c>
      <c r="AF25" s="57">
        <f t="shared" si="4"/>
        <v>12.210400000000002</v>
      </c>
      <c r="AI25" s="23" t="s">
        <v>154</v>
      </c>
      <c r="AJ25" s="46">
        <v>1</v>
      </c>
      <c r="AK25" t="s">
        <v>7</v>
      </c>
      <c r="AL25">
        <v>27584</v>
      </c>
      <c r="AM25">
        <v>32</v>
      </c>
      <c r="AN25" s="41">
        <v>2</v>
      </c>
      <c r="AO25">
        <v>2</v>
      </c>
      <c r="AP25" s="1">
        <v>1181.05</v>
      </c>
      <c r="AQ25" s="54">
        <v>11.848000000000001</v>
      </c>
      <c r="AR25" s="23">
        <v>45558</v>
      </c>
      <c r="AS25" s="46">
        <v>0.67543981481481485</v>
      </c>
      <c r="AT25">
        <v>0</v>
      </c>
      <c r="AU25">
        <v>0</v>
      </c>
      <c r="AV25">
        <v>0</v>
      </c>
      <c r="AW25" s="57">
        <f t="shared" ref="AW25:AW28" si="32">AW24</f>
        <v>11.844000000000001</v>
      </c>
      <c r="AZ25" t="s">
        <v>154</v>
      </c>
      <c r="BA25">
        <v>1</v>
      </c>
      <c r="BB25" t="s">
        <v>7</v>
      </c>
      <c r="BC25">
        <v>27584</v>
      </c>
      <c r="BD25">
        <v>32</v>
      </c>
      <c r="BE25">
        <v>2</v>
      </c>
      <c r="BF25">
        <v>2</v>
      </c>
      <c r="BG25" s="1">
        <v>1150.29</v>
      </c>
      <c r="BH25" s="54">
        <v>12.164999999999999</v>
      </c>
      <c r="BI25" s="23">
        <v>45558</v>
      </c>
      <c r="BJ25" s="46">
        <v>0.71150462962962968</v>
      </c>
      <c r="BK25">
        <v>0</v>
      </c>
      <c r="BL25">
        <v>0</v>
      </c>
      <c r="BM25">
        <v>0</v>
      </c>
      <c r="BN25" s="57">
        <f t="shared" ref="BN25:BN28" si="33">BN24</f>
        <v>12.125</v>
      </c>
    </row>
    <row r="26" spans="1:66">
      <c r="A26" t="s">
        <v>103</v>
      </c>
      <c r="B26">
        <v>2</v>
      </c>
      <c r="C26" t="s">
        <v>7</v>
      </c>
      <c r="D26">
        <v>27584</v>
      </c>
      <c r="E26">
        <v>32</v>
      </c>
      <c r="F26">
        <v>2</v>
      </c>
      <c r="G26" s="41">
        <v>2</v>
      </c>
      <c r="H26" s="1">
        <v>1150.3699999999999</v>
      </c>
      <c r="I26" s="54">
        <v>12.164</v>
      </c>
      <c r="J26" s="23">
        <v>45559</v>
      </c>
      <c r="K26" s="46">
        <v>8.3784722222222219E-2</v>
      </c>
      <c r="L26">
        <v>0</v>
      </c>
      <c r="M26">
        <v>0</v>
      </c>
      <c r="N26">
        <v>0</v>
      </c>
      <c r="O26" s="57">
        <f t="shared" si="10"/>
        <v>12.1714</v>
      </c>
      <c r="R26" t="s">
        <v>103</v>
      </c>
      <c r="S26">
        <v>2</v>
      </c>
      <c r="T26" t="s">
        <v>7</v>
      </c>
      <c r="U26">
        <v>27584</v>
      </c>
      <c r="V26">
        <v>32</v>
      </c>
      <c r="W26" s="58">
        <v>2</v>
      </c>
      <c r="X26">
        <v>2</v>
      </c>
      <c r="Y26" s="1">
        <v>1145.49</v>
      </c>
      <c r="Z26" s="54">
        <v>12.215999999999999</v>
      </c>
      <c r="AA26" s="23">
        <v>45559</v>
      </c>
      <c r="AB26" s="46">
        <v>8.414351851851852E-2</v>
      </c>
      <c r="AC26">
        <v>0</v>
      </c>
      <c r="AD26">
        <v>0</v>
      </c>
      <c r="AE26">
        <v>0</v>
      </c>
      <c r="AF26" s="57">
        <f t="shared" si="4"/>
        <v>12.210400000000002</v>
      </c>
      <c r="AI26" s="23" t="s">
        <v>154</v>
      </c>
      <c r="AJ26" s="46">
        <v>2</v>
      </c>
      <c r="AK26" t="s">
        <v>7</v>
      </c>
      <c r="AL26">
        <v>27584</v>
      </c>
      <c r="AM26">
        <v>32</v>
      </c>
      <c r="AN26" s="41">
        <v>2</v>
      </c>
      <c r="AO26">
        <v>2</v>
      </c>
      <c r="AP26" s="1">
        <v>1179.8900000000001</v>
      </c>
      <c r="AQ26" s="54">
        <v>11.86</v>
      </c>
      <c r="AR26" s="23">
        <v>45558</v>
      </c>
      <c r="AS26" s="46">
        <v>0.96459490740740739</v>
      </c>
      <c r="AT26">
        <v>0</v>
      </c>
      <c r="AU26">
        <v>0</v>
      </c>
      <c r="AV26">
        <v>0</v>
      </c>
      <c r="AW26" s="57">
        <f t="shared" si="32"/>
        <v>11.844000000000001</v>
      </c>
      <c r="AZ26" t="s">
        <v>154</v>
      </c>
      <c r="BA26">
        <v>2</v>
      </c>
      <c r="BB26" t="s">
        <v>7</v>
      </c>
      <c r="BC26">
        <v>27584</v>
      </c>
      <c r="BD26">
        <v>32</v>
      </c>
      <c r="BE26">
        <v>2</v>
      </c>
      <c r="BF26">
        <v>2</v>
      </c>
      <c r="BG26" s="1">
        <v>1156.6600000000001</v>
      </c>
      <c r="BH26" s="54">
        <v>12.098000000000001</v>
      </c>
      <c r="BI26" s="23">
        <v>45559</v>
      </c>
      <c r="BJ26" s="46">
        <v>2.0243055555555556E-2</v>
      </c>
      <c r="BK26">
        <v>0</v>
      </c>
      <c r="BL26">
        <v>0</v>
      </c>
      <c r="BM26">
        <v>0</v>
      </c>
      <c r="BN26" s="57">
        <f t="shared" si="33"/>
        <v>12.125</v>
      </c>
    </row>
    <row r="27" spans="1:66">
      <c r="A27" t="s">
        <v>103</v>
      </c>
      <c r="B27">
        <v>3</v>
      </c>
      <c r="C27" t="s">
        <v>7</v>
      </c>
      <c r="D27">
        <v>27584</v>
      </c>
      <c r="E27">
        <v>32</v>
      </c>
      <c r="F27">
        <v>2</v>
      </c>
      <c r="G27" s="41">
        <v>2</v>
      </c>
      <c r="H27" s="1">
        <v>1149.19</v>
      </c>
      <c r="I27" s="54">
        <v>12.177</v>
      </c>
      <c r="J27" s="23">
        <v>45559</v>
      </c>
      <c r="K27" s="46">
        <v>0.42613425925925924</v>
      </c>
      <c r="L27">
        <v>0</v>
      </c>
      <c r="M27">
        <v>0</v>
      </c>
      <c r="N27">
        <v>0</v>
      </c>
      <c r="O27" s="57">
        <f t="shared" si="10"/>
        <v>12.1714</v>
      </c>
      <c r="R27" t="s">
        <v>103</v>
      </c>
      <c r="S27">
        <v>3</v>
      </c>
      <c r="T27" t="s">
        <v>7</v>
      </c>
      <c r="U27">
        <v>27584</v>
      </c>
      <c r="V27">
        <v>32</v>
      </c>
      <c r="W27" s="58">
        <v>2</v>
      </c>
      <c r="X27">
        <v>2</v>
      </c>
      <c r="Y27" s="1">
        <v>1144.3699999999999</v>
      </c>
      <c r="Z27" s="54">
        <v>12.228</v>
      </c>
      <c r="AA27" s="23">
        <v>45559</v>
      </c>
      <c r="AB27" s="46">
        <v>0.42723379629629632</v>
      </c>
      <c r="AC27">
        <v>0</v>
      </c>
      <c r="AD27">
        <v>0</v>
      </c>
      <c r="AE27">
        <v>0</v>
      </c>
      <c r="AF27" s="57">
        <f t="shared" si="4"/>
        <v>12.210400000000002</v>
      </c>
      <c r="AI27" s="23" t="s">
        <v>154</v>
      </c>
      <c r="AJ27" s="46">
        <v>3</v>
      </c>
      <c r="AK27" t="s">
        <v>7</v>
      </c>
      <c r="AL27">
        <v>27584</v>
      </c>
      <c r="AM27">
        <v>32</v>
      </c>
      <c r="AN27" s="41">
        <v>2</v>
      </c>
      <c r="AO27">
        <v>2</v>
      </c>
      <c r="AP27" s="1">
        <v>1182.1600000000001</v>
      </c>
      <c r="AQ27" s="54">
        <v>11.837</v>
      </c>
      <c r="AR27" s="23">
        <v>45559</v>
      </c>
      <c r="AS27" s="46">
        <v>0.25357638888888889</v>
      </c>
      <c r="AT27">
        <v>0</v>
      </c>
      <c r="AU27">
        <v>0</v>
      </c>
      <c r="AV27">
        <v>0</v>
      </c>
      <c r="AW27" s="57">
        <f t="shared" si="32"/>
        <v>11.844000000000001</v>
      </c>
      <c r="AZ27" t="s">
        <v>154</v>
      </c>
      <c r="BA27">
        <v>3</v>
      </c>
      <c r="BB27" t="s">
        <v>7</v>
      </c>
      <c r="BC27">
        <v>27584</v>
      </c>
      <c r="BD27">
        <v>32</v>
      </c>
      <c r="BE27">
        <v>2</v>
      </c>
      <c r="BF27">
        <v>2</v>
      </c>
      <c r="BG27" s="1">
        <v>1154.1600000000001</v>
      </c>
      <c r="BH27" s="54">
        <v>12.124000000000001</v>
      </c>
      <c r="BI27" s="23">
        <v>45559</v>
      </c>
      <c r="BJ27" s="46">
        <v>0.32873842592592595</v>
      </c>
      <c r="BK27">
        <v>0</v>
      </c>
      <c r="BL27">
        <v>0</v>
      </c>
      <c r="BM27">
        <v>0</v>
      </c>
      <c r="BN27" s="57">
        <f t="shared" si="33"/>
        <v>12.125</v>
      </c>
    </row>
    <row r="28" spans="1:66">
      <c r="A28" t="s">
        <v>103</v>
      </c>
      <c r="B28">
        <v>4</v>
      </c>
      <c r="C28" t="s">
        <v>7</v>
      </c>
      <c r="D28">
        <v>27584</v>
      </c>
      <c r="E28">
        <v>32</v>
      </c>
      <c r="F28">
        <v>2</v>
      </c>
      <c r="G28" s="41">
        <v>2</v>
      </c>
      <c r="H28" s="1">
        <v>1149.52</v>
      </c>
      <c r="I28" s="54">
        <v>12.173</v>
      </c>
      <c r="J28" s="23">
        <v>45559</v>
      </c>
      <c r="K28" s="46">
        <v>0.76841435185185181</v>
      </c>
      <c r="L28">
        <v>0</v>
      </c>
      <c r="M28">
        <v>0</v>
      </c>
      <c r="N28">
        <v>0</v>
      </c>
      <c r="O28" s="57">
        <f t="shared" si="10"/>
        <v>12.1714</v>
      </c>
      <c r="R28" t="s">
        <v>103</v>
      </c>
      <c r="S28">
        <v>4</v>
      </c>
      <c r="T28" t="s">
        <v>7</v>
      </c>
      <c r="U28">
        <v>27584</v>
      </c>
      <c r="V28">
        <v>32</v>
      </c>
      <c r="W28" s="58">
        <v>2</v>
      </c>
      <c r="X28">
        <v>2</v>
      </c>
      <c r="Y28" s="1">
        <v>1148.95</v>
      </c>
      <c r="Z28" s="54">
        <v>12.179</v>
      </c>
      <c r="AA28" s="23">
        <v>45559</v>
      </c>
      <c r="AB28" s="46">
        <v>0.77038194444444441</v>
      </c>
      <c r="AC28">
        <v>0</v>
      </c>
      <c r="AD28">
        <v>0</v>
      </c>
      <c r="AE28">
        <v>0</v>
      </c>
      <c r="AF28" s="57">
        <f t="shared" si="4"/>
        <v>12.210400000000002</v>
      </c>
      <c r="AI28" s="23" t="s">
        <v>154</v>
      </c>
      <c r="AJ28" s="46">
        <v>4</v>
      </c>
      <c r="AK28" t="s">
        <v>7</v>
      </c>
      <c r="AL28">
        <v>27584</v>
      </c>
      <c r="AM28">
        <v>32</v>
      </c>
      <c r="AN28" s="41">
        <v>2</v>
      </c>
      <c r="AO28">
        <v>2</v>
      </c>
      <c r="AP28" s="1">
        <v>1184.48</v>
      </c>
      <c r="AQ28" s="54">
        <v>11.814</v>
      </c>
      <c r="AR28" s="23">
        <v>45559</v>
      </c>
      <c r="AS28" s="46">
        <v>0.54292824074074075</v>
      </c>
      <c r="AT28">
        <v>0</v>
      </c>
      <c r="AU28">
        <v>0</v>
      </c>
      <c r="AV28">
        <v>0</v>
      </c>
      <c r="AW28" s="57">
        <f t="shared" si="32"/>
        <v>11.844000000000001</v>
      </c>
      <c r="AZ28" t="s">
        <v>154</v>
      </c>
      <c r="BA28">
        <v>4</v>
      </c>
      <c r="BB28" t="s">
        <v>7</v>
      </c>
      <c r="BC28">
        <v>27584</v>
      </c>
      <c r="BD28">
        <v>32</v>
      </c>
      <c r="BE28">
        <v>2</v>
      </c>
      <c r="BF28">
        <v>2</v>
      </c>
      <c r="BG28" s="1">
        <v>1157.1300000000001</v>
      </c>
      <c r="BH28" s="54">
        <v>12.093</v>
      </c>
      <c r="BI28" s="23">
        <v>45559</v>
      </c>
      <c r="BJ28" s="46">
        <v>0.63718750000000002</v>
      </c>
      <c r="BK28">
        <v>0</v>
      </c>
      <c r="BL28">
        <v>0</v>
      </c>
      <c r="BM28">
        <v>0</v>
      </c>
      <c r="BN28" s="57">
        <f t="shared" si="33"/>
        <v>12.125</v>
      </c>
    </row>
    <row r="29" spans="1:66">
      <c r="A29" t="s">
        <v>103</v>
      </c>
      <c r="B29">
        <v>0</v>
      </c>
      <c r="C29" t="s">
        <v>7</v>
      </c>
      <c r="D29">
        <v>29120</v>
      </c>
      <c r="E29">
        <v>32</v>
      </c>
      <c r="F29">
        <v>2</v>
      </c>
      <c r="G29" s="41">
        <v>2</v>
      </c>
      <c r="H29" s="1">
        <v>1366.63</v>
      </c>
      <c r="I29" s="54">
        <v>12.047000000000001</v>
      </c>
      <c r="J29" s="23">
        <v>45558</v>
      </c>
      <c r="K29" s="46">
        <v>0.5183564814814815</v>
      </c>
      <c r="L29">
        <v>0</v>
      </c>
      <c r="M29">
        <v>0</v>
      </c>
      <c r="N29">
        <v>0</v>
      </c>
      <c r="O29" s="57">
        <f t="shared" ref="O29" si="34">AVERAGE(I29:I33)</f>
        <v>12.037800000000001</v>
      </c>
      <c r="R29" t="s">
        <v>103</v>
      </c>
      <c r="S29">
        <v>0</v>
      </c>
      <c r="T29" t="s">
        <v>7</v>
      </c>
      <c r="U29">
        <v>29120</v>
      </c>
      <c r="V29">
        <v>32</v>
      </c>
      <c r="W29" s="41">
        <v>2</v>
      </c>
      <c r="X29">
        <v>2</v>
      </c>
      <c r="Y29" s="1">
        <v>1369.56</v>
      </c>
      <c r="Z29" s="54">
        <v>12.021000000000001</v>
      </c>
      <c r="AA29" s="23">
        <v>45558</v>
      </c>
      <c r="AB29" s="46">
        <v>0.51717592592592587</v>
      </c>
      <c r="AC29">
        <v>0</v>
      </c>
      <c r="AD29">
        <v>0</v>
      </c>
      <c r="AE29">
        <v>0</v>
      </c>
      <c r="AF29" s="57">
        <f t="shared" ref="AF29" si="35">AVERAGE(Z29:Z33)</f>
        <v>12.037600000000001</v>
      </c>
      <c r="AI29" s="23" t="s">
        <v>154</v>
      </c>
      <c r="AJ29" s="46">
        <v>0</v>
      </c>
      <c r="AK29" t="s">
        <v>7</v>
      </c>
      <c r="AL29">
        <v>29120</v>
      </c>
      <c r="AM29">
        <v>32</v>
      </c>
      <c r="AN29" s="41">
        <v>2</v>
      </c>
      <c r="AO29">
        <v>2</v>
      </c>
      <c r="AP29" s="1">
        <v>1454.69</v>
      </c>
      <c r="AQ29" s="54">
        <v>11.317</v>
      </c>
      <c r="AR29" s="23">
        <v>45558</v>
      </c>
      <c r="AS29" s="46">
        <v>0.51012731481481477</v>
      </c>
      <c r="AT29">
        <v>0</v>
      </c>
      <c r="AU29">
        <v>0</v>
      </c>
      <c r="AV29">
        <v>0</v>
      </c>
      <c r="AW29" s="57">
        <f t="shared" ref="AW29" si="36">AVERAGE(AQ29:AQ33)</f>
        <v>11.324999999999999</v>
      </c>
      <c r="AZ29" t="s">
        <v>154</v>
      </c>
      <c r="BA29">
        <v>0</v>
      </c>
      <c r="BB29" t="s">
        <v>7</v>
      </c>
      <c r="BC29">
        <v>29120</v>
      </c>
      <c r="BD29">
        <v>32</v>
      </c>
      <c r="BE29">
        <v>2</v>
      </c>
      <c r="BF29">
        <v>2</v>
      </c>
      <c r="BG29" s="1">
        <v>1408.03</v>
      </c>
      <c r="BH29" s="54">
        <v>11.692</v>
      </c>
      <c r="BI29" s="23">
        <v>45558</v>
      </c>
      <c r="BJ29" s="46">
        <v>0.50973379629629634</v>
      </c>
      <c r="BK29">
        <v>0</v>
      </c>
      <c r="BL29">
        <v>0</v>
      </c>
      <c r="BM29">
        <v>0</v>
      </c>
      <c r="BN29" s="57">
        <f t="shared" ref="BN29" si="37">AVERAGE(BH29:BH33)</f>
        <v>11.6706</v>
      </c>
    </row>
    <row r="30" spans="1:66">
      <c r="A30" t="s">
        <v>103</v>
      </c>
      <c r="B30">
        <v>1</v>
      </c>
      <c r="C30" t="s">
        <v>7</v>
      </c>
      <c r="D30">
        <v>29120</v>
      </c>
      <c r="E30">
        <v>32</v>
      </c>
      <c r="F30">
        <v>2</v>
      </c>
      <c r="G30" s="41">
        <v>2</v>
      </c>
      <c r="H30" s="1">
        <v>1365.62</v>
      </c>
      <c r="I30" s="54">
        <v>12.055999999999999</v>
      </c>
      <c r="J30" s="23">
        <v>45558</v>
      </c>
      <c r="K30" s="46">
        <v>0.8606018518518519</v>
      </c>
      <c r="L30">
        <v>0</v>
      </c>
      <c r="M30">
        <v>0</v>
      </c>
      <c r="N30">
        <v>0</v>
      </c>
      <c r="O30" s="57">
        <f t="shared" ref="O30" si="38">O29</f>
        <v>12.037800000000001</v>
      </c>
      <c r="R30" t="s">
        <v>103</v>
      </c>
      <c r="S30">
        <v>1</v>
      </c>
      <c r="T30" t="s">
        <v>7</v>
      </c>
      <c r="U30">
        <v>29120</v>
      </c>
      <c r="V30">
        <v>32</v>
      </c>
      <c r="W30" s="58">
        <v>2</v>
      </c>
      <c r="X30">
        <v>2</v>
      </c>
      <c r="Y30" s="1">
        <v>1368.54</v>
      </c>
      <c r="Z30" s="54">
        <v>12.03</v>
      </c>
      <c r="AA30" s="23">
        <v>45558</v>
      </c>
      <c r="AB30" s="46">
        <v>0.86032407407407407</v>
      </c>
      <c r="AC30">
        <v>0</v>
      </c>
      <c r="AD30">
        <v>0</v>
      </c>
      <c r="AE30">
        <v>0</v>
      </c>
      <c r="AF30" s="57">
        <f t="shared" si="4"/>
        <v>12.037600000000001</v>
      </c>
      <c r="AI30" s="23" t="s">
        <v>154</v>
      </c>
      <c r="AJ30" s="46">
        <v>1</v>
      </c>
      <c r="AK30" t="s">
        <v>7</v>
      </c>
      <c r="AL30">
        <v>29120</v>
      </c>
      <c r="AM30">
        <v>32</v>
      </c>
      <c r="AN30" s="41">
        <v>2</v>
      </c>
      <c r="AO30">
        <v>2</v>
      </c>
      <c r="AP30" s="1">
        <v>1453.75</v>
      </c>
      <c r="AQ30" s="54">
        <v>11.324999999999999</v>
      </c>
      <c r="AR30" s="23">
        <v>45558</v>
      </c>
      <c r="AS30" s="46">
        <v>0.77640046296296295</v>
      </c>
      <c r="AT30">
        <v>0</v>
      </c>
      <c r="AU30">
        <v>0</v>
      </c>
      <c r="AV30">
        <v>0</v>
      </c>
      <c r="AW30" s="57">
        <f t="shared" ref="AW30:AW33" si="39">AW29</f>
        <v>11.324999999999999</v>
      </c>
      <c r="AZ30" t="s">
        <v>154</v>
      </c>
      <c r="BA30">
        <v>1</v>
      </c>
      <c r="BB30" t="s">
        <v>7</v>
      </c>
      <c r="BC30">
        <v>29120</v>
      </c>
      <c r="BD30">
        <v>32</v>
      </c>
      <c r="BE30">
        <v>2</v>
      </c>
      <c r="BF30">
        <v>2</v>
      </c>
      <c r="BG30" s="1">
        <v>1409.19</v>
      </c>
      <c r="BH30" s="54">
        <v>11.683</v>
      </c>
      <c r="BI30" s="23">
        <v>45558</v>
      </c>
      <c r="BJ30" s="46">
        <v>0.81865740740740744</v>
      </c>
      <c r="BK30">
        <v>0</v>
      </c>
      <c r="BL30">
        <v>0</v>
      </c>
      <c r="BM30">
        <v>0</v>
      </c>
      <c r="BN30" s="57">
        <f t="shared" ref="BN30:BN33" si="40">BN29</f>
        <v>11.6706</v>
      </c>
    </row>
    <row r="31" spans="1:66">
      <c r="A31" t="s">
        <v>103</v>
      </c>
      <c r="B31">
        <v>2</v>
      </c>
      <c r="C31" t="s">
        <v>7</v>
      </c>
      <c r="D31">
        <v>29120</v>
      </c>
      <c r="E31">
        <v>32</v>
      </c>
      <c r="F31">
        <v>2</v>
      </c>
      <c r="G31" s="41">
        <v>2</v>
      </c>
      <c r="H31" s="1">
        <v>1374.83</v>
      </c>
      <c r="I31" s="54">
        <v>11.975</v>
      </c>
      <c r="J31" s="23">
        <v>45559</v>
      </c>
      <c r="K31" s="46">
        <v>0.20277777777777778</v>
      </c>
      <c r="L31">
        <v>0</v>
      </c>
      <c r="M31">
        <v>0</v>
      </c>
      <c r="N31">
        <v>0</v>
      </c>
      <c r="O31" s="57">
        <f t="shared" si="10"/>
        <v>12.037800000000001</v>
      </c>
      <c r="R31" t="s">
        <v>103</v>
      </c>
      <c r="S31">
        <v>2</v>
      </c>
      <c r="T31" t="s">
        <v>7</v>
      </c>
      <c r="U31">
        <v>29120</v>
      </c>
      <c r="V31">
        <v>32</v>
      </c>
      <c r="W31" s="58">
        <v>2</v>
      </c>
      <c r="X31">
        <v>2</v>
      </c>
      <c r="Y31" s="1">
        <v>1368.28</v>
      </c>
      <c r="Z31" s="54">
        <v>12.032</v>
      </c>
      <c r="AA31" s="23">
        <v>45559</v>
      </c>
      <c r="AB31" s="46">
        <v>0.20326388888888888</v>
      </c>
      <c r="AC31">
        <v>0</v>
      </c>
      <c r="AD31">
        <v>0</v>
      </c>
      <c r="AE31">
        <v>0</v>
      </c>
      <c r="AF31" s="57">
        <f t="shared" si="4"/>
        <v>12.037600000000001</v>
      </c>
      <c r="AI31" s="23" t="s">
        <v>154</v>
      </c>
      <c r="AJ31" s="46">
        <v>2</v>
      </c>
      <c r="AK31" t="s">
        <v>7</v>
      </c>
      <c r="AL31">
        <v>29120</v>
      </c>
      <c r="AM31">
        <v>32</v>
      </c>
      <c r="AN31" s="41">
        <v>2</v>
      </c>
      <c r="AO31">
        <v>2</v>
      </c>
      <c r="AP31" s="1">
        <v>1453.63</v>
      </c>
      <c r="AQ31" s="54">
        <v>11.326000000000001</v>
      </c>
      <c r="AR31" s="23">
        <v>45559</v>
      </c>
      <c r="AS31" s="46">
        <v>6.5289351851851848E-2</v>
      </c>
      <c r="AT31">
        <v>0</v>
      </c>
      <c r="AU31">
        <v>0</v>
      </c>
      <c r="AV31">
        <v>0</v>
      </c>
      <c r="AW31" s="57">
        <f t="shared" si="39"/>
        <v>11.324999999999999</v>
      </c>
      <c r="AZ31" t="s">
        <v>154</v>
      </c>
      <c r="BA31">
        <v>2</v>
      </c>
      <c r="BB31" t="s">
        <v>7</v>
      </c>
      <c r="BC31">
        <v>29120</v>
      </c>
      <c r="BD31">
        <v>32</v>
      </c>
      <c r="BE31">
        <v>2</v>
      </c>
      <c r="BF31">
        <v>2</v>
      </c>
      <c r="BG31" s="1">
        <v>1409.61</v>
      </c>
      <c r="BH31" s="54">
        <v>11.679</v>
      </c>
      <c r="BI31" s="23">
        <v>45559</v>
      </c>
      <c r="BJ31" s="46">
        <v>0.12732638888888889</v>
      </c>
      <c r="BK31">
        <v>0</v>
      </c>
      <c r="BL31">
        <v>0</v>
      </c>
      <c r="BM31">
        <v>0</v>
      </c>
      <c r="BN31" s="57">
        <f t="shared" si="40"/>
        <v>11.6706</v>
      </c>
    </row>
    <row r="32" spans="1:66">
      <c r="A32" t="s">
        <v>103</v>
      </c>
      <c r="B32">
        <v>3</v>
      </c>
      <c r="C32" t="s">
        <v>7</v>
      </c>
      <c r="D32">
        <v>29120</v>
      </c>
      <c r="E32">
        <v>32</v>
      </c>
      <c r="F32">
        <v>2</v>
      </c>
      <c r="G32" s="41">
        <v>2</v>
      </c>
      <c r="H32" s="1">
        <v>1366.21</v>
      </c>
      <c r="I32" s="54">
        <v>12.05</v>
      </c>
      <c r="J32" s="23">
        <v>45559</v>
      </c>
      <c r="K32" s="46">
        <v>0.54503472222222227</v>
      </c>
      <c r="L32">
        <v>0</v>
      </c>
      <c r="M32">
        <v>0</v>
      </c>
      <c r="N32">
        <v>0</v>
      </c>
      <c r="O32" s="57">
        <f t="shared" si="10"/>
        <v>12.037800000000001</v>
      </c>
      <c r="R32" t="s">
        <v>103</v>
      </c>
      <c r="S32">
        <v>3</v>
      </c>
      <c r="T32" t="s">
        <v>7</v>
      </c>
      <c r="U32">
        <v>29120</v>
      </c>
      <c r="V32">
        <v>32</v>
      </c>
      <c r="W32" s="58">
        <v>2</v>
      </c>
      <c r="X32">
        <v>2</v>
      </c>
      <c r="Y32" s="1">
        <v>1365.01</v>
      </c>
      <c r="Z32" s="54">
        <v>12.061</v>
      </c>
      <c r="AA32" s="23">
        <v>45559</v>
      </c>
      <c r="AB32" s="46">
        <v>0.54646990740740742</v>
      </c>
      <c r="AC32">
        <v>0</v>
      </c>
      <c r="AD32">
        <v>0</v>
      </c>
      <c r="AE32">
        <v>0</v>
      </c>
      <c r="AF32" s="57">
        <f t="shared" si="4"/>
        <v>12.037600000000001</v>
      </c>
      <c r="AI32" s="23" t="s">
        <v>154</v>
      </c>
      <c r="AJ32" s="46">
        <v>3</v>
      </c>
      <c r="AK32" t="s">
        <v>7</v>
      </c>
      <c r="AL32">
        <v>29120</v>
      </c>
      <c r="AM32">
        <v>32</v>
      </c>
      <c r="AN32" s="41">
        <v>2</v>
      </c>
      <c r="AO32">
        <v>2</v>
      </c>
      <c r="AP32" s="1">
        <v>1453.94</v>
      </c>
      <c r="AQ32" s="54">
        <v>11.323</v>
      </c>
      <c r="AR32" s="23">
        <v>45559</v>
      </c>
      <c r="AS32" s="46">
        <v>0.3543634259259259</v>
      </c>
      <c r="AT32">
        <v>0</v>
      </c>
      <c r="AU32">
        <v>0</v>
      </c>
      <c r="AV32">
        <v>0</v>
      </c>
      <c r="AW32" s="57">
        <f t="shared" si="39"/>
        <v>11.324999999999999</v>
      </c>
      <c r="AZ32" t="s">
        <v>154</v>
      </c>
      <c r="BA32">
        <v>3</v>
      </c>
      <c r="BB32" t="s">
        <v>7</v>
      </c>
      <c r="BC32">
        <v>29120</v>
      </c>
      <c r="BD32">
        <v>32</v>
      </c>
      <c r="BE32">
        <v>2</v>
      </c>
      <c r="BF32">
        <v>2</v>
      </c>
      <c r="BG32" s="1">
        <v>1415.78</v>
      </c>
      <c r="BH32" s="54">
        <v>11.628</v>
      </c>
      <c r="BI32" s="23">
        <v>45559</v>
      </c>
      <c r="BJ32" s="46">
        <v>0.4357638888888889</v>
      </c>
      <c r="BK32">
        <v>0</v>
      </c>
      <c r="BL32">
        <v>0</v>
      </c>
      <c r="BM32">
        <v>0</v>
      </c>
      <c r="BN32" s="57">
        <f t="shared" si="40"/>
        <v>11.6706</v>
      </c>
    </row>
    <row r="33" spans="1:66">
      <c r="A33" t="s">
        <v>103</v>
      </c>
      <c r="B33">
        <v>4</v>
      </c>
      <c r="C33" t="s">
        <v>7</v>
      </c>
      <c r="D33">
        <v>29120</v>
      </c>
      <c r="E33">
        <v>32</v>
      </c>
      <c r="F33">
        <v>2</v>
      </c>
      <c r="G33" s="41">
        <v>2</v>
      </c>
      <c r="H33" s="1">
        <v>1364.98</v>
      </c>
      <c r="I33" s="54">
        <v>12.061</v>
      </c>
      <c r="J33" s="23">
        <v>45559</v>
      </c>
      <c r="K33" s="46">
        <v>0.88725694444444447</v>
      </c>
      <c r="L33">
        <v>0</v>
      </c>
      <c r="M33">
        <v>0</v>
      </c>
      <c r="N33">
        <v>0</v>
      </c>
      <c r="O33" s="57">
        <f t="shared" si="10"/>
        <v>12.037800000000001</v>
      </c>
      <c r="R33" t="s">
        <v>103</v>
      </c>
      <c r="S33">
        <v>4</v>
      </c>
      <c r="T33" t="s">
        <v>7</v>
      </c>
      <c r="U33">
        <v>29120</v>
      </c>
      <c r="V33">
        <v>32</v>
      </c>
      <c r="W33" s="58">
        <v>2</v>
      </c>
      <c r="X33">
        <v>2</v>
      </c>
      <c r="Y33" s="1">
        <v>1366.96</v>
      </c>
      <c r="Z33" s="54">
        <v>12.044</v>
      </c>
      <c r="AA33" s="23">
        <v>45559</v>
      </c>
      <c r="AB33" s="46">
        <v>0.8893981481481481</v>
      </c>
      <c r="AC33">
        <v>0</v>
      </c>
      <c r="AD33">
        <v>0</v>
      </c>
      <c r="AE33">
        <v>0</v>
      </c>
      <c r="AF33" s="57">
        <f t="shared" si="4"/>
        <v>12.037600000000001</v>
      </c>
      <c r="AI33" s="23" t="s">
        <v>154</v>
      </c>
      <c r="AJ33" s="46">
        <v>4</v>
      </c>
      <c r="AK33" t="s">
        <v>7</v>
      </c>
      <c r="AL33">
        <v>29120</v>
      </c>
      <c r="AM33">
        <v>32</v>
      </c>
      <c r="AN33" s="41">
        <v>2</v>
      </c>
      <c r="AO33">
        <v>2</v>
      </c>
      <c r="AP33" s="1">
        <v>1452.61</v>
      </c>
      <c r="AQ33" s="54">
        <v>11.334</v>
      </c>
      <c r="AR33" s="23">
        <v>45559</v>
      </c>
      <c r="AS33" s="46">
        <v>0.64413194444444444</v>
      </c>
      <c r="AT33">
        <v>0</v>
      </c>
      <c r="AU33">
        <v>0</v>
      </c>
      <c r="AV33">
        <v>0</v>
      </c>
      <c r="AW33" s="57">
        <f t="shared" si="39"/>
        <v>11.324999999999999</v>
      </c>
      <c r="AZ33" t="s">
        <v>154</v>
      </c>
      <c r="BA33">
        <v>4</v>
      </c>
      <c r="BB33" t="s">
        <v>7</v>
      </c>
      <c r="BC33">
        <v>29120</v>
      </c>
      <c r="BD33">
        <v>32</v>
      </c>
      <c r="BE33">
        <v>2</v>
      </c>
      <c r="BF33">
        <v>2</v>
      </c>
      <c r="BG33" s="1">
        <v>1410.6</v>
      </c>
      <c r="BH33" s="54">
        <v>11.670999999999999</v>
      </c>
      <c r="BI33" s="23">
        <v>45559</v>
      </c>
      <c r="BJ33" s="46">
        <v>0.74414351851851857</v>
      </c>
      <c r="BK33">
        <v>0</v>
      </c>
      <c r="BL33">
        <v>0</v>
      </c>
      <c r="BM33">
        <v>0</v>
      </c>
      <c r="BN33" s="57">
        <f t="shared" si="40"/>
        <v>11.6706</v>
      </c>
    </row>
    <row r="34" spans="1:66">
      <c r="A34" t="s">
        <v>103</v>
      </c>
      <c r="B34">
        <v>0</v>
      </c>
      <c r="C34" t="s">
        <v>7</v>
      </c>
      <c r="D34">
        <v>26048</v>
      </c>
      <c r="E34">
        <v>64</v>
      </c>
      <c r="F34">
        <v>1</v>
      </c>
      <c r="G34" s="41">
        <v>4</v>
      </c>
      <c r="H34" s="1">
        <v>502.23</v>
      </c>
      <c r="I34" s="54">
        <v>23.462</v>
      </c>
      <c r="J34" s="23">
        <v>45558</v>
      </c>
      <c r="K34" s="46">
        <v>0.30653935185185183</v>
      </c>
      <c r="L34">
        <v>0</v>
      </c>
      <c r="M34">
        <v>0</v>
      </c>
      <c r="N34">
        <v>0</v>
      </c>
      <c r="O34" s="57">
        <f t="shared" ref="O34" si="41">AVERAGE(I34:I38)</f>
        <v>23.489200000000004</v>
      </c>
      <c r="R34" t="s">
        <v>103</v>
      </c>
      <c r="S34">
        <v>0</v>
      </c>
      <c r="T34" t="s">
        <v>7</v>
      </c>
      <c r="U34">
        <v>26048</v>
      </c>
      <c r="V34">
        <v>64</v>
      </c>
      <c r="W34" s="41">
        <v>1</v>
      </c>
      <c r="X34">
        <v>4</v>
      </c>
      <c r="Y34" s="1">
        <v>501.48</v>
      </c>
      <c r="Z34" s="54">
        <v>23.497</v>
      </c>
      <c r="AA34" s="23">
        <v>45558</v>
      </c>
      <c r="AB34" s="46">
        <v>0.30472222222222223</v>
      </c>
      <c r="AC34">
        <v>0</v>
      </c>
      <c r="AD34">
        <v>0</v>
      </c>
      <c r="AE34">
        <v>0</v>
      </c>
      <c r="AF34" s="57">
        <f t="shared" ref="AF34" si="42">AVERAGE(Z34:Z38)</f>
        <v>23.475200000000001</v>
      </c>
      <c r="AI34" t="s">
        <v>154</v>
      </c>
      <c r="AJ34">
        <v>0</v>
      </c>
      <c r="AK34" t="s">
        <v>7</v>
      </c>
      <c r="AL34">
        <v>26048</v>
      </c>
      <c r="AM34">
        <v>64</v>
      </c>
      <c r="AN34" s="41">
        <v>1</v>
      </c>
      <c r="AO34">
        <v>4</v>
      </c>
      <c r="AP34" s="1">
        <v>492.82</v>
      </c>
      <c r="AQ34" s="54">
        <v>23.91</v>
      </c>
      <c r="AR34" s="23">
        <v>45558</v>
      </c>
      <c r="AS34" s="46">
        <v>0.30453703703703705</v>
      </c>
      <c r="AT34">
        <v>0</v>
      </c>
      <c r="AU34">
        <v>0</v>
      </c>
      <c r="AV34">
        <v>0</v>
      </c>
      <c r="AW34" s="57">
        <f t="shared" ref="AW34" si="43">AVERAGE(AQ34:AQ38)</f>
        <v>24.142599999999998</v>
      </c>
      <c r="AZ34" t="s">
        <v>154</v>
      </c>
      <c r="BA34">
        <v>0</v>
      </c>
      <c r="BB34" t="s">
        <v>7</v>
      </c>
      <c r="BC34">
        <v>26048</v>
      </c>
      <c r="BD34">
        <v>64</v>
      </c>
      <c r="BE34">
        <v>1</v>
      </c>
      <c r="BF34">
        <v>4</v>
      </c>
      <c r="BG34" s="1">
        <v>517.41</v>
      </c>
      <c r="BH34" s="54">
        <v>22.774000000000001</v>
      </c>
      <c r="BI34" s="23">
        <v>45558</v>
      </c>
      <c r="BJ34" s="46">
        <v>0.30605324074074075</v>
      </c>
      <c r="BK34">
        <v>0</v>
      </c>
      <c r="BL34">
        <v>0</v>
      </c>
      <c r="BM34">
        <v>0</v>
      </c>
      <c r="BN34" s="57">
        <f t="shared" ref="BN34" si="44">AVERAGE(BH34:BH38)</f>
        <v>22.845400000000001</v>
      </c>
    </row>
    <row r="35" spans="1:66">
      <c r="A35" t="s">
        <v>103</v>
      </c>
      <c r="B35">
        <v>1</v>
      </c>
      <c r="C35" t="s">
        <v>7</v>
      </c>
      <c r="D35">
        <v>26048</v>
      </c>
      <c r="E35">
        <v>64</v>
      </c>
      <c r="F35">
        <v>1</v>
      </c>
      <c r="G35" s="41">
        <v>4</v>
      </c>
      <c r="H35" s="1">
        <v>502.11</v>
      </c>
      <c r="I35" s="54">
        <v>23.466999999999999</v>
      </c>
      <c r="J35" s="23">
        <v>45558</v>
      </c>
      <c r="K35" s="46">
        <v>0.64861111111111114</v>
      </c>
      <c r="L35">
        <v>0</v>
      </c>
      <c r="M35">
        <v>0</v>
      </c>
      <c r="N35">
        <v>0</v>
      </c>
      <c r="O35" s="57">
        <f t="shared" ref="O35" si="45">O34</f>
        <v>23.489200000000004</v>
      </c>
      <c r="R35" t="s">
        <v>103</v>
      </c>
      <c r="S35">
        <v>1</v>
      </c>
      <c r="T35" t="s">
        <v>7</v>
      </c>
      <c r="U35">
        <v>26048</v>
      </c>
      <c r="V35">
        <v>64</v>
      </c>
      <c r="W35" s="41">
        <v>1</v>
      </c>
      <c r="X35">
        <v>4</v>
      </c>
      <c r="Y35" s="1">
        <v>500.85</v>
      </c>
      <c r="Z35" s="54">
        <v>23.527000000000001</v>
      </c>
      <c r="AA35" s="23">
        <v>45558</v>
      </c>
      <c r="AB35" s="46">
        <v>0.64780092592592597</v>
      </c>
      <c r="AC35">
        <v>0</v>
      </c>
      <c r="AD35">
        <v>0</v>
      </c>
      <c r="AE35">
        <v>0</v>
      </c>
      <c r="AF35" s="57">
        <f t="shared" si="4"/>
        <v>23.475200000000001</v>
      </c>
      <c r="AI35" s="23" t="s">
        <v>154</v>
      </c>
      <c r="AJ35" s="46">
        <v>1</v>
      </c>
      <c r="AK35" t="s">
        <v>7</v>
      </c>
      <c r="AL35">
        <v>26048</v>
      </c>
      <c r="AM35">
        <v>64</v>
      </c>
      <c r="AN35" s="41">
        <v>1</v>
      </c>
      <c r="AO35">
        <v>4</v>
      </c>
      <c r="AP35" s="1">
        <v>484.38</v>
      </c>
      <c r="AQ35" s="54">
        <v>24.327000000000002</v>
      </c>
      <c r="AR35" s="23">
        <v>45558</v>
      </c>
      <c r="AS35" s="46">
        <v>0.59674768518518517</v>
      </c>
      <c r="AT35">
        <v>0</v>
      </c>
      <c r="AU35">
        <v>0</v>
      </c>
      <c r="AV35">
        <v>0</v>
      </c>
      <c r="AW35" s="57">
        <f t="shared" ref="AW35:AW38" si="46">AW34</f>
        <v>24.142599999999998</v>
      </c>
      <c r="AZ35" t="s">
        <v>154</v>
      </c>
      <c r="BA35">
        <v>1</v>
      </c>
      <c r="BB35" t="s">
        <v>7</v>
      </c>
      <c r="BC35">
        <v>26048</v>
      </c>
      <c r="BD35">
        <v>64</v>
      </c>
      <c r="BE35">
        <v>1</v>
      </c>
      <c r="BF35">
        <v>4</v>
      </c>
      <c r="BG35" s="1">
        <v>515.44000000000005</v>
      </c>
      <c r="BH35" s="54">
        <v>22.861000000000001</v>
      </c>
      <c r="BI35" s="23">
        <v>45558</v>
      </c>
      <c r="BJ35" s="46">
        <v>0.6269675925925926</v>
      </c>
      <c r="BK35">
        <v>0</v>
      </c>
      <c r="BL35">
        <v>0</v>
      </c>
      <c r="BM35">
        <v>0</v>
      </c>
      <c r="BN35" s="57">
        <f t="shared" ref="BN35:BN38" si="47">BN34</f>
        <v>22.845400000000001</v>
      </c>
    </row>
    <row r="36" spans="1:66">
      <c r="A36" t="s">
        <v>103</v>
      </c>
      <c r="B36">
        <v>2</v>
      </c>
      <c r="C36" t="s">
        <v>7</v>
      </c>
      <c r="D36">
        <v>26048</v>
      </c>
      <c r="E36">
        <v>64</v>
      </c>
      <c r="F36">
        <v>1</v>
      </c>
      <c r="G36" s="41">
        <v>4</v>
      </c>
      <c r="H36" s="1">
        <v>501.79</v>
      </c>
      <c r="I36" s="54">
        <v>23.483000000000001</v>
      </c>
      <c r="J36" s="23">
        <v>45558</v>
      </c>
      <c r="K36" s="46">
        <v>0.99078703703703708</v>
      </c>
      <c r="L36">
        <v>0</v>
      </c>
      <c r="M36">
        <v>0</v>
      </c>
      <c r="N36">
        <v>0</v>
      </c>
      <c r="O36" s="57">
        <f t="shared" si="10"/>
        <v>23.489200000000004</v>
      </c>
      <c r="R36" t="s">
        <v>103</v>
      </c>
      <c r="S36">
        <v>2</v>
      </c>
      <c r="T36" t="s">
        <v>7</v>
      </c>
      <c r="U36">
        <v>26048</v>
      </c>
      <c r="V36">
        <v>64</v>
      </c>
      <c r="W36" s="58">
        <v>1</v>
      </c>
      <c r="X36">
        <v>4</v>
      </c>
      <c r="Y36" s="1">
        <v>502.8</v>
      </c>
      <c r="Z36" s="54">
        <v>23.434999999999999</v>
      </c>
      <c r="AA36" s="23">
        <v>45558</v>
      </c>
      <c r="AB36" s="46">
        <v>0.99085648148148153</v>
      </c>
      <c r="AC36">
        <v>0</v>
      </c>
      <c r="AD36">
        <v>0</v>
      </c>
      <c r="AE36">
        <v>0</v>
      </c>
      <c r="AF36" s="57">
        <f t="shared" si="4"/>
        <v>23.475200000000001</v>
      </c>
      <c r="AI36" s="23" t="s">
        <v>154</v>
      </c>
      <c r="AJ36" s="46">
        <v>2</v>
      </c>
      <c r="AK36" t="s">
        <v>7</v>
      </c>
      <c r="AL36">
        <v>26048</v>
      </c>
      <c r="AM36">
        <v>64</v>
      </c>
      <c r="AN36" s="41">
        <v>1</v>
      </c>
      <c r="AO36">
        <v>4</v>
      </c>
      <c r="AP36" s="1">
        <v>486.86</v>
      </c>
      <c r="AQ36" s="54">
        <v>24.202999999999999</v>
      </c>
      <c r="AR36" s="23">
        <v>45558</v>
      </c>
      <c r="AS36" s="46">
        <v>0.88599537037037035</v>
      </c>
      <c r="AT36">
        <v>0</v>
      </c>
      <c r="AU36">
        <v>0</v>
      </c>
      <c r="AV36">
        <v>0</v>
      </c>
      <c r="AW36" s="57">
        <f t="shared" si="46"/>
        <v>24.142599999999998</v>
      </c>
      <c r="AZ36" t="s">
        <v>154</v>
      </c>
      <c r="BA36">
        <v>2</v>
      </c>
      <c r="BB36" t="s">
        <v>7</v>
      </c>
      <c r="BC36">
        <v>26048</v>
      </c>
      <c r="BD36">
        <v>64</v>
      </c>
      <c r="BE36">
        <v>1</v>
      </c>
      <c r="BF36">
        <v>4</v>
      </c>
      <c r="BG36" s="1">
        <v>516.16999999999996</v>
      </c>
      <c r="BH36" s="54">
        <v>22.829000000000001</v>
      </c>
      <c r="BI36" s="23">
        <v>45558</v>
      </c>
      <c r="BJ36" s="46">
        <v>0.93562500000000004</v>
      </c>
      <c r="BK36">
        <v>0</v>
      </c>
      <c r="BL36">
        <v>0</v>
      </c>
      <c r="BM36">
        <v>0</v>
      </c>
      <c r="BN36" s="57">
        <f t="shared" si="47"/>
        <v>22.845400000000001</v>
      </c>
    </row>
    <row r="37" spans="1:66">
      <c r="A37" t="s">
        <v>103</v>
      </c>
      <c r="B37">
        <v>3</v>
      </c>
      <c r="C37" t="s">
        <v>7</v>
      </c>
      <c r="D37">
        <v>26048</v>
      </c>
      <c r="E37">
        <v>64</v>
      </c>
      <c r="F37">
        <v>1</v>
      </c>
      <c r="G37" s="41">
        <v>4</v>
      </c>
      <c r="H37" s="1">
        <v>501.15</v>
      </c>
      <c r="I37" s="54">
        <v>23.513000000000002</v>
      </c>
      <c r="J37" s="23">
        <v>45559</v>
      </c>
      <c r="K37" s="46">
        <v>0.33307870370370368</v>
      </c>
      <c r="L37">
        <v>0</v>
      </c>
      <c r="M37">
        <v>0</v>
      </c>
      <c r="N37">
        <v>0</v>
      </c>
      <c r="O37" s="57">
        <f t="shared" si="10"/>
        <v>23.489200000000004</v>
      </c>
      <c r="R37" t="s">
        <v>103</v>
      </c>
      <c r="S37">
        <v>3</v>
      </c>
      <c r="T37" t="s">
        <v>7</v>
      </c>
      <c r="U37">
        <v>26048</v>
      </c>
      <c r="V37">
        <v>64</v>
      </c>
      <c r="W37" s="58">
        <v>1</v>
      </c>
      <c r="X37">
        <v>4</v>
      </c>
      <c r="Y37" s="1">
        <v>503.21</v>
      </c>
      <c r="Z37" s="54">
        <v>23.417000000000002</v>
      </c>
      <c r="AA37" s="23">
        <v>45559</v>
      </c>
      <c r="AB37" s="46">
        <v>0.33398148148148149</v>
      </c>
      <c r="AC37">
        <v>0</v>
      </c>
      <c r="AD37">
        <v>0</v>
      </c>
      <c r="AE37">
        <v>0</v>
      </c>
      <c r="AF37" s="57">
        <f t="shared" si="4"/>
        <v>23.475200000000001</v>
      </c>
      <c r="AI37" s="23" t="s">
        <v>154</v>
      </c>
      <c r="AJ37" s="46">
        <v>3</v>
      </c>
      <c r="AK37" t="s">
        <v>7</v>
      </c>
      <c r="AL37">
        <v>26048</v>
      </c>
      <c r="AM37">
        <v>64</v>
      </c>
      <c r="AN37" s="41">
        <v>1</v>
      </c>
      <c r="AO37">
        <v>4</v>
      </c>
      <c r="AP37" s="1">
        <v>489.32</v>
      </c>
      <c r="AQ37" s="54">
        <v>24.081</v>
      </c>
      <c r="AR37" s="23">
        <v>45559</v>
      </c>
      <c r="AS37" s="46">
        <v>0.17488425925925927</v>
      </c>
      <c r="AT37">
        <v>0</v>
      </c>
      <c r="AU37">
        <v>0</v>
      </c>
      <c r="AV37">
        <v>0</v>
      </c>
      <c r="AW37" s="57">
        <f t="shared" si="46"/>
        <v>24.142599999999998</v>
      </c>
      <c r="AZ37" t="s">
        <v>154</v>
      </c>
      <c r="BA37">
        <v>3</v>
      </c>
      <c r="BB37" t="s">
        <v>7</v>
      </c>
      <c r="BC37">
        <v>26048</v>
      </c>
      <c r="BD37">
        <v>64</v>
      </c>
      <c r="BE37">
        <v>1</v>
      </c>
      <c r="BF37">
        <v>4</v>
      </c>
      <c r="BG37" s="1">
        <v>514.84</v>
      </c>
      <c r="BH37" s="54">
        <v>22.888000000000002</v>
      </c>
      <c r="BI37" s="23">
        <v>45559</v>
      </c>
      <c r="BJ37" s="46">
        <v>0.2442361111111111</v>
      </c>
      <c r="BK37">
        <v>0</v>
      </c>
      <c r="BL37">
        <v>0</v>
      </c>
      <c r="BM37">
        <v>0</v>
      </c>
      <c r="BN37" s="57">
        <f t="shared" si="47"/>
        <v>22.845400000000001</v>
      </c>
    </row>
    <row r="38" spans="1:66">
      <c r="A38" t="s">
        <v>103</v>
      </c>
      <c r="B38">
        <v>4</v>
      </c>
      <c r="C38" t="s">
        <v>7</v>
      </c>
      <c r="D38">
        <v>26048</v>
      </c>
      <c r="E38">
        <v>64</v>
      </c>
      <c r="F38">
        <v>1</v>
      </c>
      <c r="G38" s="41">
        <v>4</v>
      </c>
      <c r="H38" s="1">
        <v>500.98</v>
      </c>
      <c r="I38" s="54">
        <v>23.521000000000001</v>
      </c>
      <c r="J38" s="23">
        <v>45559</v>
      </c>
      <c r="K38" s="46">
        <v>0.67538194444444444</v>
      </c>
      <c r="L38">
        <v>0</v>
      </c>
      <c r="M38">
        <v>0</v>
      </c>
      <c r="N38">
        <v>0</v>
      </c>
      <c r="O38" s="57">
        <f t="shared" si="10"/>
        <v>23.489200000000004</v>
      </c>
      <c r="R38" t="s">
        <v>103</v>
      </c>
      <c r="S38">
        <v>4</v>
      </c>
      <c r="T38" t="s">
        <v>7</v>
      </c>
      <c r="U38">
        <v>26048</v>
      </c>
      <c r="V38">
        <v>64</v>
      </c>
      <c r="W38" s="58">
        <v>1</v>
      </c>
      <c r="X38">
        <v>4</v>
      </c>
      <c r="Y38" s="1">
        <v>501.43</v>
      </c>
      <c r="Z38" s="54">
        <v>23.5</v>
      </c>
      <c r="AA38" s="23">
        <v>45559</v>
      </c>
      <c r="AB38" s="46">
        <v>0.67716435185185186</v>
      </c>
      <c r="AC38">
        <v>0</v>
      </c>
      <c r="AD38">
        <v>0</v>
      </c>
      <c r="AE38">
        <v>0</v>
      </c>
      <c r="AF38" s="57">
        <f t="shared" si="4"/>
        <v>23.475200000000001</v>
      </c>
      <c r="AI38" s="23" t="s">
        <v>154</v>
      </c>
      <c r="AJ38" s="46">
        <v>4</v>
      </c>
      <c r="AK38" t="s">
        <v>7</v>
      </c>
      <c r="AL38">
        <v>26048</v>
      </c>
      <c r="AM38">
        <v>64</v>
      </c>
      <c r="AN38" s="41">
        <v>1</v>
      </c>
      <c r="AO38">
        <v>4</v>
      </c>
      <c r="AP38" s="1">
        <v>487.08</v>
      </c>
      <c r="AQ38" s="54">
        <v>24.192</v>
      </c>
      <c r="AR38" s="23">
        <v>45559</v>
      </c>
      <c r="AS38" s="46">
        <v>0.46413194444444444</v>
      </c>
      <c r="AT38">
        <v>0</v>
      </c>
      <c r="AU38">
        <v>0</v>
      </c>
      <c r="AV38">
        <v>0</v>
      </c>
      <c r="AW38" s="57">
        <f t="shared" si="46"/>
        <v>24.142599999999998</v>
      </c>
      <c r="AZ38" t="s">
        <v>154</v>
      </c>
      <c r="BA38">
        <v>4</v>
      </c>
      <c r="BB38" t="s">
        <v>7</v>
      </c>
      <c r="BC38">
        <v>26048</v>
      </c>
      <c r="BD38">
        <v>64</v>
      </c>
      <c r="BE38">
        <v>1</v>
      </c>
      <c r="BF38">
        <v>4</v>
      </c>
      <c r="BG38" s="1">
        <v>515.11</v>
      </c>
      <c r="BH38" s="54">
        <v>22.875</v>
      </c>
      <c r="BI38" s="23">
        <v>45559</v>
      </c>
      <c r="BJ38" s="46">
        <v>0.55269675925925921</v>
      </c>
      <c r="BK38">
        <v>0</v>
      </c>
      <c r="BL38">
        <v>0</v>
      </c>
      <c r="BM38">
        <v>0</v>
      </c>
      <c r="BN38" s="57">
        <f t="shared" si="47"/>
        <v>22.845400000000001</v>
      </c>
    </row>
    <row r="39" spans="1:66">
      <c r="A39" t="s">
        <v>103</v>
      </c>
      <c r="B39">
        <v>0</v>
      </c>
      <c r="C39" t="s">
        <v>7</v>
      </c>
      <c r="D39">
        <v>27584</v>
      </c>
      <c r="E39">
        <v>64</v>
      </c>
      <c r="F39">
        <v>1</v>
      </c>
      <c r="G39" s="41">
        <v>4</v>
      </c>
      <c r="H39" s="1">
        <v>608.97</v>
      </c>
      <c r="I39" s="54">
        <v>22.978999999999999</v>
      </c>
      <c r="J39" s="23">
        <v>45558</v>
      </c>
      <c r="K39" s="46">
        <v>0.40721064814814817</v>
      </c>
      <c r="L39">
        <v>0</v>
      </c>
      <c r="M39">
        <v>0</v>
      </c>
      <c r="N39">
        <v>0</v>
      </c>
      <c r="O39" s="57">
        <f t="shared" ref="O39" si="48">AVERAGE(I39:I43)</f>
        <v>22.976599999999998</v>
      </c>
      <c r="R39" t="s">
        <v>103</v>
      </c>
      <c r="S39">
        <v>0</v>
      </c>
      <c r="T39" t="s">
        <v>7</v>
      </c>
      <c r="U39">
        <v>27584</v>
      </c>
      <c r="V39">
        <v>64</v>
      </c>
      <c r="W39" s="41">
        <v>1</v>
      </c>
      <c r="X39">
        <v>4</v>
      </c>
      <c r="Y39" s="1">
        <v>609.79</v>
      </c>
      <c r="Z39" s="54">
        <v>22.946999999999999</v>
      </c>
      <c r="AA39" s="23">
        <v>45558</v>
      </c>
      <c r="AB39" s="46">
        <v>0.40574074074074074</v>
      </c>
      <c r="AC39">
        <v>0</v>
      </c>
      <c r="AD39">
        <v>0</v>
      </c>
      <c r="AE39">
        <v>0</v>
      </c>
      <c r="AF39" s="57">
        <f t="shared" ref="AF39" si="49">AVERAGE(Z39:Z43)</f>
        <v>22.991199999999999</v>
      </c>
      <c r="AI39" s="23" t="s">
        <v>154</v>
      </c>
      <c r="AJ39" s="46">
        <v>0</v>
      </c>
      <c r="AK39" t="s">
        <v>7</v>
      </c>
      <c r="AL39">
        <v>27584</v>
      </c>
      <c r="AM39">
        <v>64</v>
      </c>
      <c r="AN39" s="41">
        <v>1</v>
      </c>
      <c r="AO39">
        <v>4</v>
      </c>
      <c r="AP39" s="1">
        <v>597.34</v>
      </c>
      <c r="AQ39" s="54">
        <v>23.425999999999998</v>
      </c>
      <c r="AR39" s="23">
        <v>45558</v>
      </c>
      <c r="AS39" s="46">
        <v>0.39003472222222224</v>
      </c>
      <c r="AT39">
        <v>0</v>
      </c>
      <c r="AU39">
        <v>0</v>
      </c>
      <c r="AV39">
        <v>0</v>
      </c>
      <c r="AW39" s="57">
        <f t="shared" ref="AW39" si="50">AVERAGE(AQ39:AQ43)</f>
        <v>23.339599999999997</v>
      </c>
      <c r="AZ39" t="s">
        <v>154</v>
      </c>
      <c r="BA39">
        <v>0</v>
      </c>
      <c r="BB39" t="s">
        <v>7</v>
      </c>
      <c r="BC39">
        <v>27584</v>
      </c>
      <c r="BD39">
        <v>64</v>
      </c>
      <c r="BE39">
        <v>1</v>
      </c>
      <c r="BF39">
        <v>4</v>
      </c>
      <c r="BG39" s="1">
        <v>620.71</v>
      </c>
      <c r="BH39" s="54">
        <v>22.544</v>
      </c>
      <c r="BI39" s="23">
        <v>45558</v>
      </c>
      <c r="BJ39" s="46">
        <v>0.39815972222222223</v>
      </c>
      <c r="BK39">
        <v>0</v>
      </c>
      <c r="BL39">
        <v>0</v>
      </c>
      <c r="BM39">
        <v>0</v>
      </c>
      <c r="BN39" s="57">
        <f t="shared" ref="BN39" si="51">AVERAGE(BH39:BH43)</f>
        <v>22.535800000000002</v>
      </c>
    </row>
    <row r="40" spans="1:66">
      <c r="A40" t="s">
        <v>103</v>
      </c>
      <c r="B40">
        <v>1</v>
      </c>
      <c r="C40" t="s">
        <v>7</v>
      </c>
      <c r="D40">
        <v>27584</v>
      </c>
      <c r="E40">
        <v>64</v>
      </c>
      <c r="F40">
        <v>1</v>
      </c>
      <c r="G40" s="41">
        <v>4</v>
      </c>
      <c r="H40" s="1">
        <v>608.66999999999996</v>
      </c>
      <c r="I40" s="54">
        <v>22.99</v>
      </c>
      <c r="J40" s="23">
        <v>45558</v>
      </c>
      <c r="K40" s="46">
        <v>0.7493981481481482</v>
      </c>
      <c r="L40">
        <v>0</v>
      </c>
      <c r="M40">
        <v>0</v>
      </c>
      <c r="N40">
        <v>0</v>
      </c>
      <c r="O40" s="57">
        <f t="shared" ref="O40" si="52">O39</f>
        <v>22.976599999999998</v>
      </c>
      <c r="R40" t="s">
        <v>103</v>
      </c>
      <c r="S40">
        <v>1</v>
      </c>
      <c r="T40" t="s">
        <v>7</v>
      </c>
      <c r="U40">
        <v>27584</v>
      </c>
      <c r="V40">
        <v>64</v>
      </c>
      <c r="W40" s="41">
        <v>1</v>
      </c>
      <c r="X40">
        <v>4</v>
      </c>
      <c r="Y40" s="1">
        <v>607.30999999999995</v>
      </c>
      <c r="Z40" s="54">
        <v>23.041</v>
      </c>
      <c r="AA40" s="23">
        <v>45558</v>
      </c>
      <c r="AB40" s="46">
        <v>0.74886574074074075</v>
      </c>
      <c r="AC40">
        <v>0</v>
      </c>
      <c r="AD40">
        <v>0</v>
      </c>
      <c r="AE40">
        <v>0</v>
      </c>
      <c r="AF40" s="57">
        <f t="shared" si="4"/>
        <v>22.991199999999999</v>
      </c>
      <c r="AI40" s="23" t="s">
        <v>154</v>
      </c>
      <c r="AJ40" s="46">
        <v>1</v>
      </c>
      <c r="AK40" t="s">
        <v>7</v>
      </c>
      <c r="AL40">
        <v>27584</v>
      </c>
      <c r="AM40">
        <v>64</v>
      </c>
      <c r="AN40" s="41">
        <v>1</v>
      </c>
      <c r="AO40">
        <v>4</v>
      </c>
      <c r="AP40" s="1">
        <v>599.15</v>
      </c>
      <c r="AQ40" s="54">
        <v>23.355</v>
      </c>
      <c r="AR40" s="23">
        <v>45558</v>
      </c>
      <c r="AS40" s="46">
        <v>0.68261574074074072</v>
      </c>
      <c r="AT40">
        <v>0</v>
      </c>
      <c r="AU40">
        <v>0</v>
      </c>
      <c r="AV40">
        <v>0</v>
      </c>
      <c r="AW40" s="57">
        <f t="shared" ref="AW40:AW43" si="53">AW39</f>
        <v>23.339599999999997</v>
      </c>
      <c r="AZ40" t="s">
        <v>154</v>
      </c>
      <c r="BA40">
        <v>1</v>
      </c>
      <c r="BB40" t="s">
        <v>7</v>
      </c>
      <c r="BC40">
        <v>27584</v>
      </c>
      <c r="BD40">
        <v>64</v>
      </c>
      <c r="BE40">
        <v>1</v>
      </c>
      <c r="BF40">
        <v>4</v>
      </c>
      <c r="BG40" s="1">
        <v>620.29999999999995</v>
      </c>
      <c r="BH40" s="54">
        <v>22.559000000000001</v>
      </c>
      <c r="BI40" s="23">
        <v>45558</v>
      </c>
      <c r="BJ40" s="46">
        <v>0.71892361111111114</v>
      </c>
      <c r="BK40">
        <v>0</v>
      </c>
      <c r="BL40">
        <v>0</v>
      </c>
      <c r="BM40">
        <v>0</v>
      </c>
      <c r="BN40" s="57">
        <f t="shared" ref="BN40:BN43" si="54">BN39</f>
        <v>22.535800000000002</v>
      </c>
    </row>
    <row r="41" spans="1:66">
      <c r="A41" t="s">
        <v>103</v>
      </c>
      <c r="B41">
        <v>2</v>
      </c>
      <c r="C41" t="s">
        <v>7</v>
      </c>
      <c r="D41">
        <v>27584</v>
      </c>
      <c r="E41">
        <v>64</v>
      </c>
      <c r="F41">
        <v>1</v>
      </c>
      <c r="G41" s="41">
        <v>4</v>
      </c>
      <c r="H41" s="1">
        <v>607.79</v>
      </c>
      <c r="I41" s="54">
        <v>23.023</v>
      </c>
      <c r="J41" s="23">
        <v>45559</v>
      </c>
      <c r="K41" s="46">
        <v>9.1550925925925924E-2</v>
      </c>
      <c r="L41">
        <v>0</v>
      </c>
      <c r="M41">
        <v>0</v>
      </c>
      <c r="N41">
        <v>0</v>
      </c>
      <c r="O41" s="57">
        <f t="shared" si="10"/>
        <v>22.976599999999998</v>
      </c>
      <c r="R41" t="s">
        <v>103</v>
      </c>
      <c r="S41">
        <v>2</v>
      </c>
      <c r="T41" t="s">
        <v>7</v>
      </c>
      <c r="U41">
        <v>27584</v>
      </c>
      <c r="V41">
        <v>64</v>
      </c>
      <c r="W41" s="58">
        <v>1</v>
      </c>
      <c r="X41">
        <v>4</v>
      </c>
      <c r="Y41" s="1">
        <v>608.23</v>
      </c>
      <c r="Z41" s="54">
        <v>23.006</v>
      </c>
      <c r="AA41" s="23">
        <v>45559</v>
      </c>
      <c r="AB41" s="46">
        <v>9.1909722222222226E-2</v>
      </c>
      <c r="AC41">
        <v>0</v>
      </c>
      <c r="AD41">
        <v>0</v>
      </c>
      <c r="AE41">
        <v>0</v>
      </c>
      <c r="AF41" s="57">
        <f t="shared" si="4"/>
        <v>22.991199999999999</v>
      </c>
      <c r="AI41" s="23" t="s">
        <v>154</v>
      </c>
      <c r="AJ41" s="46">
        <v>2</v>
      </c>
      <c r="AK41" t="s">
        <v>7</v>
      </c>
      <c r="AL41">
        <v>27584</v>
      </c>
      <c r="AM41">
        <v>64</v>
      </c>
      <c r="AN41" s="41">
        <v>1</v>
      </c>
      <c r="AO41">
        <v>4</v>
      </c>
      <c r="AP41" s="1">
        <v>600.19000000000005</v>
      </c>
      <c r="AQ41" s="54">
        <v>23.315000000000001</v>
      </c>
      <c r="AR41" s="23">
        <v>45558</v>
      </c>
      <c r="AS41" s="46">
        <v>0.9717824074074074</v>
      </c>
      <c r="AT41">
        <v>0</v>
      </c>
      <c r="AU41">
        <v>0</v>
      </c>
      <c r="AV41">
        <v>0</v>
      </c>
      <c r="AW41" s="57">
        <f t="shared" si="53"/>
        <v>23.339599999999997</v>
      </c>
      <c r="AZ41" t="s">
        <v>154</v>
      </c>
      <c r="BA41">
        <v>2</v>
      </c>
      <c r="BB41" t="s">
        <v>7</v>
      </c>
      <c r="BC41">
        <v>27584</v>
      </c>
      <c r="BD41">
        <v>64</v>
      </c>
      <c r="BE41">
        <v>1</v>
      </c>
      <c r="BF41">
        <v>4</v>
      </c>
      <c r="BG41" s="1">
        <v>622</v>
      </c>
      <c r="BH41" s="54">
        <v>22.497</v>
      </c>
      <c r="BI41" s="23">
        <v>45559</v>
      </c>
      <c r="BJ41" s="46">
        <v>2.7673611111111111E-2</v>
      </c>
      <c r="BK41">
        <v>0</v>
      </c>
      <c r="BL41">
        <v>0</v>
      </c>
      <c r="BM41">
        <v>0</v>
      </c>
      <c r="BN41" s="57">
        <f t="shared" si="54"/>
        <v>22.535800000000002</v>
      </c>
    </row>
    <row r="42" spans="1:66">
      <c r="A42" t="s">
        <v>103</v>
      </c>
      <c r="B42">
        <v>3</v>
      </c>
      <c r="C42" t="s">
        <v>7</v>
      </c>
      <c r="D42">
        <v>27584</v>
      </c>
      <c r="E42">
        <v>64</v>
      </c>
      <c r="F42">
        <v>1</v>
      </c>
      <c r="G42" s="41">
        <v>4</v>
      </c>
      <c r="H42" s="1">
        <v>608.99</v>
      </c>
      <c r="I42" s="54">
        <v>22.978000000000002</v>
      </c>
      <c r="J42" s="23">
        <v>45559</v>
      </c>
      <c r="K42" s="46">
        <v>0.43392361111111111</v>
      </c>
      <c r="L42">
        <v>0</v>
      </c>
      <c r="M42">
        <v>0</v>
      </c>
      <c r="N42">
        <v>0</v>
      </c>
      <c r="O42" s="57">
        <f t="shared" si="10"/>
        <v>22.976599999999998</v>
      </c>
      <c r="R42" t="s">
        <v>103</v>
      </c>
      <c r="S42">
        <v>3</v>
      </c>
      <c r="T42" t="s">
        <v>7</v>
      </c>
      <c r="U42">
        <v>27584</v>
      </c>
      <c r="V42">
        <v>64</v>
      </c>
      <c r="W42" s="58">
        <v>1</v>
      </c>
      <c r="X42">
        <v>4</v>
      </c>
      <c r="Y42" s="1">
        <v>608.84</v>
      </c>
      <c r="Z42" s="54">
        <v>22.983000000000001</v>
      </c>
      <c r="AA42" s="23">
        <v>45559</v>
      </c>
      <c r="AB42" s="46">
        <v>0.43501157407407409</v>
      </c>
      <c r="AC42">
        <v>0</v>
      </c>
      <c r="AD42">
        <v>0</v>
      </c>
      <c r="AE42">
        <v>0</v>
      </c>
      <c r="AF42" s="57">
        <f t="shared" si="4"/>
        <v>22.991199999999999</v>
      </c>
      <c r="AI42" s="23" t="s">
        <v>154</v>
      </c>
      <c r="AJ42" s="46">
        <v>3</v>
      </c>
      <c r="AK42" t="s">
        <v>7</v>
      </c>
      <c r="AL42">
        <v>27584</v>
      </c>
      <c r="AM42">
        <v>64</v>
      </c>
      <c r="AN42" s="41">
        <v>1</v>
      </c>
      <c r="AO42">
        <v>4</v>
      </c>
      <c r="AP42" s="1">
        <v>599.88</v>
      </c>
      <c r="AQ42" s="54">
        <v>23.326000000000001</v>
      </c>
      <c r="AR42" s="23">
        <v>45559</v>
      </c>
      <c r="AS42" s="46">
        <v>0.26075231481481481</v>
      </c>
      <c r="AT42">
        <v>0</v>
      </c>
      <c r="AU42">
        <v>0</v>
      </c>
      <c r="AV42">
        <v>0</v>
      </c>
      <c r="AW42" s="57">
        <f t="shared" si="53"/>
        <v>23.339599999999997</v>
      </c>
      <c r="AZ42" t="s">
        <v>154</v>
      </c>
      <c r="BA42">
        <v>3</v>
      </c>
      <c r="BB42" t="s">
        <v>7</v>
      </c>
      <c r="BC42">
        <v>27584</v>
      </c>
      <c r="BD42">
        <v>64</v>
      </c>
      <c r="BE42">
        <v>1</v>
      </c>
      <c r="BF42">
        <v>4</v>
      </c>
      <c r="BG42" s="1">
        <v>621.1</v>
      </c>
      <c r="BH42" s="54">
        <v>22.53</v>
      </c>
      <c r="BI42" s="23">
        <v>45559</v>
      </c>
      <c r="BJ42" s="46">
        <v>0.3361574074074074</v>
      </c>
      <c r="BK42">
        <v>0</v>
      </c>
      <c r="BL42">
        <v>0</v>
      </c>
      <c r="BM42">
        <v>0</v>
      </c>
      <c r="BN42" s="57">
        <f t="shared" si="54"/>
        <v>22.535800000000002</v>
      </c>
    </row>
    <row r="43" spans="1:66">
      <c r="A43" t="s">
        <v>103</v>
      </c>
      <c r="B43">
        <v>4</v>
      </c>
      <c r="C43" t="s">
        <v>7</v>
      </c>
      <c r="D43">
        <v>27584</v>
      </c>
      <c r="E43">
        <v>64</v>
      </c>
      <c r="F43">
        <v>1</v>
      </c>
      <c r="G43" s="41">
        <v>4</v>
      </c>
      <c r="H43" s="1">
        <v>610.70000000000005</v>
      </c>
      <c r="I43" s="54">
        <v>22.913</v>
      </c>
      <c r="J43" s="23">
        <v>45559</v>
      </c>
      <c r="K43" s="46">
        <v>0.77621527777777777</v>
      </c>
      <c r="L43">
        <v>0</v>
      </c>
      <c r="M43">
        <v>0</v>
      </c>
      <c r="N43">
        <v>0</v>
      </c>
      <c r="O43" s="57">
        <f t="shared" si="10"/>
        <v>22.976599999999998</v>
      </c>
      <c r="R43" t="s">
        <v>103</v>
      </c>
      <c r="S43">
        <v>4</v>
      </c>
      <c r="T43" t="s">
        <v>7</v>
      </c>
      <c r="U43">
        <v>27584</v>
      </c>
      <c r="V43">
        <v>64</v>
      </c>
      <c r="W43" s="58">
        <v>1</v>
      </c>
      <c r="X43">
        <v>4</v>
      </c>
      <c r="Y43" s="1">
        <v>608.96</v>
      </c>
      <c r="Z43" s="54">
        <v>22.978999999999999</v>
      </c>
      <c r="AA43" s="23">
        <v>45559</v>
      </c>
      <c r="AB43" s="46">
        <v>0.77815972222222218</v>
      </c>
      <c r="AC43">
        <v>0</v>
      </c>
      <c r="AD43">
        <v>0</v>
      </c>
      <c r="AE43">
        <v>0</v>
      </c>
      <c r="AF43" s="57">
        <f t="shared" si="4"/>
        <v>22.991199999999999</v>
      </c>
      <c r="AI43" s="23" t="s">
        <v>154</v>
      </c>
      <c r="AJ43" s="46">
        <v>4</v>
      </c>
      <c r="AK43" t="s">
        <v>7</v>
      </c>
      <c r="AL43">
        <v>27584</v>
      </c>
      <c r="AM43">
        <v>64</v>
      </c>
      <c r="AN43" s="41">
        <v>1</v>
      </c>
      <c r="AO43">
        <v>4</v>
      </c>
      <c r="AP43" s="1">
        <v>601.19000000000005</v>
      </c>
      <c r="AQ43" s="54">
        <v>23.276</v>
      </c>
      <c r="AR43" s="23">
        <v>45559</v>
      </c>
      <c r="AS43" s="46">
        <v>0.55012731481481481</v>
      </c>
      <c r="AT43">
        <v>0</v>
      </c>
      <c r="AU43">
        <v>0</v>
      </c>
      <c r="AV43">
        <v>0</v>
      </c>
      <c r="AW43" s="57">
        <f t="shared" si="53"/>
        <v>23.339599999999997</v>
      </c>
      <c r="AZ43" t="s">
        <v>154</v>
      </c>
      <c r="BA43">
        <v>4</v>
      </c>
      <c r="BB43" t="s">
        <v>7</v>
      </c>
      <c r="BC43">
        <v>27584</v>
      </c>
      <c r="BD43">
        <v>64</v>
      </c>
      <c r="BE43">
        <v>1</v>
      </c>
      <c r="BF43">
        <v>4</v>
      </c>
      <c r="BG43" s="1">
        <v>620.55999999999995</v>
      </c>
      <c r="BH43" s="54">
        <v>22.548999999999999</v>
      </c>
      <c r="BI43" s="23">
        <v>45559</v>
      </c>
      <c r="BJ43" s="46">
        <v>0.64460648148148147</v>
      </c>
      <c r="BK43">
        <v>0</v>
      </c>
      <c r="BL43">
        <v>0</v>
      </c>
      <c r="BM43">
        <v>0</v>
      </c>
      <c r="BN43" s="57">
        <f t="shared" si="54"/>
        <v>22.535800000000002</v>
      </c>
    </row>
    <row r="44" spans="1:66">
      <c r="A44" t="s">
        <v>103</v>
      </c>
      <c r="B44">
        <v>0</v>
      </c>
      <c r="C44" t="s">
        <v>7</v>
      </c>
      <c r="D44">
        <v>29120</v>
      </c>
      <c r="E44">
        <v>64</v>
      </c>
      <c r="F44">
        <v>1</v>
      </c>
      <c r="G44" s="41">
        <v>4</v>
      </c>
      <c r="H44" s="1">
        <v>722.47</v>
      </c>
      <c r="I44" s="54">
        <v>22.786999999999999</v>
      </c>
      <c r="J44" s="23">
        <v>45558</v>
      </c>
      <c r="K44" s="46">
        <v>0.5275347222222222</v>
      </c>
      <c r="L44">
        <v>0</v>
      </c>
      <c r="M44">
        <v>0</v>
      </c>
      <c r="N44">
        <v>0</v>
      </c>
      <c r="O44" s="57">
        <f t="shared" ref="O44" si="55">AVERAGE(I44:I48)</f>
        <v>22.8004</v>
      </c>
      <c r="R44" t="s">
        <v>103</v>
      </c>
      <c r="S44">
        <v>0</v>
      </c>
      <c r="T44" t="s">
        <v>7</v>
      </c>
      <c r="U44">
        <v>29120</v>
      </c>
      <c r="V44">
        <v>64</v>
      </c>
      <c r="W44" s="41">
        <v>1</v>
      </c>
      <c r="X44">
        <v>4</v>
      </c>
      <c r="Y44" s="1">
        <v>719.72</v>
      </c>
      <c r="Z44" s="54">
        <v>22.873999999999999</v>
      </c>
      <c r="AA44" s="23">
        <v>45558</v>
      </c>
      <c r="AB44" s="46">
        <v>0.52631944444444445</v>
      </c>
      <c r="AC44">
        <v>0</v>
      </c>
      <c r="AD44">
        <v>0</v>
      </c>
      <c r="AE44">
        <v>0</v>
      </c>
      <c r="AF44" s="57">
        <f t="shared" ref="AF44" si="56">AVERAGE(Z44:Z48)</f>
        <v>22.8414</v>
      </c>
      <c r="AI44" s="23" t="s">
        <v>154</v>
      </c>
      <c r="AJ44" s="46">
        <v>0</v>
      </c>
      <c r="AK44" t="s">
        <v>7</v>
      </c>
      <c r="AL44">
        <v>29120</v>
      </c>
      <c r="AM44">
        <v>64</v>
      </c>
      <c r="AN44" s="41">
        <v>1</v>
      </c>
      <c r="AO44">
        <v>4</v>
      </c>
      <c r="AP44" s="1">
        <v>693.39</v>
      </c>
      <c r="AQ44" s="54">
        <v>23.742999999999999</v>
      </c>
      <c r="AR44" s="23">
        <v>45558</v>
      </c>
      <c r="AS44" s="46">
        <v>0.51842592592592596</v>
      </c>
      <c r="AT44">
        <v>0</v>
      </c>
      <c r="AU44">
        <v>0</v>
      </c>
      <c r="AV44">
        <v>0</v>
      </c>
      <c r="AW44" s="57">
        <f t="shared" ref="AW44" si="57">AVERAGE(AQ44:AQ48)</f>
        <v>23.683600000000002</v>
      </c>
      <c r="AZ44" t="s">
        <v>154</v>
      </c>
      <c r="BA44">
        <v>0</v>
      </c>
      <c r="BB44" t="s">
        <v>7</v>
      </c>
      <c r="BC44">
        <v>29120</v>
      </c>
      <c r="BD44">
        <v>64</v>
      </c>
      <c r="BE44">
        <v>1</v>
      </c>
      <c r="BF44">
        <v>4</v>
      </c>
      <c r="BG44" s="1">
        <v>717.73</v>
      </c>
      <c r="BH44" s="54">
        <v>22.937999999999999</v>
      </c>
      <c r="BI44" s="23">
        <v>45558</v>
      </c>
      <c r="BJ44" s="46">
        <v>0.51831018518518523</v>
      </c>
      <c r="BK44">
        <v>0</v>
      </c>
      <c r="BL44">
        <v>0</v>
      </c>
      <c r="BM44">
        <v>0</v>
      </c>
      <c r="BN44" s="57">
        <f t="shared" ref="BN44" si="58">AVERAGE(BH44:BH48)</f>
        <v>22.937799999999999</v>
      </c>
    </row>
    <row r="45" spans="1:66">
      <c r="A45" t="s">
        <v>103</v>
      </c>
      <c r="B45">
        <v>1</v>
      </c>
      <c r="C45" t="s">
        <v>7</v>
      </c>
      <c r="D45">
        <v>29120</v>
      </c>
      <c r="E45">
        <v>64</v>
      </c>
      <c r="F45">
        <v>1</v>
      </c>
      <c r="G45" s="41">
        <v>4</v>
      </c>
      <c r="H45" s="1">
        <v>720.27</v>
      </c>
      <c r="I45" s="54">
        <v>22.856999999999999</v>
      </c>
      <c r="J45" s="23">
        <v>45558</v>
      </c>
      <c r="K45" s="46">
        <v>0.86974537037037036</v>
      </c>
      <c r="L45">
        <v>0</v>
      </c>
      <c r="M45">
        <v>0</v>
      </c>
      <c r="N45">
        <v>0</v>
      </c>
      <c r="O45" s="57">
        <f t="shared" ref="O45" si="59">O44</f>
        <v>22.8004</v>
      </c>
      <c r="R45" t="s">
        <v>103</v>
      </c>
      <c r="S45">
        <v>1</v>
      </c>
      <c r="T45" t="s">
        <v>7</v>
      </c>
      <c r="U45">
        <v>29120</v>
      </c>
      <c r="V45">
        <v>64</v>
      </c>
      <c r="W45" s="58">
        <v>1</v>
      </c>
      <c r="X45">
        <v>4</v>
      </c>
      <c r="Y45" s="1">
        <v>719.93</v>
      </c>
      <c r="Z45" s="54">
        <v>22.867999999999999</v>
      </c>
      <c r="AA45" s="23">
        <v>45558</v>
      </c>
      <c r="AB45" s="46">
        <v>0.86946759259259254</v>
      </c>
      <c r="AC45">
        <v>0</v>
      </c>
      <c r="AD45">
        <v>0</v>
      </c>
      <c r="AE45">
        <v>0</v>
      </c>
      <c r="AF45" s="57">
        <f t="shared" si="4"/>
        <v>22.8414</v>
      </c>
      <c r="AI45" s="23" t="s">
        <v>154</v>
      </c>
      <c r="AJ45" s="46">
        <v>1</v>
      </c>
      <c r="AK45" t="s">
        <v>7</v>
      </c>
      <c r="AL45">
        <v>29120</v>
      </c>
      <c r="AM45">
        <v>64</v>
      </c>
      <c r="AN45" s="41">
        <v>1</v>
      </c>
      <c r="AO45">
        <v>4</v>
      </c>
      <c r="AP45" s="1">
        <v>695.46</v>
      </c>
      <c r="AQ45" s="54">
        <v>23.672000000000001</v>
      </c>
      <c r="AR45" s="23">
        <v>45558</v>
      </c>
      <c r="AS45" s="46">
        <v>0.78472222222222221</v>
      </c>
      <c r="AT45">
        <v>0</v>
      </c>
      <c r="AU45">
        <v>0</v>
      </c>
      <c r="AV45">
        <v>0</v>
      </c>
      <c r="AW45" s="57">
        <f t="shared" ref="AW45:AW48" si="60">AW44</f>
        <v>23.683600000000002</v>
      </c>
      <c r="AZ45" t="s">
        <v>154</v>
      </c>
      <c r="BA45">
        <v>1</v>
      </c>
      <c r="BB45" t="s">
        <v>7</v>
      </c>
      <c r="BC45">
        <v>29120</v>
      </c>
      <c r="BD45">
        <v>64</v>
      </c>
      <c r="BE45">
        <v>1</v>
      </c>
      <c r="BF45">
        <v>4</v>
      </c>
      <c r="BG45" s="1">
        <v>718.93</v>
      </c>
      <c r="BH45" s="54">
        <v>22.9</v>
      </c>
      <c r="BI45" s="23">
        <v>45558</v>
      </c>
      <c r="BJ45" s="46">
        <v>0.82723379629629634</v>
      </c>
      <c r="BK45">
        <v>0</v>
      </c>
      <c r="BL45">
        <v>0</v>
      </c>
      <c r="BM45">
        <v>0</v>
      </c>
      <c r="BN45" s="57">
        <f t="shared" ref="BN45:BN48" si="61">BN44</f>
        <v>22.937799999999999</v>
      </c>
    </row>
    <row r="46" spans="1:66">
      <c r="A46" t="s">
        <v>103</v>
      </c>
      <c r="B46">
        <v>2</v>
      </c>
      <c r="C46" t="s">
        <v>7</v>
      </c>
      <c r="D46">
        <v>29120</v>
      </c>
      <c r="E46">
        <v>64</v>
      </c>
      <c r="F46">
        <v>1</v>
      </c>
      <c r="G46" s="41">
        <v>4</v>
      </c>
      <c r="H46" s="1">
        <v>722.12</v>
      </c>
      <c r="I46" s="54">
        <v>22.797999999999998</v>
      </c>
      <c r="J46" s="23">
        <v>45559</v>
      </c>
      <c r="K46" s="46">
        <v>0.21195601851851853</v>
      </c>
      <c r="L46">
        <v>0</v>
      </c>
      <c r="M46">
        <v>0</v>
      </c>
      <c r="N46">
        <v>0</v>
      </c>
      <c r="O46" s="57">
        <f t="shared" si="10"/>
        <v>22.8004</v>
      </c>
      <c r="R46" t="s">
        <v>103</v>
      </c>
      <c r="S46">
        <v>2</v>
      </c>
      <c r="T46" t="s">
        <v>7</v>
      </c>
      <c r="U46">
        <v>29120</v>
      </c>
      <c r="V46">
        <v>64</v>
      </c>
      <c r="W46" s="58">
        <v>1</v>
      </c>
      <c r="X46">
        <v>4</v>
      </c>
      <c r="Y46" s="1">
        <v>721.3</v>
      </c>
      <c r="Z46" s="54">
        <v>22.824000000000002</v>
      </c>
      <c r="AA46" s="23">
        <v>45559</v>
      </c>
      <c r="AB46" s="46">
        <v>0.21243055555555557</v>
      </c>
      <c r="AC46">
        <v>0</v>
      </c>
      <c r="AD46">
        <v>0</v>
      </c>
      <c r="AE46">
        <v>0</v>
      </c>
      <c r="AF46" s="57">
        <f t="shared" si="4"/>
        <v>22.8414</v>
      </c>
      <c r="AI46" s="23" t="s">
        <v>154</v>
      </c>
      <c r="AJ46" s="46">
        <v>2</v>
      </c>
      <c r="AK46" t="s">
        <v>7</v>
      </c>
      <c r="AL46">
        <v>29120</v>
      </c>
      <c r="AM46">
        <v>64</v>
      </c>
      <c r="AN46" s="41">
        <v>1</v>
      </c>
      <c r="AO46">
        <v>4</v>
      </c>
      <c r="AP46" s="1">
        <v>693.43</v>
      </c>
      <c r="AQ46" s="54">
        <v>23.742000000000001</v>
      </c>
      <c r="AR46" s="23">
        <v>45559</v>
      </c>
      <c r="AS46" s="46">
        <v>7.3587962962962966E-2</v>
      </c>
      <c r="AT46">
        <v>0</v>
      </c>
      <c r="AU46">
        <v>0</v>
      </c>
      <c r="AV46">
        <v>0</v>
      </c>
      <c r="AW46" s="57">
        <f t="shared" si="60"/>
        <v>23.683600000000002</v>
      </c>
      <c r="AZ46" t="s">
        <v>154</v>
      </c>
      <c r="BA46">
        <v>2</v>
      </c>
      <c r="BB46" t="s">
        <v>7</v>
      </c>
      <c r="BC46">
        <v>29120</v>
      </c>
      <c r="BD46">
        <v>64</v>
      </c>
      <c r="BE46">
        <v>1</v>
      </c>
      <c r="BF46">
        <v>4</v>
      </c>
      <c r="BG46" s="1">
        <v>715.5</v>
      </c>
      <c r="BH46" s="54">
        <v>23.01</v>
      </c>
      <c r="BI46" s="23">
        <v>45559</v>
      </c>
      <c r="BJ46" s="46">
        <v>0.13586805555555556</v>
      </c>
      <c r="BK46">
        <v>0</v>
      </c>
      <c r="BL46">
        <v>0</v>
      </c>
      <c r="BM46">
        <v>0</v>
      </c>
      <c r="BN46" s="57">
        <f t="shared" si="61"/>
        <v>22.937799999999999</v>
      </c>
    </row>
    <row r="47" spans="1:66">
      <c r="A47" t="s">
        <v>103</v>
      </c>
      <c r="B47">
        <v>3</v>
      </c>
      <c r="C47" t="s">
        <v>7</v>
      </c>
      <c r="D47">
        <v>29120</v>
      </c>
      <c r="E47">
        <v>64</v>
      </c>
      <c r="F47">
        <v>1</v>
      </c>
      <c r="G47" s="41">
        <v>4</v>
      </c>
      <c r="H47" s="1">
        <v>723.86</v>
      </c>
      <c r="I47" s="54">
        <v>22.744</v>
      </c>
      <c r="J47" s="23">
        <v>45559</v>
      </c>
      <c r="K47" s="46">
        <v>0.554224537037037</v>
      </c>
      <c r="L47">
        <v>0</v>
      </c>
      <c r="M47">
        <v>0</v>
      </c>
      <c r="N47">
        <v>0</v>
      </c>
      <c r="O47" s="57">
        <f t="shared" si="10"/>
        <v>22.8004</v>
      </c>
      <c r="R47" t="s">
        <v>103</v>
      </c>
      <c r="S47">
        <v>3</v>
      </c>
      <c r="T47" t="s">
        <v>7</v>
      </c>
      <c r="U47">
        <v>29120</v>
      </c>
      <c r="V47">
        <v>64</v>
      </c>
      <c r="W47" s="58">
        <v>1</v>
      </c>
      <c r="X47">
        <v>4</v>
      </c>
      <c r="Y47" s="1">
        <v>720.69</v>
      </c>
      <c r="Z47" s="54">
        <v>22.844000000000001</v>
      </c>
      <c r="AA47" s="23">
        <v>45559</v>
      </c>
      <c r="AB47" s="46">
        <v>0.55562500000000004</v>
      </c>
      <c r="AC47">
        <v>0</v>
      </c>
      <c r="AD47">
        <v>0</v>
      </c>
      <c r="AE47">
        <v>0</v>
      </c>
      <c r="AF47" s="57">
        <f t="shared" si="4"/>
        <v>22.8414</v>
      </c>
      <c r="AI47" s="23" t="s">
        <v>154</v>
      </c>
      <c r="AJ47" s="46">
        <v>3</v>
      </c>
      <c r="AK47" t="s">
        <v>7</v>
      </c>
      <c r="AL47">
        <v>29120</v>
      </c>
      <c r="AM47">
        <v>64</v>
      </c>
      <c r="AN47" s="41">
        <v>1</v>
      </c>
      <c r="AO47">
        <v>4</v>
      </c>
      <c r="AP47" s="1">
        <v>697.53</v>
      </c>
      <c r="AQ47" s="54">
        <v>23.602</v>
      </c>
      <c r="AR47" s="23">
        <v>45559</v>
      </c>
      <c r="AS47" s="46">
        <v>0.36270833333333335</v>
      </c>
      <c r="AT47">
        <v>0</v>
      </c>
      <c r="AU47">
        <v>0</v>
      </c>
      <c r="AV47">
        <v>0</v>
      </c>
      <c r="AW47" s="57">
        <f t="shared" si="60"/>
        <v>23.683600000000002</v>
      </c>
      <c r="AZ47" t="s">
        <v>154</v>
      </c>
      <c r="BA47">
        <v>3</v>
      </c>
      <c r="BB47" t="s">
        <v>7</v>
      </c>
      <c r="BC47">
        <v>29120</v>
      </c>
      <c r="BD47">
        <v>64</v>
      </c>
      <c r="BE47">
        <v>1</v>
      </c>
      <c r="BF47">
        <v>4</v>
      </c>
      <c r="BG47" s="1">
        <v>717.91</v>
      </c>
      <c r="BH47" s="54">
        <v>22.931999999999999</v>
      </c>
      <c r="BI47" s="23">
        <v>45559</v>
      </c>
      <c r="BJ47" s="46">
        <v>0.44434027777777779</v>
      </c>
      <c r="BK47">
        <v>0</v>
      </c>
      <c r="BL47">
        <v>0</v>
      </c>
      <c r="BM47">
        <v>0</v>
      </c>
      <c r="BN47" s="57">
        <f t="shared" si="61"/>
        <v>22.937799999999999</v>
      </c>
    </row>
    <row r="48" spans="1:66">
      <c r="A48" t="s">
        <v>103</v>
      </c>
      <c r="B48">
        <v>4</v>
      </c>
      <c r="C48" t="s">
        <v>7</v>
      </c>
      <c r="D48">
        <v>29120</v>
      </c>
      <c r="E48">
        <v>64</v>
      </c>
      <c r="F48">
        <v>1</v>
      </c>
      <c r="G48" s="41">
        <v>4</v>
      </c>
      <c r="H48" s="1">
        <v>721.56</v>
      </c>
      <c r="I48" s="54">
        <v>22.815999999999999</v>
      </c>
      <c r="J48" s="23">
        <v>45559</v>
      </c>
      <c r="K48" s="46">
        <v>0.89642361111111113</v>
      </c>
      <c r="L48">
        <v>0</v>
      </c>
      <c r="M48">
        <v>0</v>
      </c>
      <c r="N48">
        <v>0</v>
      </c>
      <c r="O48" s="57">
        <f t="shared" si="10"/>
        <v>22.8004</v>
      </c>
      <c r="R48" t="s">
        <v>103</v>
      </c>
      <c r="S48">
        <v>4</v>
      </c>
      <c r="T48" t="s">
        <v>7</v>
      </c>
      <c r="U48">
        <v>29120</v>
      </c>
      <c r="V48">
        <v>64</v>
      </c>
      <c r="W48" s="58">
        <v>1</v>
      </c>
      <c r="X48">
        <v>4</v>
      </c>
      <c r="Y48" s="1">
        <v>722.16</v>
      </c>
      <c r="Z48" s="54">
        <v>22.797000000000001</v>
      </c>
      <c r="AA48" s="23">
        <v>45559</v>
      </c>
      <c r="AB48" s="46">
        <v>0.89856481481481476</v>
      </c>
      <c r="AC48">
        <v>0</v>
      </c>
      <c r="AD48">
        <v>0</v>
      </c>
      <c r="AE48">
        <v>0</v>
      </c>
      <c r="AF48" s="57">
        <f t="shared" si="4"/>
        <v>22.8414</v>
      </c>
      <c r="AI48" s="23" t="s">
        <v>154</v>
      </c>
      <c r="AJ48" s="46">
        <v>4</v>
      </c>
      <c r="AK48" t="s">
        <v>7</v>
      </c>
      <c r="AL48">
        <v>29120</v>
      </c>
      <c r="AM48">
        <v>64</v>
      </c>
      <c r="AN48" s="41">
        <v>1</v>
      </c>
      <c r="AO48">
        <v>4</v>
      </c>
      <c r="AP48" s="1">
        <v>695.85</v>
      </c>
      <c r="AQ48" s="54">
        <v>23.658999999999999</v>
      </c>
      <c r="AR48" s="23">
        <v>45559</v>
      </c>
      <c r="AS48" s="46">
        <v>0.65246527777777774</v>
      </c>
      <c r="AT48">
        <v>0</v>
      </c>
      <c r="AU48">
        <v>0</v>
      </c>
      <c r="AV48">
        <v>0</v>
      </c>
      <c r="AW48" s="57">
        <f t="shared" si="60"/>
        <v>23.683600000000002</v>
      </c>
      <c r="AZ48" t="s">
        <v>154</v>
      </c>
      <c r="BA48">
        <v>4</v>
      </c>
      <c r="BB48" t="s">
        <v>7</v>
      </c>
      <c r="BC48">
        <v>29120</v>
      </c>
      <c r="BD48">
        <v>64</v>
      </c>
      <c r="BE48">
        <v>1</v>
      </c>
      <c r="BF48">
        <v>4</v>
      </c>
      <c r="BG48" s="1">
        <v>718.64</v>
      </c>
      <c r="BH48" s="54">
        <v>22.908999999999999</v>
      </c>
      <c r="BI48" s="23">
        <v>45559</v>
      </c>
      <c r="BJ48" s="46">
        <v>0.7527314814814815</v>
      </c>
      <c r="BK48">
        <v>0</v>
      </c>
      <c r="BL48">
        <v>0</v>
      </c>
      <c r="BM48">
        <v>0</v>
      </c>
      <c r="BN48" s="57">
        <f t="shared" si="61"/>
        <v>22.937799999999999</v>
      </c>
    </row>
    <row r="49" spans="1:66">
      <c r="A49" t="s">
        <v>103</v>
      </c>
      <c r="B49">
        <v>0</v>
      </c>
      <c r="C49" t="s">
        <v>7</v>
      </c>
      <c r="D49">
        <v>26048</v>
      </c>
      <c r="E49">
        <v>64</v>
      </c>
      <c r="F49">
        <v>2</v>
      </c>
      <c r="G49" s="41">
        <v>2</v>
      </c>
      <c r="H49" s="1">
        <v>521.12</v>
      </c>
      <c r="I49" s="54">
        <v>22.611000000000001</v>
      </c>
      <c r="J49" s="23">
        <v>45558</v>
      </c>
      <c r="K49" s="46">
        <v>0.31322916666666667</v>
      </c>
      <c r="L49">
        <v>0</v>
      </c>
      <c r="M49">
        <v>0</v>
      </c>
      <c r="N49">
        <v>0</v>
      </c>
      <c r="O49" s="57">
        <f t="shared" ref="O49" si="62">AVERAGE(I49:I53)</f>
        <v>22.555799999999998</v>
      </c>
      <c r="R49" t="s">
        <v>103</v>
      </c>
      <c r="S49">
        <v>0</v>
      </c>
      <c r="T49" t="s">
        <v>7</v>
      </c>
      <c r="U49">
        <v>26048</v>
      </c>
      <c r="V49">
        <v>64</v>
      </c>
      <c r="W49" s="41">
        <v>2</v>
      </c>
      <c r="X49">
        <v>2</v>
      </c>
      <c r="Y49" s="1">
        <v>519.98</v>
      </c>
      <c r="Z49" s="54">
        <v>22.661000000000001</v>
      </c>
      <c r="AA49" s="23">
        <v>45558</v>
      </c>
      <c r="AB49" s="46">
        <v>0.31140046296296298</v>
      </c>
      <c r="AC49">
        <v>0</v>
      </c>
      <c r="AD49">
        <v>0</v>
      </c>
      <c r="AE49">
        <v>0</v>
      </c>
      <c r="AF49" s="57">
        <f t="shared" ref="AF49" si="63">AVERAGE(Z49:Z53)</f>
        <v>22.623799999999999</v>
      </c>
      <c r="AI49" t="s">
        <v>154</v>
      </c>
      <c r="AJ49">
        <v>0</v>
      </c>
      <c r="AK49" t="s">
        <v>7</v>
      </c>
      <c r="AL49">
        <v>26048</v>
      </c>
      <c r="AM49">
        <v>64</v>
      </c>
      <c r="AN49" s="41">
        <v>2</v>
      </c>
      <c r="AO49">
        <v>2</v>
      </c>
      <c r="AP49" s="1">
        <v>528.29999999999995</v>
      </c>
      <c r="AQ49" s="54">
        <v>22.303999999999998</v>
      </c>
      <c r="AR49" s="23">
        <v>45558</v>
      </c>
      <c r="AS49" s="46">
        <v>0.31085648148148148</v>
      </c>
      <c r="AT49">
        <v>0</v>
      </c>
      <c r="AU49">
        <v>0</v>
      </c>
      <c r="AV49">
        <v>0</v>
      </c>
      <c r="AW49" s="57">
        <f t="shared" ref="AW49" si="64">AVERAGE(AQ49:AQ53)</f>
        <v>22.287599999999998</v>
      </c>
      <c r="AZ49" t="s">
        <v>154</v>
      </c>
      <c r="BA49">
        <v>0</v>
      </c>
      <c r="BB49" t="s">
        <v>7</v>
      </c>
      <c r="BC49">
        <v>26048</v>
      </c>
      <c r="BD49">
        <v>64</v>
      </c>
      <c r="BE49">
        <v>2</v>
      </c>
      <c r="BF49">
        <v>2</v>
      </c>
      <c r="BG49" s="1">
        <v>558.71</v>
      </c>
      <c r="BH49" s="54">
        <v>21.09</v>
      </c>
      <c r="BI49" s="23">
        <v>45558</v>
      </c>
      <c r="BJ49" s="46">
        <v>0.3127199074074074</v>
      </c>
      <c r="BK49">
        <v>0</v>
      </c>
      <c r="BL49">
        <v>0</v>
      </c>
      <c r="BM49">
        <v>0</v>
      </c>
      <c r="BN49" s="57">
        <f t="shared" ref="BN49" si="65">AVERAGE(BH49:BH53)</f>
        <v>21.136000000000003</v>
      </c>
    </row>
    <row r="50" spans="1:66">
      <c r="A50" t="s">
        <v>103</v>
      </c>
      <c r="B50">
        <v>1</v>
      </c>
      <c r="C50" t="s">
        <v>7</v>
      </c>
      <c r="D50">
        <v>26048</v>
      </c>
      <c r="E50">
        <v>64</v>
      </c>
      <c r="F50">
        <v>2</v>
      </c>
      <c r="G50" s="41">
        <v>2</v>
      </c>
      <c r="H50" s="1">
        <v>520.59</v>
      </c>
      <c r="I50" s="54">
        <v>22.635000000000002</v>
      </c>
      <c r="J50" s="23">
        <v>45558</v>
      </c>
      <c r="K50" s="46">
        <v>0.65528935185185189</v>
      </c>
      <c r="L50">
        <v>0</v>
      </c>
      <c r="M50">
        <v>0</v>
      </c>
      <c r="N50">
        <v>0</v>
      </c>
      <c r="O50" s="57">
        <f t="shared" ref="O50" si="66">O49</f>
        <v>22.555799999999998</v>
      </c>
      <c r="R50" t="s">
        <v>103</v>
      </c>
      <c r="S50">
        <v>1</v>
      </c>
      <c r="T50" t="s">
        <v>7</v>
      </c>
      <c r="U50">
        <v>26048</v>
      </c>
      <c r="V50">
        <v>64</v>
      </c>
      <c r="W50" s="41">
        <v>2</v>
      </c>
      <c r="X50">
        <v>2</v>
      </c>
      <c r="Y50" s="1">
        <v>521.54999999999995</v>
      </c>
      <c r="Z50" s="54">
        <v>22.593</v>
      </c>
      <c r="AA50" s="23">
        <v>45558</v>
      </c>
      <c r="AB50" s="46">
        <v>0.65449074074074076</v>
      </c>
      <c r="AC50">
        <v>0</v>
      </c>
      <c r="AD50">
        <v>0</v>
      </c>
      <c r="AE50">
        <v>0</v>
      </c>
      <c r="AF50" s="57">
        <f t="shared" si="4"/>
        <v>22.623799999999999</v>
      </c>
      <c r="AI50" s="23" t="s">
        <v>154</v>
      </c>
      <c r="AJ50" s="46">
        <v>1</v>
      </c>
      <c r="AK50" t="s">
        <v>7</v>
      </c>
      <c r="AL50">
        <v>26048</v>
      </c>
      <c r="AM50">
        <v>64</v>
      </c>
      <c r="AN50" s="41">
        <v>2</v>
      </c>
      <c r="AO50">
        <v>2</v>
      </c>
      <c r="AP50" s="1">
        <v>528.69000000000005</v>
      </c>
      <c r="AQ50" s="54">
        <v>22.288</v>
      </c>
      <c r="AR50" s="23">
        <v>45558</v>
      </c>
      <c r="AS50" s="46">
        <v>0.60306712962962961</v>
      </c>
      <c r="AT50">
        <v>0</v>
      </c>
      <c r="AU50">
        <v>0</v>
      </c>
      <c r="AV50">
        <v>0</v>
      </c>
      <c r="AW50" s="57">
        <f t="shared" ref="AW50:AW53" si="67">AW49</f>
        <v>22.287599999999998</v>
      </c>
      <c r="AZ50" t="s">
        <v>154</v>
      </c>
      <c r="BA50">
        <v>1</v>
      </c>
      <c r="BB50" t="s">
        <v>7</v>
      </c>
      <c r="BC50">
        <v>26048</v>
      </c>
      <c r="BD50">
        <v>64</v>
      </c>
      <c r="BE50">
        <v>2</v>
      </c>
      <c r="BF50">
        <v>2</v>
      </c>
      <c r="BG50" s="1">
        <v>557.91999999999996</v>
      </c>
      <c r="BH50" s="54">
        <v>21.12</v>
      </c>
      <c r="BI50" s="23">
        <v>45558</v>
      </c>
      <c r="BJ50" s="46">
        <v>0.63363425925925931</v>
      </c>
      <c r="BK50">
        <v>0</v>
      </c>
      <c r="BL50">
        <v>0</v>
      </c>
      <c r="BM50">
        <v>0</v>
      </c>
      <c r="BN50" s="57">
        <f t="shared" ref="BN50:BN53" si="68">BN49</f>
        <v>21.136000000000003</v>
      </c>
    </row>
    <row r="51" spans="1:66">
      <c r="A51" t="s">
        <v>103</v>
      </c>
      <c r="B51">
        <v>2</v>
      </c>
      <c r="C51" t="s">
        <v>7</v>
      </c>
      <c r="D51">
        <v>26048</v>
      </c>
      <c r="E51">
        <v>64</v>
      </c>
      <c r="F51">
        <v>2</v>
      </c>
      <c r="G51" s="41">
        <v>2</v>
      </c>
      <c r="H51" s="1">
        <v>522.98</v>
      </c>
      <c r="I51" s="54">
        <v>22.530999999999999</v>
      </c>
      <c r="J51" s="23">
        <v>45558</v>
      </c>
      <c r="K51" s="46">
        <v>0.99750000000000005</v>
      </c>
      <c r="L51">
        <v>0</v>
      </c>
      <c r="M51">
        <v>0</v>
      </c>
      <c r="N51">
        <v>0</v>
      </c>
      <c r="O51" s="57">
        <f t="shared" si="10"/>
        <v>22.555799999999998</v>
      </c>
      <c r="R51" t="s">
        <v>103</v>
      </c>
      <c r="S51">
        <v>2</v>
      </c>
      <c r="T51" t="s">
        <v>7</v>
      </c>
      <c r="U51">
        <v>26048</v>
      </c>
      <c r="V51">
        <v>64</v>
      </c>
      <c r="W51" s="58">
        <v>2</v>
      </c>
      <c r="X51">
        <v>2</v>
      </c>
      <c r="Y51" s="1">
        <v>520.49</v>
      </c>
      <c r="Z51" s="54">
        <v>22.638999999999999</v>
      </c>
      <c r="AA51" s="23">
        <v>45558</v>
      </c>
      <c r="AB51" s="46">
        <v>0.99753472222222217</v>
      </c>
      <c r="AC51">
        <v>0</v>
      </c>
      <c r="AD51">
        <v>0</v>
      </c>
      <c r="AE51">
        <v>0</v>
      </c>
      <c r="AF51" s="57">
        <f t="shared" si="4"/>
        <v>22.623799999999999</v>
      </c>
      <c r="AI51" s="23" t="s">
        <v>154</v>
      </c>
      <c r="AJ51" s="46">
        <v>2</v>
      </c>
      <c r="AK51" t="s">
        <v>7</v>
      </c>
      <c r="AL51">
        <v>26048</v>
      </c>
      <c r="AM51">
        <v>64</v>
      </c>
      <c r="AN51" s="41">
        <v>2</v>
      </c>
      <c r="AO51">
        <v>2</v>
      </c>
      <c r="AP51" s="1">
        <v>527.99</v>
      </c>
      <c r="AQ51" s="54">
        <v>22.318000000000001</v>
      </c>
      <c r="AR51" s="23">
        <v>45558</v>
      </c>
      <c r="AS51" s="46">
        <v>0.89231481481481478</v>
      </c>
      <c r="AT51">
        <v>0</v>
      </c>
      <c r="AU51">
        <v>0</v>
      </c>
      <c r="AV51">
        <v>0</v>
      </c>
      <c r="AW51" s="57">
        <f t="shared" si="67"/>
        <v>22.287599999999998</v>
      </c>
      <c r="AZ51" t="s">
        <v>154</v>
      </c>
      <c r="BA51">
        <v>2</v>
      </c>
      <c r="BB51" t="s">
        <v>7</v>
      </c>
      <c r="BC51">
        <v>26048</v>
      </c>
      <c r="BD51">
        <v>64</v>
      </c>
      <c r="BE51">
        <v>2</v>
      </c>
      <c r="BF51">
        <v>2</v>
      </c>
      <c r="BG51" s="1">
        <v>555.71</v>
      </c>
      <c r="BH51" s="54">
        <v>21.204000000000001</v>
      </c>
      <c r="BI51" s="23">
        <v>45558</v>
      </c>
      <c r="BJ51" s="46">
        <v>0.94225694444444441</v>
      </c>
      <c r="BK51">
        <v>0</v>
      </c>
      <c r="BL51">
        <v>0</v>
      </c>
      <c r="BM51">
        <v>0</v>
      </c>
      <c r="BN51" s="57">
        <f t="shared" si="68"/>
        <v>21.136000000000003</v>
      </c>
    </row>
    <row r="52" spans="1:66">
      <c r="A52" t="s">
        <v>103</v>
      </c>
      <c r="B52">
        <v>3</v>
      </c>
      <c r="C52" t="s">
        <v>7</v>
      </c>
      <c r="D52">
        <v>26048</v>
      </c>
      <c r="E52">
        <v>64</v>
      </c>
      <c r="F52">
        <v>2</v>
      </c>
      <c r="G52" s="41">
        <v>2</v>
      </c>
      <c r="H52" s="1">
        <v>525.34</v>
      </c>
      <c r="I52" s="54">
        <v>22.43</v>
      </c>
      <c r="J52" s="23">
        <v>45559</v>
      </c>
      <c r="K52" s="46">
        <v>0.33981481481481479</v>
      </c>
      <c r="L52">
        <v>0</v>
      </c>
      <c r="M52">
        <v>0</v>
      </c>
      <c r="N52">
        <v>0</v>
      </c>
      <c r="O52" s="57">
        <f t="shared" si="10"/>
        <v>22.555799999999998</v>
      </c>
      <c r="R52" t="s">
        <v>103</v>
      </c>
      <c r="S52">
        <v>3</v>
      </c>
      <c r="T52" t="s">
        <v>7</v>
      </c>
      <c r="U52">
        <v>26048</v>
      </c>
      <c r="V52">
        <v>64</v>
      </c>
      <c r="W52" s="58">
        <v>2</v>
      </c>
      <c r="X52">
        <v>2</v>
      </c>
      <c r="Y52" s="1">
        <v>521.51</v>
      </c>
      <c r="Z52" s="54">
        <v>22.594999999999999</v>
      </c>
      <c r="AA52" s="23">
        <v>45559</v>
      </c>
      <c r="AB52" s="46">
        <v>0.34067129629629628</v>
      </c>
      <c r="AC52">
        <v>0</v>
      </c>
      <c r="AD52">
        <v>0</v>
      </c>
      <c r="AE52">
        <v>0</v>
      </c>
      <c r="AF52" s="57">
        <f t="shared" si="4"/>
        <v>22.623799999999999</v>
      </c>
      <c r="AI52" s="23" t="s">
        <v>154</v>
      </c>
      <c r="AJ52" s="46">
        <v>3</v>
      </c>
      <c r="AK52" t="s">
        <v>7</v>
      </c>
      <c r="AL52">
        <v>26048</v>
      </c>
      <c r="AM52">
        <v>64</v>
      </c>
      <c r="AN52" s="41">
        <v>2</v>
      </c>
      <c r="AO52">
        <v>2</v>
      </c>
      <c r="AP52" s="1">
        <v>529.32000000000005</v>
      </c>
      <c r="AQ52" s="54">
        <v>22.260999999999999</v>
      </c>
      <c r="AR52" s="23">
        <v>45559</v>
      </c>
      <c r="AS52" s="46">
        <v>0.18122685185185186</v>
      </c>
      <c r="AT52">
        <v>0</v>
      </c>
      <c r="AU52">
        <v>0</v>
      </c>
      <c r="AV52">
        <v>0</v>
      </c>
      <c r="AW52" s="57">
        <f t="shared" si="67"/>
        <v>22.287599999999998</v>
      </c>
      <c r="AZ52" t="s">
        <v>154</v>
      </c>
      <c r="BA52">
        <v>3</v>
      </c>
      <c r="BB52" t="s">
        <v>7</v>
      </c>
      <c r="BC52">
        <v>26048</v>
      </c>
      <c r="BD52">
        <v>64</v>
      </c>
      <c r="BE52">
        <v>2</v>
      </c>
      <c r="BF52">
        <v>2</v>
      </c>
      <c r="BG52" s="1">
        <v>557.37</v>
      </c>
      <c r="BH52" s="54">
        <v>21.140999999999998</v>
      </c>
      <c r="BI52" s="23">
        <v>45559</v>
      </c>
      <c r="BJ52" s="46">
        <v>0.25089120370370371</v>
      </c>
      <c r="BK52">
        <v>0</v>
      </c>
      <c r="BL52">
        <v>0</v>
      </c>
      <c r="BM52">
        <v>0</v>
      </c>
      <c r="BN52" s="57">
        <f t="shared" si="68"/>
        <v>21.136000000000003</v>
      </c>
    </row>
    <row r="53" spans="1:66">
      <c r="A53" t="s">
        <v>103</v>
      </c>
      <c r="B53">
        <v>4</v>
      </c>
      <c r="C53" t="s">
        <v>7</v>
      </c>
      <c r="D53">
        <v>26048</v>
      </c>
      <c r="E53">
        <v>64</v>
      </c>
      <c r="F53">
        <v>2</v>
      </c>
      <c r="G53" s="41">
        <v>2</v>
      </c>
      <c r="H53" s="1">
        <v>522.03</v>
      </c>
      <c r="I53" s="54">
        <v>22.571999999999999</v>
      </c>
      <c r="J53" s="23">
        <v>45559</v>
      </c>
      <c r="K53" s="46">
        <v>0.68208333333333337</v>
      </c>
      <c r="L53">
        <v>0</v>
      </c>
      <c r="M53">
        <v>0</v>
      </c>
      <c r="N53">
        <v>0</v>
      </c>
      <c r="O53" s="57">
        <f t="shared" si="10"/>
        <v>22.555799999999998</v>
      </c>
      <c r="R53" t="s">
        <v>103</v>
      </c>
      <c r="S53">
        <v>4</v>
      </c>
      <c r="T53" t="s">
        <v>7</v>
      </c>
      <c r="U53">
        <v>26048</v>
      </c>
      <c r="V53">
        <v>64</v>
      </c>
      <c r="W53" s="58">
        <v>2</v>
      </c>
      <c r="X53">
        <v>2</v>
      </c>
      <c r="Y53" s="1">
        <v>520.66999999999996</v>
      </c>
      <c r="Z53" s="54">
        <v>22.631</v>
      </c>
      <c r="AA53" s="23">
        <v>45559</v>
      </c>
      <c r="AB53" s="46">
        <v>0.68384259259259261</v>
      </c>
      <c r="AC53">
        <v>0</v>
      </c>
      <c r="AD53">
        <v>0</v>
      </c>
      <c r="AE53">
        <v>0</v>
      </c>
      <c r="AF53" s="57">
        <f t="shared" si="4"/>
        <v>22.623799999999999</v>
      </c>
      <c r="AI53" s="23" t="s">
        <v>154</v>
      </c>
      <c r="AJ53" s="46">
        <v>4</v>
      </c>
      <c r="AK53" t="s">
        <v>7</v>
      </c>
      <c r="AL53">
        <v>26048</v>
      </c>
      <c r="AM53">
        <v>64</v>
      </c>
      <c r="AN53" s="41">
        <v>2</v>
      </c>
      <c r="AO53">
        <v>2</v>
      </c>
      <c r="AP53" s="1">
        <v>529.17999999999995</v>
      </c>
      <c r="AQ53" s="54">
        <v>22.266999999999999</v>
      </c>
      <c r="AR53" s="23">
        <v>45559</v>
      </c>
      <c r="AS53" s="46">
        <v>0.47045138888888888</v>
      </c>
      <c r="AT53">
        <v>0</v>
      </c>
      <c r="AU53">
        <v>0</v>
      </c>
      <c r="AV53">
        <v>0</v>
      </c>
      <c r="AW53" s="57">
        <f t="shared" si="67"/>
        <v>22.287599999999998</v>
      </c>
      <c r="AZ53" t="s">
        <v>154</v>
      </c>
      <c r="BA53">
        <v>4</v>
      </c>
      <c r="BB53" t="s">
        <v>7</v>
      </c>
      <c r="BC53">
        <v>26048</v>
      </c>
      <c r="BD53">
        <v>64</v>
      </c>
      <c r="BE53">
        <v>2</v>
      </c>
      <c r="BF53">
        <v>2</v>
      </c>
      <c r="BG53" s="1">
        <v>557.79999999999995</v>
      </c>
      <c r="BH53" s="54">
        <v>21.125</v>
      </c>
      <c r="BI53" s="23">
        <v>45559</v>
      </c>
      <c r="BJ53" s="46">
        <v>0.55935185185185188</v>
      </c>
      <c r="BK53">
        <v>0</v>
      </c>
      <c r="BL53">
        <v>0</v>
      </c>
      <c r="BM53">
        <v>0</v>
      </c>
      <c r="BN53" s="57">
        <f t="shared" si="68"/>
        <v>21.136000000000003</v>
      </c>
    </row>
    <row r="54" spans="1:66">
      <c r="A54" t="s">
        <v>103</v>
      </c>
      <c r="B54">
        <v>0</v>
      </c>
      <c r="C54" t="s">
        <v>7</v>
      </c>
      <c r="D54">
        <v>27584</v>
      </c>
      <c r="E54">
        <v>64</v>
      </c>
      <c r="F54">
        <v>2</v>
      </c>
      <c r="G54" s="41">
        <v>2</v>
      </c>
      <c r="H54" s="1">
        <v>622.49</v>
      </c>
      <c r="I54" s="54">
        <v>22.478999999999999</v>
      </c>
      <c r="J54" s="23">
        <v>45558</v>
      </c>
      <c r="K54" s="46">
        <v>0.41515046296296299</v>
      </c>
      <c r="L54">
        <v>0</v>
      </c>
      <c r="M54">
        <v>0</v>
      </c>
      <c r="N54">
        <v>0</v>
      </c>
      <c r="O54" s="57">
        <f t="shared" ref="O54" si="69">AVERAGE(I54:I58)</f>
        <v>22.458400000000001</v>
      </c>
      <c r="R54" t="s">
        <v>103</v>
      </c>
      <c r="S54">
        <v>0</v>
      </c>
      <c r="T54" t="s">
        <v>7</v>
      </c>
      <c r="U54">
        <v>27584</v>
      </c>
      <c r="V54">
        <v>64</v>
      </c>
      <c r="W54" s="41">
        <v>2</v>
      </c>
      <c r="X54">
        <v>2</v>
      </c>
      <c r="Y54" s="1">
        <v>620.95000000000005</v>
      </c>
      <c r="Z54" s="54">
        <v>22.535</v>
      </c>
      <c r="AA54" s="23">
        <v>45558</v>
      </c>
      <c r="AB54" s="46">
        <v>0.41365740740740742</v>
      </c>
      <c r="AC54">
        <v>0</v>
      </c>
      <c r="AD54">
        <v>0</v>
      </c>
      <c r="AE54">
        <v>0</v>
      </c>
      <c r="AF54" s="57">
        <f t="shared" ref="AF54" si="70">AVERAGE(Z54:Z58)</f>
        <v>22.490400000000001</v>
      </c>
      <c r="AI54" s="23" t="s">
        <v>154</v>
      </c>
      <c r="AJ54" s="46">
        <v>0</v>
      </c>
      <c r="AK54" t="s">
        <v>7</v>
      </c>
      <c r="AL54">
        <v>27584</v>
      </c>
      <c r="AM54">
        <v>64</v>
      </c>
      <c r="AN54" s="41">
        <v>2</v>
      </c>
      <c r="AO54">
        <v>2</v>
      </c>
      <c r="AP54" s="1">
        <v>618.30999999999995</v>
      </c>
      <c r="AQ54" s="54">
        <v>22.631</v>
      </c>
      <c r="AR54" s="23">
        <v>45558</v>
      </c>
      <c r="AS54" s="46">
        <v>0.39743055555555556</v>
      </c>
      <c r="AT54">
        <v>0</v>
      </c>
      <c r="AU54">
        <v>0</v>
      </c>
      <c r="AV54">
        <v>0</v>
      </c>
      <c r="AW54" s="57">
        <f t="shared" ref="AW54" si="71">AVERAGE(AQ54:AQ58)</f>
        <v>22.638200000000001</v>
      </c>
      <c r="AZ54" t="s">
        <v>154</v>
      </c>
      <c r="BA54">
        <v>0</v>
      </c>
      <c r="BB54" t="s">
        <v>7</v>
      </c>
      <c r="BC54">
        <v>27584</v>
      </c>
      <c r="BD54">
        <v>64</v>
      </c>
      <c r="BE54">
        <v>2</v>
      </c>
      <c r="BF54">
        <v>2</v>
      </c>
      <c r="BG54" s="1">
        <v>645.04999999999995</v>
      </c>
      <c r="BH54" s="54">
        <v>21.693000000000001</v>
      </c>
      <c r="BI54" s="23">
        <v>45558</v>
      </c>
      <c r="BJ54" s="46">
        <v>0.40584490740740742</v>
      </c>
      <c r="BK54">
        <v>0</v>
      </c>
      <c r="BL54">
        <v>0</v>
      </c>
      <c r="BM54">
        <v>0</v>
      </c>
      <c r="BN54" s="57">
        <f t="shared" ref="BN54" si="72">AVERAGE(BH54:BH58)</f>
        <v>21.700600000000001</v>
      </c>
    </row>
    <row r="55" spans="1:66">
      <c r="A55" t="s">
        <v>103</v>
      </c>
      <c r="B55">
        <v>1</v>
      </c>
      <c r="C55" t="s">
        <v>7</v>
      </c>
      <c r="D55">
        <v>27584</v>
      </c>
      <c r="E55">
        <v>64</v>
      </c>
      <c r="F55">
        <v>2</v>
      </c>
      <c r="G55" s="41">
        <v>2</v>
      </c>
      <c r="H55" s="1">
        <v>624.34</v>
      </c>
      <c r="I55" s="54">
        <v>22.413</v>
      </c>
      <c r="J55" s="23">
        <v>45558</v>
      </c>
      <c r="K55" s="46">
        <v>0.75736111111111115</v>
      </c>
      <c r="L55">
        <v>0</v>
      </c>
      <c r="M55">
        <v>0</v>
      </c>
      <c r="N55">
        <v>0</v>
      </c>
      <c r="O55" s="57">
        <f t="shared" ref="O55" si="73">O54</f>
        <v>22.458400000000001</v>
      </c>
      <c r="R55" t="s">
        <v>103</v>
      </c>
      <c r="S55">
        <v>1</v>
      </c>
      <c r="T55" t="s">
        <v>7</v>
      </c>
      <c r="U55">
        <v>27584</v>
      </c>
      <c r="V55">
        <v>64</v>
      </c>
      <c r="W55" s="41">
        <v>2</v>
      </c>
      <c r="X55">
        <v>2</v>
      </c>
      <c r="Y55" s="1">
        <v>624.36</v>
      </c>
      <c r="Z55" s="54">
        <v>22.411999999999999</v>
      </c>
      <c r="AA55" s="23">
        <v>45558</v>
      </c>
      <c r="AB55" s="46">
        <v>0.7568287037037037</v>
      </c>
      <c r="AC55">
        <v>0</v>
      </c>
      <c r="AD55">
        <v>0</v>
      </c>
      <c r="AE55">
        <v>0</v>
      </c>
      <c r="AF55" s="57">
        <f t="shared" si="4"/>
        <v>22.490400000000001</v>
      </c>
      <c r="AI55" s="23" t="s">
        <v>154</v>
      </c>
      <c r="AJ55" s="46">
        <v>1</v>
      </c>
      <c r="AK55" t="s">
        <v>7</v>
      </c>
      <c r="AL55">
        <v>27584</v>
      </c>
      <c r="AM55">
        <v>64</v>
      </c>
      <c r="AN55" s="41">
        <v>2</v>
      </c>
      <c r="AO55">
        <v>2</v>
      </c>
      <c r="AP55" s="1">
        <v>618.09</v>
      </c>
      <c r="AQ55" s="54">
        <v>22.638999999999999</v>
      </c>
      <c r="AR55" s="23">
        <v>45558</v>
      </c>
      <c r="AS55" s="46">
        <v>0.69</v>
      </c>
      <c r="AT55">
        <v>0</v>
      </c>
      <c r="AU55">
        <v>0</v>
      </c>
      <c r="AV55">
        <v>0</v>
      </c>
      <c r="AW55" s="57">
        <f t="shared" ref="AW55:AW58" si="74">AW54</f>
        <v>22.638200000000001</v>
      </c>
      <c r="AZ55" t="s">
        <v>154</v>
      </c>
      <c r="BA55">
        <v>1</v>
      </c>
      <c r="BB55" t="s">
        <v>7</v>
      </c>
      <c r="BC55">
        <v>27584</v>
      </c>
      <c r="BD55">
        <v>64</v>
      </c>
      <c r="BE55">
        <v>2</v>
      </c>
      <c r="BF55">
        <v>2</v>
      </c>
      <c r="BG55" s="1">
        <v>644.65</v>
      </c>
      <c r="BH55" s="54">
        <v>21.706</v>
      </c>
      <c r="BI55" s="23">
        <v>45558</v>
      </c>
      <c r="BJ55" s="46">
        <v>0.72660879629629627</v>
      </c>
      <c r="BK55">
        <v>0</v>
      </c>
      <c r="BL55">
        <v>0</v>
      </c>
      <c r="BM55">
        <v>0</v>
      </c>
      <c r="BN55" s="57">
        <f t="shared" ref="BN55:BN58" si="75">BN54</f>
        <v>21.700600000000001</v>
      </c>
    </row>
    <row r="56" spans="1:66">
      <c r="A56" t="s">
        <v>103</v>
      </c>
      <c r="B56">
        <v>2</v>
      </c>
      <c r="C56" t="s">
        <v>7</v>
      </c>
      <c r="D56">
        <v>27584</v>
      </c>
      <c r="E56">
        <v>64</v>
      </c>
      <c r="F56">
        <v>2</v>
      </c>
      <c r="G56" s="41">
        <v>2</v>
      </c>
      <c r="H56" s="1">
        <v>621.25</v>
      </c>
      <c r="I56" s="54">
        <v>22.524000000000001</v>
      </c>
      <c r="J56" s="23">
        <v>45559</v>
      </c>
      <c r="K56" s="46">
        <v>9.9467592592592594E-2</v>
      </c>
      <c r="L56">
        <v>0</v>
      </c>
      <c r="M56">
        <v>0</v>
      </c>
      <c r="N56">
        <v>0</v>
      </c>
      <c r="O56" s="57">
        <f t="shared" si="10"/>
        <v>22.458400000000001</v>
      </c>
      <c r="R56" t="s">
        <v>103</v>
      </c>
      <c r="S56">
        <v>2</v>
      </c>
      <c r="T56" t="s">
        <v>7</v>
      </c>
      <c r="U56">
        <v>27584</v>
      </c>
      <c r="V56">
        <v>64</v>
      </c>
      <c r="W56" s="58">
        <v>2</v>
      </c>
      <c r="X56">
        <v>2</v>
      </c>
      <c r="Y56" s="1">
        <v>621.9</v>
      </c>
      <c r="Z56" s="54">
        <v>22.501000000000001</v>
      </c>
      <c r="AA56" s="23">
        <v>45559</v>
      </c>
      <c r="AB56" s="46">
        <v>9.9849537037037042E-2</v>
      </c>
      <c r="AC56">
        <v>0</v>
      </c>
      <c r="AD56">
        <v>0</v>
      </c>
      <c r="AE56">
        <v>0</v>
      </c>
      <c r="AF56" s="57">
        <f t="shared" si="4"/>
        <v>22.490400000000001</v>
      </c>
      <c r="AI56" s="23" t="s">
        <v>154</v>
      </c>
      <c r="AJ56" s="46">
        <v>2</v>
      </c>
      <c r="AK56" t="s">
        <v>7</v>
      </c>
      <c r="AL56">
        <v>27584</v>
      </c>
      <c r="AM56">
        <v>64</v>
      </c>
      <c r="AN56" s="41">
        <v>2</v>
      </c>
      <c r="AO56">
        <v>2</v>
      </c>
      <c r="AP56" s="1">
        <v>618.19000000000005</v>
      </c>
      <c r="AQ56" s="54">
        <v>22.635999999999999</v>
      </c>
      <c r="AR56" s="23">
        <v>45558</v>
      </c>
      <c r="AS56" s="46">
        <v>0.97917824074074078</v>
      </c>
      <c r="AT56">
        <v>0</v>
      </c>
      <c r="AU56">
        <v>0</v>
      </c>
      <c r="AV56">
        <v>0</v>
      </c>
      <c r="AW56" s="57">
        <f t="shared" si="74"/>
        <v>22.638200000000001</v>
      </c>
      <c r="AZ56" t="s">
        <v>154</v>
      </c>
      <c r="BA56">
        <v>2</v>
      </c>
      <c r="BB56" t="s">
        <v>7</v>
      </c>
      <c r="BC56">
        <v>27584</v>
      </c>
      <c r="BD56">
        <v>64</v>
      </c>
      <c r="BE56">
        <v>2</v>
      </c>
      <c r="BF56">
        <v>2</v>
      </c>
      <c r="BG56" s="1">
        <v>644.20000000000005</v>
      </c>
      <c r="BH56" s="54">
        <v>21.722000000000001</v>
      </c>
      <c r="BI56" s="23">
        <v>45559</v>
      </c>
      <c r="BJ56" s="46">
        <v>3.5358796296296298E-2</v>
      </c>
      <c r="BK56">
        <v>0</v>
      </c>
      <c r="BL56">
        <v>0</v>
      </c>
      <c r="BM56">
        <v>0</v>
      </c>
      <c r="BN56" s="57">
        <f t="shared" si="75"/>
        <v>21.700600000000001</v>
      </c>
    </row>
    <row r="57" spans="1:66">
      <c r="A57" t="s">
        <v>103</v>
      </c>
      <c r="B57">
        <v>3</v>
      </c>
      <c r="C57" t="s">
        <v>7</v>
      </c>
      <c r="D57">
        <v>27584</v>
      </c>
      <c r="E57">
        <v>64</v>
      </c>
      <c r="F57">
        <v>2</v>
      </c>
      <c r="G57" s="41">
        <v>2</v>
      </c>
      <c r="H57" s="1">
        <v>625.74</v>
      </c>
      <c r="I57" s="54">
        <v>22.363</v>
      </c>
      <c r="J57" s="23">
        <v>45559</v>
      </c>
      <c r="K57" s="46">
        <v>0.44189814814814815</v>
      </c>
      <c r="L57">
        <v>0</v>
      </c>
      <c r="M57">
        <v>0</v>
      </c>
      <c r="N57">
        <v>0</v>
      </c>
      <c r="O57" s="57">
        <f t="shared" si="10"/>
        <v>22.458400000000001</v>
      </c>
      <c r="R57" t="s">
        <v>103</v>
      </c>
      <c r="S57">
        <v>3</v>
      </c>
      <c r="T57" t="s">
        <v>7</v>
      </c>
      <c r="U57">
        <v>27584</v>
      </c>
      <c r="V57">
        <v>64</v>
      </c>
      <c r="W57" s="58">
        <v>2</v>
      </c>
      <c r="X57">
        <v>2</v>
      </c>
      <c r="Y57" s="1">
        <v>620.72</v>
      </c>
      <c r="Z57" s="54">
        <v>22.542999999999999</v>
      </c>
      <c r="AA57" s="23">
        <v>45559</v>
      </c>
      <c r="AB57" s="46">
        <v>0.44292824074074072</v>
      </c>
      <c r="AC57">
        <v>0</v>
      </c>
      <c r="AD57">
        <v>0</v>
      </c>
      <c r="AE57">
        <v>0</v>
      </c>
      <c r="AF57" s="57">
        <f t="shared" si="4"/>
        <v>22.490400000000001</v>
      </c>
      <c r="AI57" s="23" t="s">
        <v>154</v>
      </c>
      <c r="AJ57" s="46">
        <v>3</v>
      </c>
      <c r="AK57" t="s">
        <v>7</v>
      </c>
      <c r="AL57">
        <v>27584</v>
      </c>
      <c r="AM57">
        <v>64</v>
      </c>
      <c r="AN57" s="41">
        <v>2</v>
      </c>
      <c r="AO57">
        <v>2</v>
      </c>
      <c r="AP57" s="1">
        <v>619.11</v>
      </c>
      <c r="AQ57" s="54">
        <v>22.602</v>
      </c>
      <c r="AR57" s="23">
        <v>45559</v>
      </c>
      <c r="AS57" s="46">
        <v>0.26814814814814814</v>
      </c>
      <c r="AT57">
        <v>0</v>
      </c>
      <c r="AU57">
        <v>0</v>
      </c>
      <c r="AV57">
        <v>0</v>
      </c>
      <c r="AW57" s="57">
        <f t="shared" si="74"/>
        <v>22.638200000000001</v>
      </c>
      <c r="AZ57" t="s">
        <v>154</v>
      </c>
      <c r="BA57">
        <v>3</v>
      </c>
      <c r="BB57" t="s">
        <v>7</v>
      </c>
      <c r="BC57">
        <v>27584</v>
      </c>
      <c r="BD57">
        <v>64</v>
      </c>
      <c r="BE57">
        <v>2</v>
      </c>
      <c r="BF57">
        <v>2</v>
      </c>
      <c r="BG57" s="1">
        <v>643.13</v>
      </c>
      <c r="BH57" s="54">
        <v>21.757999999999999</v>
      </c>
      <c r="BI57" s="23">
        <v>45559</v>
      </c>
      <c r="BJ57" s="46">
        <v>0.34383101851851849</v>
      </c>
      <c r="BK57">
        <v>0</v>
      </c>
      <c r="BL57">
        <v>0</v>
      </c>
      <c r="BM57">
        <v>0</v>
      </c>
      <c r="BN57" s="57">
        <f t="shared" si="75"/>
        <v>21.700600000000001</v>
      </c>
    </row>
    <row r="58" spans="1:66">
      <c r="A58" t="s">
        <v>103</v>
      </c>
      <c r="B58">
        <v>4</v>
      </c>
      <c r="C58" t="s">
        <v>7</v>
      </c>
      <c r="D58">
        <v>27584</v>
      </c>
      <c r="E58">
        <v>64</v>
      </c>
      <c r="F58">
        <v>2</v>
      </c>
      <c r="G58" s="41">
        <v>2</v>
      </c>
      <c r="H58" s="1">
        <v>621.54999999999995</v>
      </c>
      <c r="I58" s="54">
        <v>22.513000000000002</v>
      </c>
      <c r="J58" s="23">
        <v>45559</v>
      </c>
      <c r="K58" s="46">
        <v>0.78414351851851849</v>
      </c>
      <c r="L58">
        <v>0</v>
      </c>
      <c r="M58">
        <v>0</v>
      </c>
      <c r="N58">
        <v>0</v>
      </c>
      <c r="O58" s="57">
        <f t="shared" si="10"/>
        <v>22.458400000000001</v>
      </c>
      <c r="R58" t="s">
        <v>103</v>
      </c>
      <c r="S58">
        <v>4</v>
      </c>
      <c r="T58" t="s">
        <v>7</v>
      </c>
      <c r="U58">
        <v>27584</v>
      </c>
      <c r="V58">
        <v>64</v>
      </c>
      <c r="W58" s="58">
        <v>2</v>
      </c>
      <c r="X58">
        <v>2</v>
      </c>
      <c r="Y58" s="1">
        <v>623.01</v>
      </c>
      <c r="Z58" s="54">
        <v>22.460999999999999</v>
      </c>
      <c r="AA58" s="23">
        <v>45559</v>
      </c>
      <c r="AB58" s="46">
        <v>0.78609953703703705</v>
      </c>
      <c r="AC58">
        <v>0</v>
      </c>
      <c r="AD58">
        <v>0</v>
      </c>
      <c r="AE58">
        <v>0</v>
      </c>
      <c r="AF58" s="57">
        <f t="shared" si="4"/>
        <v>22.490400000000001</v>
      </c>
      <c r="AI58" s="23" t="s">
        <v>154</v>
      </c>
      <c r="AJ58" s="46">
        <v>4</v>
      </c>
      <c r="AK58" t="s">
        <v>7</v>
      </c>
      <c r="AL58">
        <v>27584</v>
      </c>
      <c r="AM58">
        <v>64</v>
      </c>
      <c r="AN58" s="41">
        <v>2</v>
      </c>
      <c r="AO58">
        <v>2</v>
      </c>
      <c r="AP58" s="1">
        <v>616.9</v>
      </c>
      <c r="AQ58" s="54">
        <v>22.683</v>
      </c>
      <c r="AR58" s="23">
        <v>45559</v>
      </c>
      <c r="AS58" s="46">
        <v>0.5575</v>
      </c>
      <c r="AT58">
        <v>0</v>
      </c>
      <c r="AU58">
        <v>0</v>
      </c>
      <c r="AV58">
        <v>0</v>
      </c>
      <c r="AW58" s="57">
        <f t="shared" si="74"/>
        <v>22.638200000000001</v>
      </c>
      <c r="AZ58" t="s">
        <v>154</v>
      </c>
      <c r="BA58">
        <v>4</v>
      </c>
      <c r="BB58" t="s">
        <v>7</v>
      </c>
      <c r="BC58">
        <v>27584</v>
      </c>
      <c r="BD58">
        <v>64</v>
      </c>
      <c r="BE58">
        <v>2</v>
      </c>
      <c r="BF58">
        <v>2</v>
      </c>
      <c r="BG58" s="1">
        <v>647.13</v>
      </c>
      <c r="BH58" s="54">
        <v>21.623999999999999</v>
      </c>
      <c r="BI58" s="23">
        <v>45559</v>
      </c>
      <c r="BJ58" s="46">
        <v>0.65231481481481479</v>
      </c>
      <c r="BK58">
        <v>0</v>
      </c>
      <c r="BL58">
        <v>0</v>
      </c>
      <c r="BM58">
        <v>0</v>
      </c>
      <c r="BN58" s="57">
        <f t="shared" si="75"/>
        <v>21.700600000000001</v>
      </c>
    </row>
    <row r="59" spans="1:66">
      <c r="A59" t="s">
        <v>103</v>
      </c>
      <c r="B59">
        <v>0</v>
      </c>
      <c r="C59" t="s">
        <v>7</v>
      </c>
      <c r="D59">
        <v>29120</v>
      </c>
      <c r="E59">
        <v>64</v>
      </c>
      <c r="F59">
        <v>2</v>
      </c>
      <c r="G59" s="41">
        <v>2</v>
      </c>
      <c r="H59" s="1">
        <v>754.16</v>
      </c>
      <c r="I59" s="54">
        <v>21.83</v>
      </c>
      <c r="J59" s="23">
        <v>45558</v>
      </c>
      <c r="K59" s="46">
        <v>0.53708333333333336</v>
      </c>
      <c r="L59">
        <v>0</v>
      </c>
      <c r="M59">
        <v>0</v>
      </c>
      <c r="N59">
        <v>0</v>
      </c>
      <c r="O59" s="57">
        <f t="shared" ref="O59" si="76">AVERAGE(I59:I63)</f>
        <v>21.767199999999999</v>
      </c>
      <c r="R59" t="s">
        <v>103</v>
      </c>
      <c r="S59">
        <v>0</v>
      </c>
      <c r="T59" t="s">
        <v>7</v>
      </c>
      <c r="U59">
        <v>29120</v>
      </c>
      <c r="V59">
        <v>64</v>
      </c>
      <c r="W59" s="41">
        <v>2</v>
      </c>
      <c r="X59">
        <v>2</v>
      </c>
      <c r="Y59" s="1">
        <v>754.84</v>
      </c>
      <c r="Z59" s="54">
        <v>21.81</v>
      </c>
      <c r="AA59" s="23">
        <v>45558</v>
      </c>
      <c r="AB59" s="46">
        <v>0.5358680555555555</v>
      </c>
      <c r="AC59">
        <v>0</v>
      </c>
      <c r="AD59">
        <v>0</v>
      </c>
      <c r="AE59">
        <v>0</v>
      </c>
      <c r="AF59" s="57">
        <f t="shared" ref="AF59" si="77">AVERAGE(Z59:Z63)</f>
        <v>21.806600000000003</v>
      </c>
      <c r="AI59" s="23" t="s">
        <v>154</v>
      </c>
      <c r="AJ59" s="46">
        <v>0</v>
      </c>
      <c r="AK59" t="s">
        <v>7</v>
      </c>
      <c r="AL59">
        <v>29120</v>
      </c>
      <c r="AM59">
        <v>64</v>
      </c>
      <c r="AN59" s="41">
        <v>2</v>
      </c>
      <c r="AO59">
        <v>2</v>
      </c>
      <c r="AP59" s="1">
        <v>769.72</v>
      </c>
      <c r="AQ59" s="54">
        <v>21.388999999999999</v>
      </c>
      <c r="AR59" s="23">
        <v>45558</v>
      </c>
      <c r="AS59" s="46">
        <v>0.52759259259259261</v>
      </c>
      <c r="AT59">
        <v>0</v>
      </c>
      <c r="AU59">
        <v>0</v>
      </c>
      <c r="AV59">
        <v>0</v>
      </c>
      <c r="AW59" s="57">
        <f t="shared" ref="AW59" si="78">AVERAGE(AQ59:AQ63)</f>
        <v>21.437999999999999</v>
      </c>
      <c r="AZ59" t="s">
        <v>154</v>
      </c>
      <c r="BA59">
        <v>0</v>
      </c>
      <c r="BB59" t="s">
        <v>7</v>
      </c>
      <c r="BC59">
        <v>29120</v>
      </c>
      <c r="BD59">
        <v>64</v>
      </c>
      <c r="BE59">
        <v>2</v>
      </c>
      <c r="BF59">
        <v>2</v>
      </c>
      <c r="BG59" s="1">
        <v>789.42</v>
      </c>
      <c r="BH59" s="54">
        <v>20.855</v>
      </c>
      <c r="BI59" s="23">
        <v>45558</v>
      </c>
      <c r="BJ59" s="46">
        <v>0.5276967592592593</v>
      </c>
      <c r="BK59">
        <v>0</v>
      </c>
      <c r="BL59">
        <v>0</v>
      </c>
      <c r="BM59">
        <v>0</v>
      </c>
      <c r="BN59" s="57">
        <f t="shared" ref="BN59" si="79">AVERAGE(BH59:BH63)</f>
        <v>20.8644</v>
      </c>
    </row>
    <row r="60" spans="1:66">
      <c r="A60" t="s">
        <v>103</v>
      </c>
      <c r="B60">
        <v>1</v>
      </c>
      <c r="C60" t="s">
        <v>7</v>
      </c>
      <c r="D60">
        <v>29120</v>
      </c>
      <c r="E60">
        <v>64</v>
      </c>
      <c r="F60">
        <v>2</v>
      </c>
      <c r="G60" s="41">
        <v>2</v>
      </c>
      <c r="H60" s="1">
        <v>755.11</v>
      </c>
      <c r="I60" s="54">
        <v>21.802</v>
      </c>
      <c r="J60" s="23">
        <v>45558</v>
      </c>
      <c r="K60" s="46">
        <v>0.87930555555555556</v>
      </c>
      <c r="L60">
        <v>0</v>
      </c>
      <c r="M60">
        <v>0</v>
      </c>
      <c r="N60">
        <v>0</v>
      </c>
      <c r="O60" s="57">
        <f t="shared" ref="O60" si="80">O59</f>
        <v>21.767199999999999</v>
      </c>
      <c r="R60" t="s">
        <v>103</v>
      </c>
      <c r="S60">
        <v>1</v>
      </c>
      <c r="T60" t="s">
        <v>7</v>
      </c>
      <c r="U60">
        <v>29120</v>
      </c>
      <c r="V60">
        <v>64</v>
      </c>
      <c r="W60" s="58">
        <v>2</v>
      </c>
      <c r="X60">
        <v>2</v>
      </c>
      <c r="Y60" s="1">
        <v>755.37</v>
      </c>
      <c r="Z60" s="54">
        <v>21.795000000000002</v>
      </c>
      <c r="AA60" s="23">
        <v>45558</v>
      </c>
      <c r="AB60" s="46">
        <v>0.87902777777777774</v>
      </c>
      <c r="AC60">
        <v>0</v>
      </c>
      <c r="AD60">
        <v>0</v>
      </c>
      <c r="AE60">
        <v>0</v>
      </c>
      <c r="AF60" s="57">
        <f t="shared" si="4"/>
        <v>21.806600000000003</v>
      </c>
      <c r="AI60" s="23" t="s">
        <v>154</v>
      </c>
      <c r="AJ60" s="46">
        <v>1</v>
      </c>
      <c r="AK60" t="s">
        <v>7</v>
      </c>
      <c r="AL60">
        <v>29120</v>
      </c>
      <c r="AM60">
        <v>64</v>
      </c>
      <c r="AN60" s="41">
        <v>2</v>
      </c>
      <c r="AO60">
        <v>2</v>
      </c>
      <c r="AP60" s="1">
        <v>769.29</v>
      </c>
      <c r="AQ60" s="54">
        <v>21.4</v>
      </c>
      <c r="AR60" s="23">
        <v>45558</v>
      </c>
      <c r="AS60" s="46">
        <v>0.79388888888888887</v>
      </c>
      <c r="AT60">
        <v>0</v>
      </c>
      <c r="AU60">
        <v>0</v>
      </c>
      <c r="AV60">
        <v>0</v>
      </c>
      <c r="AW60" s="57">
        <f t="shared" ref="AW60:AW63" si="81">AW59</f>
        <v>21.437999999999999</v>
      </c>
      <c r="AZ60" t="s">
        <v>154</v>
      </c>
      <c r="BA60">
        <v>1</v>
      </c>
      <c r="BB60" t="s">
        <v>7</v>
      </c>
      <c r="BC60">
        <v>29120</v>
      </c>
      <c r="BD60">
        <v>64</v>
      </c>
      <c r="BE60">
        <v>2</v>
      </c>
      <c r="BF60">
        <v>2</v>
      </c>
      <c r="BG60" s="1">
        <v>788.46</v>
      </c>
      <c r="BH60" s="54">
        <v>20.88</v>
      </c>
      <c r="BI60" s="23">
        <v>45558</v>
      </c>
      <c r="BJ60" s="46">
        <v>0.8366203703703704</v>
      </c>
      <c r="BK60">
        <v>0</v>
      </c>
      <c r="BL60">
        <v>0</v>
      </c>
      <c r="BM60">
        <v>0</v>
      </c>
      <c r="BN60" s="57">
        <f t="shared" ref="BN60:BN63" si="82">BN59</f>
        <v>20.8644</v>
      </c>
    </row>
    <row r="61" spans="1:66">
      <c r="A61" t="s">
        <v>103</v>
      </c>
      <c r="B61">
        <v>2</v>
      </c>
      <c r="C61" t="s">
        <v>7</v>
      </c>
      <c r="D61">
        <v>29120</v>
      </c>
      <c r="E61">
        <v>64</v>
      </c>
      <c r="F61">
        <v>2</v>
      </c>
      <c r="G61" s="41">
        <v>2</v>
      </c>
      <c r="H61" s="1">
        <v>757.13</v>
      </c>
      <c r="I61" s="54">
        <v>21.744</v>
      </c>
      <c r="J61" s="23">
        <v>45559</v>
      </c>
      <c r="K61" s="46">
        <v>0.22153935185185186</v>
      </c>
      <c r="L61">
        <v>0</v>
      </c>
      <c r="M61">
        <v>0</v>
      </c>
      <c r="N61">
        <v>0</v>
      </c>
      <c r="O61" s="57">
        <f t="shared" si="10"/>
        <v>21.767199999999999</v>
      </c>
      <c r="R61" t="s">
        <v>103</v>
      </c>
      <c r="S61">
        <v>2</v>
      </c>
      <c r="T61" t="s">
        <v>7</v>
      </c>
      <c r="U61">
        <v>29120</v>
      </c>
      <c r="V61">
        <v>64</v>
      </c>
      <c r="W61" s="58">
        <v>2</v>
      </c>
      <c r="X61">
        <v>2</v>
      </c>
      <c r="Y61" s="1">
        <v>754.72</v>
      </c>
      <c r="Z61" s="54">
        <v>21.814</v>
      </c>
      <c r="AA61" s="23">
        <v>45559</v>
      </c>
      <c r="AB61" s="46">
        <v>0.22197916666666667</v>
      </c>
      <c r="AC61">
        <v>0</v>
      </c>
      <c r="AD61">
        <v>0</v>
      </c>
      <c r="AE61">
        <v>0</v>
      </c>
      <c r="AF61" s="57">
        <f t="shared" si="4"/>
        <v>21.806600000000003</v>
      </c>
      <c r="AI61" s="23" t="s">
        <v>154</v>
      </c>
      <c r="AJ61" s="46">
        <v>2</v>
      </c>
      <c r="AK61" t="s">
        <v>7</v>
      </c>
      <c r="AL61">
        <v>29120</v>
      </c>
      <c r="AM61">
        <v>64</v>
      </c>
      <c r="AN61" s="41">
        <v>2</v>
      </c>
      <c r="AO61">
        <v>2</v>
      </c>
      <c r="AP61" s="1">
        <v>767.27</v>
      </c>
      <c r="AQ61" s="54">
        <v>21.457000000000001</v>
      </c>
      <c r="AR61" s="23">
        <v>45559</v>
      </c>
      <c r="AS61" s="46">
        <v>8.2731481481481475E-2</v>
      </c>
      <c r="AT61">
        <v>0</v>
      </c>
      <c r="AU61">
        <v>0</v>
      </c>
      <c r="AV61">
        <v>0</v>
      </c>
      <c r="AW61" s="57">
        <f t="shared" si="81"/>
        <v>21.437999999999999</v>
      </c>
      <c r="AZ61" t="s">
        <v>154</v>
      </c>
      <c r="BA61">
        <v>2</v>
      </c>
      <c r="BB61" t="s">
        <v>7</v>
      </c>
      <c r="BC61">
        <v>29120</v>
      </c>
      <c r="BD61">
        <v>64</v>
      </c>
      <c r="BE61">
        <v>2</v>
      </c>
      <c r="BF61">
        <v>2</v>
      </c>
      <c r="BG61" s="1">
        <v>788.13</v>
      </c>
      <c r="BH61" s="54">
        <v>20.888999999999999</v>
      </c>
      <c r="BI61" s="23">
        <v>45559</v>
      </c>
      <c r="BJ61" s="46">
        <v>0.14523148148148149</v>
      </c>
      <c r="BK61">
        <v>0</v>
      </c>
      <c r="BL61">
        <v>0</v>
      </c>
      <c r="BM61">
        <v>0</v>
      </c>
      <c r="BN61" s="57">
        <f t="shared" si="82"/>
        <v>20.8644</v>
      </c>
    </row>
    <row r="62" spans="1:66">
      <c r="A62" t="s">
        <v>103</v>
      </c>
      <c r="B62">
        <v>3</v>
      </c>
      <c r="C62" t="s">
        <v>7</v>
      </c>
      <c r="D62">
        <v>29120</v>
      </c>
      <c r="E62">
        <v>64</v>
      </c>
      <c r="F62">
        <v>2</v>
      </c>
      <c r="G62" s="41">
        <v>2</v>
      </c>
      <c r="H62" s="1">
        <v>759.55</v>
      </c>
      <c r="I62" s="54">
        <v>21.675000000000001</v>
      </c>
      <c r="J62" s="23">
        <v>45559</v>
      </c>
      <c r="K62" s="46">
        <v>0.56383101851851847</v>
      </c>
      <c r="L62">
        <v>0</v>
      </c>
      <c r="M62">
        <v>0</v>
      </c>
      <c r="N62">
        <v>0</v>
      </c>
      <c r="O62" s="57">
        <f t="shared" si="10"/>
        <v>21.767199999999999</v>
      </c>
      <c r="R62" t="s">
        <v>103</v>
      </c>
      <c r="S62">
        <v>3</v>
      </c>
      <c r="T62" t="s">
        <v>7</v>
      </c>
      <c r="U62">
        <v>29120</v>
      </c>
      <c r="V62">
        <v>64</v>
      </c>
      <c r="W62" s="58">
        <v>2</v>
      </c>
      <c r="X62">
        <v>2</v>
      </c>
      <c r="Y62" s="1">
        <v>755.44</v>
      </c>
      <c r="Z62" s="54">
        <v>21.792999999999999</v>
      </c>
      <c r="AA62" s="23">
        <v>45559</v>
      </c>
      <c r="AB62" s="46">
        <v>0.56518518518518523</v>
      </c>
      <c r="AC62">
        <v>0</v>
      </c>
      <c r="AD62">
        <v>0</v>
      </c>
      <c r="AE62">
        <v>0</v>
      </c>
      <c r="AF62" s="57">
        <f t="shared" si="4"/>
        <v>21.806600000000003</v>
      </c>
      <c r="AI62" s="23" t="s">
        <v>154</v>
      </c>
      <c r="AJ62" s="46">
        <v>3</v>
      </c>
      <c r="AK62" t="s">
        <v>7</v>
      </c>
      <c r="AL62">
        <v>29120</v>
      </c>
      <c r="AM62">
        <v>64</v>
      </c>
      <c r="AN62" s="41">
        <v>2</v>
      </c>
      <c r="AO62">
        <v>2</v>
      </c>
      <c r="AP62" s="1">
        <v>767.26</v>
      </c>
      <c r="AQ62" s="54">
        <v>21.457000000000001</v>
      </c>
      <c r="AR62" s="23">
        <v>45559</v>
      </c>
      <c r="AS62" s="46">
        <v>0.37185185185185188</v>
      </c>
      <c r="AT62">
        <v>0</v>
      </c>
      <c r="AU62">
        <v>0</v>
      </c>
      <c r="AV62">
        <v>0</v>
      </c>
      <c r="AW62" s="57">
        <f t="shared" si="81"/>
        <v>21.437999999999999</v>
      </c>
      <c r="AZ62" t="s">
        <v>154</v>
      </c>
      <c r="BA62">
        <v>3</v>
      </c>
      <c r="BB62" t="s">
        <v>7</v>
      </c>
      <c r="BC62">
        <v>29120</v>
      </c>
      <c r="BD62">
        <v>64</v>
      </c>
      <c r="BE62">
        <v>2</v>
      </c>
      <c r="BF62">
        <v>2</v>
      </c>
      <c r="BG62" s="1">
        <v>790.64</v>
      </c>
      <c r="BH62" s="54">
        <v>20.823</v>
      </c>
      <c r="BI62" s="23">
        <v>45559</v>
      </c>
      <c r="BJ62" s="46">
        <v>0.45373842592592595</v>
      </c>
      <c r="BK62">
        <v>0</v>
      </c>
      <c r="BL62">
        <v>0</v>
      </c>
      <c r="BM62">
        <v>0</v>
      </c>
      <c r="BN62" s="57">
        <f t="shared" si="82"/>
        <v>20.8644</v>
      </c>
    </row>
    <row r="63" spans="1:66">
      <c r="A63" t="s">
        <v>103</v>
      </c>
      <c r="B63">
        <v>4</v>
      </c>
      <c r="C63" t="s">
        <v>7</v>
      </c>
      <c r="D63">
        <v>29120</v>
      </c>
      <c r="E63">
        <v>64</v>
      </c>
      <c r="F63">
        <v>2</v>
      </c>
      <c r="G63" s="41">
        <v>2</v>
      </c>
      <c r="H63" s="1">
        <v>755.72</v>
      </c>
      <c r="I63" s="54">
        <v>21.785</v>
      </c>
      <c r="J63" s="23">
        <v>45559</v>
      </c>
      <c r="K63" s="46">
        <v>0.90599537037037037</v>
      </c>
      <c r="L63">
        <v>0</v>
      </c>
      <c r="M63">
        <v>0</v>
      </c>
      <c r="N63">
        <v>0</v>
      </c>
      <c r="O63" s="57">
        <f t="shared" si="10"/>
        <v>21.767199999999999</v>
      </c>
      <c r="R63" t="s">
        <v>103</v>
      </c>
      <c r="S63">
        <v>4</v>
      </c>
      <c r="T63" t="s">
        <v>7</v>
      </c>
      <c r="U63">
        <v>29120</v>
      </c>
      <c r="V63">
        <v>64</v>
      </c>
      <c r="W63" s="58">
        <v>2</v>
      </c>
      <c r="X63">
        <v>2</v>
      </c>
      <c r="Y63" s="1">
        <v>754.45</v>
      </c>
      <c r="Z63" s="54">
        <v>21.821000000000002</v>
      </c>
      <c r="AA63" s="23">
        <v>45559</v>
      </c>
      <c r="AB63" s="46">
        <v>0.90811342592592592</v>
      </c>
      <c r="AC63">
        <v>0</v>
      </c>
      <c r="AD63">
        <v>0</v>
      </c>
      <c r="AE63">
        <v>0</v>
      </c>
      <c r="AF63" s="57">
        <f t="shared" si="4"/>
        <v>21.806600000000003</v>
      </c>
      <c r="AI63" s="23" t="s">
        <v>154</v>
      </c>
      <c r="AJ63" s="46">
        <v>4</v>
      </c>
      <c r="AK63" t="s">
        <v>7</v>
      </c>
      <c r="AL63">
        <v>29120</v>
      </c>
      <c r="AM63">
        <v>64</v>
      </c>
      <c r="AN63" s="41">
        <v>2</v>
      </c>
      <c r="AO63">
        <v>2</v>
      </c>
      <c r="AP63" s="1">
        <v>766.2</v>
      </c>
      <c r="AQ63" s="54">
        <v>21.486999999999998</v>
      </c>
      <c r="AR63" s="23">
        <v>45559</v>
      </c>
      <c r="AS63" s="46">
        <v>0.66158564814814813</v>
      </c>
      <c r="AT63">
        <v>0</v>
      </c>
      <c r="AU63">
        <v>0</v>
      </c>
      <c r="AV63">
        <v>0</v>
      </c>
      <c r="AW63" s="57">
        <f t="shared" si="81"/>
        <v>21.437999999999999</v>
      </c>
      <c r="AZ63" t="s">
        <v>154</v>
      </c>
      <c r="BA63">
        <v>4</v>
      </c>
      <c r="BB63" t="s">
        <v>7</v>
      </c>
      <c r="BC63">
        <v>29120</v>
      </c>
      <c r="BD63">
        <v>64</v>
      </c>
      <c r="BE63">
        <v>2</v>
      </c>
      <c r="BF63">
        <v>2</v>
      </c>
      <c r="BG63" s="1">
        <v>788.66</v>
      </c>
      <c r="BH63" s="54">
        <v>20.875</v>
      </c>
      <c r="BI63" s="23">
        <v>45559</v>
      </c>
      <c r="BJ63" s="46">
        <v>0.76210648148148152</v>
      </c>
      <c r="BK63">
        <v>0</v>
      </c>
      <c r="BL63">
        <v>0</v>
      </c>
      <c r="BM63">
        <v>0</v>
      </c>
      <c r="BN63" s="57">
        <f t="shared" si="82"/>
        <v>20.8644</v>
      </c>
    </row>
    <row r="64" spans="1:66">
      <c r="A64" t="s">
        <v>103</v>
      </c>
      <c r="B64">
        <v>0</v>
      </c>
      <c r="C64" t="s">
        <v>7</v>
      </c>
      <c r="D64">
        <v>26016</v>
      </c>
      <c r="E64">
        <v>96</v>
      </c>
      <c r="F64">
        <v>1</v>
      </c>
      <c r="G64" s="41">
        <v>4</v>
      </c>
      <c r="H64" s="1">
        <v>448.48</v>
      </c>
      <c r="I64" s="54">
        <v>26.178000000000001</v>
      </c>
      <c r="J64" s="23">
        <v>45558</v>
      </c>
      <c r="K64" s="46">
        <v>0.31907407407407407</v>
      </c>
      <c r="L64">
        <v>0</v>
      </c>
      <c r="M64">
        <v>0</v>
      </c>
      <c r="N64">
        <v>0</v>
      </c>
      <c r="O64" s="57">
        <f t="shared" ref="O64" si="83">AVERAGE(I64:I68)</f>
        <v>26.185399999999998</v>
      </c>
      <c r="R64" t="s">
        <v>103</v>
      </c>
      <c r="S64">
        <v>0</v>
      </c>
      <c r="T64" t="s">
        <v>7</v>
      </c>
      <c r="U64">
        <v>26016</v>
      </c>
      <c r="V64">
        <v>96</v>
      </c>
      <c r="W64" s="41">
        <v>1</v>
      </c>
      <c r="X64">
        <v>4</v>
      </c>
      <c r="Y64" s="1">
        <v>446.57</v>
      </c>
      <c r="Z64" s="54">
        <v>26.289000000000001</v>
      </c>
      <c r="AA64" s="23">
        <v>45558</v>
      </c>
      <c r="AB64" s="46">
        <v>0.31721064814814814</v>
      </c>
      <c r="AC64">
        <v>0</v>
      </c>
      <c r="AD64">
        <v>0</v>
      </c>
      <c r="AE64">
        <v>0</v>
      </c>
      <c r="AF64" s="57">
        <f t="shared" ref="AF64" si="84">AVERAGE(Z64:Z68)</f>
        <v>26.1736</v>
      </c>
      <c r="AI64" t="s">
        <v>154</v>
      </c>
      <c r="AJ64">
        <v>0</v>
      </c>
      <c r="AK64" t="s">
        <v>7</v>
      </c>
      <c r="AL64">
        <v>26016</v>
      </c>
      <c r="AM64">
        <v>96</v>
      </c>
      <c r="AN64" s="41">
        <v>1</v>
      </c>
      <c r="AO64">
        <v>4</v>
      </c>
      <c r="AP64" s="1">
        <v>354.36</v>
      </c>
      <c r="AQ64" s="54">
        <v>33.130000000000003</v>
      </c>
      <c r="AR64" s="23">
        <v>45558</v>
      </c>
      <c r="AS64" s="46">
        <v>0.31517361111111108</v>
      </c>
      <c r="AT64">
        <v>0</v>
      </c>
      <c r="AU64">
        <v>0</v>
      </c>
      <c r="AV64">
        <v>0</v>
      </c>
      <c r="AW64" s="57">
        <f t="shared" ref="AW64" si="85">AVERAGE(AQ64:AQ68)</f>
        <v>33.066999999999993</v>
      </c>
      <c r="AZ64" t="s">
        <v>154</v>
      </c>
      <c r="BA64">
        <v>0</v>
      </c>
      <c r="BB64" t="s">
        <v>7</v>
      </c>
      <c r="BC64">
        <v>26016</v>
      </c>
      <c r="BD64">
        <v>96</v>
      </c>
      <c r="BE64">
        <v>1</v>
      </c>
      <c r="BF64">
        <v>4</v>
      </c>
      <c r="BG64" s="1">
        <v>392.15</v>
      </c>
      <c r="BH64" s="54">
        <v>29.937999999999999</v>
      </c>
      <c r="BI64" s="23">
        <v>45558</v>
      </c>
      <c r="BJ64" s="46">
        <v>0.31746527777777778</v>
      </c>
      <c r="BK64">
        <v>0</v>
      </c>
      <c r="BL64">
        <v>0</v>
      </c>
      <c r="BM64">
        <v>0</v>
      </c>
      <c r="BN64" s="57">
        <f t="shared" ref="BN64" si="86">AVERAGE(BH64:BH68)</f>
        <v>30.005800000000001</v>
      </c>
    </row>
    <row r="65" spans="1:66">
      <c r="A65" t="s">
        <v>103</v>
      </c>
      <c r="B65">
        <v>1</v>
      </c>
      <c r="C65" t="s">
        <v>7</v>
      </c>
      <c r="D65">
        <v>26016</v>
      </c>
      <c r="E65">
        <v>96</v>
      </c>
      <c r="F65">
        <v>1</v>
      </c>
      <c r="G65" s="41">
        <v>4</v>
      </c>
      <c r="H65" s="1">
        <v>447.84</v>
      </c>
      <c r="I65" s="54">
        <v>26.215</v>
      </c>
      <c r="J65" s="23">
        <v>45558</v>
      </c>
      <c r="K65" s="46">
        <v>0.66112268518518513</v>
      </c>
      <c r="L65">
        <v>0</v>
      </c>
      <c r="M65">
        <v>0</v>
      </c>
      <c r="N65">
        <v>0</v>
      </c>
      <c r="O65" s="57">
        <f t="shared" ref="O65" si="87">O64</f>
        <v>26.185399999999998</v>
      </c>
      <c r="R65" t="s">
        <v>103</v>
      </c>
      <c r="S65">
        <v>1</v>
      </c>
      <c r="T65" t="s">
        <v>7</v>
      </c>
      <c r="U65">
        <v>26016</v>
      </c>
      <c r="V65">
        <v>96</v>
      </c>
      <c r="W65" s="41">
        <v>1</v>
      </c>
      <c r="X65">
        <v>4</v>
      </c>
      <c r="Y65" s="1">
        <v>448.9</v>
      </c>
      <c r="Z65" s="54">
        <v>26.152999999999999</v>
      </c>
      <c r="AA65" s="23">
        <v>45558</v>
      </c>
      <c r="AB65" s="46">
        <v>0.66033564814814816</v>
      </c>
      <c r="AC65">
        <v>0</v>
      </c>
      <c r="AD65">
        <v>0</v>
      </c>
      <c r="AE65">
        <v>0</v>
      </c>
      <c r="AF65" s="57">
        <f t="shared" si="4"/>
        <v>26.1736</v>
      </c>
      <c r="AI65" s="23" t="s">
        <v>154</v>
      </c>
      <c r="AJ65" s="46">
        <v>1</v>
      </c>
      <c r="AK65" t="s">
        <v>7</v>
      </c>
      <c r="AL65">
        <v>26016</v>
      </c>
      <c r="AM65">
        <v>96</v>
      </c>
      <c r="AN65" s="41">
        <v>1</v>
      </c>
      <c r="AO65">
        <v>4</v>
      </c>
      <c r="AP65" s="1">
        <v>355.39</v>
      </c>
      <c r="AQ65" s="54">
        <v>33.033999999999999</v>
      </c>
      <c r="AR65" s="23">
        <v>45558</v>
      </c>
      <c r="AS65" s="46">
        <v>0.60739583333333336</v>
      </c>
      <c r="AT65">
        <v>0</v>
      </c>
      <c r="AU65">
        <v>0</v>
      </c>
      <c r="AV65">
        <v>0</v>
      </c>
      <c r="AW65" s="57">
        <f t="shared" ref="AW65:AW68" si="88">AW64</f>
        <v>33.066999999999993</v>
      </c>
      <c r="AZ65" t="s">
        <v>154</v>
      </c>
      <c r="BA65">
        <v>1</v>
      </c>
      <c r="BB65" t="s">
        <v>7</v>
      </c>
      <c r="BC65">
        <v>26016</v>
      </c>
      <c r="BD65">
        <v>96</v>
      </c>
      <c r="BE65">
        <v>1</v>
      </c>
      <c r="BF65">
        <v>4</v>
      </c>
      <c r="BG65" s="1">
        <v>390.88</v>
      </c>
      <c r="BH65" s="54">
        <v>30.033999999999999</v>
      </c>
      <c r="BI65" s="23">
        <v>45558</v>
      </c>
      <c r="BJ65" s="46">
        <v>0.63836805555555554</v>
      </c>
      <c r="BK65">
        <v>0</v>
      </c>
      <c r="BL65">
        <v>0</v>
      </c>
      <c r="BM65">
        <v>0</v>
      </c>
      <c r="BN65" s="57">
        <f t="shared" ref="BN65:BN68" si="89">BN64</f>
        <v>30.005800000000001</v>
      </c>
    </row>
    <row r="66" spans="1:66">
      <c r="A66" t="s">
        <v>103</v>
      </c>
      <c r="B66">
        <v>2</v>
      </c>
      <c r="C66" t="s">
        <v>7</v>
      </c>
      <c r="D66">
        <v>26016</v>
      </c>
      <c r="E66">
        <v>96</v>
      </c>
      <c r="F66">
        <v>1</v>
      </c>
      <c r="G66" s="41">
        <v>4</v>
      </c>
      <c r="H66" s="1">
        <v>447.24</v>
      </c>
      <c r="I66" s="54">
        <v>26.25</v>
      </c>
      <c r="J66" s="23">
        <v>45559</v>
      </c>
      <c r="K66" s="46">
        <v>3.3217592592592591E-3</v>
      </c>
      <c r="L66">
        <v>0</v>
      </c>
      <c r="M66">
        <v>0</v>
      </c>
      <c r="N66">
        <v>0</v>
      </c>
      <c r="O66" s="57">
        <f t="shared" si="10"/>
        <v>26.185399999999998</v>
      </c>
      <c r="R66" t="s">
        <v>103</v>
      </c>
      <c r="S66">
        <v>2</v>
      </c>
      <c r="T66" t="s">
        <v>7</v>
      </c>
      <c r="U66">
        <v>26016</v>
      </c>
      <c r="V66">
        <v>96</v>
      </c>
      <c r="W66" s="58">
        <v>1</v>
      </c>
      <c r="X66">
        <v>4</v>
      </c>
      <c r="Y66" s="1">
        <v>451.4</v>
      </c>
      <c r="Z66" s="54">
        <v>26.007999999999999</v>
      </c>
      <c r="AA66" s="23">
        <v>45559</v>
      </c>
      <c r="AB66" s="46">
        <v>3.414351851851852E-3</v>
      </c>
      <c r="AC66">
        <v>0</v>
      </c>
      <c r="AD66">
        <v>0</v>
      </c>
      <c r="AE66">
        <v>0</v>
      </c>
      <c r="AF66" s="57">
        <f t="shared" si="4"/>
        <v>26.1736</v>
      </c>
      <c r="AI66" s="23" t="s">
        <v>154</v>
      </c>
      <c r="AJ66" s="46">
        <v>2</v>
      </c>
      <c r="AK66" t="s">
        <v>7</v>
      </c>
      <c r="AL66">
        <v>26016</v>
      </c>
      <c r="AM66">
        <v>96</v>
      </c>
      <c r="AN66" s="41">
        <v>1</v>
      </c>
      <c r="AO66">
        <v>4</v>
      </c>
      <c r="AP66" s="1">
        <v>353.13</v>
      </c>
      <c r="AQ66" s="54">
        <v>33.244999999999997</v>
      </c>
      <c r="AR66" s="23">
        <v>45558</v>
      </c>
      <c r="AS66" s="46">
        <v>0.89660879629629631</v>
      </c>
      <c r="AT66">
        <v>0</v>
      </c>
      <c r="AU66">
        <v>0</v>
      </c>
      <c r="AV66">
        <v>0</v>
      </c>
      <c r="AW66" s="57">
        <f t="shared" si="88"/>
        <v>33.066999999999993</v>
      </c>
      <c r="AZ66" t="s">
        <v>154</v>
      </c>
      <c r="BA66">
        <v>2</v>
      </c>
      <c r="BB66" t="s">
        <v>7</v>
      </c>
      <c r="BC66">
        <v>26016</v>
      </c>
      <c r="BD66">
        <v>96</v>
      </c>
      <c r="BE66">
        <v>1</v>
      </c>
      <c r="BF66">
        <v>4</v>
      </c>
      <c r="BG66" s="1">
        <v>390.85</v>
      </c>
      <c r="BH66" s="54">
        <v>30.036999999999999</v>
      </c>
      <c r="BI66" s="23">
        <v>45558</v>
      </c>
      <c r="BJ66" s="46">
        <v>0.94699074074074074</v>
      </c>
      <c r="BK66">
        <v>0</v>
      </c>
      <c r="BL66">
        <v>0</v>
      </c>
      <c r="BM66">
        <v>0</v>
      </c>
      <c r="BN66" s="57">
        <f t="shared" si="89"/>
        <v>30.005800000000001</v>
      </c>
    </row>
    <row r="67" spans="1:66">
      <c r="A67" t="s">
        <v>103</v>
      </c>
      <c r="B67">
        <v>3</v>
      </c>
      <c r="C67" t="s">
        <v>7</v>
      </c>
      <c r="D67">
        <v>26016</v>
      </c>
      <c r="E67">
        <v>96</v>
      </c>
      <c r="F67">
        <v>1</v>
      </c>
      <c r="G67" s="41">
        <v>4</v>
      </c>
      <c r="H67" s="1">
        <v>449.49</v>
      </c>
      <c r="I67" s="54">
        <v>26.117999999999999</v>
      </c>
      <c r="J67" s="23">
        <v>45559</v>
      </c>
      <c r="K67" s="46">
        <v>0.34565972222222224</v>
      </c>
      <c r="L67">
        <v>0</v>
      </c>
      <c r="M67">
        <v>0</v>
      </c>
      <c r="N67">
        <v>0</v>
      </c>
      <c r="O67" s="57">
        <f t="shared" si="10"/>
        <v>26.185399999999998</v>
      </c>
      <c r="R67" t="s">
        <v>103</v>
      </c>
      <c r="S67">
        <v>3</v>
      </c>
      <c r="T67" t="s">
        <v>7</v>
      </c>
      <c r="U67">
        <v>26016</v>
      </c>
      <c r="V67">
        <v>96</v>
      </c>
      <c r="W67" s="58">
        <v>1</v>
      </c>
      <c r="X67">
        <v>4</v>
      </c>
      <c r="Y67" s="1">
        <v>448.11</v>
      </c>
      <c r="Z67" s="54">
        <v>26.199000000000002</v>
      </c>
      <c r="AA67" s="23">
        <v>45559</v>
      </c>
      <c r="AB67" s="46">
        <v>0.34650462962962963</v>
      </c>
      <c r="AC67">
        <v>0</v>
      </c>
      <c r="AD67">
        <v>0</v>
      </c>
      <c r="AE67">
        <v>0</v>
      </c>
      <c r="AF67" s="57">
        <f t="shared" si="4"/>
        <v>26.1736</v>
      </c>
      <c r="AI67" s="23" t="s">
        <v>154</v>
      </c>
      <c r="AJ67" s="46">
        <v>3</v>
      </c>
      <c r="AK67" t="s">
        <v>7</v>
      </c>
      <c r="AL67">
        <v>26016</v>
      </c>
      <c r="AM67">
        <v>96</v>
      </c>
      <c r="AN67" s="41">
        <v>1</v>
      </c>
      <c r="AO67">
        <v>4</v>
      </c>
      <c r="AP67" s="1">
        <v>356.92</v>
      </c>
      <c r="AQ67" s="54">
        <v>32.892000000000003</v>
      </c>
      <c r="AR67" s="23">
        <v>45559</v>
      </c>
      <c r="AS67" s="46">
        <v>0.18557870370370369</v>
      </c>
      <c r="AT67">
        <v>0</v>
      </c>
      <c r="AU67">
        <v>0</v>
      </c>
      <c r="AV67">
        <v>0</v>
      </c>
      <c r="AW67" s="57">
        <f t="shared" si="88"/>
        <v>33.066999999999993</v>
      </c>
      <c r="AZ67" t="s">
        <v>154</v>
      </c>
      <c r="BA67">
        <v>3</v>
      </c>
      <c r="BB67" t="s">
        <v>7</v>
      </c>
      <c r="BC67">
        <v>26016</v>
      </c>
      <c r="BD67">
        <v>96</v>
      </c>
      <c r="BE67">
        <v>1</v>
      </c>
      <c r="BF67">
        <v>4</v>
      </c>
      <c r="BG67" s="1">
        <v>391.65</v>
      </c>
      <c r="BH67" s="54">
        <v>29.975000000000001</v>
      </c>
      <c r="BI67" s="23">
        <v>45559</v>
      </c>
      <c r="BJ67" s="46">
        <v>0.25562499999999999</v>
      </c>
      <c r="BK67">
        <v>0</v>
      </c>
      <c r="BL67">
        <v>0</v>
      </c>
      <c r="BM67">
        <v>0</v>
      </c>
      <c r="BN67" s="57">
        <f t="shared" si="89"/>
        <v>30.005800000000001</v>
      </c>
    </row>
    <row r="68" spans="1:66">
      <c r="A68" t="s">
        <v>103</v>
      </c>
      <c r="B68">
        <v>4</v>
      </c>
      <c r="C68" t="s">
        <v>7</v>
      </c>
      <c r="D68">
        <v>26016</v>
      </c>
      <c r="E68">
        <v>96</v>
      </c>
      <c r="F68">
        <v>1</v>
      </c>
      <c r="G68" s="41">
        <v>4</v>
      </c>
      <c r="H68" s="1">
        <v>448.67</v>
      </c>
      <c r="I68" s="54">
        <v>26.166</v>
      </c>
      <c r="J68" s="23">
        <v>45559</v>
      </c>
      <c r="K68" s="46">
        <v>0.68792824074074077</v>
      </c>
      <c r="L68">
        <v>0</v>
      </c>
      <c r="M68">
        <v>0</v>
      </c>
      <c r="N68">
        <v>0</v>
      </c>
      <c r="O68" s="57">
        <f t="shared" si="10"/>
        <v>26.185399999999998</v>
      </c>
      <c r="R68" t="s">
        <v>103</v>
      </c>
      <c r="S68">
        <v>4</v>
      </c>
      <c r="T68" t="s">
        <v>7</v>
      </c>
      <c r="U68">
        <v>26016</v>
      </c>
      <c r="V68">
        <v>96</v>
      </c>
      <c r="W68" s="58">
        <v>1</v>
      </c>
      <c r="X68">
        <v>4</v>
      </c>
      <c r="Y68" s="1">
        <v>447.76</v>
      </c>
      <c r="Z68" s="54">
        <v>26.219000000000001</v>
      </c>
      <c r="AA68" s="23">
        <v>45559</v>
      </c>
      <c r="AB68" s="46">
        <v>0.68967592592592597</v>
      </c>
      <c r="AC68">
        <v>0</v>
      </c>
      <c r="AD68">
        <v>0</v>
      </c>
      <c r="AE68">
        <v>0</v>
      </c>
      <c r="AF68" s="57">
        <f t="shared" si="4"/>
        <v>26.1736</v>
      </c>
      <c r="AI68" s="23" t="s">
        <v>154</v>
      </c>
      <c r="AJ68" s="46">
        <v>4</v>
      </c>
      <c r="AK68" t="s">
        <v>7</v>
      </c>
      <c r="AL68">
        <v>26016</v>
      </c>
      <c r="AM68">
        <v>96</v>
      </c>
      <c r="AN68" s="41">
        <v>1</v>
      </c>
      <c r="AO68">
        <v>4</v>
      </c>
      <c r="AP68" s="1">
        <v>355.39</v>
      </c>
      <c r="AQ68" s="54">
        <v>33.033999999999999</v>
      </c>
      <c r="AR68" s="23">
        <v>45559</v>
      </c>
      <c r="AS68" s="46">
        <v>0.47478009259259257</v>
      </c>
      <c r="AT68">
        <v>0</v>
      </c>
      <c r="AU68">
        <v>0</v>
      </c>
      <c r="AV68">
        <v>0</v>
      </c>
      <c r="AW68" s="57">
        <f t="shared" si="88"/>
        <v>33.066999999999993</v>
      </c>
      <c r="AZ68" t="s">
        <v>154</v>
      </c>
      <c r="BA68">
        <v>4</v>
      </c>
      <c r="BB68" t="s">
        <v>7</v>
      </c>
      <c r="BC68">
        <v>26016</v>
      </c>
      <c r="BD68">
        <v>96</v>
      </c>
      <c r="BE68">
        <v>1</v>
      </c>
      <c r="BF68">
        <v>4</v>
      </c>
      <c r="BG68" s="1">
        <v>390.75</v>
      </c>
      <c r="BH68" s="54">
        <v>30.045000000000002</v>
      </c>
      <c r="BI68" s="23">
        <v>45559</v>
      </c>
      <c r="BJ68" s="46">
        <v>0.5640856481481481</v>
      </c>
      <c r="BK68">
        <v>0</v>
      </c>
      <c r="BL68">
        <v>0</v>
      </c>
      <c r="BM68">
        <v>0</v>
      </c>
      <c r="BN68" s="57">
        <f t="shared" si="89"/>
        <v>30.005800000000001</v>
      </c>
    </row>
    <row r="69" spans="1:66">
      <c r="A69" t="s">
        <v>103</v>
      </c>
      <c r="B69">
        <v>0</v>
      </c>
      <c r="C69" t="s">
        <v>7</v>
      </c>
      <c r="D69">
        <v>27552</v>
      </c>
      <c r="E69">
        <v>96</v>
      </c>
      <c r="F69">
        <v>1</v>
      </c>
      <c r="G69" s="41">
        <v>4</v>
      </c>
      <c r="H69" s="1">
        <v>542.38</v>
      </c>
      <c r="I69" s="54">
        <v>25.71</v>
      </c>
      <c r="J69" s="23">
        <v>45558</v>
      </c>
      <c r="K69" s="46">
        <v>0.42215277777777777</v>
      </c>
      <c r="L69">
        <v>0</v>
      </c>
      <c r="M69">
        <v>0</v>
      </c>
      <c r="N69">
        <v>0</v>
      </c>
      <c r="O69" s="57">
        <f t="shared" ref="O69" si="90">AVERAGE(I69:I73)</f>
        <v>25.7072</v>
      </c>
      <c r="R69" t="s">
        <v>103</v>
      </c>
      <c r="S69">
        <v>0</v>
      </c>
      <c r="T69" t="s">
        <v>7</v>
      </c>
      <c r="U69">
        <v>27552</v>
      </c>
      <c r="V69">
        <v>96</v>
      </c>
      <c r="W69" s="41">
        <v>1</v>
      </c>
      <c r="X69">
        <v>4</v>
      </c>
      <c r="Y69" s="1">
        <v>541.63</v>
      </c>
      <c r="Z69" s="54">
        <v>25.745999999999999</v>
      </c>
      <c r="AA69" s="23">
        <v>45558</v>
      </c>
      <c r="AB69" s="46">
        <v>0.4206597222222222</v>
      </c>
      <c r="AC69">
        <v>0</v>
      </c>
      <c r="AD69">
        <v>0</v>
      </c>
      <c r="AE69">
        <v>0</v>
      </c>
      <c r="AF69" s="57">
        <f t="shared" ref="AF69" si="91">AVERAGE(Z69:Z73)</f>
        <v>25.795999999999999</v>
      </c>
      <c r="AI69" s="23" t="s">
        <v>154</v>
      </c>
      <c r="AJ69" s="46">
        <v>0</v>
      </c>
      <c r="AK69" t="s">
        <v>7</v>
      </c>
      <c r="AL69">
        <v>27552</v>
      </c>
      <c r="AM69">
        <v>96</v>
      </c>
      <c r="AN69" s="41">
        <v>1</v>
      </c>
      <c r="AO69">
        <v>4</v>
      </c>
      <c r="AP69" s="1">
        <v>428.5</v>
      </c>
      <c r="AQ69" s="54">
        <v>32.542999999999999</v>
      </c>
      <c r="AR69" s="23">
        <v>45558</v>
      </c>
      <c r="AS69" s="46">
        <v>0.40262731481481484</v>
      </c>
      <c r="AT69">
        <v>0</v>
      </c>
      <c r="AU69">
        <v>0</v>
      </c>
      <c r="AV69">
        <v>0</v>
      </c>
      <c r="AW69" s="57">
        <f t="shared" ref="AW69" si="92">AVERAGE(AQ69:AQ73)</f>
        <v>32.559400000000004</v>
      </c>
      <c r="AZ69" t="s">
        <v>154</v>
      </c>
      <c r="BA69">
        <v>0</v>
      </c>
      <c r="BB69" t="s">
        <v>7</v>
      </c>
      <c r="BC69">
        <v>27552</v>
      </c>
      <c r="BD69">
        <v>96</v>
      </c>
      <c r="BE69">
        <v>1</v>
      </c>
      <c r="BF69">
        <v>4</v>
      </c>
      <c r="BG69" s="1">
        <v>465.07</v>
      </c>
      <c r="BH69" s="54">
        <v>29.984000000000002</v>
      </c>
      <c r="BI69" s="23">
        <v>45558</v>
      </c>
      <c r="BJ69" s="46">
        <v>0.41145833333333331</v>
      </c>
      <c r="BK69">
        <v>0</v>
      </c>
      <c r="BL69">
        <v>0</v>
      </c>
      <c r="BM69">
        <v>0</v>
      </c>
      <c r="BN69" s="57">
        <f t="shared" ref="BN69" si="93">AVERAGE(BH69:BH73)</f>
        <v>30.092000000000002</v>
      </c>
    </row>
    <row r="70" spans="1:66">
      <c r="A70" t="s">
        <v>103</v>
      </c>
      <c r="B70">
        <v>1</v>
      </c>
      <c r="C70" t="s">
        <v>7</v>
      </c>
      <c r="D70">
        <v>27552</v>
      </c>
      <c r="E70">
        <v>96</v>
      </c>
      <c r="F70">
        <v>1</v>
      </c>
      <c r="G70" s="41">
        <v>4</v>
      </c>
      <c r="H70" s="1">
        <v>542.1</v>
      </c>
      <c r="I70" s="54">
        <v>25.722999999999999</v>
      </c>
      <c r="J70" s="23">
        <v>45558</v>
      </c>
      <c r="K70" s="46">
        <v>0.76436342592592588</v>
      </c>
      <c r="L70">
        <v>0</v>
      </c>
      <c r="M70">
        <v>0</v>
      </c>
      <c r="N70">
        <v>0</v>
      </c>
      <c r="O70" s="57">
        <f t="shared" ref="O70" si="94">O69</f>
        <v>25.7072</v>
      </c>
      <c r="R70" t="s">
        <v>103</v>
      </c>
      <c r="S70">
        <v>1</v>
      </c>
      <c r="T70" t="s">
        <v>7</v>
      </c>
      <c r="U70">
        <v>27552</v>
      </c>
      <c r="V70">
        <v>96</v>
      </c>
      <c r="W70" s="41">
        <v>1</v>
      </c>
      <c r="X70">
        <v>4</v>
      </c>
      <c r="Y70" s="1">
        <v>539.23</v>
      </c>
      <c r="Z70" s="54">
        <v>25.86</v>
      </c>
      <c r="AA70" s="23">
        <v>45558</v>
      </c>
      <c r="AB70" s="46">
        <v>0.76379629629629631</v>
      </c>
      <c r="AC70">
        <v>0</v>
      </c>
      <c r="AD70">
        <v>0</v>
      </c>
      <c r="AE70">
        <v>0</v>
      </c>
      <c r="AF70" s="57">
        <f t="shared" ref="AF70:AF133" si="95">AF69</f>
        <v>25.795999999999999</v>
      </c>
      <c r="AI70" s="23" t="s">
        <v>154</v>
      </c>
      <c r="AJ70" s="46">
        <v>1</v>
      </c>
      <c r="AK70" t="s">
        <v>7</v>
      </c>
      <c r="AL70">
        <v>27552</v>
      </c>
      <c r="AM70">
        <v>96</v>
      </c>
      <c r="AN70" s="41">
        <v>1</v>
      </c>
      <c r="AO70">
        <v>4</v>
      </c>
      <c r="AP70" s="1">
        <v>428.89</v>
      </c>
      <c r="AQ70" s="54">
        <v>32.512999999999998</v>
      </c>
      <c r="AR70" s="23">
        <v>45558</v>
      </c>
      <c r="AS70" s="46">
        <v>0.69520833333333332</v>
      </c>
      <c r="AT70">
        <v>0</v>
      </c>
      <c r="AU70">
        <v>0</v>
      </c>
      <c r="AV70">
        <v>0</v>
      </c>
      <c r="AW70" s="57">
        <f t="shared" ref="AW70:AW73" si="96">AW69</f>
        <v>32.559400000000004</v>
      </c>
      <c r="AZ70" t="s">
        <v>154</v>
      </c>
      <c r="BA70">
        <v>1</v>
      </c>
      <c r="BB70" t="s">
        <v>7</v>
      </c>
      <c r="BC70">
        <v>27552</v>
      </c>
      <c r="BD70">
        <v>96</v>
      </c>
      <c r="BE70">
        <v>1</v>
      </c>
      <c r="BF70">
        <v>4</v>
      </c>
      <c r="BG70" s="1">
        <v>463.37</v>
      </c>
      <c r="BH70" s="54">
        <v>30.094000000000001</v>
      </c>
      <c r="BI70" s="23">
        <v>45558</v>
      </c>
      <c r="BJ70" s="46">
        <v>0.73221064814814818</v>
      </c>
      <c r="BK70">
        <v>0</v>
      </c>
      <c r="BL70">
        <v>0</v>
      </c>
      <c r="BM70">
        <v>0</v>
      </c>
      <c r="BN70" s="57">
        <f t="shared" ref="BN70:BN73" si="97">BN69</f>
        <v>30.092000000000002</v>
      </c>
    </row>
    <row r="71" spans="1:66">
      <c r="A71" t="s">
        <v>103</v>
      </c>
      <c r="B71">
        <v>2</v>
      </c>
      <c r="C71" t="s">
        <v>7</v>
      </c>
      <c r="D71">
        <v>27552</v>
      </c>
      <c r="E71">
        <v>96</v>
      </c>
      <c r="F71">
        <v>1</v>
      </c>
      <c r="G71" s="41">
        <v>4</v>
      </c>
      <c r="H71" s="1">
        <v>542.83000000000004</v>
      </c>
      <c r="I71" s="54">
        <v>25.687999999999999</v>
      </c>
      <c r="J71" s="23">
        <v>45559</v>
      </c>
      <c r="K71" s="46">
        <v>0.10648148148148148</v>
      </c>
      <c r="L71">
        <v>0</v>
      </c>
      <c r="M71">
        <v>0</v>
      </c>
      <c r="N71">
        <v>0</v>
      </c>
      <c r="O71" s="57">
        <f t="shared" si="10"/>
        <v>25.7072</v>
      </c>
      <c r="R71" t="s">
        <v>103</v>
      </c>
      <c r="S71">
        <v>2</v>
      </c>
      <c r="T71" t="s">
        <v>7</v>
      </c>
      <c r="U71">
        <v>27552</v>
      </c>
      <c r="V71">
        <v>96</v>
      </c>
      <c r="W71" s="58">
        <v>1</v>
      </c>
      <c r="X71">
        <v>4</v>
      </c>
      <c r="Y71" s="1">
        <v>540.09</v>
      </c>
      <c r="Z71" s="54">
        <v>25.818999999999999</v>
      </c>
      <c r="AA71" s="23">
        <v>45559</v>
      </c>
      <c r="AB71" s="46">
        <v>0.1068287037037037</v>
      </c>
      <c r="AC71">
        <v>0</v>
      </c>
      <c r="AD71">
        <v>0</v>
      </c>
      <c r="AE71">
        <v>0</v>
      </c>
      <c r="AF71" s="57">
        <f t="shared" si="95"/>
        <v>25.795999999999999</v>
      </c>
      <c r="AI71" s="23" t="s">
        <v>154</v>
      </c>
      <c r="AJ71" s="46">
        <v>2</v>
      </c>
      <c r="AK71" t="s">
        <v>7</v>
      </c>
      <c r="AL71">
        <v>27552</v>
      </c>
      <c r="AM71">
        <v>96</v>
      </c>
      <c r="AN71" s="41">
        <v>1</v>
      </c>
      <c r="AO71">
        <v>4</v>
      </c>
      <c r="AP71" s="1">
        <v>428.78</v>
      </c>
      <c r="AQ71" s="54">
        <v>32.521999999999998</v>
      </c>
      <c r="AR71" s="23">
        <v>45558</v>
      </c>
      <c r="AS71" s="46">
        <v>0.984375</v>
      </c>
      <c r="AT71">
        <v>0</v>
      </c>
      <c r="AU71">
        <v>0</v>
      </c>
      <c r="AV71">
        <v>0</v>
      </c>
      <c r="AW71" s="57">
        <f t="shared" si="96"/>
        <v>32.559400000000004</v>
      </c>
      <c r="AZ71" t="s">
        <v>154</v>
      </c>
      <c r="BA71">
        <v>2</v>
      </c>
      <c r="BB71" t="s">
        <v>7</v>
      </c>
      <c r="BC71">
        <v>27552</v>
      </c>
      <c r="BD71">
        <v>96</v>
      </c>
      <c r="BE71">
        <v>1</v>
      </c>
      <c r="BF71">
        <v>4</v>
      </c>
      <c r="BG71" s="1">
        <v>462.24</v>
      </c>
      <c r="BH71" s="54">
        <v>30.167000000000002</v>
      </c>
      <c r="BI71" s="23">
        <v>45559</v>
      </c>
      <c r="BJ71" s="46">
        <v>4.0937500000000002E-2</v>
      </c>
      <c r="BK71">
        <v>0</v>
      </c>
      <c r="BL71">
        <v>0</v>
      </c>
      <c r="BM71">
        <v>0</v>
      </c>
      <c r="BN71" s="57">
        <f t="shared" si="97"/>
        <v>30.092000000000002</v>
      </c>
    </row>
    <row r="72" spans="1:66">
      <c r="A72" t="s">
        <v>103</v>
      </c>
      <c r="B72">
        <v>3</v>
      </c>
      <c r="C72" t="s">
        <v>7</v>
      </c>
      <c r="D72">
        <v>27552</v>
      </c>
      <c r="E72">
        <v>96</v>
      </c>
      <c r="F72">
        <v>1</v>
      </c>
      <c r="G72" s="41">
        <v>4</v>
      </c>
      <c r="H72" s="1">
        <v>544.09</v>
      </c>
      <c r="I72" s="54">
        <v>25.629000000000001</v>
      </c>
      <c r="J72" s="23">
        <v>45559</v>
      </c>
      <c r="K72" s="46">
        <v>0.44892361111111112</v>
      </c>
      <c r="L72">
        <v>0</v>
      </c>
      <c r="M72">
        <v>0</v>
      </c>
      <c r="N72">
        <v>0</v>
      </c>
      <c r="O72" s="57">
        <f t="shared" si="10"/>
        <v>25.7072</v>
      </c>
      <c r="R72" t="s">
        <v>103</v>
      </c>
      <c r="S72">
        <v>3</v>
      </c>
      <c r="T72" t="s">
        <v>7</v>
      </c>
      <c r="U72">
        <v>27552</v>
      </c>
      <c r="V72">
        <v>96</v>
      </c>
      <c r="W72" s="58">
        <v>1</v>
      </c>
      <c r="X72">
        <v>4</v>
      </c>
      <c r="Y72" s="1">
        <v>541.41</v>
      </c>
      <c r="Z72" s="54">
        <v>25.756</v>
      </c>
      <c r="AA72" s="23">
        <v>45559</v>
      </c>
      <c r="AB72" s="46">
        <v>0.44991898148148146</v>
      </c>
      <c r="AC72">
        <v>0</v>
      </c>
      <c r="AD72">
        <v>0</v>
      </c>
      <c r="AE72">
        <v>0</v>
      </c>
      <c r="AF72" s="57">
        <f t="shared" si="95"/>
        <v>25.795999999999999</v>
      </c>
      <c r="AI72" s="23" t="s">
        <v>154</v>
      </c>
      <c r="AJ72" s="46">
        <v>3</v>
      </c>
      <c r="AK72" t="s">
        <v>7</v>
      </c>
      <c r="AL72">
        <v>27552</v>
      </c>
      <c r="AM72">
        <v>96</v>
      </c>
      <c r="AN72" s="41">
        <v>1</v>
      </c>
      <c r="AO72">
        <v>4</v>
      </c>
      <c r="AP72" s="1">
        <v>426.6</v>
      </c>
      <c r="AQ72" s="54">
        <v>32.688000000000002</v>
      </c>
      <c r="AR72" s="23">
        <v>45559</v>
      </c>
      <c r="AS72" s="46">
        <v>0.27333333333333332</v>
      </c>
      <c r="AT72">
        <v>0</v>
      </c>
      <c r="AU72">
        <v>0</v>
      </c>
      <c r="AV72">
        <v>0</v>
      </c>
      <c r="AW72" s="57">
        <f t="shared" si="96"/>
        <v>32.559400000000004</v>
      </c>
      <c r="AZ72" t="s">
        <v>154</v>
      </c>
      <c r="BA72">
        <v>3</v>
      </c>
      <c r="BB72" t="s">
        <v>7</v>
      </c>
      <c r="BC72">
        <v>27552</v>
      </c>
      <c r="BD72">
        <v>96</v>
      </c>
      <c r="BE72">
        <v>1</v>
      </c>
      <c r="BF72">
        <v>4</v>
      </c>
      <c r="BG72" s="1">
        <v>463.6</v>
      </c>
      <c r="BH72" s="54">
        <v>30.079000000000001</v>
      </c>
      <c r="BI72" s="23">
        <v>45559</v>
      </c>
      <c r="BJ72" s="46">
        <v>0.34943287037037035</v>
      </c>
      <c r="BK72">
        <v>0</v>
      </c>
      <c r="BL72">
        <v>0</v>
      </c>
      <c r="BM72">
        <v>0</v>
      </c>
      <c r="BN72" s="57">
        <f t="shared" si="97"/>
        <v>30.092000000000002</v>
      </c>
    </row>
    <row r="73" spans="1:66">
      <c r="A73" t="s">
        <v>103</v>
      </c>
      <c r="B73">
        <v>4</v>
      </c>
      <c r="C73" t="s">
        <v>7</v>
      </c>
      <c r="D73">
        <v>27552</v>
      </c>
      <c r="E73">
        <v>96</v>
      </c>
      <c r="F73">
        <v>1</v>
      </c>
      <c r="G73" s="41">
        <v>4</v>
      </c>
      <c r="H73" s="1">
        <v>540.77</v>
      </c>
      <c r="I73" s="54">
        <v>25.786000000000001</v>
      </c>
      <c r="J73" s="23">
        <v>45559</v>
      </c>
      <c r="K73" s="46">
        <v>0.79113425925925929</v>
      </c>
      <c r="L73">
        <v>0</v>
      </c>
      <c r="M73">
        <v>0</v>
      </c>
      <c r="N73">
        <v>0</v>
      </c>
      <c r="O73" s="57">
        <f t="shared" si="10"/>
        <v>25.7072</v>
      </c>
      <c r="R73" t="s">
        <v>103</v>
      </c>
      <c r="S73">
        <v>4</v>
      </c>
      <c r="T73" t="s">
        <v>7</v>
      </c>
      <c r="U73">
        <v>27552</v>
      </c>
      <c r="V73">
        <v>96</v>
      </c>
      <c r="W73" s="58">
        <v>1</v>
      </c>
      <c r="X73">
        <v>4</v>
      </c>
      <c r="Y73" s="1">
        <v>540.51</v>
      </c>
      <c r="Z73" s="54">
        <v>25.798999999999999</v>
      </c>
      <c r="AA73" s="23">
        <v>45559</v>
      </c>
      <c r="AB73" s="46">
        <v>0.79309027777777774</v>
      </c>
      <c r="AC73">
        <v>0</v>
      </c>
      <c r="AD73">
        <v>0</v>
      </c>
      <c r="AE73">
        <v>0</v>
      </c>
      <c r="AF73" s="57">
        <f t="shared" si="95"/>
        <v>25.795999999999999</v>
      </c>
      <c r="AI73" s="23" t="s">
        <v>154</v>
      </c>
      <c r="AJ73" s="46">
        <v>4</v>
      </c>
      <c r="AK73" t="s">
        <v>7</v>
      </c>
      <c r="AL73">
        <v>27552</v>
      </c>
      <c r="AM73">
        <v>96</v>
      </c>
      <c r="AN73" s="41">
        <v>1</v>
      </c>
      <c r="AO73">
        <v>4</v>
      </c>
      <c r="AP73" s="1">
        <v>428.65</v>
      </c>
      <c r="AQ73" s="54">
        <v>32.530999999999999</v>
      </c>
      <c r="AR73" s="23">
        <v>45559</v>
      </c>
      <c r="AS73" s="46">
        <v>0.56269675925925922</v>
      </c>
      <c r="AT73">
        <v>0</v>
      </c>
      <c r="AU73">
        <v>0</v>
      </c>
      <c r="AV73">
        <v>0</v>
      </c>
      <c r="AW73" s="57">
        <f t="shared" si="96"/>
        <v>32.559400000000004</v>
      </c>
      <c r="AZ73" t="s">
        <v>154</v>
      </c>
      <c r="BA73">
        <v>4</v>
      </c>
      <c r="BB73" t="s">
        <v>7</v>
      </c>
      <c r="BC73">
        <v>27552</v>
      </c>
      <c r="BD73">
        <v>96</v>
      </c>
      <c r="BE73">
        <v>1</v>
      </c>
      <c r="BF73">
        <v>4</v>
      </c>
      <c r="BG73" s="1">
        <v>462.73</v>
      </c>
      <c r="BH73" s="54">
        <v>30.135999999999999</v>
      </c>
      <c r="BI73" s="23">
        <v>45559</v>
      </c>
      <c r="BJ73" s="46">
        <v>0.65791666666666671</v>
      </c>
      <c r="BK73">
        <v>0</v>
      </c>
      <c r="BL73">
        <v>0</v>
      </c>
      <c r="BM73">
        <v>0</v>
      </c>
      <c r="BN73" s="57">
        <f t="shared" si="97"/>
        <v>30.092000000000002</v>
      </c>
    </row>
    <row r="74" spans="1:66">
      <c r="A74" t="s">
        <v>103</v>
      </c>
      <c r="B74">
        <v>0</v>
      </c>
      <c r="C74" t="s">
        <v>7</v>
      </c>
      <c r="D74">
        <v>29088</v>
      </c>
      <c r="E74">
        <v>96</v>
      </c>
      <c r="F74">
        <v>1</v>
      </c>
      <c r="G74" s="41">
        <v>4</v>
      </c>
      <c r="H74" s="1">
        <v>646.65</v>
      </c>
      <c r="I74" s="54">
        <v>25.376000000000001</v>
      </c>
      <c r="J74" s="23">
        <v>45558</v>
      </c>
      <c r="K74" s="46">
        <v>0.54538194444444443</v>
      </c>
      <c r="L74">
        <v>0</v>
      </c>
      <c r="M74">
        <v>0</v>
      </c>
      <c r="N74">
        <v>0</v>
      </c>
      <c r="O74" s="57">
        <f t="shared" ref="O74" si="98">AVERAGE(I74:I78)</f>
        <v>25.344800000000003</v>
      </c>
      <c r="R74" t="s">
        <v>103</v>
      </c>
      <c r="S74">
        <v>0</v>
      </c>
      <c r="T74" t="s">
        <v>7</v>
      </c>
      <c r="U74">
        <v>29088</v>
      </c>
      <c r="V74">
        <v>96</v>
      </c>
      <c r="W74" s="41">
        <v>1</v>
      </c>
      <c r="X74">
        <v>4</v>
      </c>
      <c r="Y74" s="1">
        <v>646.13</v>
      </c>
      <c r="Z74" s="54">
        <v>25.396000000000001</v>
      </c>
      <c r="AA74" s="23">
        <v>45558</v>
      </c>
      <c r="AB74" s="46">
        <v>0.54415509259259254</v>
      </c>
      <c r="AC74">
        <v>0</v>
      </c>
      <c r="AD74">
        <v>0</v>
      </c>
      <c r="AE74">
        <v>0</v>
      </c>
      <c r="AF74" s="57">
        <f t="shared" ref="AF74" si="99">AVERAGE(Z74:Z78)</f>
        <v>25.374199999999995</v>
      </c>
      <c r="AI74" s="23" t="s">
        <v>154</v>
      </c>
      <c r="AJ74" s="46">
        <v>0</v>
      </c>
      <c r="AK74" t="s">
        <v>7</v>
      </c>
      <c r="AL74">
        <v>29088</v>
      </c>
      <c r="AM74">
        <v>96</v>
      </c>
      <c r="AN74" s="41">
        <v>1</v>
      </c>
      <c r="AO74">
        <v>4</v>
      </c>
      <c r="AP74" s="1">
        <v>508.16</v>
      </c>
      <c r="AQ74" s="54">
        <v>32.290999999999997</v>
      </c>
      <c r="AR74" s="23">
        <v>45558</v>
      </c>
      <c r="AS74" s="46">
        <v>0.53374999999999995</v>
      </c>
      <c r="AT74">
        <v>0</v>
      </c>
      <c r="AU74">
        <v>0</v>
      </c>
      <c r="AV74">
        <v>0</v>
      </c>
      <c r="AW74" s="57">
        <f t="shared" ref="AW74" si="100">AVERAGE(AQ74:AQ78)</f>
        <v>32.364999999999995</v>
      </c>
      <c r="AZ74" t="s">
        <v>154</v>
      </c>
      <c r="BA74">
        <v>0</v>
      </c>
      <c r="BB74" t="s">
        <v>7</v>
      </c>
      <c r="BC74">
        <v>29088</v>
      </c>
      <c r="BD74">
        <v>96</v>
      </c>
      <c r="BE74">
        <v>1</v>
      </c>
      <c r="BF74">
        <v>4</v>
      </c>
      <c r="BG74" s="1">
        <v>543.54999999999995</v>
      </c>
      <c r="BH74" s="54">
        <v>30.189</v>
      </c>
      <c r="BI74" s="23">
        <v>45558</v>
      </c>
      <c r="BJ74" s="46">
        <v>0.53424768518518517</v>
      </c>
      <c r="BK74">
        <v>0</v>
      </c>
      <c r="BL74">
        <v>0</v>
      </c>
      <c r="BM74">
        <v>0</v>
      </c>
      <c r="BN74" s="57">
        <f t="shared" ref="BN74" si="101">AVERAGE(BH74:BH78)</f>
        <v>30.256400000000003</v>
      </c>
    </row>
    <row r="75" spans="1:66">
      <c r="A75" t="s">
        <v>103</v>
      </c>
      <c r="B75">
        <v>1</v>
      </c>
      <c r="C75" t="s">
        <v>7</v>
      </c>
      <c r="D75">
        <v>29088</v>
      </c>
      <c r="E75">
        <v>96</v>
      </c>
      <c r="F75">
        <v>1</v>
      </c>
      <c r="G75" s="41">
        <v>4</v>
      </c>
      <c r="H75" s="1">
        <v>649.03</v>
      </c>
      <c r="I75" s="54">
        <v>25.282</v>
      </c>
      <c r="J75" s="23">
        <v>45558</v>
      </c>
      <c r="K75" s="46">
        <v>0.88762731481481483</v>
      </c>
      <c r="L75">
        <v>0</v>
      </c>
      <c r="M75">
        <v>0</v>
      </c>
      <c r="N75">
        <v>0</v>
      </c>
      <c r="O75" s="57">
        <f t="shared" ref="O75:O138" si="102">O74</f>
        <v>25.344800000000003</v>
      </c>
      <c r="R75" t="s">
        <v>103</v>
      </c>
      <c r="S75">
        <v>1</v>
      </c>
      <c r="T75" t="s">
        <v>7</v>
      </c>
      <c r="U75">
        <v>29088</v>
      </c>
      <c r="V75">
        <v>96</v>
      </c>
      <c r="W75" s="58">
        <v>1</v>
      </c>
      <c r="X75">
        <v>4</v>
      </c>
      <c r="Y75" s="1">
        <v>645.76</v>
      </c>
      <c r="Z75" s="54">
        <v>25.41</v>
      </c>
      <c r="AA75" s="23">
        <v>45558</v>
      </c>
      <c r="AB75" s="46">
        <v>0.88731481481481478</v>
      </c>
      <c r="AC75">
        <v>0</v>
      </c>
      <c r="AD75">
        <v>0</v>
      </c>
      <c r="AE75">
        <v>0</v>
      </c>
      <c r="AF75" s="57">
        <f t="shared" si="95"/>
        <v>25.374199999999995</v>
      </c>
      <c r="AI75" s="23" t="s">
        <v>154</v>
      </c>
      <c r="AJ75" s="46">
        <v>1</v>
      </c>
      <c r="AK75" t="s">
        <v>7</v>
      </c>
      <c r="AL75">
        <v>29088</v>
      </c>
      <c r="AM75">
        <v>96</v>
      </c>
      <c r="AN75" s="41">
        <v>1</v>
      </c>
      <c r="AO75">
        <v>4</v>
      </c>
      <c r="AP75" s="1">
        <v>502.37</v>
      </c>
      <c r="AQ75" s="54">
        <v>32.662999999999997</v>
      </c>
      <c r="AR75" s="23">
        <v>45558</v>
      </c>
      <c r="AS75" s="46">
        <v>0.79997685185185186</v>
      </c>
      <c r="AT75">
        <v>0</v>
      </c>
      <c r="AU75">
        <v>0</v>
      </c>
      <c r="AV75">
        <v>0</v>
      </c>
      <c r="AW75" s="57">
        <f t="shared" ref="AW75:AW78" si="103">AW74</f>
        <v>32.364999999999995</v>
      </c>
      <c r="AZ75" t="s">
        <v>154</v>
      </c>
      <c r="BA75">
        <v>1</v>
      </c>
      <c r="BB75" t="s">
        <v>7</v>
      </c>
      <c r="BC75">
        <v>29088</v>
      </c>
      <c r="BD75">
        <v>96</v>
      </c>
      <c r="BE75">
        <v>1</v>
      </c>
      <c r="BF75">
        <v>4</v>
      </c>
      <c r="BG75" s="1">
        <v>542.53</v>
      </c>
      <c r="BH75" s="54">
        <v>30.245000000000001</v>
      </c>
      <c r="BI75" s="23">
        <v>45558</v>
      </c>
      <c r="BJ75" s="46">
        <v>0.84315972222222224</v>
      </c>
      <c r="BK75">
        <v>0</v>
      </c>
      <c r="BL75">
        <v>0</v>
      </c>
      <c r="BM75">
        <v>0</v>
      </c>
      <c r="BN75" s="57">
        <f t="shared" ref="BN75:BN78" si="104">BN74</f>
        <v>30.256400000000003</v>
      </c>
    </row>
    <row r="76" spans="1:66">
      <c r="A76" t="s">
        <v>103</v>
      </c>
      <c r="B76">
        <v>2</v>
      </c>
      <c r="C76" t="s">
        <v>7</v>
      </c>
      <c r="D76">
        <v>29088</v>
      </c>
      <c r="E76">
        <v>96</v>
      </c>
      <c r="F76">
        <v>1</v>
      </c>
      <c r="G76" s="41">
        <v>4</v>
      </c>
      <c r="H76" s="1">
        <v>648.21</v>
      </c>
      <c r="I76" s="54">
        <v>25.314</v>
      </c>
      <c r="J76" s="23">
        <v>45559</v>
      </c>
      <c r="K76" s="46">
        <v>0.22984953703703703</v>
      </c>
      <c r="L76">
        <v>0</v>
      </c>
      <c r="M76">
        <v>0</v>
      </c>
      <c r="N76">
        <v>0</v>
      </c>
      <c r="O76" s="57">
        <f t="shared" si="102"/>
        <v>25.344800000000003</v>
      </c>
      <c r="R76" t="s">
        <v>103</v>
      </c>
      <c r="S76">
        <v>2</v>
      </c>
      <c r="T76" t="s">
        <v>7</v>
      </c>
      <c r="U76">
        <v>29088</v>
      </c>
      <c r="V76">
        <v>96</v>
      </c>
      <c r="W76" s="58">
        <v>1</v>
      </c>
      <c r="X76">
        <v>4</v>
      </c>
      <c r="Y76" s="1">
        <v>646.16</v>
      </c>
      <c r="Z76" s="54">
        <v>25.395</v>
      </c>
      <c r="AA76" s="23">
        <v>45559</v>
      </c>
      <c r="AB76" s="46">
        <v>0.23026620370370371</v>
      </c>
      <c r="AC76">
        <v>0</v>
      </c>
      <c r="AD76">
        <v>0</v>
      </c>
      <c r="AE76">
        <v>0</v>
      </c>
      <c r="AF76" s="57">
        <f t="shared" si="95"/>
        <v>25.374199999999995</v>
      </c>
      <c r="AI76" s="23" t="s">
        <v>154</v>
      </c>
      <c r="AJ76" s="46">
        <v>2</v>
      </c>
      <c r="AK76" t="s">
        <v>7</v>
      </c>
      <c r="AL76">
        <v>29088</v>
      </c>
      <c r="AM76">
        <v>96</v>
      </c>
      <c r="AN76" s="41">
        <v>1</v>
      </c>
      <c r="AO76">
        <v>4</v>
      </c>
      <c r="AP76" s="1">
        <v>507.78</v>
      </c>
      <c r="AQ76" s="54">
        <v>32.316000000000003</v>
      </c>
      <c r="AR76" s="23">
        <v>45559</v>
      </c>
      <c r="AS76" s="46">
        <v>8.8877314814814812E-2</v>
      </c>
      <c r="AT76">
        <v>0</v>
      </c>
      <c r="AU76">
        <v>0</v>
      </c>
      <c r="AV76">
        <v>0</v>
      </c>
      <c r="AW76" s="57">
        <f t="shared" si="103"/>
        <v>32.364999999999995</v>
      </c>
      <c r="AZ76" t="s">
        <v>154</v>
      </c>
      <c r="BA76">
        <v>2</v>
      </c>
      <c r="BB76" t="s">
        <v>7</v>
      </c>
      <c r="BC76">
        <v>29088</v>
      </c>
      <c r="BD76">
        <v>96</v>
      </c>
      <c r="BE76">
        <v>1</v>
      </c>
      <c r="BF76">
        <v>4</v>
      </c>
      <c r="BG76" s="1">
        <v>541.61</v>
      </c>
      <c r="BH76" s="54">
        <v>30.297000000000001</v>
      </c>
      <c r="BI76" s="23">
        <v>45559</v>
      </c>
      <c r="BJ76" s="46">
        <v>0.15175925925925926</v>
      </c>
      <c r="BK76">
        <v>0</v>
      </c>
      <c r="BL76">
        <v>0</v>
      </c>
      <c r="BM76">
        <v>0</v>
      </c>
      <c r="BN76" s="57">
        <f t="shared" si="104"/>
        <v>30.256400000000003</v>
      </c>
    </row>
    <row r="77" spans="1:66">
      <c r="A77" t="s">
        <v>103</v>
      </c>
      <c r="B77">
        <v>3</v>
      </c>
      <c r="C77" t="s">
        <v>7</v>
      </c>
      <c r="D77">
        <v>29088</v>
      </c>
      <c r="E77">
        <v>96</v>
      </c>
      <c r="F77">
        <v>1</v>
      </c>
      <c r="G77" s="41">
        <v>4</v>
      </c>
      <c r="H77" s="1">
        <v>648.08000000000004</v>
      </c>
      <c r="I77" s="54">
        <v>25.318999999999999</v>
      </c>
      <c r="J77" s="23">
        <v>45559</v>
      </c>
      <c r="K77" s="46">
        <v>0.57215277777777773</v>
      </c>
      <c r="L77">
        <v>0</v>
      </c>
      <c r="M77">
        <v>0</v>
      </c>
      <c r="N77">
        <v>0</v>
      </c>
      <c r="O77" s="57">
        <f t="shared" si="102"/>
        <v>25.344800000000003</v>
      </c>
      <c r="R77" t="s">
        <v>103</v>
      </c>
      <c r="S77">
        <v>3</v>
      </c>
      <c r="T77" t="s">
        <v>7</v>
      </c>
      <c r="U77">
        <v>29088</v>
      </c>
      <c r="V77">
        <v>96</v>
      </c>
      <c r="W77" s="58">
        <v>1</v>
      </c>
      <c r="X77">
        <v>4</v>
      </c>
      <c r="Y77" s="1">
        <v>646.11</v>
      </c>
      <c r="Z77" s="54">
        <v>25.396999999999998</v>
      </c>
      <c r="AA77" s="23">
        <v>45559</v>
      </c>
      <c r="AB77" s="46">
        <v>0.57347222222222227</v>
      </c>
      <c r="AC77">
        <v>0</v>
      </c>
      <c r="AD77">
        <v>0</v>
      </c>
      <c r="AE77">
        <v>0</v>
      </c>
      <c r="AF77" s="57">
        <f t="shared" si="95"/>
        <v>25.374199999999995</v>
      </c>
      <c r="AI77" s="23" t="s">
        <v>154</v>
      </c>
      <c r="AJ77" s="46">
        <v>3</v>
      </c>
      <c r="AK77" t="s">
        <v>7</v>
      </c>
      <c r="AL77">
        <v>29088</v>
      </c>
      <c r="AM77">
        <v>96</v>
      </c>
      <c r="AN77" s="41">
        <v>1</v>
      </c>
      <c r="AO77">
        <v>4</v>
      </c>
      <c r="AP77" s="1">
        <v>508.42</v>
      </c>
      <c r="AQ77" s="54">
        <v>32.274000000000001</v>
      </c>
      <c r="AR77" s="23">
        <v>45559</v>
      </c>
      <c r="AS77" s="46">
        <v>0.37799768518518517</v>
      </c>
      <c r="AT77">
        <v>0</v>
      </c>
      <c r="AU77">
        <v>0</v>
      </c>
      <c r="AV77">
        <v>0</v>
      </c>
      <c r="AW77" s="57">
        <f t="shared" si="103"/>
        <v>32.364999999999995</v>
      </c>
      <c r="AZ77" t="s">
        <v>154</v>
      </c>
      <c r="BA77">
        <v>3</v>
      </c>
      <c r="BB77" t="s">
        <v>7</v>
      </c>
      <c r="BC77">
        <v>29088</v>
      </c>
      <c r="BD77">
        <v>96</v>
      </c>
      <c r="BE77">
        <v>1</v>
      </c>
      <c r="BF77">
        <v>4</v>
      </c>
      <c r="BG77" s="1">
        <v>541.69000000000005</v>
      </c>
      <c r="BH77" s="54">
        <v>30.292999999999999</v>
      </c>
      <c r="BI77" s="23">
        <v>45559</v>
      </c>
      <c r="BJ77" s="46">
        <v>0.46026620370370369</v>
      </c>
      <c r="BK77">
        <v>0</v>
      </c>
      <c r="BL77">
        <v>0</v>
      </c>
      <c r="BM77">
        <v>0</v>
      </c>
      <c r="BN77" s="57">
        <f t="shared" si="104"/>
        <v>30.256400000000003</v>
      </c>
    </row>
    <row r="78" spans="1:66">
      <c r="A78" t="s">
        <v>103</v>
      </c>
      <c r="B78">
        <v>4</v>
      </c>
      <c r="C78" t="s">
        <v>7</v>
      </c>
      <c r="D78">
        <v>29088</v>
      </c>
      <c r="E78">
        <v>96</v>
      </c>
      <c r="F78">
        <v>1</v>
      </c>
      <c r="G78" s="41">
        <v>4</v>
      </c>
      <c r="H78" s="1">
        <v>645.17999999999995</v>
      </c>
      <c r="I78" s="54">
        <v>25.433</v>
      </c>
      <c r="J78" s="23">
        <v>45559</v>
      </c>
      <c r="K78" s="46">
        <v>0.91427083333333337</v>
      </c>
      <c r="L78">
        <v>0</v>
      </c>
      <c r="M78">
        <v>0</v>
      </c>
      <c r="N78">
        <v>0</v>
      </c>
      <c r="O78" s="57">
        <f t="shared" si="102"/>
        <v>25.344800000000003</v>
      </c>
      <c r="R78" t="s">
        <v>103</v>
      </c>
      <c r="S78">
        <v>4</v>
      </c>
      <c r="T78" t="s">
        <v>7</v>
      </c>
      <c r="U78">
        <v>29088</v>
      </c>
      <c r="V78">
        <v>96</v>
      </c>
      <c r="W78" s="58">
        <v>1</v>
      </c>
      <c r="X78">
        <v>4</v>
      </c>
      <c r="Y78" s="1">
        <v>649.28</v>
      </c>
      <c r="Z78" s="54">
        <v>25.273</v>
      </c>
      <c r="AA78" s="23">
        <v>45559</v>
      </c>
      <c r="AB78" s="46">
        <v>0.91644675925925922</v>
      </c>
      <c r="AC78">
        <v>0</v>
      </c>
      <c r="AD78">
        <v>0</v>
      </c>
      <c r="AE78">
        <v>0</v>
      </c>
      <c r="AF78" s="57">
        <f t="shared" si="95"/>
        <v>25.374199999999995</v>
      </c>
      <c r="AI78" s="23" t="s">
        <v>154</v>
      </c>
      <c r="AJ78" s="46">
        <v>4</v>
      </c>
      <c r="AK78" t="s">
        <v>7</v>
      </c>
      <c r="AL78">
        <v>29088</v>
      </c>
      <c r="AM78">
        <v>96</v>
      </c>
      <c r="AN78" s="41">
        <v>1</v>
      </c>
      <c r="AO78">
        <v>4</v>
      </c>
      <c r="AP78" s="1">
        <v>508.32</v>
      </c>
      <c r="AQ78" s="54">
        <v>32.280999999999999</v>
      </c>
      <c r="AR78" s="23">
        <v>45559</v>
      </c>
      <c r="AS78" s="46">
        <v>0.66774305555555558</v>
      </c>
      <c r="AT78">
        <v>0</v>
      </c>
      <c r="AU78">
        <v>0</v>
      </c>
      <c r="AV78">
        <v>0</v>
      </c>
      <c r="AW78" s="57">
        <f t="shared" si="103"/>
        <v>32.364999999999995</v>
      </c>
      <c r="AZ78" t="s">
        <v>154</v>
      </c>
      <c r="BA78">
        <v>4</v>
      </c>
      <c r="BB78" t="s">
        <v>7</v>
      </c>
      <c r="BC78">
        <v>29088</v>
      </c>
      <c r="BD78">
        <v>96</v>
      </c>
      <c r="BE78">
        <v>1</v>
      </c>
      <c r="BF78">
        <v>4</v>
      </c>
      <c r="BG78" s="1">
        <v>542.30999999999995</v>
      </c>
      <c r="BH78" s="54">
        <v>30.257999999999999</v>
      </c>
      <c r="BI78" s="23">
        <v>45559</v>
      </c>
      <c r="BJ78" s="46">
        <v>0.76864583333333336</v>
      </c>
      <c r="BK78">
        <v>0</v>
      </c>
      <c r="BL78">
        <v>0</v>
      </c>
      <c r="BM78">
        <v>0</v>
      </c>
      <c r="BN78" s="57">
        <f t="shared" si="104"/>
        <v>30.256400000000003</v>
      </c>
    </row>
    <row r="79" spans="1:66">
      <c r="A79" t="s">
        <v>103</v>
      </c>
      <c r="B79">
        <v>0</v>
      </c>
      <c r="C79" t="s">
        <v>7</v>
      </c>
      <c r="D79">
        <v>26016</v>
      </c>
      <c r="E79">
        <v>96</v>
      </c>
      <c r="F79">
        <v>2</v>
      </c>
      <c r="G79" s="41">
        <v>2</v>
      </c>
      <c r="H79" s="1">
        <v>462.12</v>
      </c>
      <c r="I79" s="54">
        <v>25.404</v>
      </c>
      <c r="J79" s="23">
        <v>45558</v>
      </c>
      <c r="K79" s="46">
        <v>0.32506944444444447</v>
      </c>
      <c r="L79">
        <v>0</v>
      </c>
      <c r="M79">
        <v>0</v>
      </c>
      <c r="N79">
        <v>0</v>
      </c>
      <c r="O79" s="57">
        <f t="shared" ref="O79" si="105">AVERAGE(I79:I83)</f>
        <v>25.45</v>
      </c>
      <c r="R79" t="s">
        <v>103</v>
      </c>
      <c r="S79">
        <v>0</v>
      </c>
      <c r="T79" t="s">
        <v>7</v>
      </c>
      <c r="U79">
        <v>26016</v>
      </c>
      <c r="V79">
        <v>96</v>
      </c>
      <c r="W79" s="41">
        <v>2</v>
      </c>
      <c r="X79">
        <v>2</v>
      </c>
      <c r="Y79" s="1">
        <v>462.56</v>
      </c>
      <c r="Z79" s="54">
        <v>25.381</v>
      </c>
      <c r="AA79" s="23">
        <v>45558</v>
      </c>
      <c r="AB79" s="46">
        <v>0.32321759259259258</v>
      </c>
      <c r="AC79">
        <v>0</v>
      </c>
      <c r="AD79">
        <v>0</v>
      </c>
      <c r="AE79">
        <v>0</v>
      </c>
      <c r="AF79" s="57">
        <f t="shared" ref="AF79" si="106">AVERAGE(Z79:Z83)</f>
        <v>25.421199999999999</v>
      </c>
      <c r="AI79" s="23" t="s">
        <v>154</v>
      </c>
      <c r="AJ79" s="46">
        <v>0</v>
      </c>
      <c r="AK79" t="s">
        <v>7</v>
      </c>
      <c r="AL79">
        <v>26016</v>
      </c>
      <c r="AM79">
        <v>96</v>
      </c>
      <c r="AN79" s="41">
        <v>2</v>
      </c>
      <c r="AO79">
        <v>2</v>
      </c>
      <c r="AP79" s="1">
        <v>378.43</v>
      </c>
      <c r="AQ79" s="54">
        <v>31.023</v>
      </c>
      <c r="AR79" s="23">
        <v>45558</v>
      </c>
      <c r="AS79" s="46">
        <v>0.31975694444444447</v>
      </c>
      <c r="AT79">
        <v>0</v>
      </c>
      <c r="AU79">
        <v>0</v>
      </c>
      <c r="AV79">
        <v>0</v>
      </c>
      <c r="AW79" s="57">
        <f t="shared" ref="AW79" si="107">AVERAGE(AQ79:AQ83)</f>
        <v>30.906600000000005</v>
      </c>
      <c r="AZ79" t="s">
        <v>154</v>
      </c>
      <c r="BA79">
        <v>0</v>
      </c>
      <c r="BB79" t="s">
        <v>7</v>
      </c>
      <c r="BC79">
        <v>26016</v>
      </c>
      <c r="BD79">
        <v>96</v>
      </c>
      <c r="BE79">
        <v>2</v>
      </c>
      <c r="BF79">
        <v>2</v>
      </c>
      <c r="BG79" s="1">
        <v>424.06</v>
      </c>
      <c r="BH79" s="54">
        <v>27.684999999999999</v>
      </c>
      <c r="BI79" s="23">
        <v>45558</v>
      </c>
      <c r="BJ79" s="46">
        <v>0.32256944444444446</v>
      </c>
      <c r="BK79">
        <v>0</v>
      </c>
      <c r="BL79">
        <v>0</v>
      </c>
      <c r="BM79">
        <v>0</v>
      </c>
      <c r="BN79" s="57">
        <f t="shared" ref="BN79" si="108">AVERAGE(BH79:BH83)</f>
        <v>27.645199999999999</v>
      </c>
    </row>
    <row r="80" spans="1:66">
      <c r="A80" t="s">
        <v>103</v>
      </c>
      <c r="B80">
        <v>1</v>
      </c>
      <c r="C80" t="s">
        <v>7</v>
      </c>
      <c r="D80">
        <v>26016</v>
      </c>
      <c r="E80">
        <v>96</v>
      </c>
      <c r="F80">
        <v>2</v>
      </c>
      <c r="G80" s="41">
        <v>2</v>
      </c>
      <c r="H80" s="1">
        <v>461.04</v>
      </c>
      <c r="I80" s="54">
        <v>25.463999999999999</v>
      </c>
      <c r="J80" s="23">
        <v>45558</v>
      </c>
      <c r="K80" s="46">
        <v>0.66711805555555559</v>
      </c>
      <c r="L80">
        <v>0</v>
      </c>
      <c r="M80">
        <v>0</v>
      </c>
      <c r="N80">
        <v>0</v>
      </c>
      <c r="O80" s="57">
        <f t="shared" ref="O80" si="109">O79</f>
        <v>25.45</v>
      </c>
      <c r="R80" t="s">
        <v>103</v>
      </c>
      <c r="S80">
        <v>1</v>
      </c>
      <c r="T80" t="s">
        <v>7</v>
      </c>
      <c r="U80">
        <v>26016</v>
      </c>
      <c r="V80">
        <v>96</v>
      </c>
      <c r="W80" s="41">
        <v>2</v>
      </c>
      <c r="X80">
        <v>2</v>
      </c>
      <c r="Y80" s="1">
        <v>461.61</v>
      </c>
      <c r="Z80" s="54">
        <v>25.433</v>
      </c>
      <c r="AA80" s="23">
        <v>45558</v>
      </c>
      <c r="AB80" s="46">
        <v>0.6663310185185185</v>
      </c>
      <c r="AC80">
        <v>0</v>
      </c>
      <c r="AD80">
        <v>0</v>
      </c>
      <c r="AE80">
        <v>0</v>
      </c>
      <c r="AF80" s="57">
        <f t="shared" si="95"/>
        <v>25.421199999999999</v>
      </c>
      <c r="AI80" s="23" t="s">
        <v>154</v>
      </c>
      <c r="AJ80" s="46">
        <v>1</v>
      </c>
      <c r="AK80" t="s">
        <v>7</v>
      </c>
      <c r="AL80">
        <v>26016</v>
      </c>
      <c r="AM80">
        <v>96</v>
      </c>
      <c r="AN80" s="41">
        <v>2</v>
      </c>
      <c r="AO80">
        <v>2</v>
      </c>
      <c r="AP80" s="1">
        <v>378.43</v>
      </c>
      <c r="AQ80" s="54">
        <v>31.023</v>
      </c>
      <c r="AR80" s="23">
        <v>45558</v>
      </c>
      <c r="AS80" s="46">
        <v>0.61197916666666663</v>
      </c>
      <c r="AT80">
        <v>0</v>
      </c>
      <c r="AU80">
        <v>0</v>
      </c>
      <c r="AV80">
        <v>0</v>
      </c>
      <c r="AW80" s="57">
        <f t="shared" ref="AW80:AW83" si="110">AW79</f>
        <v>30.906600000000005</v>
      </c>
      <c r="AZ80" t="s">
        <v>154</v>
      </c>
      <c r="BA80">
        <v>1</v>
      </c>
      <c r="BB80" t="s">
        <v>7</v>
      </c>
      <c r="BC80">
        <v>26016</v>
      </c>
      <c r="BD80">
        <v>96</v>
      </c>
      <c r="BE80">
        <v>2</v>
      </c>
      <c r="BF80">
        <v>2</v>
      </c>
      <c r="BG80" s="1">
        <v>425.49</v>
      </c>
      <c r="BH80" s="54">
        <v>27.591999999999999</v>
      </c>
      <c r="BI80" s="23">
        <v>45558</v>
      </c>
      <c r="BJ80" s="46">
        <v>0.64349537037037041</v>
      </c>
      <c r="BK80">
        <v>0</v>
      </c>
      <c r="BL80">
        <v>0</v>
      </c>
      <c r="BM80">
        <v>0</v>
      </c>
      <c r="BN80" s="57">
        <f t="shared" ref="BN80:BN83" si="111">BN79</f>
        <v>27.645199999999999</v>
      </c>
    </row>
    <row r="81" spans="1:66">
      <c r="A81" t="s">
        <v>103</v>
      </c>
      <c r="B81">
        <v>2</v>
      </c>
      <c r="C81" t="s">
        <v>7</v>
      </c>
      <c r="D81">
        <v>26016</v>
      </c>
      <c r="E81">
        <v>96</v>
      </c>
      <c r="F81">
        <v>2</v>
      </c>
      <c r="G81" s="41">
        <v>2</v>
      </c>
      <c r="H81" s="1">
        <v>461.51</v>
      </c>
      <c r="I81" s="54">
        <v>25.437999999999999</v>
      </c>
      <c r="J81" s="23">
        <v>45559</v>
      </c>
      <c r="K81" s="46">
        <v>9.3171296296296301E-3</v>
      </c>
      <c r="L81">
        <v>0</v>
      </c>
      <c r="M81">
        <v>0</v>
      </c>
      <c r="N81">
        <v>0</v>
      </c>
      <c r="O81" s="57">
        <f t="shared" si="102"/>
        <v>25.45</v>
      </c>
      <c r="R81" t="s">
        <v>103</v>
      </c>
      <c r="S81">
        <v>2</v>
      </c>
      <c r="T81" t="s">
        <v>7</v>
      </c>
      <c r="U81">
        <v>26016</v>
      </c>
      <c r="V81">
        <v>96</v>
      </c>
      <c r="W81" s="58">
        <v>2</v>
      </c>
      <c r="X81">
        <v>2</v>
      </c>
      <c r="Y81" s="1">
        <v>460.42</v>
      </c>
      <c r="Z81" s="54">
        <v>25.498000000000001</v>
      </c>
      <c r="AA81" s="23">
        <v>45559</v>
      </c>
      <c r="AB81" s="46">
        <v>9.3981481481481485E-3</v>
      </c>
      <c r="AC81">
        <v>0</v>
      </c>
      <c r="AD81">
        <v>0</v>
      </c>
      <c r="AE81">
        <v>0</v>
      </c>
      <c r="AF81" s="57">
        <f t="shared" si="95"/>
        <v>25.421199999999999</v>
      </c>
      <c r="AI81" s="23" t="s">
        <v>154</v>
      </c>
      <c r="AJ81" s="46">
        <v>2</v>
      </c>
      <c r="AK81" t="s">
        <v>7</v>
      </c>
      <c r="AL81">
        <v>26016</v>
      </c>
      <c r="AM81">
        <v>96</v>
      </c>
      <c r="AN81" s="41">
        <v>2</v>
      </c>
      <c r="AO81">
        <v>2</v>
      </c>
      <c r="AP81" s="1">
        <v>380.74</v>
      </c>
      <c r="AQ81" s="54">
        <v>30.835000000000001</v>
      </c>
      <c r="AR81" s="23">
        <v>45558</v>
      </c>
      <c r="AS81" s="46">
        <v>0.90122685185185181</v>
      </c>
      <c r="AT81">
        <v>0</v>
      </c>
      <c r="AU81">
        <v>0</v>
      </c>
      <c r="AV81">
        <v>0</v>
      </c>
      <c r="AW81" s="57">
        <f t="shared" si="110"/>
        <v>30.906600000000005</v>
      </c>
      <c r="AZ81" t="s">
        <v>154</v>
      </c>
      <c r="BA81">
        <v>2</v>
      </c>
      <c r="BB81" t="s">
        <v>7</v>
      </c>
      <c r="BC81">
        <v>26016</v>
      </c>
      <c r="BD81">
        <v>96</v>
      </c>
      <c r="BE81">
        <v>2</v>
      </c>
      <c r="BF81">
        <v>2</v>
      </c>
      <c r="BG81" s="1">
        <v>425.68</v>
      </c>
      <c r="BH81" s="54">
        <v>27.58</v>
      </c>
      <c r="BI81" s="23">
        <v>45558</v>
      </c>
      <c r="BJ81" s="46">
        <v>0.95211805555555551</v>
      </c>
      <c r="BK81">
        <v>0</v>
      </c>
      <c r="BL81">
        <v>0</v>
      </c>
      <c r="BM81">
        <v>0</v>
      </c>
      <c r="BN81" s="57">
        <f t="shared" si="111"/>
        <v>27.645199999999999</v>
      </c>
    </row>
    <row r="82" spans="1:66">
      <c r="A82" t="s">
        <v>103</v>
      </c>
      <c r="B82">
        <v>3</v>
      </c>
      <c r="C82" t="s">
        <v>7</v>
      </c>
      <c r="D82">
        <v>26016</v>
      </c>
      <c r="E82">
        <v>96</v>
      </c>
      <c r="F82">
        <v>2</v>
      </c>
      <c r="G82" s="41">
        <v>2</v>
      </c>
      <c r="H82" s="1">
        <v>460.52</v>
      </c>
      <c r="I82" s="54">
        <v>25.492999999999999</v>
      </c>
      <c r="J82" s="23">
        <v>45559</v>
      </c>
      <c r="K82" s="46">
        <v>0.35164351851851849</v>
      </c>
      <c r="L82">
        <v>0</v>
      </c>
      <c r="M82">
        <v>0</v>
      </c>
      <c r="N82">
        <v>0</v>
      </c>
      <c r="O82" s="57">
        <f t="shared" si="102"/>
        <v>25.45</v>
      </c>
      <c r="R82" t="s">
        <v>103</v>
      </c>
      <c r="S82">
        <v>3</v>
      </c>
      <c r="T82" t="s">
        <v>7</v>
      </c>
      <c r="U82">
        <v>26016</v>
      </c>
      <c r="V82">
        <v>96</v>
      </c>
      <c r="W82" s="58">
        <v>2</v>
      </c>
      <c r="X82">
        <v>2</v>
      </c>
      <c r="Y82" s="1">
        <v>462.14</v>
      </c>
      <c r="Z82" s="54">
        <v>25.404</v>
      </c>
      <c r="AA82" s="23">
        <v>45559</v>
      </c>
      <c r="AB82" s="46">
        <v>0.35249999999999998</v>
      </c>
      <c r="AC82">
        <v>0</v>
      </c>
      <c r="AD82">
        <v>0</v>
      </c>
      <c r="AE82">
        <v>0</v>
      </c>
      <c r="AF82" s="57">
        <f t="shared" si="95"/>
        <v>25.421199999999999</v>
      </c>
      <c r="AI82" s="23" t="s">
        <v>154</v>
      </c>
      <c r="AJ82" s="46">
        <v>3</v>
      </c>
      <c r="AK82" t="s">
        <v>7</v>
      </c>
      <c r="AL82">
        <v>26016</v>
      </c>
      <c r="AM82">
        <v>96</v>
      </c>
      <c r="AN82" s="41">
        <v>2</v>
      </c>
      <c r="AO82">
        <v>2</v>
      </c>
      <c r="AP82" s="1">
        <v>380.66</v>
      </c>
      <c r="AQ82" s="54">
        <v>30.841000000000001</v>
      </c>
      <c r="AR82" s="23">
        <v>45559</v>
      </c>
      <c r="AS82" s="46">
        <v>0.19018518518518518</v>
      </c>
      <c r="AT82">
        <v>0</v>
      </c>
      <c r="AU82">
        <v>0</v>
      </c>
      <c r="AV82">
        <v>0</v>
      </c>
      <c r="AW82" s="57">
        <f t="shared" si="110"/>
        <v>30.906600000000005</v>
      </c>
      <c r="AZ82" t="s">
        <v>154</v>
      </c>
      <c r="BA82">
        <v>3</v>
      </c>
      <c r="BB82" t="s">
        <v>7</v>
      </c>
      <c r="BC82">
        <v>26016</v>
      </c>
      <c r="BD82">
        <v>96</v>
      </c>
      <c r="BE82">
        <v>2</v>
      </c>
      <c r="BF82">
        <v>2</v>
      </c>
      <c r="BG82" s="1">
        <v>425.09</v>
      </c>
      <c r="BH82" s="54">
        <v>27.617999999999999</v>
      </c>
      <c r="BI82" s="23">
        <v>45559</v>
      </c>
      <c r="BJ82" s="46">
        <v>0.26074074074074072</v>
      </c>
      <c r="BK82">
        <v>0</v>
      </c>
      <c r="BL82">
        <v>0</v>
      </c>
      <c r="BM82">
        <v>0</v>
      </c>
      <c r="BN82" s="57">
        <f t="shared" si="111"/>
        <v>27.645199999999999</v>
      </c>
    </row>
    <row r="83" spans="1:66">
      <c r="A83" t="s">
        <v>103</v>
      </c>
      <c r="B83">
        <v>4</v>
      </c>
      <c r="C83" t="s">
        <v>7</v>
      </c>
      <c r="D83">
        <v>26016</v>
      </c>
      <c r="E83">
        <v>96</v>
      </c>
      <c r="F83">
        <v>2</v>
      </c>
      <c r="G83" s="41">
        <v>2</v>
      </c>
      <c r="H83" s="1">
        <v>461.27</v>
      </c>
      <c r="I83" s="54">
        <v>25.451000000000001</v>
      </c>
      <c r="J83" s="23">
        <v>45559</v>
      </c>
      <c r="K83" s="46">
        <v>0.69391203703703708</v>
      </c>
      <c r="L83">
        <v>0</v>
      </c>
      <c r="M83">
        <v>0</v>
      </c>
      <c r="N83">
        <v>0</v>
      </c>
      <c r="O83" s="57">
        <f t="shared" si="102"/>
        <v>25.45</v>
      </c>
      <c r="R83" t="s">
        <v>103</v>
      </c>
      <c r="S83">
        <v>4</v>
      </c>
      <c r="T83" t="s">
        <v>7</v>
      </c>
      <c r="U83">
        <v>26016</v>
      </c>
      <c r="V83">
        <v>96</v>
      </c>
      <c r="W83" s="58">
        <v>2</v>
      </c>
      <c r="X83">
        <v>2</v>
      </c>
      <c r="Y83" s="1">
        <v>462.39</v>
      </c>
      <c r="Z83" s="54">
        <v>25.39</v>
      </c>
      <c r="AA83" s="23">
        <v>45559</v>
      </c>
      <c r="AB83" s="46">
        <v>0.69568287037037035</v>
      </c>
      <c r="AC83">
        <v>0</v>
      </c>
      <c r="AD83">
        <v>0</v>
      </c>
      <c r="AE83">
        <v>0</v>
      </c>
      <c r="AF83" s="57">
        <f t="shared" si="95"/>
        <v>25.421199999999999</v>
      </c>
      <c r="AI83" s="23" t="s">
        <v>154</v>
      </c>
      <c r="AJ83" s="46">
        <v>4</v>
      </c>
      <c r="AK83" t="s">
        <v>7</v>
      </c>
      <c r="AL83">
        <v>26016</v>
      </c>
      <c r="AM83">
        <v>96</v>
      </c>
      <c r="AN83" s="41">
        <v>2</v>
      </c>
      <c r="AO83">
        <v>2</v>
      </c>
      <c r="AP83" s="1">
        <v>381.03</v>
      </c>
      <c r="AQ83" s="54">
        <v>30.811</v>
      </c>
      <c r="AR83" s="23">
        <v>45559</v>
      </c>
      <c r="AS83" s="46">
        <v>0.47939814814814813</v>
      </c>
      <c r="AT83">
        <v>0</v>
      </c>
      <c r="AU83">
        <v>0</v>
      </c>
      <c r="AV83">
        <v>0</v>
      </c>
      <c r="AW83" s="57">
        <f t="shared" si="110"/>
        <v>30.906600000000005</v>
      </c>
      <c r="AZ83" t="s">
        <v>154</v>
      </c>
      <c r="BA83">
        <v>4</v>
      </c>
      <c r="BB83" t="s">
        <v>7</v>
      </c>
      <c r="BC83">
        <v>26016</v>
      </c>
      <c r="BD83">
        <v>96</v>
      </c>
      <c r="BE83">
        <v>2</v>
      </c>
      <c r="BF83">
        <v>2</v>
      </c>
      <c r="BG83" s="1">
        <v>423.05</v>
      </c>
      <c r="BH83" s="54">
        <v>27.751000000000001</v>
      </c>
      <c r="BI83" s="23">
        <v>45559</v>
      </c>
      <c r="BJ83" s="46">
        <v>0.56917824074074075</v>
      </c>
      <c r="BK83">
        <v>0</v>
      </c>
      <c r="BL83">
        <v>0</v>
      </c>
      <c r="BM83">
        <v>0</v>
      </c>
      <c r="BN83" s="57">
        <f t="shared" si="111"/>
        <v>27.645199999999999</v>
      </c>
    </row>
    <row r="84" spans="1:66">
      <c r="A84" t="s">
        <v>103</v>
      </c>
      <c r="B84">
        <v>0</v>
      </c>
      <c r="C84" t="s">
        <v>7</v>
      </c>
      <c r="D84">
        <v>27552</v>
      </c>
      <c r="E84">
        <v>96</v>
      </c>
      <c r="F84">
        <v>2</v>
      </c>
      <c r="G84" s="41">
        <v>2</v>
      </c>
      <c r="H84" s="1">
        <v>548.41999999999996</v>
      </c>
      <c r="I84" s="54">
        <v>25.427</v>
      </c>
      <c r="J84" s="23">
        <v>45558</v>
      </c>
      <c r="K84" s="46">
        <v>0.4292361111111111</v>
      </c>
      <c r="L84">
        <v>0</v>
      </c>
      <c r="M84">
        <v>0</v>
      </c>
      <c r="N84">
        <v>0</v>
      </c>
      <c r="O84" s="57">
        <f t="shared" ref="O84" si="112">AVERAGE(I84:I88)</f>
        <v>25.564399999999999</v>
      </c>
      <c r="R84" t="s">
        <v>103</v>
      </c>
      <c r="S84">
        <v>0</v>
      </c>
      <c r="T84" t="s">
        <v>7</v>
      </c>
      <c r="U84">
        <v>27552</v>
      </c>
      <c r="V84">
        <v>96</v>
      </c>
      <c r="W84" s="41">
        <v>2</v>
      </c>
      <c r="X84">
        <v>2</v>
      </c>
      <c r="Y84" s="1">
        <v>546.26</v>
      </c>
      <c r="Z84" s="54">
        <v>25.527000000000001</v>
      </c>
      <c r="AA84" s="23">
        <v>45558</v>
      </c>
      <c r="AB84" s="46">
        <v>0.42770833333333336</v>
      </c>
      <c r="AC84">
        <v>0</v>
      </c>
      <c r="AD84">
        <v>0</v>
      </c>
      <c r="AE84">
        <v>0</v>
      </c>
      <c r="AF84" s="57">
        <f t="shared" ref="AF84" si="113">AVERAGE(Z84:Z88)</f>
        <v>25.6004</v>
      </c>
      <c r="AI84" s="23" t="s">
        <v>154</v>
      </c>
      <c r="AJ84" s="46">
        <v>0</v>
      </c>
      <c r="AK84" t="s">
        <v>7</v>
      </c>
      <c r="AL84">
        <v>27552</v>
      </c>
      <c r="AM84">
        <v>96</v>
      </c>
      <c r="AN84" s="41">
        <v>2</v>
      </c>
      <c r="AO84">
        <v>2</v>
      </c>
      <c r="AP84" s="1">
        <v>444.56</v>
      </c>
      <c r="AQ84" s="54">
        <v>31.367000000000001</v>
      </c>
      <c r="AR84" s="23">
        <v>45558</v>
      </c>
      <c r="AS84" s="46">
        <v>0.40800925925925924</v>
      </c>
      <c r="AT84">
        <v>0</v>
      </c>
      <c r="AU84">
        <v>0</v>
      </c>
      <c r="AV84">
        <v>0</v>
      </c>
      <c r="AW84" s="57">
        <f t="shared" ref="AW84" si="114">AVERAGE(AQ84:AQ88)</f>
        <v>31.145</v>
      </c>
      <c r="AZ84" t="s">
        <v>154</v>
      </c>
      <c r="BA84">
        <v>0</v>
      </c>
      <c r="BB84" t="s">
        <v>7</v>
      </c>
      <c r="BC84">
        <v>27552</v>
      </c>
      <c r="BD84">
        <v>96</v>
      </c>
      <c r="BE84">
        <v>2</v>
      </c>
      <c r="BF84">
        <v>2</v>
      </c>
      <c r="BG84" s="1">
        <v>491.42</v>
      </c>
      <c r="BH84" s="54">
        <v>28.376000000000001</v>
      </c>
      <c r="BI84" s="23">
        <v>45558</v>
      </c>
      <c r="BJ84" s="46">
        <v>0.41737268518518517</v>
      </c>
      <c r="BK84">
        <v>0</v>
      </c>
      <c r="BL84">
        <v>0</v>
      </c>
      <c r="BM84">
        <v>0</v>
      </c>
      <c r="BN84" s="57">
        <f t="shared" ref="BN84" si="115">AVERAGE(BH84:BH88)</f>
        <v>28.319200000000002</v>
      </c>
    </row>
    <row r="85" spans="1:66">
      <c r="A85" t="s">
        <v>103</v>
      </c>
      <c r="B85">
        <v>1</v>
      </c>
      <c r="C85" t="s">
        <v>7</v>
      </c>
      <c r="D85">
        <v>27552</v>
      </c>
      <c r="E85">
        <v>96</v>
      </c>
      <c r="F85">
        <v>2</v>
      </c>
      <c r="G85" s="41">
        <v>2</v>
      </c>
      <c r="H85" s="1">
        <v>544.82000000000005</v>
      </c>
      <c r="I85" s="54">
        <v>25.594999999999999</v>
      </c>
      <c r="J85" s="23">
        <v>45558</v>
      </c>
      <c r="K85" s="46">
        <v>0.77140046296296294</v>
      </c>
      <c r="L85">
        <v>0</v>
      </c>
      <c r="M85">
        <v>0</v>
      </c>
      <c r="N85">
        <v>0</v>
      </c>
      <c r="O85" s="57">
        <f t="shared" ref="O85" si="116">O84</f>
        <v>25.564399999999999</v>
      </c>
      <c r="R85" t="s">
        <v>103</v>
      </c>
      <c r="S85">
        <v>1</v>
      </c>
      <c r="T85" t="s">
        <v>7</v>
      </c>
      <c r="U85">
        <v>27552</v>
      </c>
      <c r="V85">
        <v>96</v>
      </c>
      <c r="W85" s="41">
        <v>2</v>
      </c>
      <c r="X85">
        <v>2</v>
      </c>
      <c r="Y85" s="1">
        <v>545.30999999999995</v>
      </c>
      <c r="Z85" s="54">
        <v>25.571999999999999</v>
      </c>
      <c r="AA85" s="23">
        <v>45558</v>
      </c>
      <c r="AB85" s="46">
        <v>0.77083333333333337</v>
      </c>
      <c r="AC85">
        <v>0</v>
      </c>
      <c r="AD85">
        <v>0</v>
      </c>
      <c r="AE85">
        <v>0</v>
      </c>
      <c r="AF85" s="57">
        <f t="shared" si="95"/>
        <v>25.6004</v>
      </c>
      <c r="AI85" s="23" t="s">
        <v>154</v>
      </c>
      <c r="AJ85" s="46">
        <v>1</v>
      </c>
      <c r="AK85" t="s">
        <v>7</v>
      </c>
      <c r="AL85">
        <v>27552</v>
      </c>
      <c r="AM85">
        <v>96</v>
      </c>
      <c r="AN85" s="41">
        <v>2</v>
      </c>
      <c r="AO85">
        <v>2</v>
      </c>
      <c r="AP85" s="1">
        <v>446.12</v>
      </c>
      <c r="AQ85" s="54">
        <v>31.257000000000001</v>
      </c>
      <c r="AR85" s="23">
        <v>45558</v>
      </c>
      <c r="AS85" s="46">
        <v>0.70060185185185186</v>
      </c>
      <c r="AT85">
        <v>0</v>
      </c>
      <c r="AU85">
        <v>0</v>
      </c>
      <c r="AV85">
        <v>0</v>
      </c>
      <c r="AW85" s="57">
        <f t="shared" ref="AW85:AW88" si="117">AW84</f>
        <v>31.145</v>
      </c>
      <c r="AZ85" t="s">
        <v>154</v>
      </c>
      <c r="BA85">
        <v>1</v>
      </c>
      <c r="BB85" t="s">
        <v>7</v>
      </c>
      <c r="BC85">
        <v>27552</v>
      </c>
      <c r="BD85">
        <v>96</v>
      </c>
      <c r="BE85">
        <v>2</v>
      </c>
      <c r="BF85">
        <v>2</v>
      </c>
      <c r="BG85" s="1">
        <v>492.59</v>
      </c>
      <c r="BH85" s="54">
        <v>28.309000000000001</v>
      </c>
      <c r="BI85" s="23">
        <v>45558</v>
      </c>
      <c r="BJ85" s="46">
        <v>0.73813657407407407</v>
      </c>
      <c r="BK85">
        <v>0</v>
      </c>
      <c r="BL85">
        <v>0</v>
      </c>
      <c r="BM85">
        <v>0</v>
      </c>
      <c r="BN85" s="57">
        <f t="shared" ref="BN85:BN88" si="118">BN84</f>
        <v>28.319200000000002</v>
      </c>
    </row>
    <row r="86" spans="1:66">
      <c r="A86" t="s">
        <v>103</v>
      </c>
      <c r="B86">
        <v>2</v>
      </c>
      <c r="C86" t="s">
        <v>7</v>
      </c>
      <c r="D86">
        <v>27552</v>
      </c>
      <c r="E86">
        <v>96</v>
      </c>
      <c r="F86">
        <v>2</v>
      </c>
      <c r="G86" s="41">
        <v>2</v>
      </c>
      <c r="H86" s="1">
        <v>545.15</v>
      </c>
      <c r="I86" s="54">
        <v>25.579000000000001</v>
      </c>
      <c r="J86" s="23">
        <v>45559</v>
      </c>
      <c r="K86" s="46">
        <v>0.11351851851851852</v>
      </c>
      <c r="L86">
        <v>0</v>
      </c>
      <c r="M86">
        <v>0</v>
      </c>
      <c r="N86">
        <v>0</v>
      </c>
      <c r="O86" s="57">
        <f t="shared" si="102"/>
        <v>25.564399999999999</v>
      </c>
      <c r="R86" t="s">
        <v>103</v>
      </c>
      <c r="S86">
        <v>2</v>
      </c>
      <c r="T86" t="s">
        <v>7</v>
      </c>
      <c r="U86">
        <v>27552</v>
      </c>
      <c r="V86">
        <v>96</v>
      </c>
      <c r="W86" s="58">
        <v>2</v>
      </c>
      <c r="X86">
        <v>2</v>
      </c>
      <c r="Y86" s="1">
        <v>542.38</v>
      </c>
      <c r="Z86" s="54">
        <v>25.71</v>
      </c>
      <c r="AA86" s="23">
        <v>45559</v>
      </c>
      <c r="AB86" s="46">
        <v>0.11383101851851851</v>
      </c>
      <c r="AC86">
        <v>0</v>
      </c>
      <c r="AD86">
        <v>0</v>
      </c>
      <c r="AE86">
        <v>0</v>
      </c>
      <c r="AF86" s="57">
        <f t="shared" si="95"/>
        <v>25.6004</v>
      </c>
      <c r="AI86" s="23" t="s">
        <v>154</v>
      </c>
      <c r="AJ86" s="46">
        <v>2</v>
      </c>
      <c r="AK86" t="s">
        <v>7</v>
      </c>
      <c r="AL86">
        <v>27552</v>
      </c>
      <c r="AM86">
        <v>96</v>
      </c>
      <c r="AN86" s="41">
        <v>2</v>
      </c>
      <c r="AO86">
        <v>2</v>
      </c>
      <c r="AP86" s="1">
        <v>448.09</v>
      </c>
      <c r="AQ86" s="54">
        <v>31.12</v>
      </c>
      <c r="AR86" s="23">
        <v>45558</v>
      </c>
      <c r="AS86" s="46">
        <v>0.98979166666666663</v>
      </c>
      <c r="AT86">
        <v>0</v>
      </c>
      <c r="AU86">
        <v>0</v>
      </c>
      <c r="AV86">
        <v>0</v>
      </c>
      <c r="AW86" s="57">
        <f t="shared" si="117"/>
        <v>31.145</v>
      </c>
      <c r="AZ86" t="s">
        <v>154</v>
      </c>
      <c r="BA86">
        <v>2</v>
      </c>
      <c r="BB86" t="s">
        <v>7</v>
      </c>
      <c r="BC86">
        <v>27552</v>
      </c>
      <c r="BD86">
        <v>96</v>
      </c>
      <c r="BE86">
        <v>2</v>
      </c>
      <c r="BF86">
        <v>2</v>
      </c>
      <c r="BG86" s="1">
        <v>493.53</v>
      </c>
      <c r="BH86" s="54">
        <v>28.254999999999999</v>
      </c>
      <c r="BI86" s="23">
        <v>45559</v>
      </c>
      <c r="BJ86" s="46">
        <v>4.6875E-2</v>
      </c>
      <c r="BK86">
        <v>0</v>
      </c>
      <c r="BL86">
        <v>0</v>
      </c>
      <c r="BM86">
        <v>0</v>
      </c>
      <c r="BN86" s="57">
        <f t="shared" si="118"/>
        <v>28.319200000000002</v>
      </c>
    </row>
    <row r="87" spans="1:66">
      <c r="A87" t="s">
        <v>103</v>
      </c>
      <c r="B87">
        <v>3</v>
      </c>
      <c r="C87" t="s">
        <v>7</v>
      </c>
      <c r="D87">
        <v>27552</v>
      </c>
      <c r="E87">
        <v>96</v>
      </c>
      <c r="F87">
        <v>2</v>
      </c>
      <c r="G87" s="41">
        <v>2</v>
      </c>
      <c r="H87" s="1">
        <v>544.28</v>
      </c>
      <c r="I87" s="54">
        <v>25.62</v>
      </c>
      <c r="J87" s="23">
        <v>45559</v>
      </c>
      <c r="K87" s="46">
        <v>0.45596064814814813</v>
      </c>
      <c r="L87">
        <v>0</v>
      </c>
      <c r="M87">
        <v>0</v>
      </c>
      <c r="N87">
        <v>0</v>
      </c>
      <c r="O87" s="57">
        <f t="shared" si="102"/>
        <v>25.564399999999999</v>
      </c>
      <c r="R87" t="s">
        <v>103</v>
      </c>
      <c r="S87">
        <v>3</v>
      </c>
      <c r="T87" t="s">
        <v>7</v>
      </c>
      <c r="U87">
        <v>27552</v>
      </c>
      <c r="V87">
        <v>96</v>
      </c>
      <c r="W87" s="58">
        <v>2</v>
      </c>
      <c r="X87">
        <v>2</v>
      </c>
      <c r="Y87" s="1">
        <v>544.24</v>
      </c>
      <c r="Z87" s="54">
        <v>25.622</v>
      </c>
      <c r="AA87" s="23">
        <v>45559</v>
      </c>
      <c r="AB87" s="46">
        <v>0.45695601851851853</v>
      </c>
      <c r="AC87">
        <v>0</v>
      </c>
      <c r="AD87">
        <v>0</v>
      </c>
      <c r="AE87">
        <v>0</v>
      </c>
      <c r="AF87" s="57">
        <f t="shared" si="95"/>
        <v>25.6004</v>
      </c>
      <c r="AI87" s="23" t="s">
        <v>154</v>
      </c>
      <c r="AJ87" s="46">
        <v>3</v>
      </c>
      <c r="AK87" t="s">
        <v>7</v>
      </c>
      <c r="AL87">
        <v>27552</v>
      </c>
      <c r="AM87">
        <v>96</v>
      </c>
      <c r="AN87" s="41">
        <v>2</v>
      </c>
      <c r="AO87">
        <v>2</v>
      </c>
      <c r="AP87" s="1">
        <v>445.06</v>
      </c>
      <c r="AQ87" s="54">
        <v>31.331</v>
      </c>
      <c r="AR87" s="23">
        <v>45559</v>
      </c>
      <c r="AS87" s="46">
        <v>0.27870370370370373</v>
      </c>
      <c r="AT87">
        <v>0</v>
      </c>
      <c r="AU87">
        <v>0</v>
      </c>
      <c r="AV87">
        <v>0</v>
      </c>
      <c r="AW87" s="57">
        <f t="shared" si="117"/>
        <v>31.145</v>
      </c>
      <c r="AZ87" t="s">
        <v>154</v>
      </c>
      <c r="BA87">
        <v>3</v>
      </c>
      <c r="BB87" t="s">
        <v>7</v>
      </c>
      <c r="BC87">
        <v>27552</v>
      </c>
      <c r="BD87">
        <v>96</v>
      </c>
      <c r="BE87">
        <v>2</v>
      </c>
      <c r="BF87">
        <v>2</v>
      </c>
      <c r="BG87" s="1">
        <v>492.54</v>
      </c>
      <c r="BH87" s="54">
        <v>28.311</v>
      </c>
      <c r="BI87" s="23">
        <v>45559</v>
      </c>
      <c r="BJ87" s="46">
        <v>0.3553587962962963</v>
      </c>
      <c r="BK87">
        <v>0</v>
      </c>
      <c r="BL87">
        <v>0</v>
      </c>
      <c r="BM87">
        <v>0</v>
      </c>
      <c r="BN87" s="57">
        <f t="shared" si="118"/>
        <v>28.319200000000002</v>
      </c>
    </row>
    <row r="88" spans="1:66">
      <c r="A88" t="s">
        <v>103</v>
      </c>
      <c r="B88">
        <v>4</v>
      </c>
      <c r="C88" t="s">
        <v>7</v>
      </c>
      <c r="D88">
        <v>27552</v>
      </c>
      <c r="E88">
        <v>96</v>
      </c>
      <c r="F88">
        <v>2</v>
      </c>
      <c r="G88" s="41">
        <v>2</v>
      </c>
      <c r="H88" s="1">
        <v>544.69000000000005</v>
      </c>
      <c r="I88" s="54">
        <v>25.600999999999999</v>
      </c>
      <c r="J88" s="23">
        <v>45559</v>
      </c>
      <c r="K88" s="46">
        <v>0.79817129629629635</v>
      </c>
      <c r="L88">
        <v>0</v>
      </c>
      <c r="M88">
        <v>0</v>
      </c>
      <c r="N88">
        <v>0</v>
      </c>
      <c r="O88" s="57">
        <f t="shared" si="102"/>
        <v>25.564399999999999</v>
      </c>
      <c r="R88" t="s">
        <v>103</v>
      </c>
      <c r="S88">
        <v>4</v>
      </c>
      <c r="T88" t="s">
        <v>7</v>
      </c>
      <c r="U88">
        <v>27552</v>
      </c>
      <c r="V88">
        <v>96</v>
      </c>
      <c r="W88" s="58">
        <v>2</v>
      </c>
      <c r="X88">
        <v>2</v>
      </c>
      <c r="Y88" s="1">
        <v>545.33000000000004</v>
      </c>
      <c r="Z88" s="54">
        <v>25.571000000000002</v>
      </c>
      <c r="AA88" s="23">
        <v>45559</v>
      </c>
      <c r="AB88" s="46">
        <v>0.80012731481481481</v>
      </c>
      <c r="AC88">
        <v>0</v>
      </c>
      <c r="AD88">
        <v>0</v>
      </c>
      <c r="AE88">
        <v>0</v>
      </c>
      <c r="AF88" s="57">
        <f t="shared" si="95"/>
        <v>25.6004</v>
      </c>
      <c r="AI88" s="23" t="s">
        <v>154</v>
      </c>
      <c r="AJ88" s="46">
        <v>4</v>
      </c>
      <c r="AK88" t="s">
        <v>7</v>
      </c>
      <c r="AL88">
        <v>27552</v>
      </c>
      <c r="AM88">
        <v>96</v>
      </c>
      <c r="AN88" s="41">
        <v>2</v>
      </c>
      <c r="AO88">
        <v>2</v>
      </c>
      <c r="AP88" s="1">
        <v>454.97</v>
      </c>
      <c r="AQ88" s="54">
        <v>30.65</v>
      </c>
      <c r="AR88" s="23">
        <v>45559</v>
      </c>
      <c r="AS88" s="46">
        <v>0.56819444444444445</v>
      </c>
      <c r="AT88">
        <v>0</v>
      </c>
      <c r="AU88">
        <v>0</v>
      </c>
      <c r="AV88">
        <v>0</v>
      </c>
      <c r="AW88" s="57">
        <f t="shared" si="117"/>
        <v>31.145</v>
      </c>
      <c r="AZ88" t="s">
        <v>154</v>
      </c>
      <c r="BA88">
        <v>4</v>
      </c>
      <c r="BB88" t="s">
        <v>7</v>
      </c>
      <c r="BC88">
        <v>27552</v>
      </c>
      <c r="BD88">
        <v>96</v>
      </c>
      <c r="BE88">
        <v>2</v>
      </c>
      <c r="BF88">
        <v>2</v>
      </c>
      <c r="BG88" s="1">
        <v>491.96</v>
      </c>
      <c r="BH88" s="54">
        <v>28.344999999999999</v>
      </c>
      <c r="BI88" s="23">
        <v>45559</v>
      </c>
      <c r="BJ88" s="46">
        <v>0.66383101851851856</v>
      </c>
      <c r="BK88">
        <v>0</v>
      </c>
      <c r="BL88">
        <v>0</v>
      </c>
      <c r="BM88">
        <v>0</v>
      </c>
      <c r="BN88" s="57">
        <f t="shared" si="118"/>
        <v>28.319200000000002</v>
      </c>
    </row>
    <row r="89" spans="1:66">
      <c r="A89" t="s">
        <v>103</v>
      </c>
      <c r="B89">
        <v>0</v>
      </c>
      <c r="C89" t="s">
        <v>7</v>
      </c>
      <c r="D89">
        <v>29088</v>
      </c>
      <c r="E89">
        <v>96</v>
      </c>
      <c r="F89">
        <v>2</v>
      </c>
      <c r="G89" s="41">
        <v>2</v>
      </c>
      <c r="H89" s="1">
        <v>664.69</v>
      </c>
      <c r="I89" s="54">
        <v>24.687000000000001</v>
      </c>
      <c r="J89" s="23">
        <v>45558</v>
      </c>
      <c r="K89" s="46">
        <v>0.55388888888888888</v>
      </c>
      <c r="L89">
        <v>0</v>
      </c>
      <c r="M89">
        <v>0</v>
      </c>
      <c r="N89">
        <v>0</v>
      </c>
      <c r="O89" s="57">
        <f t="shared" ref="O89" si="119">AVERAGE(I89:I93)</f>
        <v>24.779400000000003</v>
      </c>
      <c r="R89" t="s">
        <v>103</v>
      </c>
      <c r="S89">
        <v>0</v>
      </c>
      <c r="T89" t="s">
        <v>7</v>
      </c>
      <c r="U89">
        <v>29088</v>
      </c>
      <c r="V89">
        <v>96</v>
      </c>
      <c r="W89" s="41">
        <v>2</v>
      </c>
      <c r="X89">
        <v>2</v>
      </c>
      <c r="Y89" s="1">
        <v>659.41</v>
      </c>
      <c r="Z89" s="54">
        <v>24.884</v>
      </c>
      <c r="AA89" s="23">
        <v>45558</v>
      </c>
      <c r="AB89" s="46">
        <v>0.55259259259259264</v>
      </c>
      <c r="AC89">
        <v>0</v>
      </c>
      <c r="AD89">
        <v>0</v>
      </c>
      <c r="AE89">
        <v>0</v>
      </c>
      <c r="AF89" s="57">
        <f t="shared" ref="AF89" si="120">AVERAGE(Z89:Z93)</f>
        <v>24.785399999999999</v>
      </c>
      <c r="AI89" s="23" t="s">
        <v>154</v>
      </c>
      <c r="AJ89" s="46">
        <v>0</v>
      </c>
      <c r="AK89" t="s">
        <v>7</v>
      </c>
      <c r="AL89">
        <v>29088</v>
      </c>
      <c r="AM89">
        <v>96</v>
      </c>
      <c r="AN89" s="41">
        <v>2</v>
      </c>
      <c r="AO89">
        <v>2</v>
      </c>
      <c r="AP89" s="1">
        <v>554.20000000000005</v>
      </c>
      <c r="AQ89" s="54">
        <v>29.609000000000002</v>
      </c>
      <c r="AR89" s="23">
        <v>45558</v>
      </c>
      <c r="AS89" s="46">
        <v>0.54041666666666666</v>
      </c>
      <c r="AT89">
        <v>0</v>
      </c>
      <c r="AU89">
        <v>0</v>
      </c>
      <c r="AV89">
        <v>0</v>
      </c>
      <c r="AW89" s="57">
        <f t="shared" ref="AW89" si="121">AVERAGE(AQ89:AQ93)</f>
        <v>29.785599999999999</v>
      </c>
      <c r="AZ89" t="s">
        <v>154</v>
      </c>
      <c r="BA89">
        <v>0</v>
      </c>
      <c r="BB89" t="s">
        <v>7</v>
      </c>
      <c r="BC89">
        <v>29088</v>
      </c>
      <c r="BD89">
        <v>96</v>
      </c>
      <c r="BE89">
        <v>2</v>
      </c>
      <c r="BF89">
        <v>2</v>
      </c>
      <c r="BG89" s="1">
        <v>593.49</v>
      </c>
      <c r="BH89" s="54">
        <v>27.649000000000001</v>
      </c>
      <c r="BI89" s="23">
        <v>45558</v>
      </c>
      <c r="BJ89" s="46">
        <v>0.54136574074074073</v>
      </c>
      <c r="BK89">
        <v>0</v>
      </c>
      <c r="BL89">
        <v>0</v>
      </c>
      <c r="BM89">
        <v>0</v>
      </c>
      <c r="BN89" s="57">
        <f t="shared" ref="BN89" si="122">AVERAGE(BH89:BH93)</f>
        <v>27.6082</v>
      </c>
    </row>
    <row r="90" spans="1:66">
      <c r="A90" t="s">
        <v>103</v>
      </c>
      <c r="B90">
        <v>1</v>
      </c>
      <c r="C90" t="s">
        <v>7</v>
      </c>
      <c r="D90">
        <v>29088</v>
      </c>
      <c r="E90">
        <v>96</v>
      </c>
      <c r="F90">
        <v>2</v>
      </c>
      <c r="G90" s="41">
        <v>2</v>
      </c>
      <c r="H90" s="1">
        <v>661.68</v>
      </c>
      <c r="I90" s="54">
        <v>24.798999999999999</v>
      </c>
      <c r="J90" s="23">
        <v>45558</v>
      </c>
      <c r="K90" s="46">
        <v>0.89609953703703704</v>
      </c>
      <c r="L90">
        <v>0</v>
      </c>
      <c r="M90">
        <v>0</v>
      </c>
      <c r="N90">
        <v>0</v>
      </c>
      <c r="O90" s="57">
        <f t="shared" ref="O90" si="123">O89</f>
        <v>24.779400000000003</v>
      </c>
      <c r="R90" t="s">
        <v>103</v>
      </c>
      <c r="S90">
        <v>1</v>
      </c>
      <c r="T90" t="s">
        <v>7</v>
      </c>
      <c r="U90">
        <v>29088</v>
      </c>
      <c r="V90">
        <v>96</v>
      </c>
      <c r="W90" s="58">
        <v>2</v>
      </c>
      <c r="X90">
        <v>2</v>
      </c>
      <c r="Y90" s="1">
        <v>662.76</v>
      </c>
      <c r="Z90" s="54">
        <v>24.759</v>
      </c>
      <c r="AA90" s="23">
        <v>45558</v>
      </c>
      <c r="AB90" s="46">
        <v>0.89579861111111114</v>
      </c>
      <c r="AC90">
        <v>0</v>
      </c>
      <c r="AD90">
        <v>0</v>
      </c>
      <c r="AE90">
        <v>0</v>
      </c>
      <c r="AF90" s="57">
        <f t="shared" si="95"/>
        <v>24.785399999999999</v>
      </c>
      <c r="AI90" s="23" t="s">
        <v>154</v>
      </c>
      <c r="AJ90" s="46">
        <v>1</v>
      </c>
      <c r="AK90" t="s">
        <v>7</v>
      </c>
      <c r="AL90">
        <v>29088</v>
      </c>
      <c r="AM90">
        <v>96</v>
      </c>
      <c r="AN90" s="41">
        <v>2</v>
      </c>
      <c r="AO90">
        <v>2</v>
      </c>
      <c r="AP90" s="1">
        <v>556.92999999999995</v>
      </c>
      <c r="AQ90" s="54">
        <v>29.463000000000001</v>
      </c>
      <c r="AR90" s="23">
        <v>45558</v>
      </c>
      <c r="AS90" s="46">
        <v>0.80666666666666664</v>
      </c>
      <c r="AT90">
        <v>0</v>
      </c>
      <c r="AU90">
        <v>0</v>
      </c>
      <c r="AV90">
        <v>0</v>
      </c>
      <c r="AW90" s="57">
        <f t="shared" ref="AW90:AW93" si="124">AW89</f>
        <v>29.785599999999999</v>
      </c>
      <c r="AZ90" t="s">
        <v>154</v>
      </c>
      <c r="BA90">
        <v>1</v>
      </c>
      <c r="BB90" t="s">
        <v>7</v>
      </c>
      <c r="BC90">
        <v>29088</v>
      </c>
      <c r="BD90">
        <v>96</v>
      </c>
      <c r="BE90">
        <v>2</v>
      </c>
      <c r="BF90">
        <v>2</v>
      </c>
      <c r="BG90" s="1">
        <v>594.49</v>
      </c>
      <c r="BH90" s="54">
        <v>27.602</v>
      </c>
      <c r="BI90" s="23">
        <v>45558</v>
      </c>
      <c r="BJ90" s="46">
        <v>0.85028935185185184</v>
      </c>
      <c r="BK90">
        <v>0</v>
      </c>
      <c r="BL90">
        <v>0</v>
      </c>
      <c r="BM90">
        <v>0</v>
      </c>
      <c r="BN90" s="57">
        <f t="shared" ref="BN90:BN93" si="125">BN89</f>
        <v>27.6082</v>
      </c>
    </row>
    <row r="91" spans="1:66">
      <c r="A91" t="s">
        <v>103</v>
      </c>
      <c r="B91">
        <v>2</v>
      </c>
      <c r="C91" t="s">
        <v>7</v>
      </c>
      <c r="D91">
        <v>29088</v>
      </c>
      <c r="E91">
        <v>96</v>
      </c>
      <c r="F91">
        <v>2</v>
      </c>
      <c r="G91" s="41">
        <v>2</v>
      </c>
      <c r="H91" s="1">
        <v>661.9</v>
      </c>
      <c r="I91" s="54">
        <v>24.791</v>
      </c>
      <c r="J91" s="23">
        <v>45559</v>
      </c>
      <c r="K91" s="46">
        <v>0.23832175925925925</v>
      </c>
      <c r="L91">
        <v>0</v>
      </c>
      <c r="M91">
        <v>0</v>
      </c>
      <c r="N91">
        <v>0</v>
      </c>
      <c r="O91" s="57">
        <f t="shared" si="102"/>
        <v>24.779400000000003</v>
      </c>
      <c r="R91" t="s">
        <v>103</v>
      </c>
      <c r="S91">
        <v>2</v>
      </c>
      <c r="T91" t="s">
        <v>7</v>
      </c>
      <c r="U91">
        <v>29088</v>
      </c>
      <c r="V91">
        <v>96</v>
      </c>
      <c r="W91" s="58">
        <v>2</v>
      </c>
      <c r="X91">
        <v>2</v>
      </c>
      <c r="Y91" s="1">
        <v>661.62</v>
      </c>
      <c r="Z91" s="54">
        <v>24.800999999999998</v>
      </c>
      <c r="AA91" s="23">
        <v>45559</v>
      </c>
      <c r="AB91" s="46">
        <v>0.23873842592592592</v>
      </c>
      <c r="AC91">
        <v>0</v>
      </c>
      <c r="AD91">
        <v>0</v>
      </c>
      <c r="AE91">
        <v>0</v>
      </c>
      <c r="AF91" s="57">
        <f t="shared" si="95"/>
        <v>24.785399999999999</v>
      </c>
      <c r="AI91" s="23" t="s">
        <v>154</v>
      </c>
      <c r="AJ91" s="46">
        <v>2</v>
      </c>
      <c r="AK91" t="s">
        <v>7</v>
      </c>
      <c r="AL91">
        <v>29088</v>
      </c>
      <c r="AM91">
        <v>96</v>
      </c>
      <c r="AN91" s="41">
        <v>2</v>
      </c>
      <c r="AO91">
        <v>2</v>
      </c>
      <c r="AP91" s="1">
        <v>546.26</v>
      </c>
      <c r="AQ91" s="54">
        <v>30.039000000000001</v>
      </c>
      <c r="AR91" s="23">
        <v>45559</v>
      </c>
      <c r="AS91" s="46">
        <v>9.5451388888888891E-2</v>
      </c>
      <c r="AT91">
        <v>0</v>
      </c>
      <c r="AU91">
        <v>0</v>
      </c>
      <c r="AV91">
        <v>0</v>
      </c>
      <c r="AW91" s="57">
        <f t="shared" si="124"/>
        <v>29.785599999999999</v>
      </c>
      <c r="AZ91" t="s">
        <v>154</v>
      </c>
      <c r="BA91">
        <v>2</v>
      </c>
      <c r="BB91" t="s">
        <v>7</v>
      </c>
      <c r="BC91">
        <v>29088</v>
      </c>
      <c r="BD91">
        <v>96</v>
      </c>
      <c r="BE91">
        <v>2</v>
      </c>
      <c r="BF91">
        <v>2</v>
      </c>
      <c r="BG91" s="1">
        <v>596.45000000000005</v>
      </c>
      <c r="BH91" s="54">
        <v>27.510999999999999</v>
      </c>
      <c r="BI91" s="23">
        <v>45559</v>
      </c>
      <c r="BJ91" s="46">
        <v>0.15891203703703705</v>
      </c>
      <c r="BK91">
        <v>0</v>
      </c>
      <c r="BL91">
        <v>0</v>
      </c>
      <c r="BM91">
        <v>0</v>
      </c>
      <c r="BN91" s="57">
        <f t="shared" si="125"/>
        <v>27.6082</v>
      </c>
    </row>
    <row r="92" spans="1:66">
      <c r="A92" t="s">
        <v>103</v>
      </c>
      <c r="B92">
        <v>3</v>
      </c>
      <c r="C92" t="s">
        <v>7</v>
      </c>
      <c r="D92">
        <v>29088</v>
      </c>
      <c r="E92">
        <v>96</v>
      </c>
      <c r="F92">
        <v>2</v>
      </c>
      <c r="G92" s="41">
        <v>2</v>
      </c>
      <c r="H92" s="1">
        <v>661.72</v>
      </c>
      <c r="I92" s="54">
        <v>24.797999999999998</v>
      </c>
      <c r="J92" s="23">
        <v>45559</v>
      </c>
      <c r="K92" s="46">
        <v>0.58062499999999995</v>
      </c>
      <c r="L92">
        <v>0</v>
      </c>
      <c r="M92">
        <v>0</v>
      </c>
      <c r="N92">
        <v>0</v>
      </c>
      <c r="O92" s="57">
        <f t="shared" si="102"/>
        <v>24.779400000000003</v>
      </c>
      <c r="R92" t="s">
        <v>103</v>
      </c>
      <c r="S92">
        <v>3</v>
      </c>
      <c r="T92" t="s">
        <v>7</v>
      </c>
      <c r="U92">
        <v>29088</v>
      </c>
      <c r="V92">
        <v>96</v>
      </c>
      <c r="W92" s="58">
        <v>2</v>
      </c>
      <c r="X92">
        <v>2</v>
      </c>
      <c r="Y92" s="1">
        <v>661.53</v>
      </c>
      <c r="Z92" s="54">
        <v>24.805</v>
      </c>
      <c r="AA92" s="23">
        <v>45559</v>
      </c>
      <c r="AB92" s="46">
        <v>0.58194444444444449</v>
      </c>
      <c r="AC92">
        <v>0</v>
      </c>
      <c r="AD92">
        <v>0</v>
      </c>
      <c r="AE92">
        <v>0</v>
      </c>
      <c r="AF92" s="57">
        <f t="shared" si="95"/>
        <v>24.785399999999999</v>
      </c>
      <c r="AI92" s="23" t="s">
        <v>154</v>
      </c>
      <c r="AJ92" s="46">
        <v>3</v>
      </c>
      <c r="AK92" t="s">
        <v>7</v>
      </c>
      <c r="AL92">
        <v>29088</v>
      </c>
      <c r="AM92">
        <v>96</v>
      </c>
      <c r="AN92" s="41">
        <v>2</v>
      </c>
      <c r="AO92">
        <v>2</v>
      </c>
      <c r="AP92" s="1">
        <v>549.5</v>
      </c>
      <c r="AQ92" s="54">
        <v>29.861999999999998</v>
      </c>
      <c r="AR92" s="23">
        <v>45559</v>
      </c>
      <c r="AS92" s="46">
        <v>0.38461805555555556</v>
      </c>
      <c r="AT92">
        <v>0</v>
      </c>
      <c r="AU92">
        <v>0</v>
      </c>
      <c r="AV92">
        <v>0</v>
      </c>
      <c r="AW92" s="57">
        <f t="shared" si="124"/>
        <v>29.785599999999999</v>
      </c>
      <c r="AZ92" t="s">
        <v>154</v>
      </c>
      <c r="BA92">
        <v>3</v>
      </c>
      <c r="BB92" t="s">
        <v>7</v>
      </c>
      <c r="BC92">
        <v>29088</v>
      </c>
      <c r="BD92">
        <v>96</v>
      </c>
      <c r="BE92">
        <v>2</v>
      </c>
      <c r="BF92">
        <v>2</v>
      </c>
      <c r="BG92" s="1">
        <v>594.64</v>
      </c>
      <c r="BH92" s="54">
        <v>27.594999999999999</v>
      </c>
      <c r="BI92" s="23">
        <v>45559</v>
      </c>
      <c r="BJ92" s="46">
        <v>0.46739583333333334</v>
      </c>
      <c r="BK92">
        <v>0</v>
      </c>
      <c r="BL92">
        <v>0</v>
      </c>
      <c r="BM92">
        <v>0</v>
      </c>
      <c r="BN92" s="57">
        <f t="shared" si="125"/>
        <v>27.6082</v>
      </c>
    </row>
    <row r="93" spans="1:66">
      <c r="A93" t="s">
        <v>103</v>
      </c>
      <c r="B93">
        <v>4</v>
      </c>
      <c r="C93" t="s">
        <v>7</v>
      </c>
      <c r="D93">
        <v>29088</v>
      </c>
      <c r="E93">
        <v>96</v>
      </c>
      <c r="F93">
        <v>2</v>
      </c>
      <c r="G93" s="41">
        <v>2</v>
      </c>
      <c r="H93" s="1">
        <v>661.06</v>
      </c>
      <c r="I93" s="54">
        <v>24.821999999999999</v>
      </c>
      <c r="J93" s="23">
        <v>45559</v>
      </c>
      <c r="K93" s="46">
        <v>0.92274305555555558</v>
      </c>
      <c r="L93">
        <v>0</v>
      </c>
      <c r="M93">
        <v>0</v>
      </c>
      <c r="N93">
        <v>0</v>
      </c>
      <c r="O93" s="57">
        <f t="shared" si="102"/>
        <v>24.779400000000003</v>
      </c>
      <c r="R93" t="s">
        <v>103</v>
      </c>
      <c r="S93">
        <v>4</v>
      </c>
      <c r="T93" t="s">
        <v>7</v>
      </c>
      <c r="U93">
        <v>29088</v>
      </c>
      <c r="V93">
        <v>96</v>
      </c>
      <c r="W93" s="58">
        <v>2</v>
      </c>
      <c r="X93">
        <v>2</v>
      </c>
      <c r="Y93" s="1">
        <v>664.93</v>
      </c>
      <c r="Z93" s="54">
        <v>24.678000000000001</v>
      </c>
      <c r="AA93" s="23">
        <v>45559</v>
      </c>
      <c r="AB93" s="46">
        <v>0.92495370370370367</v>
      </c>
      <c r="AC93">
        <v>0</v>
      </c>
      <c r="AD93">
        <v>0</v>
      </c>
      <c r="AE93">
        <v>0</v>
      </c>
      <c r="AF93" s="57">
        <f t="shared" si="95"/>
        <v>24.785399999999999</v>
      </c>
      <c r="AI93" s="23" t="s">
        <v>154</v>
      </c>
      <c r="AJ93" s="46">
        <v>4</v>
      </c>
      <c r="AK93" t="s">
        <v>7</v>
      </c>
      <c r="AL93">
        <v>29088</v>
      </c>
      <c r="AM93">
        <v>96</v>
      </c>
      <c r="AN93" s="41">
        <v>2</v>
      </c>
      <c r="AO93">
        <v>2</v>
      </c>
      <c r="AP93" s="1">
        <v>547.79</v>
      </c>
      <c r="AQ93" s="54">
        <v>29.954999999999998</v>
      </c>
      <c r="AR93" s="23">
        <v>45559</v>
      </c>
      <c r="AS93" s="46">
        <v>0.67434027777777783</v>
      </c>
      <c r="AT93">
        <v>0</v>
      </c>
      <c r="AU93">
        <v>0</v>
      </c>
      <c r="AV93">
        <v>0</v>
      </c>
      <c r="AW93" s="57">
        <f t="shared" si="124"/>
        <v>29.785599999999999</v>
      </c>
      <c r="AZ93" t="s">
        <v>154</v>
      </c>
      <c r="BA93">
        <v>4</v>
      </c>
      <c r="BB93" t="s">
        <v>7</v>
      </c>
      <c r="BC93">
        <v>29088</v>
      </c>
      <c r="BD93">
        <v>96</v>
      </c>
      <c r="BE93">
        <v>2</v>
      </c>
      <c r="BF93">
        <v>2</v>
      </c>
      <c r="BG93" s="1">
        <v>592.73</v>
      </c>
      <c r="BH93" s="54">
        <v>27.684000000000001</v>
      </c>
      <c r="BI93" s="23">
        <v>45559</v>
      </c>
      <c r="BJ93" s="46">
        <v>0.77576388888888892</v>
      </c>
      <c r="BK93">
        <v>0</v>
      </c>
      <c r="BL93">
        <v>0</v>
      </c>
      <c r="BM93">
        <v>0</v>
      </c>
      <c r="BN93" s="57">
        <f t="shared" si="125"/>
        <v>27.6082</v>
      </c>
    </row>
    <row r="94" spans="1:66">
      <c r="A94" t="s">
        <v>103</v>
      </c>
      <c r="B94">
        <v>0</v>
      </c>
      <c r="C94" t="s">
        <v>7</v>
      </c>
      <c r="D94">
        <v>26112</v>
      </c>
      <c r="E94">
        <v>128</v>
      </c>
      <c r="F94">
        <v>1</v>
      </c>
      <c r="G94" s="41">
        <v>4</v>
      </c>
      <c r="H94" s="1">
        <v>360.76</v>
      </c>
      <c r="I94" s="54">
        <v>32.904000000000003</v>
      </c>
      <c r="J94" s="23">
        <v>45558</v>
      </c>
      <c r="K94" s="46">
        <v>0.32989583333333333</v>
      </c>
      <c r="L94">
        <v>0</v>
      </c>
      <c r="M94">
        <v>0</v>
      </c>
      <c r="N94">
        <v>0</v>
      </c>
      <c r="O94" s="57">
        <f t="shared" ref="O94" si="126">AVERAGE(I94:I98)</f>
        <v>32.779399999999995</v>
      </c>
      <c r="R94" t="s">
        <v>103</v>
      </c>
      <c r="S94">
        <v>0</v>
      </c>
      <c r="T94" t="s">
        <v>7</v>
      </c>
      <c r="U94">
        <v>26112</v>
      </c>
      <c r="V94">
        <v>128</v>
      </c>
      <c r="W94" s="41">
        <v>1</v>
      </c>
      <c r="X94">
        <v>4</v>
      </c>
      <c r="Y94" s="1">
        <v>364.62</v>
      </c>
      <c r="Z94" s="54">
        <v>32.555</v>
      </c>
      <c r="AA94" s="23">
        <v>45558</v>
      </c>
      <c r="AB94" s="46">
        <v>0.32809027777777777</v>
      </c>
      <c r="AC94">
        <v>0</v>
      </c>
      <c r="AD94">
        <v>0</v>
      </c>
      <c r="AE94">
        <v>0</v>
      </c>
      <c r="AF94" s="57">
        <f t="shared" ref="AF94" si="127">AVERAGE(Z94:Z98)</f>
        <v>32.4786</v>
      </c>
      <c r="AI94" s="23" t="s">
        <v>154</v>
      </c>
      <c r="AJ94" s="46">
        <v>0</v>
      </c>
      <c r="AK94" t="s">
        <v>7</v>
      </c>
      <c r="AL94">
        <v>26112</v>
      </c>
      <c r="AM94">
        <v>128</v>
      </c>
      <c r="AN94" s="41">
        <v>1</v>
      </c>
      <c r="AO94">
        <v>4</v>
      </c>
      <c r="AP94" s="1">
        <v>305.27999999999997</v>
      </c>
      <c r="AQ94" s="54">
        <v>38.884</v>
      </c>
      <c r="AR94" s="23">
        <v>45558</v>
      </c>
      <c r="AS94" s="46">
        <v>0.32349537037037035</v>
      </c>
      <c r="AT94">
        <v>0</v>
      </c>
      <c r="AU94">
        <v>0</v>
      </c>
      <c r="AV94">
        <v>0</v>
      </c>
      <c r="AW94" s="57">
        <f t="shared" ref="AW94" si="128">AVERAGE(AQ94:AQ98)</f>
        <v>38.689399999999999</v>
      </c>
      <c r="AZ94" t="s">
        <v>154</v>
      </c>
      <c r="BA94">
        <v>0</v>
      </c>
      <c r="BB94" t="s">
        <v>7</v>
      </c>
      <c r="BC94">
        <v>26112</v>
      </c>
      <c r="BD94">
        <v>128</v>
      </c>
      <c r="BE94">
        <v>1</v>
      </c>
      <c r="BF94">
        <v>4</v>
      </c>
      <c r="BG94" s="1">
        <v>344.22</v>
      </c>
      <c r="BH94" s="54">
        <v>34.484999999999999</v>
      </c>
      <c r="BI94" s="23">
        <v>45558</v>
      </c>
      <c r="BJ94" s="46">
        <v>0.32675925925925925</v>
      </c>
      <c r="BK94">
        <v>0</v>
      </c>
      <c r="BL94">
        <v>0</v>
      </c>
      <c r="BM94">
        <v>0</v>
      </c>
      <c r="BN94" s="57">
        <f t="shared" ref="BN94" si="129">AVERAGE(BH94:BH98)</f>
        <v>34.516000000000005</v>
      </c>
    </row>
    <row r="95" spans="1:66">
      <c r="A95" t="s">
        <v>103</v>
      </c>
      <c r="B95">
        <v>1</v>
      </c>
      <c r="C95" t="s">
        <v>7</v>
      </c>
      <c r="D95">
        <v>26112</v>
      </c>
      <c r="E95">
        <v>128</v>
      </c>
      <c r="F95">
        <v>1</v>
      </c>
      <c r="G95" s="41">
        <v>4</v>
      </c>
      <c r="H95" s="1">
        <v>361</v>
      </c>
      <c r="I95" s="54">
        <v>32.881999999999998</v>
      </c>
      <c r="J95" s="23">
        <v>45558</v>
      </c>
      <c r="K95" s="46">
        <v>0.67194444444444446</v>
      </c>
      <c r="L95">
        <v>0</v>
      </c>
      <c r="M95">
        <v>0</v>
      </c>
      <c r="N95">
        <v>0</v>
      </c>
      <c r="O95" s="57">
        <f t="shared" ref="O95" si="130">O94</f>
        <v>32.779399999999995</v>
      </c>
      <c r="R95" t="s">
        <v>103</v>
      </c>
      <c r="S95">
        <v>1</v>
      </c>
      <c r="T95" t="s">
        <v>7</v>
      </c>
      <c r="U95">
        <v>26112</v>
      </c>
      <c r="V95">
        <v>128</v>
      </c>
      <c r="W95" s="41">
        <v>1</v>
      </c>
      <c r="X95">
        <v>4</v>
      </c>
      <c r="Y95" s="1">
        <v>364.6</v>
      </c>
      <c r="Z95" s="54">
        <v>32.557000000000002</v>
      </c>
      <c r="AA95" s="23">
        <v>45558</v>
      </c>
      <c r="AB95" s="46">
        <v>0.67120370370370375</v>
      </c>
      <c r="AC95">
        <v>0</v>
      </c>
      <c r="AD95">
        <v>0</v>
      </c>
      <c r="AE95">
        <v>0</v>
      </c>
      <c r="AF95" s="57">
        <f t="shared" si="95"/>
        <v>32.4786</v>
      </c>
      <c r="AI95" s="23" t="s">
        <v>154</v>
      </c>
      <c r="AJ95" s="46">
        <v>1</v>
      </c>
      <c r="AK95" t="s">
        <v>7</v>
      </c>
      <c r="AL95">
        <v>26112</v>
      </c>
      <c r="AM95">
        <v>128</v>
      </c>
      <c r="AN95" s="41">
        <v>1</v>
      </c>
      <c r="AO95">
        <v>4</v>
      </c>
      <c r="AP95" s="1">
        <v>306.98</v>
      </c>
      <c r="AQ95" s="54">
        <v>38.668999999999997</v>
      </c>
      <c r="AR95" s="23">
        <v>45558</v>
      </c>
      <c r="AS95" s="46">
        <v>0.61575231481481485</v>
      </c>
      <c r="AT95">
        <v>0</v>
      </c>
      <c r="AU95">
        <v>0</v>
      </c>
      <c r="AV95">
        <v>0</v>
      </c>
      <c r="AW95" s="57">
        <f t="shared" ref="AW95:AW98" si="131">AW94</f>
        <v>38.689399999999999</v>
      </c>
      <c r="AZ95" t="s">
        <v>154</v>
      </c>
      <c r="BA95">
        <v>1</v>
      </c>
      <c r="BB95" t="s">
        <v>7</v>
      </c>
      <c r="BC95">
        <v>26112</v>
      </c>
      <c r="BD95">
        <v>128</v>
      </c>
      <c r="BE95">
        <v>1</v>
      </c>
      <c r="BF95">
        <v>4</v>
      </c>
      <c r="BG95" s="1">
        <v>343.38</v>
      </c>
      <c r="BH95" s="54">
        <v>34.57</v>
      </c>
      <c r="BI95" s="23">
        <v>45558</v>
      </c>
      <c r="BJ95" s="46">
        <v>0.6476736111111111</v>
      </c>
      <c r="BK95">
        <v>0</v>
      </c>
      <c r="BL95">
        <v>0</v>
      </c>
      <c r="BM95">
        <v>0</v>
      </c>
      <c r="BN95" s="57">
        <f t="shared" ref="BN95:BN98" si="132">BN94</f>
        <v>34.516000000000005</v>
      </c>
    </row>
    <row r="96" spans="1:66">
      <c r="A96" t="s">
        <v>103</v>
      </c>
      <c r="B96">
        <v>2</v>
      </c>
      <c r="C96" t="s">
        <v>7</v>
      </c>
      <c r="D96">
        <v>26112</v>
      </c>
      <c r="E96">
        <v>128</v>
      </c>
      <c r="F96">
        <v>1</v>
      </c>
      <c r="G96" s="41">
        <v>4</v>
      </c>
      <c r="H96" s="1">
        <v>363.09</v>
      </c>
      <c r="I96" s="54">
        <v>32.692999999999998</v>
      </c>
      <c r="J96" s="23">
        <v>45559</v>
      </c>
      <c r="K96" s="46">
        <v>1.4166666666666666E-2</v>
      </c>
      <c r="L96">
        <v>0</v>
      </c>
      <c r="M96">
        <v>0</v>
      </c>
      <c r="N96">
        <v>0</v>
      </c>
      <c r="O96" s="57">
        <f t="shared" si="102"/>
        <v>32.779399999999995</v>
      </c>
      <c r="R96" t="s">
        <v>103</v>
      </c>
      <c r="S96">
        <v>2</v>
      </c>
      <c r="T96" t="s">
        <v>7</v>
      </c>
      <c r="U96">
        <v>26112</v>
      </c>
      <c r="V96">
        <v>128</v>
      </c>
      <c r="W96" s="58">
        <v>1</v>
      </c>
      <c r="X96">
        <v>4</v>
      </c>
      <c r="Y96" s="1">
        <v>366.9</v>
      </c>
      <c r="Z96" s="54">
        <v>32.353999999999999</v>
      </c>
      <c r="AA96" s="23">
        <v>45559</v>
      </c>
      <c r="AB96" s="46">
        <v>1.4293981481481482E-2</v>
      </c>
      <c r="AC96">
        <v>0</v>
      </c>
      <c r="AD96">
        <v>0</v>
      </c>
      <c r="AE96">
        <v>0</v>
      </c>
      <c r="AF96" s="57">
        <f t="shared" si="95"/>
        <v>32.4786</v>
      </c>
      <c r="AI96" s="23" t="s">
        <v>154</v>
      </c>
      <c r="AJ96" s="46">
        <v>2</v>
      </c>
      <c r="AK96" t="s">
        <v>7</v>
      </c>
      <c r="AL96">
        <v>26112</v>
      </c>
      <c r="AM96">
        <v>128</v>
      </c>
      <c r="AN96" s="41">
        <v>1</v>
      </c>
      <c r="AO96">
        <v>4</v>
      </c>
      <c r="AP96" s="1">
        <v>307.39</v>
      </c>
      <c r="AQ96" s="54">
        <v>38.616999999999997</v>
      </c>
      <c r="AR96" s="23">
        <v>45558</v>
      </c>
      <c r="AS96" s="46">
        <v>0.90498842592592588</v>
      </c>
      <c r="AT96">
        <v>0</v>
      </c>
      <c r="AU96">
        <v>0</v>
      </c>
      <c r="AV96">
        <v>0</v>
      </c>
      <c r="AW96" s="57">
        <f t="shared" si="131"/>
        <v>38.689399999999999</v>
      </c>
      <c r="AZ96" t="s">
        <v>154</v>
      </c>
      <c r="BA96">
        <v>2</v>
      </c>
      <c r="BB96" t="s">
        <v>7</v>
      </c>
      <c r="BC96">
        <v>26112</v>
      </c>
      <c r="BD96">
        <v>128</v>
      </c>
      <c r="BE96">
        <v>1</v>
      </c>
      <c r="BF96">
        <v>4</v>
      </c>
      <c r="BG96" s="1">
        <v>344.11</v>
      </c>
      <c r="BH96" s="54">
        <v>34.496000000000002</v>
      </c>
      <c r="BI96" s="23">
        <v>45558</v>
      </c>
      <c r="BJ96" s="46">
        <v>0.95630787037037035</v>
      </c>
      <c r="BK96">
        <v>0</v>
      </c>
      <c r="BL96">
        <v>0</v>
      </c>
      <c r="BM96">
        <v>0</v>
      </c>
      <c r="BN96" s="57">
        <f t="shared" si="132"/>
        <v>34.516000000000005</v>
      </c>
    </row>
    <row r="97" spans="1:66">
      <c r="A97" t="s">
        <v>103</v>
      </c>
      <c r="B97">
        <v>3</v>
      </c>
      <c r="C97" t="s">
        <v>7</v>
      </c>
      <c r="D97">
        <v>26112</v>
      </c>
      <c r="E97">
        <v>128</v>
      </c>
      <c r="F97">
        <v>1</v>
      </c>
      <c r="G97" s="41">
        <v>4</v>
      </c>
      <c r="H97" s="1">
        <v>362.7</v>
      </c>
      <c r="I97" s="54">
        <v>32.728000000000002</v>
      </c>
      <c r="J97" s="23">
        <v>45559</v>
      </c>
      <c r="K97" s="46">
        <v>0.35649305555555555</v>
      </c>
      <c r="L97">
        <v>0</v>
      </c>
      <c r="M97">
        <v>0</v>
      </c>
      <c r="N97">
        <v>0</v>
      </c>
      <c r="O97" s="57">
        <f t="shared" si="102"/>
        <v>32.779399999999995</v>
      </c>
      <c r="R97" t="s">
        <v>103</v>
      </c>
      <c r="S97">
        <v>3</v>
      </c>
      <c r="T97" t="s">
        <v>7</v>
      </c>
      <c r="U97">
        <v>26112</v>
      </c>
      <c r="V97">
        <v>128</v>
      </c>
      <c r="W97" s="58">
        <v>1</v>
      </c>
      <c r="X97">
        <v>4</v>
      </c>
      <c r="Y97" s="1">
        <v>365.33</v>
      </c>
      <c r="Z97" s="54">
        <v>32.491999999999997</v>
      </c>
      <c r="AA97" s="23">
        <v>45559</v>
      </c>
      <c r="AB97" s="46">
        <v>0.35738425925925926</v>
      </c>
      <c r="AC97">
        <v>0</v>
      </c>
      <c r="AD97">
        <v>0</v>
      </c>
      <c r="AE97">
        <v>0</v>
      </c>
      <c r="AF97" s="57">
        <f t="shared" si="95"/>
        <v>32.4786</v>
      </c>
      <c r="AI97" s="23" t="s">
        <v>154</v>
      </c>
      <c r="AJ97" s="46">
        <v>3</v>
      </c>
      <c r="AK97" t="s">
        <v>7</v>
      </c>
      <c r="AL97">
        <v>26112</v>
      </c>
      <c r="AM97">
        <v>128</v>
      </c>
      <c r="AN97" s="41">
        <v>1</v>
      </c>
      <c r="AO97">
        <v>4</v>
      </c>
      <c r="AP97" s="1">
        <v>306.77999999999997</v>
      </c>
      <c r="AQ97" s="54">
        <v>38.692999999999998</v>
      </c>
      <c r="AR97" s="23">
        <v>45559</v>
      </c>
      <c r="AS97" s="46">
        <v>0.19395833333333334</v>
      </c>
      <c r="AT97">
        <v>0</v>
      </c>
      <c r="AU97">
        <v>0</v>
      </c>
      <c r="AV97">
        <v>0</v>
      </c>
      <c r="AW97" s="57">
        <f t="shared" si="131"/>
        <v>38.689399999999999</v>
      </c>
      <c r="AZ97" t="s">
        <v>154</v>
      </c>
      <c r="BA97">
        <v>3</v>
      </c>
      <c r="BB97" t="s">
        <v>7</v>
      </c>
      <c r="BC97">
        <v>26112</v>
      </c>
      <c r="BD97">
        <v>128</v>
      </c>
      <c r="BE97">
        <v>1</v>
      </c>
      <c r="BF97">
        <v>4</v>
      </c>
      <c r="BG97" s="1">
        <v>344.12</v>
      </c>
      <c r="BH97" s="54">
        <v>34.494999999999997</v>
      </c>
      <c r="BI97" s="23">
        <v>45559</v>
      </c>
      <c r="BJ97" s="46">
        <v>0.26493055555555556</v>
      </c>
      <c r="BK97">
        <v>0</v>
      </c>
      <c r="BL97">
        <v>0</v>
      </c>
      <c r="BM97">
        <v>0</v>
      </c>
      <c r="BN97" s="57">
        <f t="shared" si="132"/>
        <v>34.516000000000005</v>
      </c>
    </row>
    <row r="98" spans="1:66">
      <c r="A98" t="s">
        <v>103</v>
      </c>
      <c r="B98">
        <v>4</v>
      </c>
      <c r="C98" t="s">
        <v>7</v>
      </c>
      <c r="D98">
        <v>26112</v>
      </c>
      <c r="E98">
        <v>128</v>
      </c>
      <c r="F98">
        <v>1</v>
      </c>
      <c r="G98" s="41">
        <v>4</v>
      </c>
      <c r="H98" s="1">
        <v>363.12</v>
      </c>
      <c r="I98" s="54">
        <v>32.69</v>
      </c>
      <c r="J98" s="23">
        <v>45559</v>
      </c>
      <c r="K98" s="46">
        <v>0.69877314814814817</v>
      </c>
      <c r="L98">
        <v>0</v>
      </c>
      <c r="M98">
        <v>0</v>
      </c>
      <c r="N98">
        <v>0</v>
      </c>
      <c r="O98" s="57">
        <f t="shared" si="102"/>
        <v>32.779399999999995</v>
      </c>
      <c r="R98" t="s">
        <v>103</v>
      </c>
      <c r="S98">
        <v>4</v>
      </c>
      <c r="T98" t="s">
        <v>7</v>
      </c>
      <c r="U98">
        <v>26112</v>
      </c>
      <c r="V98">
        <v>128</v>
      </c>
      <c r="W98" s="58">
        <v>1</v>
      </c>
      <c r="X98">
        <v>4</v>
      </c>
      <c r="Y98" s="1">
        <v>365.97</v>
      </c>
      <c r="Z98" s="54">
        <v>32.435000000000002</v>
      </c>
      <c r="AA98" s="23">
        <v>45559</v>
      </c>
      <c r="AB98" s="46">
        <v>0.70056712962962964</v>
      </c>
      <c r="AC98">
        <v>0</v>
      </c>
      <c r="AD98">
        <v>0</v>
      </c>
      <c r="AE98">
        <v>0</v>
      </c>
      <c r="AF98" s="57">
        <f t="shared" si="95"/>
        <v>32.4786</v>
      </c>
      <c r="AI98" s="23" t="s">
        <v>154</v>
      </c>
      <c r="AJ98" s="46">
        <v>4</v>
      </c>
      <c r="AK98" t="s">
        <v>7</v>
      </c>
      <c r="AL98">
        <v>26112</v>
      </c>
      <c r="AM98">
        <v>128</v>
      </c>
      <c r="AN98" s="41">
        <v>1</v>
      </c>
      <c r="AO98">
        <v>4</v>
      </c>
      <c r="AP98" s="1">
        <v>307.64999999999998</v>
      </c>
      <c r="AQ98" s="54">
        <v>38.584000000000003</v>
      </c>
      <c r="AR98" s="23">
        <v>45559</v>
      </c>
      <c r="AS98" s="46">
        <v>0.48317129629629629</v>
      </c>
      <c r="AT98">
        <v>0</v>
      </c>
      <c r="AU98">
        <v>0</v>
      </c>
      <c r="AV98">
        <v>0</v>
      </c>
      <c r="AW98" s="57">
        <f t="shared" si="131"/>
        <v>38.689399999999999</v>
      </c>
      <c r="AZ98" t="s">
        <v>154</v>
      </c>
      <c r="BA98">
        <v>4</v>
      </c>
      <c r="BB98" t="s">
        <v>7</v>
      </c>
      <c r="BC98">
        <v>26112</v>
      </c>
      <c r="BD98">
        <v>128</v>
      </c>
      <c r="BE98">
        <v>1</v>
      </c>
      <c r="BF98">
        <v>4</v>
      </c>
      <c r="BG98" s="1">
        <v>343.73</v>
      </c>
      <c r="BH98" s="54">
        <v>34.533999999999999</v>
      </c>
      <c r="BI98" s="23">
        <v>45559</v>
      </c>
      <c r="BJ98" s="46">
        <v>0.57336805555555559</v>
      </c>
      <c r="BK98">
        <v>0</v>
      </c>
      <c r="BL98">
        <v>0</v>
      </c>
      <c r="BM98">
        <v>0</v>
      </c>
      <c r="BN98" s="57">
        <f t="shared" si="132"/>
        <v>34.516000000000005</v>
      </c>
    </row>
    <row r="99" spans="1:66">
      <c r="A99" t="s">
        <v>103</v>
      </c>
      <c r="B99">
        <v>0</v>
      </c>
      <c r="C99" t="s">
        <v>7</v>
      </c>
      <c r="D99">
        <v>27648</v>
      </c>
      <c r="E99">
        <v>128</v>
      </c>
      <c r="F99">
        <v>1</v>
      </c>
      <c r="G99" s="41">
        <v>4</v>
      </c>
      <c r="H99" s="1">
        <v>448.53</v>
      </c>
      <c r="I99" s="54">
        <v>31.416</v>
      </c>
      <c r="J99" s="23">
        <v>45558</v>
      </c>
      <c r="K99" s="46">
        <v>0.43516203703703704</v>
      </c>
      <c r="L99">
        <v>0</v>
      </c>
      <c r="M99">
        <v>0</v>
      </c>
      <c r="N99">
        <v>0</v>
      </c>
      <c r="O99" s="57">
        <f t="shared" ref="O99" si="133">AVERAGE(I99:I103)</f>
        <v>31.525200000000002</v>
      </c>
      <c r="R99" t="s">
        <v>103</v>
      </c>
      <c r="S99">
        <v>0</v>
      </c>
      <c r="T99" t="s">
        <v>7</v>
      </c>
      <c r="U99">
        <v>27648</v>
      </c>
      <c r="V99">
        <v>128</v>
      </c>
      <c r="W99" s="41">
        <v>1</v>
      </c>
      <c r="X99">
        <v>4</v>
      </c>
      <c r="Y99" s="1">
        <v>448.88</v>
      </c>
      <c r="Z99" s="54">
        <v>31.390999999999998</v>
      </c>
      <c r="AA99" s="23">
        <v>45558</v>
      </c>
      <c r="AB99" s="46">
        <v>0.43363425925925925</v>
      </c>
      <c r="AC99">
        <v>0</v>
      </c>
      <c r="AD99">
        <v>0</v>
      </c>
      <c r="AE99">
        <v>0</v>
      </c>
      <c r="AF99" s="57">
        <f t="shared" ref="AF99" si="134">AVERAGE(Z99:Z103)</f>
        <v>31.388999999999999</v>
      </c>
      <c r="AI99" s="23" t="s">
        <v>154</v>
      </c>
      <c r="AJ99" s="46">
        <v>0</v>
      </c>
      <c r="AK99" t="s">
        <v>7</v>
      </c>
      <c r="AL99">
        <v>27648</v>
      </c>
      <c r="AM99">
        <v>128</v>
      </c>
      <c r="AN99" s="41">
        <v>1</v>
      </c>
      <c r="AO99">
        <v>4</v>
      </c>
      <c r="AP99" s="1">
        <v>383.79</v>
      </c>
      <c r="AQ99" s="54">
        <v>36.715000000000003</v>
      </c>
      <c r="AR99" s="23">
        <v>45558</v>
      </c>
      <c r="AS99" s="46">
        <v>0.41269675925925925</v>
      </c>
      <c r="AT99">
        <v>0</v>
      </c>
      <c r="AU99">
        <v>0</v>
      </c>
      <c r="AV99">
        <v>0</v>
      </c>
      <c r="AW99" s="57">
        <f t="shared" ref="AW99" si="135">AVERAGE(AQ99:AQ103)</f>
        <v>36.5336</v>
      </c>
      <c r="AZ99" t="s">
        <v>154</v>
      </c>
      <c r="BA99">
        <v>0</v>
      </c>
      <c r="BB99" t="s">
        <v>7</v>
      </c>
      <c r="BC99">
        <v>27648</v>
      </c>
      <c r="BD99">
        <v>128</v>
      </c>
      <c r="BE99">
        <v>1</v>
      </c>
      <c r="BF99">
        <v>4</v>
      </c>
      <c r="BG99" s="1">
        <v>422.81</v>
      </c>
      <c r="BH99" s="54">
        <v>33.326000000000001</v>
      </c>
      <c r="BI99" s="23">
        <v>45558</v>
      </c>
      <c r="BJ99" s="46">
        <v>0.42249999999999999</v>
      </c>
      <c r="BK99">
        <v>0</v>
      </c>
      <c r="BL99">
        <v>0</v>
      </c>
      <c r="BM99">
        <v>0</v>
      </c>
      <c r="BN99" s="57">
        <f t="shared" ref="BN99" si="136">AVERAGE(BH99:BH103)</f>
        <v>33.395599999999995</v>
      </c>
    </row>
    <row r="100" spans="1:66">
      <c r="A100" t="s">
        <v>103</v>
      </c>
      <c r="B100">
        <v>1</v>
      </c>
      <c r="C100" t="s">
        <v>7</v>
      </c>
      <c r="D100">
        <v>27648</v>
      </c>
      <c r="E100">
        <v>128</v>
      </c>
      <c r="F100">
        <v>1</v>
      </c>
      <c r="G100" s="41">
        <v>4</v>
      </c>
      <c r="H100" s="1">
        <v>445.61</v>
      </c>
      <c r="I100" s="54">
        <v>31.620999999999999</v>
      </c>
      <c r="J100" s="23">
        <v>45558</v>
      </c>
      <c r="K100" s="46">
        <v>0.77729166666666671</v>
      </c>
      <c r="L100">
        <v>0</v>
      </c>
      <c r="M100">
        <v>0</v>
      </c>
      <c r="N100">
        <v>0</v>
      </c>
      <c r="O100" s="57">
        <f t="shared" ref="O100" si="137">O99</f>
        <v>31.525200000000002</v>
      </c>
      <c r="R100" t="s">
        <v>103</v>
      </c>
      <c r="S100">
        <v>1</v>
      </c>
      <c r="T100" t="s">
        <v>7</v>
      </c>
      <c r="U100">
        <v>27648</v>
      </c>
      <c r="V100">
        <v>128</v>
      </c>
      <c r="W100" s="41">
        <v>1</v>
      </c>
      <c r="X100">
        <v>4</v>
      </c>
      <c r="Y100" s="1">
        <v>449.49</v>
      </c>
      <c r="Z100" s="54">
        <v>31.347999999999999</v>
      </c>
      <c r="AA100" s="23">
        <v>45558</v>
      </c>
      <c r="AB100" s="46">
        <v>0.7767708333333333</v>
      </c>
      <c r="AC100">
        <v>0</v>
      </c>
      <c r="AD100">
        <v>0</v>
      </c>
      <c r="AE100">
        <v>0</v>
      </c>
      <c r="AF100" s="57">
        <f t="shared" si="95"/>
        <v>31.388999999999999</v>
      </c>
      <c r="AI100" s="23" t="s">
        <v>154</v>
      </c>
      <c r="AJ100" s="46">
        <v>1</v>
      </c>
      <c r="AK100" t="s">
        <v>7</v>
      </c>
      <c r="AL100">
        <v>27648</v>
      </c>
      <c r="AM100">
        <v>128</v>
      </c>
      <c r="AN100" s="41">
        <v>1</v>
      </c>
      <c r="AO100">
        <v>4</v>
      </c>
      <c r="AP100" s="1">
        <v>384.38</v>
      </c>
      <c r="AQ100" s="54">
        <v>36.658999999999999</v>
      </c>
      <c r="AR100" s="23">
        <v>45558</v>
      </c>
      <c r="AS100" s="46">
        <v>0.70528935185185182</v>
      </c>
      <c r="AT100">
        <v>0</v>
      </c>
      <c r="AU100">
        <v>0</v>
      </c>
      <c r="AV100">
        <v>0</v>
      </c>
      <c r="AW100" s="57">
        <f t="shared" ref="AW100:AW103" si="138">AW99</f>
        <v>36.5336</v>
      </c>
      <c r="AZ100" t="s">
        <v>154</v>
      </c>
      <c r="BA100">
        <v>1</v>
      </c>
      <c r="BB100" t="s">
        <v>7</v>
      </c>
      <c r="BC100">
        <v>27648</v>
      </c>
      <c r="BD100">
        <v>128</v>
      </c>
      <c r="BE100">
        <v>1</v>
      </c>
      <c r="BF100">
        <v>4</v>
      </c>
      <c r="BG100" s="1">
        <v>422.06</v>
      </c>
      <c r="BH100" s="54">
        <v>33.384999999999998</v>
      </c>
      <c r="BI100" s="23">
        <v>45558</v>
      </c>
      <c r="BJ100" s="46">
        <v>0.74326388888888884</v>
      </c>
      <c r="BK100">
        <v>0</v>
      </c>
      <c r="BL100">
        <v>0</v>
      </c>
      <c r="BM100">
        <v>0</v>
      </c>
      <c r="BN100" s="57">
        <f t="shared" ref="BN100:BN103" si="139">BN99</f>
        <v>33.395599999999995</v>
      </c>
    </row>
    <row r="101" spans="1:66">
      <c r="A101" t="s">
        <v>103</v>
      </c>
      <c r="B101">
        <v>2</v>
      </c>
      <c r="C101" t="s">
        <v>7</v>
      </c>
      <c r="D101">
        <v>27648</v>
      </c>
      <c r="E101">
        <v>128</v>
      </c>
      <c r="F101">
        <v>1</v>
      </c>
      <c r="G101" s="41">
        <v>4</v>
      </c>
      <c r="H101" s="1">
        <v>445.49</v>
      </c>
      <c r="I101" s="54">
        <v>31.63</v>
      </c>
      <c r="J101" s="23">
        <v>45559</v>
      </c>
      <c r="K101" s="46">
        <v>0.11940972222222222</v>
      </c>
      <c r="L101">
        <v>0</v>
      </c>
      <c r="M101">
        <v>0</v>
      </c>
      <c r="N101">
        <v>0</v>
      </c>
      <c r="O101" s="57">
        <f t="shared" si="102"/>
        <v>31.525200000000002</v>
      </c>
      <c r="R101" t="s">
        <v>103</v>
      </c>
      <c r="S101">
        <v>2</v>
      </c>
      <c r="T101" t="s">
        <v>7</v>
      </c>
      <c r="U101">
        <v>27648</v>
      </c>
      <c r="V101">
        <v>128</v>
      </c>
      <c r="W101" s="58">
        <v>1</v>
      </c>
      <c r="X101">
        <v>4</v>
      </c>
      <c r="Y101" s="1">
        <v>449.25</v>
      </c>
      <c r="Z101" s="54">
        <v>31.364999999999998</v>
      </c>
      <c r="AA101" s="23">
        <v>45559</v>
      </c>
      <c r="AB101" s="46">
        <v>0.11975694444444444</v>
      </c>
      <c r="AC101">
        <v>0</v>
      </c>
      <c r="AD101">
        <v>0</v>
      </c>
      <c r="AE101">
        <v>0</v>
      </c>
      <c r="AF101" s="57">
        <f t="shared" si="95"/>
        <v>31.388999999999999</v>
      </c>
      <c r="AI101" s="23" t="s">
        <v>154</v>
      </c>
      <c r="AJ101" s="46">
        <v>2</v>
      </c>
      <c r="AK101" t="s">
        <v>7</v>
      </c>
      <c r="AL101">
        <v>27648</v>
      </c>
      <c r="AM101">
        <v>128</v>
      </c>
      <c r="AN101" s="41">
        <v>1</v>
      </c>
      <c r="AO101">
        <v>4</v>
      </c>
      <c r="AP101" s="1">
        <v>386.57</v>
      </c>
      <c r="AQ101" s="54">
        <v>36.451000000000001</v>
      </c>
      <c r="AR101" s="23">
        <v>45558</v>
      </c>
      <c r="AS101" s="46">
        <v>0.99451388888888892</v>
      </c>
      <c r="AT101">
        <v>0</v>
      </c>
      <c r="AU101">
        <v>0</v>
      </c>
      <c r="AV101">
        <v>0</v>
      </c>
      <c r="AW101" s="57">
        <f t="shared" si="138"/>
        <v>36.5336</v>
      </c>
      <c r="AZ101" t="s">
        <v>154</v>
      </c>
      <c r="BA101">
        <v>2</v>
      </c>
      <c r="BB101" t="s">
        <v>7</v>
      </c>
      <c r="BC101">
        <v>27648</v>
      </c>
      <c r="BD101">
        <v>128</v>
      </c>
      <c r="BE101">
        <v>1</v>
      </c>
      <c r="BF101">
        <v>4</v>
      </c>
      <c r="BG101" s="1">
        <v>420.74</v>
      </c>
      <c r="BH101" s="54">
        <v>33.49</v>
      </c>
      <c r="BI101" s="23">
        <v>45559</v>
      </c>
      <c r="BJ101" s="46">
        <v>5.1979166666666667E-2</v>
      </c>
      <c r="BK101">
        <v>0</v>
      </c>
      <c r="BL101">
        <v>0</v>
      </c>
      <c r="BM101">
        <v>0</v>
      </c>
      <c r="BN101" s="57">
        <f t="shared" si="139"/>
        <v>33.395599999999995</v>
      </c>
    </row>
    <row r="102" spans="1:66">
      <c r="A102" t="s">
        <v>103</v>
      </c>
      <c r="B102">
        <v>3</v>
      </c>
      <c r="C102" t="s">
        <v>7</v>
      </c>
      <c r="D102">
        <v>27648</v>
      </c>
      <c r="E102">
        <v>128</v>
      </c>
      <c r="F102">
        <v>1</v>
      </c>
      <c r="G102" s="41">
        <v>4</v>
      </c>
      <c r="H102" s="1">
        <v>446.29</v>
      </c>
      <c r="I102" s="54">
        <v>31.573</v>
      </c>
      <c r="J102" s="23">
        <v>45559</v>
      </c>
      <c r="K102" s="46">
        <v>0.46185185185185185</v>
      </c>
      <c r="L102">
        <v>0</v>
      </c>
      <c r="M102">
        <v>0</v>
      </c>
      <c r="N102">
        <v>0</v>
      </c>
      <c r="O102" s="57">
        <f t="shared" si="102"/>
        <v>31.525200000000002</v>
      </c>
      <c r="R102" t="s">
        <v>103</v>
      </c>
      <c r="S102">
        <v>3</v>
      </c>
      <c r="T102" t="s">
        <v>7</v>
      </c>
      <c r="U102">
        <v>27648</v>
      </c>
      <c r="V102">
        <v>128</v>
      </c>
      <c r="W102" s="58">
        <v>1</v>
      </c>
      <c r="X102">
        <v>4</v>
      </c>
      <c r="Y102" s="1">
        <v>449.26</v>
      </c>
      <c r="Z102" s="54">
        <v>31.364000000000001</v>
      </c>
      <c r="AA102" s="23">
        <v>45559</v>
      </c>
      <c r="AB102" s="46">
        <v>0.46288194444444447</v>
      </c>
      <c r="AC102">
        <v>0</v>
      </c>
      <c r="AD102">
        <v>0</v>
      </c>
      <c r="AE102">
        <v>0</v>
      </c>
      <c r="AF102" s="57">
        <f t="shared" si="95"/>
        <v>31.388999999999999</v>
      </c>
      <c r="AI102" s="23" t="s">
        <v>154</v>
      </c>
      <c r="AJ102" s="46">
        <v>3</v>
      </c>
      <c r="AK102" t="s">
        <v>7</v>
      </c>
      <c r="AL102">
        <v>27648</v>
      </c>
      <c r="AM102">
        <v>128</v>
      </c>
      <c r="AN102" s="41">
        <v>1</v>
      </c>
      <c r="AO102">
        <v>4</v>
      </c>
      <c r="AP102" s="1">
        <v>388.36</v>
      </c>
      <c r="AQ102" s="54">
        <v>36.283000000000001</v>
      </c>
      <c r="AR102" s="23">
        <v>45559</v>
      </c>
      <c r="AS102" s="46">
        <v>0.28343750000000001</v>
      </c>
      <c r="AT102">
        <v>0</v>
      </c>
      <c r="AU102">
        <v>0</v>
      </c>
      <c r="AV102">
        <v>0</v>
      </c>
      <c r="AW102" s="57">
        <f t="shared" si="138"/>
        <v>36.5336</v>
      </c>
      <c r="AZ102" t="s">
        <v>154</v>
      </c>
      <c r="BA102">
        <v>3</v>
      </c>
      <c r="BB102" t="s">
        <v>7</v>
      </c>
      <c r="BC102">
        <v>27648</v>
      </c>
      <c r="BD102">
        <v>128</v>
      </c>
      <c r="BE102">
        <v>1</v>
      </c>
      <c r="BF102">
        <v>4</v>
      </c>
      <c r="BG102" s="1">
        <v>422.69</v>
      </c>
      <c r="BH102" s="54">
        <v>33.335999999999999</v>
      </c>
      <c r="BI102" s="23">
        <v>45559</v>
      </c>
      <c r="BJ102" s="46">
        <v>0.36047453703703702</v>
      </c>
      <c r="BK102">
        <v>0</v>
      </c>
      <c r="BL102">
        <v>0</v>
      </c>
      <c r="BM102">
        <v>0</v>
      </c>
      <c r="BN102" s="57">
        <f t="shared" si="139"/>
        <v>33.395599999999995</v>
      </c>
    </row>
    <row r="103" spans="1:66">
      <c r="A103" t="s">
        <v>103</v>
      </c>
      <c r="B103">
        <v>4</v>
      </c>
      <c r="C103" t="s">
        <v>7</v>
      </c>
      <c r="D103">
        <v>27648</v>
      </c>
      <c r="E103">
        <v>128</v>
      </c>
      <c r="F103">
        <v>1</v>
      </c>
      <c r="G103" s="41">
        <v>4</v>
      </c>
      <c r="H103" s="1">
        <v>448.95</v>
      </c>
      <c r="I103" s="54">
        <v>31.385999999999999</v>
      </c>
      <c r="J103" s="23">
        <v>45559</v>
      </c>
      <c r="K103" s="46">
        <v>0.80409722222222224</v>
      </c>
      <c r="L103">
        <v>0</v>
      </c>
      <c r="M103">
        <v>0</v>
      </c>
      <c r="N103">
        <v>0</v>
      </c>
      <c r="O103" s="57">
        <f t="shared" si="102"/>
        <v>31.525200000000002</v>
      </c>
      <c r="R103" t="s">
        <v>103</v>
      </c>
      <c r="S103">
        <v>4</v>
      </c>
      <c r="T103" t="s">
        <v>7</v>
      </c>
      <c r="U103">
        <v>27648</v>
      </c>
      <c r="V103">
        <v>128</v>
      </c>
      <c r="W103" s="58">
        <v>1</v>
      </c>
      <c r="X103">
        <v>4</v>
      </c>
      <c r="Y103" s="1">
        <v>447.65</v>
      </c>
      <c r="Z103" s="54">
        <v>31.477</v>
      </c>
      <c r="AA103" s="23">
        <v>45559</v>
      </c>
      <c r="AB103" s="46">
        <v>0.80604166666666666</v>
      </c>
      <c r="AC103">
        <v>0</v>
      </c>
      <c r="AD103">
        <v>0</v>
      </c>
      <c r="AE103">
        <v>0</v>
      </c>
      <c r="AF103" s="57">
        <f t="shared" si="95"/>
        <v>31.388999999999999</v>
      </c>
      <c r="AI103" s="23" t="s">
        <v>154</v>
      </c>
      <c r="AJ103" s="46">
        <v>4</v>
      </c>
      <c r="AK103" t="s">
        <v>7</v>
      </c>
      <c r="AL103">
        <v>27648</v>
      </c>
      <c r="AM103">
        <v>128</v>
      </c>
      <c r="AN103" s="41">
        <v>1</v>
      </c>
      <c r="AO103">
        <v>4</v>
      </c>
      <c r="AP103" s="1">
        <v>385.41</v>
      </c>
      <c r="AQ103" s="54">
        <v>36.56</v>
      </c>
      <c r="AR103" s="23">
        <v>45559</v>
      </c>
      <c r="AS103" s="46">
        <v>0.57289351851851855</v>
      </c>
      <c r="AT103">
        <v>0</v>
      </c>
      <c r="AU103">
        <v>0</v>
      </c>
      <c r="AV103">
        <v>0</v>
      </c>
      <c r="AW103" s="57">
        <f t="shared" si="138"/>
        <v>36.5336</v>
      </c>
      <c r="AZ103" t="s">
        <v>154</v>
      </c>
      <c r="BA103">
        <v>4</v>
      </c>
      <c r="BB103" t="s">
        <v>7</v>
      </c>
      <c r="BC103">
        <v>27648</v>
      </c>
      <c r="BD103">
        <v>128</v>
      </c>
      <c r="BE103">
        <v>1</v>
      </c>
      <c r="BF103">
        <v>4</v>
      </c>
      <c r="BG103" s="1">
        <v>421.36</v>
      </c>
      <c r="BH103" s="54">
        <v>33.441000000000003</v>
      </c>
      <c r="BI103" s="23">
        <v>45559</v>
      </c>
      <c r="BJ103" s="46">
        <v>0.66894675925925928</v>
      </c>
      <c r="BK103">
        <v>0</v>
      </c>
      <c r="BL103">
        <v>0</v>
      </c>
      <c r="BM103">
        <v>0</v>
      </c>
      <c r="BN103" s="57">
        <f t="shared" si="139"/>
        <v>33.395599999999995</v>
      </c>
    </row>
    <row r="104" spans="1:66">
      <c r="A104" t="s">
        <v>103</v>
      </c>
      <c r="B104">
        <v>0</v>
      </c>
      <c r="C104" t="s">
        <v>7</v>
      </c>
      <c r="D104">
        <v>29184</v>
      </c>
      <c r="E104">
        <v>128</v>
      </c>
      <c r="F104">
        <v>1</v>
      </c>
      <c r="G104" s="41">
        <v>4</v>
      </c>
      <c r="H104" s="1">
        <v>518.34</v>
      </c>
      <c r="I104" s="54">
        <v>31.971</v>
      </c>
      <c r="J104" s="23">
        <v>45558</v>
      </c>
      <c r="K104" s="46">
        <v>0.5606944444444445</v>
      </c>
      <c r="L104">
        <v>0</v>
      </c>
      <c r="M104">
        <v>0</v>
      </c>
      <c r="N104">
        <v>0</v>
      </c>
      <c r="O104" s="57">
        <f t="shared" ref="O104" si="140">AVERAGE(I104:I108)</f>
        <v>31.927799999999998</v>
      </c>
      <c r="R104" t="s">
        <v>103</v>
      </c>
      <c r="S104">
        <v>0</v>
      </c>
      <c r="T104" t="s">
        <v>7</v>
      </c>
      <c r="U104">
        <v>29184</v>
      </c>
      <c r="V104">
        <v>128</v>
      </c>
      <c r="W104" s="41">
        <v>1</v>
      </c>
      <c r="X104">
        <v>4</v>
      </c>
      <c r="Y104" s="1">
        <v>521.89</v>
      </c>
      <c r="Z104" s="54">
        <v>31.754000000000001</v>
      </c>
      <c r="AA104" s="23">
        <v>45558</v>
      </c>
      <c r="AB104" s="46">
        <v>0.55944444444444441</v>
      </c>
      <c r="AC104">
        <v>0</v>
      </c>
      <c r="AD104">
        <v>0</v>
      </c>
      <c r="AE104">
        <v>0</v>
      </c>
      <c r="AF104" s="57">
        <f t="shared" ref="AF104" si="141">AVERAGE(Z104:Z108)</f>
        <v>31.708199999999998</v>
      </c>
      <c r="AI104" s="23" t="s">
        <v>154</v>
      </c>
      <c r="AJ104" s="46">
        <v>0</v>
      </c>
      <c r="AK104" t="s">
        <v>7</v>
      </c>
      <c r="AL104">
        <v>29184</v>
      </c>
      <c r="AM104">
        <v>128</v>
      </c>
      <c r="AN104" s="41">
        <v>1</v>
      </c>
      <c r="AO104">
        <v>4</v>
      </c>
      <c r="AP104" s="1">
        <v>432.66</v>
      </c>
      <c r="AQ104" s="54">
        <v>38.302999999999997</v>
      </c>
      <c r="AR104" s="23">
        <v>45558</v>
      </c>
      <c r="AS104" s="46">
        <v>0.54569444444444448</v>
      </c>
      <c r="AT104">
        <v>0</v>
      </c>
      <c r="AU104">
        <v>0</v>
      </c>
      <c r="AV104">
        <v>0</v>
      </c>
      <c r="AW104" s="57">
        <f t="shared" ref="AW104" si="142">AVERAGE(AQ104:AQ108)</f>
        <v>38.209199999999996</v>
      </c>
      <c r="AZ104" t="s">
        <v>154</v>
      </c>
      <c r="BA104">
        <v>0</v>
      </c>
      <c r="BB104" t="s">
        <v>7</v>
      </c>
      <c r="BC104">
        <v>29184</v>
      </c>
      <c r="BD104">
        <v>128</v>
      </c>
      <c r="BE104">
        <v>1</v>
      </c>
      <c r="BF104">
        <v>4</v>
      </c>
      <c r="BG104" s="1">
        <v>473.05</v>
      </c>
      <c r="BH104" s="54">
        <v>35.031999999999996</v>
      </c>
      <c r="BI104" s="23">
        <v>45558</v>
      </c>
      <c r="BJ104" s="46">
        <v>0.5470949074074074</v>
      </c>
      <c r="BK104">
        <v>0</v>
      </c>
      <c r="BL104">
        <v>0</v>
      </c>
      <c r="BM104">
        <v>0</v>
      </c>
      <c r="BN104" s="57">
        <f t="shared" ref="BN104" si="143">AVERAGE(BH104:BH108)</f>
        <v>35.074599999999997</v>
      </c>
    </row>
    <row r="105" spans="1:66">
      <c r="A105" t="s">
        <v>103</v>
      </c>
      <c r="B105">
        <v>1</v>
      </c>
      <c r="C105" t="s">
        <v>7</v>
      </c>
      <c r="D105">
        <v>29184</v>
      </c>
      <c r="E105">
        <v>128</v>
      </c>
      <c r="F105">
        <v>1</v>
      </c>
      <c r="G105" s="41">
        <v>4</v>
      </c>
      <c r="H105" s="1">
        <v>517.99</v>
      </c>
      <c r="I105" s="54">
        <v>31.992999999999999</v>
      </c>
      <c r="J105" s="23">
        <v>45558</v>
      </c>
      <c r="K105" s="46">
        <v>0.90290509259259255</v>
      </c>
      <c r="L105">
        <v>0</v>
      </c>
      <c r="M105">
        <v>0</v>
      </c>
      <c r="N105">
        <v>0</v>
      </c>
      <c r="O105" s="57">
        <f t="shared" ref="O105" si="144">O104</f>
        <v>31.927799999999998</v>
      </c>
      <c r="R105" t="s">
        <v>103</v>
      </c>
      <c r="S105">
        <v>1</v>
      </c>
      <c r="T105" t="s">
        <v>7</v>
      </c>
      <c r="U105">
        <v>29184</v>
      </c>
      <c r="V105">
        <v>128</v>
      </c>
      <c r="W105" s="58">
        <v>1</v>
      </c>
      <c r="X105">
        <v>4</v>
      </c>
      <c r="Y105" s="1">
        <v>522.57000000000005</v>
      </c>
      <c r="Z105" s="54">
        <v>31.713000000000001</v>
      </c>
      <c r="AA105" s="23">
        <v>45558</v>
      </c>
      <c r="AB105" s="46">
        <v>0.90265046296296292</v>
      </c>
      <c r="AC105">
        <v>0</v>
      </c>
      <c r="AD105">
        <v>0</v>
      </c>
      <c r="AE105">
        <v>0</v>
      </c>
      <c r="AF105" s="57">
        <f t="shared" si="95"/>
        <v>31.708199999999998</v>
      </c>
      <c r="AI105" s="23" t="s">
        <v>154</v>
      </c>
      <c r="AJ105" s="46">
        <v>1</v>
      </c>
      <c r="AK105" t="s">
        <v>7</v>
      </c>
      <c r="AL105">
        <v>29184</v>
      </c>
      <c r="AM105">
        <v>128</v>
      </c>
      <c r="AN105" s="41">
        <v>1</v>
      </c>
      <c r="AO105">
        <v>4</v>
      </c>
      <c r="AP105" s="1">
        <v>431.85</v>
      </c>
      <c r="AQ105" s="54">
        <v>38.374000000000002</v>
      </c>
      <c r="AR105" s="23">
        <v>45558</v>
      </c>
      <c r="AS105" s="46">
        <v>0.81194444444444447</v>
      </c>
      <c r="AT105">
        <v>0</v>
      </c>
      <c r="AU105">
        <v>0</v>
      </c>
      <c r="AV105">
        <v>0</v>
      </c>
      <c r="AW105" s="57">
        <f t="shared" ref="AW105:AW108" si="145">AW104</f>
        <v>38.209199999999996</v>
      </c>
      <c r="AZ105" t="s">
        <v>154</v>
      </c>
      <c r="BA105">
        <v>1</v>
      </c>
      <c r="BB105" t="s">
        <v>7</v>
      </c>
      <c r="BC105">
        <v>29184</v>
      </c>
      <c r="BD105">
        <v>128</v>
      </c>
      <c r="BE105">
        <v>1</v>
      </c>
      <c r="BF105">
        <v>4</v>
      </c>
      <c r="BG105" s="1">
        <v>471.89</v>
      </c>
      <c r="BH105" s="54">
        <v>35.119</v>
      </c>
      <c r="BI105" s="23">
        <v>45558</v>
      </c>
      <c r="BJ105" s="46">
        <v>0.85601851851851851</v>
      </c>
      <c r="BK105">
        <v>0</v>
      </c>
      <c r="BL105">
        <v>0</v>
      </c>
      <c r="BM105">
        <v>0</v>
      </c>
      <c r="BN105" s="57">
        <f t="shared" ref="BN105:BN108" si="146">BN104</f>
        <v>35.074599999999997</v>
      </c>
    </row>
    <row r="106" spans="1:66">
      <c r="A106" t="s">
        <v>103</v>
      </c>
      <c r="B106">
        <v>2</v>
      </c>
      <c r="C106" t="s">
        <v>7</v>
      </c>
      <c r="D106">
        <v>29184</v>
      </c>
      <c r="E106">
        <v>128</v>
      </c>
      <c r="F106">
        <v>1</v>
      </c>
      <c r="G106" s="41">
        <v>4</v>
      </c>
      <c r="H106" s="1">
        <v>520.07000000000005</v>
      </c>
      <c r="I106" s="54">
        <v>31.864999999999998</v>
      </c>
      <c r="J106" s="23">
        <v>45559</v>
      </c>
      <c r="K106" s="46">
        <v>0.24515046296296297</v>
      </c>
      <c r="L106">
        <v>0</v>
      </c>
      <c r="M106">
        <v>0</v>
      </c>
      <c r="N106">
        <v>0</v>
      </c>
      <c r="O106" s="57">
        <f t="shared" si="102"/>
        <v>31.927799999999998</v>
      </c>
      <c r="R106" t="s">
        <v>103</v>
      </c>
      <c r="S106">
        <v>2</v>
      </c>
      <c r="T106" t="s">
        <v>7</v>
      </c>
      <c r="U106">
        <v>29184</v>
      </c>
      <c r="V106">
        <v>128</v>
      </c>
      <c r="W106" s="58">
        <v>1</v>
      </c>
      <c r="X106">
        <v>4</v>
      </c>
      <c r="Y106" s="1">
        <v>520.79999999999995</v>
      </c>
      <c r="Z106" s="54">
        <v>31.82</v>
      </c>
      <c r="AA106" s="23">
        <v>45559</v>
      </c>
      <c r="AB106" s="46">
        <v>0.24557870370370372</v>
      </c>
      <c r="AC106">
        <v>0</v>
      </c>
      <c r="AD106">
        <v>0</v>
      </c>
      <c r="AE106">
        <v>0</v>
      </c>
      <c r="AF106" s="57">
        <f t="shared" si="95"/>
        <v>31.708199999999998</v>
      </c>
      <c r="AI106" s="23" t="s">
        <v>154</v>
      </c>
      <c r="AJ106" s="46">
        <v>2</v>
      </c>
      <c r="AK106" t="s">
        <v>7</v>
      </c>
      <c r="AL106">
        <v>29184</v>
      </c>
      <c r="AM106">
        <v>128</v>
      </c>
      <c r="AN106" s="41">
        <v>1</v>
      </c>
      <c r="AO106">
        <v>4</v>
      </c>
      <c r="AP106" s="1">
        <v>433.65</v>
      </c>
      <c r="AQ106" s="54">
        <v>38.215000000000003</v>
      </c>
      <c r="AR106" s="23">
        <v>45559</v>
      </c>
      <c r="AS106" s="46">
        <v>0.10075231481481481</v>
      </c>
      <c r="AT106">
        <v>0</v>
      </c>
      <c r="AU106">
        <v>0</v>
      </c>
      <c r="AV106">
        <v>0</v>
      </c>
      <c r="AW106" s="57">
        <f t="shared" si="145"/>
        <v>38.209199999999996</v>
      </c>
      <c r="AZ106" t="s">
        <v>154</v>
      </c>
      <c r="BA106">
        <v>2</v>
      </c>
      <c r="BB106" t="s">
        <v>7</v>
      </c>
      <c r="BC106">
        <v>29184</v>
      </c>
      <c r="BD106">
        <v>128</v>
      </c>
      <c r="BE106">
        <v>1</v>
      </c>
      <c r="BF106">
        <v>4</v>
      </c>
      <c r="BG106" s="1">
        <v>472.85</v>
      </c>
      <c r="BH106" s="54">
        <v>35.046999999999997</v>
      </c>
      <c r="BI106" s="23">
        <v>45559</v>
      </c>
      <c r="BJ106" s="46">
        <v>0.16464120370370369</v>
      </c>
      <c r="BK106">
        <v>0</v>
      </c>
      <c r="BL106">
        <v>0</v>
      </c>
      <c r="BM106">
        <v>0</v>
      </c>
      <c r="BN106" s="57">
        <f t="shared" si="146"/>
        <v>35.074599999999997</v>
      </c>
    </row>
    <row r="107" spans="1:66">
      <c r="A107" t="s">
        <v>103</v>
      </c>
      <c r="B107">
        <v>3</v>
      </c>
      <c r="C107" t="s">
        <v>7</v>
      </c>
      <c r="D107">
        <v>29184</v>
      </c>
      <c r="E107">
        <v>128</v>
      </c>
      <c r="F107">
        <v>1</v>
      </c>
      <c r="G107" s="41">
        <v>4</v>
      </c>
      <c r="H107" s="1">
        <v>520.05999999999995</v>
      </c>
      <c r="I107" s="54">
        <v>31.866</v>
      </c>
      <c r="J107" s="23">
        <v>45559</v>
      </c>
      <c r="K107" s="46">
        <v>0.58745370370370376</v>
      </c>
      <c r="L107">
        <v>0</v>
      </c>
      <c r="M107">
        <v>0</v>
      </c>
      <c r="N107">
        <v>0</v>
      </c>
      <c r="O107" s="57">
        <f t="shared" si="102"/>
        <v>31.927799999999998</v>
      </c>
      <c r="R107" t="s">
        <v>103</v>
      </c>
      <c r="S107">
        <v>3</v>
      </c>
      <c r="T107" t="s">
        <v>7</v>
      </c>
      <c r="U107">
        <v>29184</v>
      </c>
      <c r="V107">
        <v>128</v>
      </c>
      <c r="W107" s="58">
        <v>1</v>
      </c>
      <c r="X107">
        <v>4</v>
      </c>
      <c r="Y107" s="1">
        <v>526.41999999999996</v>
      </c>
      <c r="Z107" s="54">
        <v>31.481000000000002</v>
      </c>
      <c r="AA107" s="23">
        <v>45559</v>
      </c>
      <c r="AB107" s="46">
        <v>0.58884259259259264</v>
      </c>
      <c r="AC107">
        <v>0</v>
      </c>
      <c r="AD107">
        <v>0</v>
      </c>
      <c r="AE107">
        <v>0</v>
      </c>
      <c r="AF107" s="57">
        <f t="shared" si="95"/>
        <v>31.708199999999998</v>
      </c>
      <c r="AI107" s="23" t="s">
        <v>154</v>
      </c>
      <c r="AJ107" s="46">
        <v>3</v>
      </c>
      <c r="AK107" t="s">
        <v>7</v>
      </c>
      <c r="AL107">
        <v>29184</v>
      </c>
      <c r="AM107">
        <v>128</v>
      </c>
      <c r="AN107" s="41">
        <v>1</v>
      </c>
      <c r="AO107">
        <v>4</v>
      </c>
      <c r="AP107" s="1">
        <v>435.28</v>
      </c>
      <c r="AQ107" s="54">
        <v>38.073</v>
      </c>
      <c r="AR107" s="23">
        <v>45559</v>
      </c>
      <c r="AS107" s="46">
        <v>0.38993055555555556</v>
      </c>
      <c r="AT107">
        <v>0</v>
      </c>
      <c r="AU107">
        <v>0</v>
      </c>
      <c r="AV107">
        <v>0</v>
      </c>
      <c r="AW107" s="57">
        <f t="shared" si="145"/>
        <v>38.209199999999996</v>
      </c>
      <c r="AZ107" t="s">
        <v>154</v>
      </c>
      <c r="BA107">
        <v>3</v>
      </c>
      <c r="BB107" t="s">
        <v>7</v>
      </c>
      <c r="BC107">
        <v>29184</v>
      </c>
      <c r="BD107">
        <v>128</v>
      </c>
      <c r="BE107">
        <v>1</v>
      </c>
      <c r="BF107">
        <v>4</v>
      </c>
      <c r="BG107" s="1">
        <v>472.61</v>
      </c>
      <c r="BH107" s="54">
        <v>35.064999999999998</v>
      </c>
      <c r="BI107" s="23">
        <v>45559</v>
      </c>
      <c r="BJ107" s="46">
        <v>0.47312500000000002</v>
      </c>
      <c r="BK107">
        <v>0</v>
      </c>
      <c r="BL107">
        <v>0</v>
      </c>
      <c r="BM107">
        <v>0</v>
      </c>
      <c r="BN107" s="57">
        <f t="shared" si="146"/>
        <v>35.074599999999997</v>
      </c>
    </row>
    <row r="108" spans="1:66">
      <c r="A108" t="s">
        <v>103</v>
      </c>
      <c r="B108">
        <v>4</v>
      </c>
      <c r="C108" t="s">
        <v>7</v>
      </c>
      <c r="D108">
        <v>29184</v>
      </c>
      <c r="E108">
        <v>128</v>
      </c>
      <c r="F108">
        <v>1</v>
      </c>
      <c r="G108" s="41">
        <v>4</v>
      </c>
      <c r="H108" s="1">
        <v>518.78</v>
      </c>
      <c r="I108" s="54">
        <v>31.943999999999999</v>
      </c>
      <c r="J108" s="23">
        <v>45559</v>
      </c>
      <c r="K108" s="46">
        <v>0.92956018518518524</v>
      </c>
      <c r="L108">
        <v>0</v>
      </c>
      <c r="M108">
        <v>0</v>
      </c>
      <c r="N108">
        <v>0</v>
      </c>
      <c r="O108" s="57">
        <f t="shared" si="102"/>
        <v>31.927799999999998</v>
      </c>
      <c r="R108" t="s">
        <v>103</v>
      </c>
      <c r="S108">
        <v>4</v>
      </c>
      <c r="T108" t="s">
        <v>7</v>
      </c>
      <c r="U108">
        <v>29184</v>
      </c>
      <c r="V108">
        <v>128</v>
      </c>
      <c r="W108" s="58">
        <v>1</v>
      </c>
      <c r="X108">
        <v>4</v>
      </c>
      <c r="Y108" s="1">
        <v>521.58000000000004</v>
      </c>
      <c r="Z108" s="54">
        <v>31.773</v>
      </c>
      <c r="AA108" s="23">
        <v>45559</v>
      </c>
      <c r="AB108" s="46">
        <v>0.93179398148148151</v>
      </c>
      <c r="AC108">
        <v>0</v>
      </c>
      <c r="AD108">
        <v>0</v>
      </c>
      <c r="AE108">
        <v>0</v>
      </c>
      <c r="AF108" s="57">
        <f t="shared" si="95"/>
        <v>31.708199999999998</v>
      </c>
      <c r="AI108" s="23" t="s">
        <v>154</v>
      </c>
      <c r="AJ108" s="46">
        <v>4</v>
      </c>
      <c r="AK108" t="s">
        <v>7</v>
      </c>
      <c r="AL108">
        <v>29184</v>
      </c>
      <c r="AM108">
        <v>128</v>
      </c>
      <c r="AN108" s="41">
        <v>1</v>
      </c>
      <c r="AO108">
        <v>4</v>
      </c>
      <c r="AP108" s="1">
        <v>435.18</v>
      </c>
      <c r="AQ108" s="54">
        <v>38.081000000000003</v>
      </c>
      <c r="AR108" s="23">
        <v>45559</v>
      </c>
      <c r="AS108" s="46">
        <v>0.67965277777777777</v>
      </c>
      <c r="AT108">
        <v>0</v>
      </c>
      <c r="AU108">
        <v>0</v>
      </c>
      <c r="AV108">
        <v>0</v>
      </c>
      <c r="AW108" s="57">
        <f t="shared" si="145"/>
        <v>38.209199999999996</v>
      </c>
      <c r="AZ108" t="s">
        <v>154</v>
      </c>
      <c r="BA108">
        <v>4</v>
      </c>
      <c r="BB108" t="s">
        <v>7</v>
      </c>
      <c r="BC108">
        <v>29184</v>
      </c>
      <c r="BD108">
        <v>128</v>
      </c>
      <c r="BE108">
        <v>1</v>
      </c>
      <c r="BF108">
        <v>4</v>
      </c>
      <c r="BG108" s="1">
        <v>472.01</v>
      </c>
      <c r="BH108" s="54">
        <v>35.11</v>
      </c>
      <c r="BI108" s="23">
        <v>45559</v>
      </c>
      <c r="BJ108" s="46">
        <v>0.78148148148148144</v>
      </c>
      <c r="BK108">
        <v>0</v>
      </c>
      <c r="BL108">
        <v>0</v>
      </c>
      <c r="BM108">
        <v>0</v>
      </c>
      <c r="BN108" s="57">
        <f t="shared" si="146"/>
        <v>35.074599999999997</v>
      </c>
    </row>
    <row r="109" spans="1:66">
      <c r="A109" t="s">
        <v>103</v>
      </c>
      <c r="B109">
        <v>0</v>
      </c>
      <c r="C109" t="s">
        <v>7</v>
      </c>
      <c r="D109">
        <v>26112</v>
      </c>
      <c r="E109">
        <v>128</v>
      </c>
      <c r="F109">
        <v>2</v>
      </c>
      <c r="G109" s="41">
        <v>2</v>
      </c>
      <c r="H109" s="1">
        <v>373.9</v>
      </c>
      <c r="I109" s="54">
        <v>31.748000000000001</v>
      </c>
      <c r="J109" s="23">
        <v>45558</v>
      </c>
      <c r="K109" s="46">
        <v>0.3348726851851852</v>
      </c>
      <c r="L109">
        <v>0</v>
      </c>
      <c r="M109">
        <v>0</v>
      </c>
      <c r="N109">
        <v>0</v>
      </c>
      <c r="O109" s="57">
        <f t="shared" ref="O109" si="147">AVERAGE(I109:I113)</f>
        <v>31.725999999999999</v>
      </c>
      <c r="R109" t="s">
        <v>103</v>
      </c>
      <c r="S109">
        <v>0</v>
      </c>
      <c r="T109" t="s">
        <v>7</v>
      </c>
      <c r="U109">
        <v>26112</v>
      </c>
      <c r="V109">
        <v>128</v>
      </c>
      <c r="W109" s="41">
        <v>2</v>
      </c>
      <c r="X109">
        <v>2</v>
      </c>
      <c r="Y109" s="1">
        <v>375.85</v>
      </c>
      <c r="Z109" s="54">
        <v>31.582999999999998</v>
      </c>
      <c r="AA109" s="23">
        <v>45558</v>
      </c>
      <c r="AB109" s="46">
        <v>0.33309027777777778</v>
      </c>
      <c r="AC109">
        <v>0</v>
      </c>
      <c r="AD109">
        <v>0</v>
      </c>
      <c r="AE109">
        <v>0</v>
      </c>
      <c r="AF109" s="57">
        <f t="shared" ref="AF109" si="148">AVERAGE(Z109:Z113)</f>
        <v>31.589199999999998</v>
      </c>
      <c r="AI109" s="23" t="s">
        <v>154</v>
      </c>
      <c r="AJ109" s="46">
        <v>0</v>
      </c>
      <c r="AK109" t="s">
        <v>7</v>
      </c>
      <c r="AL109">
        <v>26112</v>
      </c>
      <c r="AM109">
        <v>128</v>
      </c>
      <c r="AN109" s="41">
        <v>2</v>
      </c>
      <c r="AO109">
        <v>2</v>
      </c>
      <c r="AP109" s="1">
        <v>320.88</v>
      </c>
      <c r="AQ109" s="54">
        <v>36.993000000000002</v>
      </c>
      <c r="AR109" s="23">
        <v>45558</v>
      </c>
      <c r="AS109" s="46">
        <v>0.32741898148148146</v>
      </c>
      <c r="AT109">
        <v>0</v>
      </c>
      <c r="AU109">
        <v>0</v>
      </c>
      <c r="AV109">
        <v>0</v>
      </c>
      <c r="AW109" s="57">
        <f t="shared" ref="AW109" si="149">AVERAGE(AQ109:AQ113)</f>
        <v>36.85</v>
      </c>
      <c r="AZ109" t="s">
        <v>154</v>
      </c>
      <c r="BA109">
        <v>0</v>
      </c>
      <c r="BB109" t="s">
        <v>7</v>
      </c>
      <c r="BC109">
        <v>26112</v>
      </c>
      <c r="BD109">
        <v>128</v>
      </c>
      <c r="BE109">
        <v>2</v>
      </c>
      <c r="BF109">
        <v>2</v>
      </c>
      <c r="BG109" s="1">
        <v>379.52</v>
      </c>
      <c r="BH109" s="54">
        <v>31.277000000000001</v>
      </c>
      <c r="BI109" s="23">
        <v>45558</v>
      </c>
      <c r="BJ109" s="46">
        <v>0.33135416666666667</v>
      </c>
      <c r="BK109">
        <v>0</v>
      </c>
      <c r="BL109">
        <v>0</v>
      </c>
      <c r="BM109">
        <v>0</v>
      </c>
      <c r="BN109" s="57">
        <f t="shared" ref="BN109" si="150">AVERAGE(BH109:BH113)</f>
        <v>31.2546</v>
      </c>
    </row>
    <row r="110" spans="1:66">
      <c r="A110" t="s">
        <v>103</v>
      </c>
      <c r="B110">
        <v>1</v>
      </c>
      <c r="C110" t="s">
        <v>7</v>
      </c>
      <c r="D110">
        <v>26112</v>
      </c>
      <c r="E110">
        <v>128</v>
      </c>
      <c r="F110">
        <v>2</v>
      </c>
      <c r="G110" s="41">
        <v>2</v>
      </c>
      <c r="H110" s="1">
        <v>373.93</v>
      </c>
      <c r="I110" s="54">
        <v>31.745000000000001</v>
      </c>
      <c r="J110" s="23">
        <v>45558</v>
      </c>
      <c r="K110" s="46">
        <v>0.67692129629629627</v>
      </c>
      <c r="L110">
        <v>0</v>
      </c>
      <c r="M110">
        <v>0</v>
      </c>
      <c r="N110">
        <v>0</v>
      </c>
      <c r="O110" s="57">
        <f t="shared" ref="O110" si="151">O109</f>
        <v>31.725999999999999</v>
      </c>
      <c r="R110" t="s">
        <v>103</v>
      </c>
      <c r="S110">
        <v>1</v>
      </c>
      <c r="T110" t="s">
        <v>7</v>
      </c>
      <c r="U110">
        <v>26112</v>
      </c>
      <c r="V110">
        <v>128</v>
      </c>
      <c r="W110" s="41">
        <v>2</v>
      </c>
      <c r="X110">
        <v>2</v>
      </c>
      <c r="Y110" s="1">
        <v>375.39</v>
      </c>
      <c r="Z110" s="54">
        <v>31.620999999999999</v>
      </c>
      <c r="AA110" s="23">
        <v>45558</v>
      </c>
      <c r="AB110" s="46">
        <v>0.6761921296296296</v>
      </c>
      <c r="AC110">
        <v>0</v>
      </c>
      <c r="AD110">
        <v>0</v>
      </c>
      <c r="AE110">
        <v>0</v>
      </c>
      <c r="AF110" s="57">
        <f t="shared" si="95"/>
        <v>31.589199999999998</v>
      </c>
      <c r="AI110" s="23" t="s">
        <v>154</v>
      </c>
      <c r="AJ110" s="46">
        <v>1</v>
      </c>
      <c r="AK110" t="s">
        <v>7</v>
      </c>
      <c r="AL110">
        <v>26112</v>
      </c>
      <c r="AM110">
        <v>128</v>
      </c>
      <c r="AN110" s="41">
        <v>2</v>
      </c>
      <c r="AO110">
        <v>2</v>
      </c>
      <c r="AP110" s="1">
        <v>322.05</v>
      </c>
      <c r="AQ110" s="54">
        <v>36.859000000000002</v>
      </c>
      <c r="AR110" s="23">
        <v>45558</v>
      </c>
      <c r="AS110" s="46">
        <v>0.61967592592592591</v>
      </c>
      <c r="AT110">
        <v>0</v>
      </c>
      <c r="AU110">
        <v>0</v>
      </c>
      <c r="AV110">
        <v>0</v>
      </c>
      <c r="AW110" s="57">
        <f t="shared" ref="AW110:AW113" si="152">AW109</f>
        <v>36.85</v>
      </c>
      <c r="AZ110" t="s">
        <v>154</v>
      </c>
      <c r="BA110">
        <v>1</v>
      </c>
      <c r="BB110" t="s">
        <v>7</v>
      </c>
      <c r="BC110">
        <v>26112</v>
      </c>
      <c r="BD110">
        <v>128</v>
      </c>
      <c r="BE110">
        <v>2</v>
      </c>
      <c r="BF110">
        <v>2</v>
      </c>
      <c r="BG110" s="1">
        <v>379.07</v>
      </c>
      <c r="BH110" s="54">
        <v>31.314</v>
      </c>
      <c r="BI110" s="23">
        <v>45558</v>
      </c>
      <c r="BJ110" s="46">
        <v>0.65226851851851853</v>
      </c>
      <c r="BK110">
        <v>0</v>
      </c>
      <c r="BL110">
        <v>0</v>
      </c>
      <c r="BM110">
        <v>0</v>
      </c>
      <c r="BN110" s="57">
        <f t="shared" ref="BN110:BN113" si="153">BN109</f>
        <v>31.2546</v>
      </c>
    </row>
    <row r="111" spans="1:66">
      <c r="A111" t="s">
        <v>103</v>
      </c>
      <c r="B111">
        <v>2</v>
      </c>
      <c r="C111" t="s">
        <v>7</v>
      </c>
      <c r="D111">
        <v>26112</v>
      </c>
      <c r="E111">
        <v>128</v>
      </c>
      <c r="F111">
        <v>2</v>
      </c>
      <c r="G111" s="41">
        <v>2</v>
      </c>
      <c r="H111" s="1">
        <v>373.98</v>
      </c>
      <c r="I111" s="54">
        <v>31.741</v>
      </c>
      <c r="J111" s="23">
        <v>45559</v>
      </c>
      <c r="K111" s="46">
        <v>1.9143518518518518E-2</v>
      </c>
      <c r="L111">
        <v>0</v>
      </c>
      <c r="M111">
        <v>0</v>
      </c>
      <c r="N111">
        <v>0</v>
      </c>
      <c r="O111" s="57">
        <f t="shared" si="102"/>
        <v>31.725999999999999</v>
      </c>
      <c r="R111" t="s">
        <v>103</v>
      </c>
      <c r="S111">
        <v>2</v>
      </c>
      <c r="T111" t="s">
        <v>7</v>
      </c>
      <c r="U111">
        <v>26112</v>
      </c>
      <c r="V111">
        <v>128</v>
      </c>
      <c r="W111" s="58">
        <v>2</v>
      </c>
      <c r="X111">
        <v>2</v>
      </c>
      <c r="Y111" s="1">
        <v>375.88</v>
      </c>
      <c r="Z111" s="54">
        <v>31.581</v>
      </c>
      <c r="AA111" s="23">
        <v>45559</v>
      </c>
      <c r="AB111" s="46">
        <v>1.9293981481481481E-2</v>
      </c>
      <c r="AC111">
        <v>0</v>
      </c>
      <c r="AD111">
        <v>0</v>
      </c>
      <c r="AE111">
        <v>0</v>
      </c>
      <c r="AF111" s="57">
        <f t="shared" si="95"/>
        <v>31.589199999999998</v>
      </c>
      <c r="AI111" s="23" t="s">
        <v>154</v>
      </c>
      <c r="AJ111" s="46">
        <v>2</v>
      </c>
      <c r="AK111" t="s">
        <v>7</v>
      </c>
      <c r="AL111">
        <v>26112</v>
      </c>
      <c r="AM111">
        <v>128</v>
      </c>
      <c r="AN111" s="41">
        <v>2</v>
      </c>
      <c r="AO111">
        <v>2</v>
      </c>
      <c r="AP111" s="1">
        <v>321.33</v>
      </c>
      <c r="AQ111" s="54">
        <v>36.942</v>
      </c>
      <c r="AR111" s="23">
        <v>45558</v>
      </c>
      <c r="AS111" s="46">
        <v>0.90891203703703705</v>
      </c>
      <c r="AT111">
        <v>0</v>
      </c>
      <c r="AU111">
        <v>0</v>
      </c>
      <c r="AV111">
        <v>0</v>
      </c>
      <c r="AW111" s="57">
        <f t="shared" si="152"/>
        <v>36.85</v>
      </c>
      <c r="AZ111" t="s">
        <v>154</v>
      </c>
      <c r="BA111">
        <v>2</v>
      </c>
      <c r="BB111" t="s">
        <v>7</v>
      </c>
      <c r="BC111">
        <v>26112</v>
      </c>
      <c r="BD111">
        <v>128</v>
      </c>
      <c r="BE111">
        <v>2</v>
      </c>
      <c r="BF111">
        <v>2</v>
      </c>
      <c r="BG111" s="1">
        <v>380.87</v>
      </c>
      <c r="BH111" s="54">
        <v>31.166</v>
      </c>
      <c r="BI111" s="23">
        <v>45558</v>
      </c>
      <c r="BJ111" s="46">
        <v>0.96091435185185181</v>
      </c>
      <c r="BK111">
        <v>0</v>
      </c>
      <c r="BL111">
        <v>0</v>
      </c>
      <c r="BM111">
        <v>0</v>
      </c>
      <c r="BN111" s="57">
        <f t="shared" si="153"/>
        <v>31.2546</v>
      </c>
    </row>
    <row r="112" spans="1:66">
      <c r="A112" t="s">
        <v>103</v>
      </c>
      <c r="B112">
        <v>3</v>
      </c>
      <c r="C112" t="s">
        <v>7</v>
      </c>
      <c r="D112">
        <v>26112</v>
      </c>
      <c r="E112">
        <v>128</v>
      </c>
      <c r="F112">
        <v>2</v>
      </c>
      <c r="G112" s="41">
        <v>2</v>
      </c>
      <c r="H112" s="1">
        <v>374.71</v>
      </c>
      <c r="I112" s="54">
        <v>31.678999999999998</v>
      </c>
      <c r="J112" s="23">
        <v>45559</v>
      </c>
      <c r="K112" s="46">
        <v>0.36149305555555555</v>
      </c>
      <c r="L112">
        <v>0</v>
      </c>
      <c r="M112">
        <v>0</v>
      </c>
      <c r="N112">
        <v>0</v>
      </c>
      <c r="O112" s="57">
        <f t="shared" si="102"/>
        <v>31.725999999999999</v>
      </c>
      <c r="R112" t="s">
        <v>103</v>
      </c>
      <c r="S112">
        <v>3</v>
      </c>
      <c r="T112" t="s">
        <v>7</v>
      </c>
      <c r="U112">
        <v>26112</v>
      </c>
      <c r="V112">
        <v>128</v>
      </c>
      <c r="W112" s="58">
        <v>2</v>
      </c>
      <c r="X112">
        <v>2</v>
      </c>
      <c r="Y112" s="1">
        <v>375.65</v>
      </c>
      <c r="Z112" s="54">
        <v>31.6</v>
      </c>
      <c r="AA112" s="23">
        <v>45559</v>
      </c>
      <c r="AB112" s="46">
        <v>0.36238425925925927</v>
      </c>
      <c r="AC112">
        <v>0</v>
      </c>
      <c r="AD112">
        <v>0</v>
      </c>
      <c r="AE112">
        <v>0</v>
      </c>
      <c r="AF112" s="57">
        <f t="shared" si="95"/>
        <v>31.589199999999998</v>
      </c>
      <c r="AI112" s="23" t="s">
        <v>154</v>
      </c>
      <c r="AJ112" s="46">
        <v>3</v>
      </c>
      <c r="AK112" t="s">
        <v>7</v>
      </c>
      <c r="AL112">
        <v>26112</v>
      </c>
      <c r="AM112">
        <v>128</v>
      </c>
      <c r="AN112" s="41">
        <v>2</v>
      </c>
      <c r="AO112">
        <v>2</v>
      </c>
      <c r="AP112" s="1">
        <v>323.17</v>
      </c>
      <c r="AQ112" s="54">
        <v>36.731999999999999</v>
      </c>
      <c r="AR112" s="23">
        <v>45559</v>
      </c>
      <c r="AS112" s="46">
        <v>0.19790509259259259</v>
      </c>
      <c r="AT112">
        <v>0</v>
      </c>
      <c r="AU112">
        <v>0</v>
      </c>
      <c r="AV112">
        <v>0</v>
      </c>
      <c r="AW112" s="57">
        <f t="shared" si="152"/>
        <v>36.85</v>
      </c>
      <c r="AZ112" t="s">
        <v>154</v>
      </c>
      <c r="BA112">
        <v>3</v>
      </c>
      <c r="BB112" t="s">
        <v>7</v>
      </c>
      <c r="BC112">
        <v>26112</v>
      </c>
      <c r="BD112">
        <v>128</v>
      </c>
      <c r="BE112">
        <v>2</v>
      </c>
      <c r="BF112">
        <v>2</v>
      </c>
      <c r="BG112" s="1">
        <v>379.65</v>
      </c>
      <c r="BH112" s="54">
        <v>31.265999999999998</v>
      </c>
      <c r="BI112" s="23">
        <v>45559</v>
      </c>
      <c r="BJ112" s="46">
        <v>0.26952546296296298</v>
      </c>
      <c r="BK112">
        <v>0</v>
      </c>
      <c r="BL112">
        <v>0</v>
      </c>
      <c r="BM112">
        <v>0</v>
      </c>
      <c r="BN112" s="57">
        <f t="shared" si="153"/>
        <v>31.2546</v>
      </c>
    </row>
    <row r="113" spans="1:66">
      <c r="A113" t="s">
        <v>103</v>
      </c>
      <c r="B113">
        <v>4</v>
      </c>
      <c r="C113" t="s">
        <v>7</v>
      </c>
      <c r="D113">
        <v>26112</v>
      </c>
      <c r="E113">
        <v>128</v>
      </c>
      <c r="F113">
        <v>2</v>
      </c>
      <c r="G113" s="41">
        <v>2</v>
      </c>
      <c r="H113" s="1">
        <v>374.26</v>
      </c>
      <c r="I113" s="54">
        <v>31.716999999999999</v>
      </c>
      <c r="J113" s="23">
        <v>45559</v>
      </c>
      <c r="K113" s="46">
        <v>0.70374999999999999</v>
      </c>
      <c r="L113">
        <v>0</v>
      </c>
      <c r="M113">
        <v>0</v>
      </c>
      <c r="N113">
        <v>0</v>
      </c>
      <c r="O113" s="57">
        <f t="shared" si="102"/>
        <v>31.725999999999999</v>
      </c>
      <c r="R113" t="s">
        <v>103</v>
      </c>
      <c r="S113">
        <v>4</v>
      </c>
      <c r="T113" t="s">
        <v>7</v>
      </c>
      <c r="U113">
        <v>26112</v>
      </c>
      <c r="V113">
        <v>128</v>
      </c>
      <c r="W113" s="58">
        <v>2</v>
      </c>
      <c r="X113">
        <v>2</v>
      </c>
      <c r="Y113" s="1">
        <v>376.11</v>
      </c>
      <c r="Z113" s="54">
        <v>31.561</v>
      </c>
      <c r="AA113" s="23">
        <v>45559</v>
      </c>
      <c r="AB113" s="46">
        <v>0.70556712962962964</v>
      </c>
      <c r="AC113">
        <v>0</v>
      </c>
      <c r="AD113">
        <v>0</v>
      </c>
      <c r="AE113">
        <v>0</v>
      </c>
      <c r="AF113" s="57">
        <f t="shared" si="95"/>
        <v>31.589199999999998</v>
      </c>
      <c r="AI113" s="23" t="s">
        <v>154</v>
      </c>
      <c r="AJ113" s="46">
        <v>4</v>
      </c>
      <c r="AK113" t="s">
        <v>7</v>
      </c>
      <c r="AL113">
        <v>26112</v>
      </c>
      <c r="AM113">
        <v>128</v>
      </c>
      <c r="AN113" s="41">
        <v>2</v>
      </c>
      <c r="AO113">
        <v>2</v>
      </c>
      <c r="AP113" s="1">
        <v>323.23</v>
      </c>
      <c r="AQ113" s="54">
        <v>36.723999999999997</v>
      </c>
      <c r="AR113" s="23">
        <v>45559</v>
      </c>
      <c r="AS113" s="46">
        <v>0.48711805555555554</v>
      </c>
      <c r="AT113">
        <v>0</v>
      </c>
      <c r="AU113">
        <v>0</v>
      </c>
      <c r="AV113">
        <v>0</v>
      </c>
      <c r="AW113" s="57">
        <f t="shared" si="152"/>
        <v>36.85</v>
      </c>
      <c r="AZ113" t="s">
        <v>154</v>
      </c>
      <c r="BA113">
        <v>4</v>
      </c>
      <c r="BB113" t="s">
        <v>7</v>
      </c>
      <c r="BC113">
        <v>26112</v>
      </c>
      <c r="BD113">
        <v>128</v>
      </c>
      <c r="BE113">
        <v>2</v>
      </c>
      <c r="BF113">
        <v>2</v>
      </c>
      <c r="BG113" s="1">
        <v>379.85</v>
      </c>
      <c r="BH113" s="54">
        <v>31.25</v>
      </c>
      <c r="BI113" s="23">
        <v>45559</v>
      </c>
      <c r="BJ113" s="46">
        <v>0.57796296296296301</v>
      </c>
      <c r="BK113">
        <v>0</v>
      </c>
      <c r="BL113">
        <v>0</v>
      </c>
      <c r="BM113">
        <v>0</v>
      </c>
      <c r="BN113" s="57">
        <f t="shared" si="153"/>
        <v>31.2546</v>
      </c>
    </row>
    <row r="114" spans="1:66">
      <c r="A114" t="s">
        <v>103</v>
      </c>
      <c r="B114">
        <v>0</v>
      </c>
      <c r="C114" t="s">
        <v>7</v>
      </c>
      <c r="D114">
        <v>27648</v>
      </c>
      <c r="E114">
        <v>128</v>
      </c>
      <c r="F114">
        <v>2</v>
      </c>
      <c r="G114" s="41">
        <v>2</v>
      </c>
      <c r="H114" s="1">
        <v>445.69</v>
      </c>
      <c r="I114" s="54">
        <v>31.614999999999998</v>
      </c>
      <c r="J114" s="23">
        <v>45558</v>
      </c>
      <c r="K114" s="46">
        <v>0.44104166666666667</v>
      </c>
      <c r="L114">
        <v>0</v>
      </c>
      <c r="M114">
        <v>0</v>
      </c>
      <c r="N114">
        <v>0</v>
      </c>
      <c r="O114" s="57">
        <f t="shared" ref="O114" si="154">AVERAGE(I114:I118)</f>
        <v>31.5702</v>
      </c>
      <c r="R114" t="s">
        <v>103</v>
      </c>
      <c r="S114">
        <v>0</v>
      </c>
      <c r="T114" t="s">
        <v>7</v>
      </c>
      <c r="U114">
        <v>27648</v>
      </c>
      <c r="V114">
        <v>128</v>
      </c>
      <c r="W114" s="41">
        <v>2</v>
      </c>
      <c r="X114">
        <v>2</v>
      </c>
      <c r="Y114" s="1">
        <v>448.81</v>
      </c>
      <c r="Z114" s="54">
        <v>31.396000000000001</v>
      </c>
      <c r="AA114" s="23">
        <v>45558</v>
      </c>
      <c r="AB114" s="46">
        <v>0.43956018518518519</v>
      </c>
      <c r="AC114">
        <v>0</v>
      </c>
      <c r="AD114">
        <v>0</v>
      </c>
      <c r="AE114">
        <v>0</v>
      </c>
      <c r="AF114" s="57">
        <f t="shared" ref="AF114" si="155">AVERAGE(Z114:Z118)</f>
        <v>31.404800000000002</v>
      </c>
      <c r="AI114" s="23" t="s">
        <v>154</v>
      </c>
      <c r="AJ114" s="46">
        <v>0</v>
      </c>
      <c r="AK114" t="s">
        <v>7</v>
      </c>
      <c r="AL114">
        <v>27648</v>
      </c>
      <c r="AM114">
        <v>128</v>
      </c>
      <c r="AN114" s="41">
        <v>2</v>
      </c>
      <c r="AO114">
        <v>2</v>
      </c>
      <c r="AP114" s="1">
        <v>383.71</v>
      </c>
      <c r="AQ114" s="54">
        <v>36.722999999999999</v>
      </c>
      <c r="AR114" s="23">
        <v>45558</v>
      </c>
      <c r="AS114" s="46">
        <v>0.41736111111111113</v>
      </c>
      <c r="AT114">
        <v>0</v>
      </c>
      <c r="AU114">
        <v>0</v>
      </c>
      <c r="AV114">
        <v>0</v>
      </c>
      <c r="AW114" s="57">
        <f t="shared" ref="AW114" si="156">AVERAGE(AQ114:AQ118)</f>
        <v>36.450800000000001</v>
      </c>
      <c r="AZ114" t="s">
        <v>154</v>
      </c>
      <c r="BA114">
        <v>0</v>
      </c>
      <c r="BB114" t="s">
        <v>7</v>
      </c>
      <c r="BC114">
        <v>27648</v>
      </c>
      <c r="BD114">
        <v>128</v>
      </c>
      <c r="BE114">
        <v>2</v>
      </c>
      <c r="BF114">
        <v>2</v>
      </c>
      <c r="BG114" s="1">
        <v>443.42</v>
      </c>
      <c r="BH114" s="54">
        <v>31.777999999999999</v>
      </c>
      <c r="BI114" s="23">
        <v>45558</v>
      </c>
      <c r="BJ114" s="46">
        <v>0.42785879629629631</v>
      </c>
      <c r="BK114">
        <v>0</v>
      </c>
      <c r="BL114">
        <v>0</v>
      </c>
      <c r="BM114">
        <v>0</v>
      </c>
      <c r="BN114" s="57">
        <f t="shared" ref="BN114" si="157">AVERAGE(BH114:BH118)</f>
        <v>31.8462</v>
      </c>
    </row>
    <row r="115" spans="1:66">
      <c r="A115" t="s">
        <v>103</v>
      </c>
      <c r="B115">
        <v>1</v>
      </c>
      <c r="C115" t="s">
        <v>7</v>
      </c>
      <c r="D115">
        <v>27648</v>
      </c>
      <c r="E115">
        <v>128</v>
      </c>
      <c r="F115">
        <v>2</v>
      </c>
      <c r="G115" s="41">
        <v>2</v>
      </c>
      <c r="H115" s="1">
        <v>446.4</v>
      </c>
      <c r="I115" s="54">
        <v>31.565999999999999</v>
      </c>
      <c r="J115" s="23">
        <v>45558</v>
      </c>
      <c r="K115" s="46">
        <v>0.78318287037037038</v>
      </c>
      <c r="L115">
        <v>0</v>
      </c>
      <c r="M115">
        <v>0</v>
      </c>
      <c r="N115">
        <v>0</v>
      </c>
      <c r="O115" s="57">
        <f t="shared" ref="O115" si="158">O114</f>
        <v>31.5702</v>
      </c>
      <c r="R115" t="s">
        <v>103</v>
      </c>
      <c r="S115">
        <v>1</v>
      </c>
      <c r="T115" t="s">
        <v>7</v>
      </c>
      <c r="U115">
        <v>27648</v>
      </c>
      <c r="V115">
        <v>128</v>
      </c>
      <c r="W115" s="41">
        <v>2</v>
      </c>
      <c r="X115">
        <v>2</v>
      </c>
      <c r="Y115" s="1">
        <v>448.99</v>
      </c>
      <c r="Z115" s="54">
        <v>31.382999999999999</v>
      </c>
      <c r="AA115" s="23">
        <v>45558</v>
      </c>
      <c r="AB115" s="46">
        <v>0.7826967592592593</v>
      </c>
      <c r="AC115">
        <v>0</v>
      </c>
      <c r="AD115">
        <v>0</v>
      </c>
      <c r="AE115">
        <v>0</v>
      </c>
      <c r="AF115" s="57">
        <f t="shared" si="95"/>
        <v>31.404800000000002</v>
      </c>
      <c r="AI115" s="23" t="s">
        <v>154</v>
      </c>
      <c r="AJ115" s="46">
        <v>1</v>
      </c>
      <c r="AK115" t="s">
        <v>7</v>
      </c>
      <c r="AL115">
        <v>27648</v>
      </c>
      <c r="AM115">
        <v>128</v>
      </c>
      <c r="AN115" s="41">
        <v>2</v>
      </c>
      <c r="AO115">
        <v>2</v>
      </c>
      <c r="AP115" s="1">
        <v>401.93</v>
      </c>
      <c r="AQ115" s="54">
        <v>35.058</v>
      </c>
      <c r="AR115" s="23">
        <v>45558</v>
      </c>
      <c r="AS115" s="46">
        <v>0.7101736111111111</v>
      </c>
      <c r="AT115">
        <v>0</v>
      </c>
      <c r="AU115">
        <v>0</v>
      </c>
      <c r="AV115">
        <v>0</v>
      </c>
      <c r="AW115" s="57">
        <f t="shared" ref="AW115:AW118" si="159">AW114</f>
        <v>36.450800000000001</v>
      </c>
      <c r="AZ115" t="s">
        <v>154</v>
      </c>
      <c r="BA115">
        <v>1</v>
      </c>
      <c r="BB115" t="s">
        <v>7</v>
      </c>
      <c r="BC115">
        <v>27648</v>
      </c>
      <c r="BD115">
        <v>128</v>
      </c>
      <c r="BE115">
        <v>2</v>
      </c>
      <c r="BF115">
        <v>2</v>
      </c>
      <c r="BG115" s="1">
        <v>440.89</v>
      </c>
      <c r="BH115" s="54">
        <v>31.96</v>
      </c>
      <c r="BI115" s="23">
        <v>45558</v>
      </c>
      <c r="BJ115" s="46">
        <v>0.74858796296296293</v>
      </c>
      <c r="BK115">
        <v>0</v>
      </c>
      <c r="BL115">
        <v>0</v>
      </c>
      <c r="BM115">
        <v>0</v>
      </c>
      <c r="BN115" s="57">
        <f t="shared" ref="BN115:BN118" si="160">BN114</f>
        <v>31.8462</v>
      </c>
    </row>
    <row r="116" spans="1:66">
      <c r="A116" t="s">
        <v>103</v>
      </c>
      <c r="B116">
        <v>2</v>
      </c>
      <c r="C116" t="s">
        <v>7</v>
      </c>
      <c r="D116">
        <v>27648</v>
      </c>
      <c r="E116">
        <v>128</v>
      </c>
      <c r="F116">
        <v>2</v>
      </c>
      <c r="G116" s="41">
        <v>2</v>
      </c>
      <c r="H116" s="1">
        <v>446.69</v>
      </c>
      <c r="I116" s="54">
        <v>31.545000000000002</v>
      </c>
      <c r="J116" s="23">
        <v>45559</v>
      </c>
      <c r="K116" s="46">
        <v>0.12530092592592593</v>
      </c>
      <c r="L116">
        <v>0</v>
      </c>
      <c r="M116">
        <v>0</v>
      </c>
      <c r="N116">
        <v>0</v>
      </c>
      <c r="O116" s="57">
        <f t="shared" si="102"/>
        <v>31.5702</v>
      </c>
      <c r="R116" t="s">
        <v>103</v>
      </c>
      <c r="S116">
        <v>2</v>
      </c>
      <c r="T116" t="s">
        <v>7</v>
      </c>
      <c r="U116">
        <v>27648</v>
      </c>
      <c r="V116">
        <v>128</v>
      </c>
      <c r="W116" s="58">
        <v>2</v>
      </c>
      <c r="X116">
        <v>2</v>
      </c>
      <c r="Y116" s="1">
        <v>448.86</v>
      </c>
      <c r="Z116" s="54">
        <v>31.391999999999999</v>
      </c>
      <c r="AA116" s="23">
        <v>45559</v>
      </c>
      <c r="AB116" s="46">
        <v>0.12568287037037038</v>
      </c>
      <c r="AC116">
        <v>0</v>
      </c>
      <c r="AD116">
        <v>0</v>
      </c>
      <c r="AE116">
        <v>0</v>
      </c>
      <c r="AF116" s="57">
        <f t="shared" si="95"/>
        <v>31.404800000000002</v>
      </c>
      <c r="AI116" s="23" t="s">
        <v>154</v>
      </c>
      <c r="AJ116" s="46">
        <v>2</v>
      </c>
      <c r="AK116" t="s">
        <v>7</v>
      </c>
      <c r="AL116">
        <v>27648</v>
      </c>
      <c r="AM116">
        <v>128</v>
      </c>
      <c r="AN116" s="41">
        <v>2</v>
      </c>
      <c r="AO116">
        <v>2</v>
      </c>
      <c r="AP116" s="1">
        <v>383.27</v>
      </c>
      <c r="AQ116" s="54">
        <v>36.764000000000003</v>
      </c>
      <c r="AR116" s="23">
        <v>45558</v>
      </c>
      <c r="AS116" s="46">
        <v>0.99917824074074069</v>
      </c>
      <c r="AT116">
        <v>0</v>
      </c>
      <c r="AU116">
        <v>0</v>
      </c>
      <c r="AV116">
        <v>0</v>
      </c>
      <c r="AW116" s="57">
        <f t="shared" si="159"/>
        <v>36.450800000000001</v>
      </c>
      <c r="AZ116" t="s">
        <v>154</v>
      </c>
      <c r="BA116">
        <v>2</v>
      </c>
      <c r="BB116" t="s">
        <v>7</v>
      </c>
      <c r="BC116">
        <v>27648</v>
      </c>
      <c r="BD116">
        <v>128</v>
      </c>
      <c r="BE116">
        <v>2</v>
      </c>
      <c r="BF116">
        <v>2</v>
      </c>
      <c r="BG116" s="1">
        <v>442.11</v>
      </c>
      <c r="BH116" s="54">
        <v>31.872</v>
      </c>
      <c r="BI116" s="23">
        <v>45559</v>
      </c>
      <c r="BJ116" s="46">
        <v>5.7314814814814811E-2</v>
      </c>
      <c r="BK116">
        <v>0</v>
      </c>
      <c r="BL116">
        <v>0</v>
      </c>
      <c r="BM116">
        <v>0</v>
      </c>
      <c r="BN116" s="57">
        <f t="shared" si="160"/>
        <v>31.8462</v>
      </c>
    </row>
    <row r="117" spans="1:66">
      <c r="A117" t="s">
        <v>103</v>
      </c>
      <c r="B117">
        <v>3</v>
      </c>
      <c r="C117" t="s">
        <v>7</v>
      </c>
      <c r="D117">
        <v>27648</v>
      </c>
      <c r="E117">
        <v>128</v>
      </c>
      <c r="F117">
        <v>2</v>
      </c>
      <c r="G117" s="41">
        <v>2</v>
      </c>
      <c r="H117" s="1">
        <v>446.25</v>
      </c>
      <c r="I117" s="54">
        <v>31.576000000000001</v>
      </c>
      <c r="J117" s="23">
        <v>45559</v>
      </c>
      <c r="K117" s="46">
        <v>0.4677546296296296</v>
      </c>
      <c r="L117">
        <v>0</v>
      </c>
      <c r="M117">
        <v>0</v>
      </c>
      <c r="N117">
        <v>0</v>
      </c>
      <c r="O117" s="57">
        <f t="shared" si="102"/>
        <v>31.5702</v>
      </c>
      <c r="R117" t="s">
        <v>103</v>
      </c>
      <c r="S117">
        <v>3</v>
      </c>
      <c r="T117" t="s">
        <v>7</v>
      </c>
      <c r="U117">
        <v>27648</v>
      </c>
      <c r="V117">
        <v>128</v>
      </c>
      <c r="W117" s="58">
        <v>2</v>
      </c>
      <c r="X117">
        <v>2</v>
      </c>
      <c r="Y117" s="1">
        <v>449.23</v>
      </c>
      <c r="Z117" s="54">
        <v>31.366</v>
      </c>
      <c r="AA117" s="23">
        <v>45559</v>
      </c>
      <c r="AB117" s="46">
        <v>0.46880787037037036</v>
      </c>
      <c r="AC117">
        <v>0</v>
      </c>
      <c r="AD117">
        <v>0</v>
      </c>
      <c r="AE117">
        <v>0</v>
      </c>
      <c r="AF117" s="57">
        <f t="shared" si="95"/>
        <v>31.404800000000002</v>
      </c>
      <c r="AI117" s="23" t="s">
        <v>154</v>
      </c>
      <c r="AJ117" s="46">
        <v>3</v>
      </c>
      <c r="AK117" t="s">
        <v>7</v>
      </c>
      <c r="AL117">
        <v>27648</v>
      </c>
      <c r="AM117">
        <v>128</v>
      </c>
      <c r="AN117" s="41">
        <v>2</v>
      </c>
      <c r="AO117">
        <v>2</v>
      </c>
      <c r="AP117" s="1">
        <v>380.29</v>
      </c>
      <c r="AQ117" s="54">
        <v>37.052999999999997</v>
      </c>
      <c r="AR117" s="23">
        <v>45559</v>
      </c>
      <c r="AS117" s="46">
        <v>0.2880671296296296</v>
      </c>
      <c r="AT117">
        <v>0</v>
      </c>
      <c r="AU117">
        <v>0</v>
      </c>
      <c r="AV117">
        <v>0</v>
      </c>
      <c r="AW117" s="57">
        <f t="shared" si="159"/>
        <v>36.450800000000001</v>
      </c>
      <c r="AZ117" t="s">
        <v>154</v>
      </c>
      <c r="BA117">
        <v>3</v>
      </c>
      <c r="BB117" t="s">
        <v>7</v>
      </c>
      <c r="BC117">
        <v>27648</v>
      </c>
      <c r="BD117">
        <v>128</v>
      </c>
      <c r="BE117">
        <v>2</v>
      </c>
      <c r="BF117">
        <v>2</v>
      </c>
      <c r="BG117" s="1">
        <v>442.48</v>
      </c>
      <c r="BH117" s="54">
        <v>31.844999999999999</v>
      </c>
      <c r="BI117" s="23">
        <v>45559</v>
      </c>
      <c r="BJ117" s="46">
        <v>0.36582175925925925</v>
      </c>
      <c r="BK117">
        <v>0</v>
      </c>
      <c r="BL117">
        <v>0</v>
      </c>
      <c r="BM117">
        <v>0</v>
      </c>
      <c r="BN117" s="57">
        <f t="shared" si="160"/>
        <v>31.8462</v>
      </c>
    </row>
    <row r="118" spans="1:66">
      <c r="A118" t="s">
        <v>103</v>
      </c>
      <c r="B118">
        <v>4</v>
      </c>
      <c r="C118" t="s">
        <v>7</v>
      </c>
      <c r="D118">
        <v>27648</v>
      </c>
      <c r="E118">
        <v>128</v>
      </c>
      <c r="F118">
        <v>2</v>
      </c>
      <c r="G118" s="41">
        <v>2</v>
      </c>
      <c r="H118" s="1">
        <v>446.63</v>
      </c>
      <c r="I118" s="54">
        <v>31.548999999999999</v>
      </c>
      <c r="J118" s="23">
        <v>45559</v>
      </c>
      <c r="K118" s="46">
        <v>0.8099884259259259</v>
      </c>
      <c r="L118">
        <v>0</v>
      </c>
      <c r="M118">
        <v>0</v>
      </c>
      <c r="N118">
        <v>0</v>
      </c>
      <c r="O118" s="57">
        <f t="shared" si="102"/>
        <v>31.5702</v>
      </c>
      <c r="R118" t="s">
        <v>103</v>
      </c>
      <c r="S118">
        <v>4</v>
      </c>
      <c r="T118" t="s">
        <v>7</v>
      </c>
      <c r="U118">
        <v>27648</v>
      </c>
      <c r="V118">
        <v>128</v>
      </c>
      <c r="W118" s="58">
        <v>2</v>
      </c>
      <c r="X118">
        <v>2</v>
      </c>
      <c r="Y118" s="1">
        <v>447.52</v>
      </c>
      <c r="Z118" s="54">
        <v>31.486999999999998</v>
      </c>
      <c r="AA118" s="23">
        <v>45559</v>
      </c>
      <c r="AB118" s="46">
        <v>0.81194444444444447</v>
      </c>
      <c r="AC118">
        <v>0</v>
      </c>
      <c r="AD118">
        <v>0</v>
      </c>
      <c r="AE118">
        <v>0</v>
      </c>
      <c r="AF118" s="57">
        <f t="shared" si="95"/>
        <v>31.404800000000002</v>
      </c>
      <c r="AI118" s="23" t="s">
        <v>154</v>
      </c>
      <c r="AJ118" s="46">
        <v>4</v>
      </c>
      <c r="AK118" t="s">
        <v>7</v>
      </c>
      <c r="AL118">
        <v>27648</v>
      </c>
      <c r="AM118">
        <v>128</v>
      </c>
      <c r="AN118" s="41">
        <v>2</v>
      </c>
      <c r="AO118">
        <v>2</v>
      </c>
      <c r="AP118" s="1">
        <v>384.4</v>
      </c>
      <c r="AQ118" s="54">
        <v>36.655999999999999</v>
      </c>
      <c r="AR118" s="23">
        <v>45559</v>
      </c>
      <c r="AS118" s="46">
        <v>0.57758101851851851</v>
      </c>
      <c r="AT118">
        <v>0</v>
      </c>
      <c r="AU118">
        <v>0</v>
      </c>
      <c r="AV118">
        <v>0</v>
      </c>
      <c r="AW118" s="57">
        <f t="shared" si="159"/>
        <v>36.450800000000001</v>
      </c>
      <c r="AZ118" t="s">
        <v>154</v>
      </c>
      <c r="BA118">
        <v>4</v>
      </c>
      <c r="BB118" t="s">
        <v>7</v>
      </c>
      <c r="BC118">
        <v>27648</v>
      </c>
      <c r="BD118">
        <v>128</v>
      </c>
      <c r="BE118">
        <v>2</v>
      </c>
      <c r="BF118">
        <v>2</v>
      </c>
      <c r="BG118" s="1">
        <v>443.44</v>
      </c>
      <c r="BH118" s="54">
        <v>31.776</v>
      </c>
      <c r="BI118" s="23">
        <v>45559</v>
      </c>
      <c r="BJ118" s="46">
        <v>0.6743055555555556</v>
      </c>
      <c r="BK118">
        <v>0</v>
      </c>
      <c r="BL118">
        <v>0</v>
      </c>
      <c r="BM118">
        <v>0</v>
      </c>
      <c r="BN118" s="57">
        <f t="shared" si="160"/>
        <v>31.8462</v>
      </c>
    </row>
    <row r="119" spans="1:66">
      <c r="A119" t="s">
        <v>103</v>
      </c>
      <c r="B119">
        <v>0</v>
      </c>
      <c r="C119" t="s">
        <v>7</v>
      </c>
      <c r="D119">
        <v>29184</v>
      </c>
      <c r="E119">
        <v>128</v>
      </c>
      <c r="F119">
        <v>2</v>
      </c>
      <c r="G119" s="41">
        <v>2</v>
      </c>
      <c r="H119" s="1">
        <v>539.99</v>
      </c>
      <c r="I119" s="54">
        <v>30.689</v>
      </c>
      <c r="J119" s="23">
        <v>45558</v>
      </c>
      <c r="K119" s="46">
        <v>0.56775462962962964</v>
      </c>
      <c r="L119">
        <v>0</v>
      </c>
      <c r="M119">
        <v>0</v>
      </c>
      <c r="N119">
        <v>0</v>
      </c>
      <c r="O119" s="57">
        <f t="shared" ref="O119" si="161">AVERAGE(I119:I123)</f>
        <v>30.688200000000002</v>
      </c>
      <c r="R119" t="s">
        <v>103</v>
      </c>
      <c r="S119">
        <v>0</v>
      </c>
      <c r="T119" t="s">
        <v>7</v>
      </c>
      <c r="U119">
        <v>29184</v>
      </c>
      <c r="V119">
        <v>128</v>
      </c>
      <c r="W119" s="41">
        <v>2</v>
      </c>
      <c r="X119">
        <v>2</v>
      </c>
      <c r="Y119" s="1">
        <v>542.66999999999996</v>
      </c>
      <c r="Z119" s="54">
        <v>30.538</v>
      </c>
      <c r="AA119" s="23">
        <v>45558</v>
      </c>
      <c r="AB119" s="46">
        <v>0.56653935185185189</v>
      </c>
      <c r="AC119">
        <v>0</v>
      </c>
      <c r="AD119">
        <v>0</v>
      </c>
      <c r="AE119">
        <v>0</v>
      </c>
      <c r="AF119" s="57">
        <f t="shared" ref="AF119" si="162">AVERAGE(Z119:Z123)</f>
        <v>30.605</v>
      </c>
      <c r="AI119" s="23" t="s">
        <v>154</v>
      </c>
      <c r="AJ119" s="46">
        <v>0</v>
      </c>
      <c r="AK119" t="s">
        <v>7</v>
      </c>
      <c r="AL119">
        <v>29184</v>
      </c>
      <c r="AM119">
        <v>128</v>
      </c>
      <c r="AN119" s="41">
        <v>2</v>
      </c>
      <c r="AO119">
        <v>2</v>
      </c>
      <c r="AP119" s="1">
        <v>462.2</v>
      </c>
      <c r="AQ119" s="54">
        <v>35.854999999999997</v>
      </c>
      <c r="AR119" s="23">
        <v>45558</v>
      </c>
      <c r="AS119" s="46">
        <v>0.55129629629629628</v>
      </c>
      <c r="AT119">
        <v>0</v>
      </c>
      <c r="AU119">
        <v>0</v>
      </c>
      <c r="AV119">
        <v>0</v>
      </c>
      <c r="AW119" s="57">
        <f t="shared" ref="AW119" si="163">AVERAGE(AQ119:AQ123)</f>
        <v>35.894600000000004</v>
      </c>
      <c r="AZ119" t="s">
        <v>154</v>
      </c>
      <c r="BA119">
        <v>0</v>
      </c>
      <c r="BB119" t="s">
        <v>7</v>
      </c>
      <c r="BC119">
        <v>29184</v>
      </c>
      <c r="BD119">
        <v>128</v>
      </c>
      <c r="BE119">
        <v>2</v>
      </c>
      <c r="BF119">
        <v>2</v>
      </c>
      <c r="BG119" s="1">
        <v>526.32000000000005</v>
      </c>
      <c r="BH119" s="54">
        <v>31.486999999999998</v>
      </c>
      <c r="BI119" s="23">
        <v>45558</v>
      </c>
      <c r="BJ119" s="46">
        <v>0.55343750000000003</v>
      </c>
      <c r="BK119">
        <v>0</v>
      </c>
      <c r="BL119">
        <v>0</v>
      </c>
      <c r="BM119">
        <v>0</v>
      </c>
      <c r="BN119" s="57">
        <f t="shared" ref="BN119" si="164">AVERAGE(BH119:BH123)</f>
        <v>31.532</v>
      </c>
    </row>
    <row r="120" spans="1:66">
      <c r="A120" t="s">
        <v>103</v>
      </c>
      <c r="B120">
        <v>1</v>
      </c>
      <c r="C120" t="s">
        <v>7</v>
      </c>
      <c r="D120">
        <v>29184</v>
      </c>
      <c r="E120">
        <v>128</v>
      </c>
      <c r="F120">
        <v>2</v>
      </c>
      <c r="G120" s="41">
        <v>2</v>
      </c>
      <c r="H120" s="1">
        <v>541.1</v>
      </c>
      <c r="I120" s="54">
        <v>30.626999999999999</v>
      </c>
      <c r="J120" s="23">
        <v>45558</v>
      </c>
      <c r="K120" s="46">
        <v>0.90997685185185184</v>
      </c>
      <c r="L120">
        <v>0</v>
      </c>
      <c r="M120">
        <v>0</v>
      </c>
      <c r="N120">
        <v>0</v>
      </c>
      <c r="O120" s="57">
        <f t="shared" ref="O120" si="165">O119</f>
        <v>30.688200000000002</v>
      </c>
      <c r="R120" t="s">
        <v>103</v>
      </c>
      <c r="S120">
        <v>1</v>
      </c>
      <c r="T120" t="s">
        <v>7</v>
      </c>
      <c r="U120">
        <v>29184</v>
      </c>
      <c r="V120">
        <v>128</v>
      </c>
      <c r="W120" s="58">
        <v>2</v>
      </c>
      <c r="X120">
        <v>2</v>
      </c>
      <c r="Y120" s="1">
        <v>541.64</v>
      </c>
      <c r="Z120" s="54">
        <v>30.596</v>
      </c>
      <c r="AA120" s="23">
        <v>45558</v>
      </c>
      <c r="AB120" s="46">
        <v>0.90973379629629625</v>
      </c>
      <c r="AC120">
        <v>0</v>
      </c>
      <c r="AD120">
        <v>0</v>
      </c>
      <c r="AE120">
        <v>0</v>
      </c>
      <c r="AF120" s="57">
        <f t="shared" si="95"/>
        <v>30.605</v>
      </c>
      <c r="AI120" s="23" t="s">
        <v>154</v>
      </c>
      <c r="AJ120" s="46">
        <v>1</v>
      </c>
      <c r="AK120" t="s">
        <v>7</v>
      </c>
      <c r="AL120">
        <v>29184</v>
      </c>
      <c r="AM120">
        <v>128</v>
      </c>
      <c r="AN120" s="41">
        <v>2</v>
      </c>
      <c r="AO120">
        <v>2</v>
      </c>
      <c r="AP120" s="1">
        <v>462.5</v>
      </c>
      <c r="AQ120" s="54">
        <v>35.832000000000001</v>
      </c>
      <c r="AR120" s="23">
        <v>45558</v>
      </c>
      <c r="AS120" s="46">
        <v>0.81754629629629627</v>
      </c>
      <c r="AT120">
        <v>0</v>
      </c>
      <c r="AU120">
        <v>0</v>
      </c>
      <c r="AV120">
        <v>0</v>
      </c>
      <c r="AW120" s="57">
        <f t="shared" ref="AW120:AW123" si="166">AW119</f>
        <v>35.894600000000004</v>
      </c>
      <c r="AZ120" t="s">
        <v>154</v>
      </c>
      <c r="BA120">
        <v>1</v>
      </c>
      <c r="BB120" t="s">
        <v>7</v>
      </c>
      <c r="BC120">
        <v>29184</v>
      </c>
      <c r="BD120">
        <v>128</v>
      </c>
      <c r="BE120">
        <v>2</v>
      </c>
      <c r="BF120">
        <v>2</v>
      </c>
      <c r="BG120" s="1">
        <v>525.80999999999995</v>
      </c>
      <c r="BH120" s="54">
        <v>31.516999999999999</v>
      </c>
      <c r="BI120" s="23">
        <v>45558</v>
      </c>
      <c r="BJ120" s="46">
        <v>0.86234953703703698</v>
      </c>
      <c r="BK120">
        <v>0</v>
      </c>
      <c r="BL120">
        <v>0</v>
      </c>
      <c r="BM120">
        <v>0</v>
      </c>
      <c r="BN120" s="57">
        <f t="shared" ref="BN120:BN123" si="167">BN119</f>
        <v>31.532</v>
      </c>
    </row>
    <row r="121" spans="1:66">
      <c r="A121" t="s">
        <v>103</v>
      </c>
      <c r="B121">
        <v>2</v>
      </c>
      <c r="C121" t="s">
        <v>7</v>
      </c>
      <c r="D121">
        <v>29184</v>
      </c>
      <c r="E121">
        <v>128</v>
      </c>
      <c r="F121">
        <v>2</v>
      </c>
      <c r="G121" s="41">
        <v>2</v>
      </c>
      <c r="H121" s="1">
        <v>539.41</v>
      </c>
      <c r="I121" s="54">
        <v>30.722999999999999</v>
      </c>
      <c r="J121" s="23">
        <v>45559</v>
      </c>
      <c r="K121" s="46">
        <v>0.25219907407407405</v>
      </c>
      <c r="L121">
        <v>0</v>
      </c>
      <c r="M121">
        <v>0</v>
      </c>
      <c r="N121">
        <v>0</v>
      </c>
      <c r="O121" s="57">
        <f t="shared" si="102"/>
        <v>30.688200000000002</v>
      </c>
      <c r="R121" t="s">
        <v>103</v>
      </c>
      <c r="S121">
        <v>2</v>
      </c>
      <c r="T121" t="s">
        <v>7</v>
      </c>
      <c r="U121">
        <v>29184</v>
      </c>
      <c r="V121">
        <v>128</v>
      </c>
      <c r="W121" s="58">
        <v>2</v>
      </c>
      <c r="X121">
        <v>2</v>
      </c>
      <c r="Y121" s="1">
        <v>540.49</v>
      </c>
      <c r="Z121" s="54">
        <v>30.661000000000001</v>
      </c>
      <c r="AA121" s="23">
        <v>45559</v>
      </c>
      <c r="AB121" s="46">
        <v>0.25263888888888891</v>
      </c>
      <c r="AC121">
        <v>0</v>
      </c>
      <c r="AD121">
        <v>0</v>
      </c>
      <c r="AE121">
        <v>0</v>
      </c>
      <c r="AF121" s="57">
        <f t="shared" si="95"/>
        <v>30.605</v>
      </c>
      <c r="AI121" s="23" t="s">
        <v>154</v>
      </c>
      <c r="AJ121" s="46">
        <v>2</v>
      </c>
      <c r="AK121" t="s">
        <v>7</v>
      </c>
      <c r="AL121">
        <v>29184</v>
      </c>
      <c r="AM121">
        <v>128</v>
      </c>
      <c r="AN121" s="41">
        <v>2</v>
      </c>
      <c r="AO121">
        <v>2</v>
      </c>
      <c r="AP121" s="1">
        <v>459.79</v>
      </c>
      <c r="AQ121" s="54">
        <v>36.042000000000002</v>
      </c>
      <c r="AR121" s="23">
        <v>45559</v>
      </c>
      <c r="AS121" s="46">
        <v>0.10631944444444444</v>
      </c>
      <c r="AT121">
        <v>0</v>
      </c>
      <c r="AU121">
        <v>0</v>
      </c>
      <c r="AV121">
        <v>0</v>
      </c>
      <c r="AW121" s="57">
        <f t="shared" si="166"/>
        <v>35.894600000000004</v>
      </c>
      <c r="AZ121" t="s">
        <v>154</v>
      </c>
      <c r="BA121">
        <v>2</v>
      </c>
      <c r="BB121" t="s">
        <v>7</v>
      </c>
      <c r="BC121">
        <v>29184</v>
      </c>
      <c r="BD121">
        <v>128</v>
      </c>
      <c r="BE121">
        <v>2</v>
      </c>
      <c r="BF121">
        <v>2</v>
      </c>
      <c r="BG121" s="1">
        <v>525.29</v>
      </c>
      <c r="BH121" s="54">
        <v>31.548999999999999</v>
      </c>
      <c r="BI121" s="23">
        <v>45559</v>
      </c>
      <c r="BJ121" s="46">
        <v>0.17097222222222222</v>
      </c>
      <c r="BK121">
        <v>0</v>
      </c>
      <c r="BL121">
        <v>0</v>
      </c>
      <c r="BM121">
        <v>0</v>
      </c>
      <c r="BN121" s="57">
        <f t="shared" si="167"/>
        <v>31.532</v>
      </c>
    </row>
    <row r="122" spans="1:66">
      <c r="A122" t="s">
        <v>103</v>
      </c>
      <c r="B122">
        <v>3</v>
      </c>
      <c r="C122" t="s">
        <v>7</v>
      </c>
      <c r="D122">
        <v>29184</v>
      </c>
      <c r="E122">
        <v>128</v>
      </c>
      <c r="F122">
        <v>2</v>
      </c>
      <c r="G122" s="41">
        <v>2</v>
      </c>
      <c r="H122" s="1">
        <v>539.14</v>
      </c>
      <c r="I122" s="54">
        <v>30.738</v>
      </c>
      <c r="J122" s="23">
        <v>45559</v>
      </c>
      <c r="K122" s="46">
        <v>0.5945138888888889</v>
      </c>
      <c r="L122">
        <v>0</v>
      </c>
      <c r="M122">
        <v>0</v>
      </c>
      <c r="N122">
        <v>0</v>
      </c>
      <c r="O122" s="57">
        <f t="shared" si="102"/>
        <v>30.688200000000002</v>
      </c>
      <c r="R122" t="s">
        <v>103</v>
      </c>
      <c r="S122">
        <v>3</v>
      </c>
      <c r="T122" t="s">
        <v>7</v>
      </c>
      <c r="U122">
        <v>29184</v>
      </c>
      <c r="V122">
        <v>128</v>
      </c>
      <c r="W122" s="58">
        <v>2</v>
      </c>
      <c r="X122">
        <v>2</v>
      </c>
      <c r="Y122" s="1">
        <v>542.89</v>
      </c>
      <c r="Z122" s="54">
        <v>30.526</v>
      </c>
      <c r="AA122" s="23">
        <v>45559</v>
      </c>
      <c r="AB122" s="46">
        <v>0.59593750000000001</v>
      </c>
      <c r="AC122">
        <v>0</v>
      </c>
      <c r="AD122">
        <v>0</v>
      </c>
      <c r="AE122">
        <v>0</v>
      </c>
      <c r="AF122" s="57">
        <f t="shared" si="95"/>
        <v>30.605</v>
      </c>
      <c r="AI122" s="23" t="s">
        <v>154</v>
      </c>
      <c r="AJ122" s="46">
        <v>3</v>
      </c>
      <c r="AK122" t="s">
        <v>7</v>
      </c>
      <c r="AL122">
        <v>29184</v>
      </c>
      <c r="AM122">
        <v>128</v>
      </c>
      <c r="AN122" s="41">
        <v>2</v>
      </c>
      <c r="AO122">
        <v>2</v>
      </c>
      <c r="AP122" s="1">
        <v>457.75</v>
      </c>
      <c r="AQ122" s="54">
        <v>36.203000000000003</v>
      </c>
      <c r="AR122" s="23">
        <v>45559</v>
      </c>
      <c r="AS122" s="46">
        <v>0.39547453703703705</v>
      </c>
      <c r="AT122">
        <v>0</v>
      </c>
      <c r="AU122">
        <v>0</v>
      </c>
      <c r="AV122">
        <v>0</v>
      </c>
      <c r="AW122" s="57">
        <f t="shared" si="166"/>
        <v>35.894600000000004</v>
      </c>
      <c r="AZ122" t="s">
        <v>154</v>
      </c>
      <c r="BA122">
        <v>3</v>
      </c>
      <c r="BB122" t="s">
        <v>7</v>
      </c>
      <c r="BC122">
        <v>29184</v>
      </c>
      <c r="BD122">
        <v>128</v>
      </c>
      <c r="BE122">
        <v>2</v>
      </c>
      <c r="BF122">
        <v>2</v>
      </c>
      <c r="BG122" s="1">
        <v>526.66999999999996</v>
      </c>
      <c r="BH122" s="54">
        <v>31.466000000000001</v>
      </c>
      <c r="BI122" s="23">
        <v>45559</v>
      </c>
      <c r="BJ122" s="46">
        <v>0.47946759259259258</v>
      </c>
      <c r="BK122">
        <v>0</v>
      </c>
      <c r="BL122">
        <v>0</v>
      </c>
      <c r="BM122">
        <v>0</v>
      </c>
      <c r="BN122" s="57">
        <f t="shared" si="167"/>
        <v>31.532</v>
      </c>
    </row>
    <row r="123" spans="1:66">
      <c r="A123" t="s">
        <v>103</v>
      </c>
      <c r="B123">
        <v>4</v>
      </c>
      <c r="C123" t="s">
        <v>7</v>
      </c>
      <c r="D123">
        <v>29184</v>
      </c>
      <c r="E123">
        <v>128</v>
      </c>
      <c r="F123">
        <v>2</v>
      </c>
      <c r="G123" s="41">
        <v>2</v>
      </c>
      <c r="H123" s="1">
        <v>540.45000000000005</v>
      </c>
      <c r="I123" s="54">
        <v>30.664000000000001</v>
      </c>
      <c r="J123" s="23">
        <v>45559</v>
      </c>
      <c r="K123" s="46">
        <v>0.93663194444444442</v>
      </c>
      <c r="L123">
        <v>0</v>
      </c>
      <c r="M123">
        <v>0</v>
      </c>
      <c r="N123">
        <v>0</v>
      </c>
      <c r="O123" s="57">
        <f t="shared" si="102"/>
        <v>30.688200000000002</v>
      </c>
      <c r="R123" t="s">
        <v>103</v>
      </c>
      <c r="S123">
        <v>4</v>
      </c>
      <c r="T123" t="s">
        <v>7</v>
      </c>
      <c r="U123">
        <v>29184</v>
      </c>
      <c r="V123">
        <v>128</v>
      </c>
      <c r="W123" s="58">
        <v>2</v>
      </c>
      <c r="X123">
        <v>2</v>
      </c>
      <c r="Y123" s="1">
        <v>539.74</v>
      </c>
      <c r="Z123" s="54">
        <v>30.704000000000001</v>
      </c>
      <c r="AA123" s="23">
        <v>45559</v>
      </c>
      <c r="AB123" s="46">
        <v>0.93885416666666666</v>
      </c>
      <c r="AC123">
        <v>0</v>
      </c>
      <c r="AD123">
        <v>0</v>
      </c>
      <c r="AE123">
        <v>0</v>
      </c>
      <c r="AF123" s="57">
        <f t="shared" si="95"/>
        <v>30.605</v>
      </c>
      <c r="AI123" s="23" t="s">
        <v>154</v>
      </c>
      <c r="AJ123" s="46">
        <v>4</v>
      </c>
      <c r="AK123" t="s">
        <v>7</v>
      </c>
      <c r="AL123">
        <v>29184</v>
      </c>
      <c r="AM123">
        <v>128</v>
      </c>
      <c r="AN123" s="41">
        <v>2</v>
      </c>
      <c r="AO123">
        <v>2</v>
      </c>
      <c r="AP123" s="1">
        <v>466.28</v>
      </c>
      <c r="AQ123" s="54">
        <v>35.540999999999997</v>
      </c>
      <c r="AR123" s="23">
        <v>45559</v>
      </c>
      <c r="AS123" s="46">
        <v>0.68530092592592595</v>
      </c>
      <c r="AT123">
        <v>0</v>
      </c>
      <c r="AU123">
        <v>0</v>
      </c>
      <c r="AV123">
        <v>0</v>
      </c>
      <c r="AW123" s="57">
        <f t="shared" si="166"/>
        <v>35.894600000000004</v>
      </c>
      <c r="AZ123" t="s">
        <v>154</v>
      </c>
      <c r="BA123">
        <v>4</v>
      </c>
      <c r="BB123" t="s">
        <v>7</v>
      </c>
      <c r="BC123">
        <v>29184</v>
      </c>
      <c r="BD123">
        <v>128</v>
      </c>
      <c r="BE123">
        <v>2</v>
      </c>
      <c r="BF123">
        <v>2</v>
      </c>
      <c r="BG123" s="1">
        <v>523.76</v>
      </c>
      <c r="BH123" s="54">
        <v>31.640999999999998</v>
      </c>
      <c r="BI123" s="23">
        <v>45559</v>
      </c>
      <c r="BJ123" s="46">
        <v>0.78778935185185184</v>
      </c>
      <c r="BK123">
        <v>0</v>
      </c>
      <c r="BL123">
        <v>0</v>
      </c>
      <c r="BM123">
        <v>0</v>
      </c>
      <c r="BN123" s="57">
        <f t="shared" si="167"/>
        <v>31.532</v>
      </c>
    </row>
    <row r="124" spans="1:66">
      <c r="A124" t="s">
        <v>103</v>
      </c>
      <c r="B124">
        <v>0</v>
      </c>
      <c r="C124" t="s">
        <v>7</v>
      </c>
      <c r="D124">
        <v>26080</v>
      </c>
      <c r="E124">
        <v>160</v>
      </c>
      <c r="F124">
        <v>1</v>
      </c>
      <c r="G124" s="41">
        <v>4</v>
      </c>
      <c r="H124" s="1">
        <v>324.54000000000002</v>
      </c>
      <c r="I124" s="54">
        <v>36.441000000000003</v>
      </c>
      <c r="J124" s="23">
        <v>45558</v>
      </c>
      <c r="K124" s="46">
        <v>0.33928240740740739</v>
      </c>
      <c r="L124">
        <v>0</v>
      </c>
      <c r="M124">
        <v>0</v>
      </c>
      <c r="N124">
        <v>0</v>
      </c>
      <c r="O124" s="57">
        <f t="shared" ref="O124" si="168">AVERAGE(I124:I128)</f>
        <v>36.402199999999993</v>
      </c>
      <c r="R124" t="s">
        <v>103</v>
      </c>
      <c r="S124">
        <v>0</v>
      </c>
      <c r="T124" t="s">
        <v>7</v>
      </c>
      <c r="U124">
        <v>26080</v>
      </c>
      <c r="V124">
        <v>160</v>
      </c>
      <c r="W124" s="41">
        <v>1</v>
      </c>
      <c r="X124">
        <v>4</v>
      </c>
      <c r="Y124" s="1">
        <v>329.08</v>
      </c>
      <c r="Z124" s="54">
        <v>35.939</v>
      </c>
      <c r="AA124" s="23">
        <v>45558</v>
      </c>
      <c r="AB124" s="46">
        <v>0.33754629629629629</v>
      </c>
      <c r="AC124">
        <v>0</v>
      </c>
      <c r="AD124">
        <v>0</v>
      </c>
      <c r="AE124">
        <v>0</v>
      </c>
      <c r="AF124" s="57">
        <f t="shared" ref="AF124" si="169">AVERAGE(Z124:Z128)</f>
        <v>35.987800000000007</v>
      </c>
      <c r="AI124" s="23" t="s">
        <v>154</v>
      </c>
      <c r="AJ124" s="46">
        <v>0</v>
      </c>
      <c r="AK124" t="s">
        <v>7</v>
      </c>
      <c r="AL124">
        <v>26080</v>
      </c>
      <c r="AM124">
        <v>160</v>
      </c>
      <c r="AN124" s="41">
        <v>1</v>
      </c>
      <c r="AO124">
        <v>4</v>
      </c>
      <c r="AP124" s="1">
        <v>288.42</v>
      </c>
      <c r="AQ124" s="54">
        <v>41.006</v>
      </c>
      <c r="AR124" s="23">
        <v>45558</v>
      </c>
      <c r="AS124" s="46">
        <v>0.33097222222222222</v>
      </c>
      <c r="AT124">
        <v>0</v>
      </c>
      <c r="AU124">
        <v>0</v>
      </c>
      <c r="AV124">
        <v>0</v>
      </c>
      <c r="AW124" s="57">
        <f t="shared" ref="AW124" si="170">AVERAGE(AQ124:AQ128)</f>
        <v>40.962400000000002</v>
      </c>
      <c r="AZ124" t="s">
        <v>154</v>
      </c>
      <c r="BA124">
        <v>0</v>
      </c>
      <c r="BB124" t="s">
        <v>7</v>
      </c>
      <c r="BC124">
        <v>26080</v>
      </c>
      <c r="BD124">
        <v>160</v>
      </c>
      <c r="BE124">
        <v>1</v>
      </c>
      <c r="BF124">
        <v>4</v>
      </c>
      <c r="BG124" s="1">
        <v>321.48</v>
      </c>
      <c r="BH124" s="54">
        <v>36.789000000000001</v>
      </c>
      <c r="BI124" s="23">
        <v>45558</v>
      </c>
      <c r="BJ124" s="46">
        <v>0.33528935185185182</v>
      </c>
      <c r="BK124">
        <v>0</v>
      </c>
      <c r="BL124">
        <v>0</v>
      </c>
      <c r="BM124">
        <v>0</v>
      </c>
      <c r="BN124" s="57">
        <f t="shared" ref="BN124" si="171">AVERAGE(BH124:BH128)</f>
        <v>36.616200000000006</v>
      </c>
    </row>
    <row r="125" spans="1:66">
      <c r="A125" t="s">
        <v>103</v>
      </c>
      <c r="B125">
        <v>1</v>
      </c>
      <c r="C125" t="s">
        <v>7</v>
      </c>
      <c r="D125">
        <v>26080</v>
      </c>
      <c r="E125">
        <v>160</v>
      </c>
      <c r="F125">
        <v>1</v>
      </c>
      <c r="G125" s="41">
        <v>4</v>
      </c>
      <c r="H125" s="1">
        <v>325.68</v>
      </c>
      <c r="I125" s="54">
        <v>36.314</v>
      </c>
      <c r="J125" s="23">
        <v>45558</v>
      </c>
      <c r="K125" s="46">
        <v>0.68134259259259256</v>
      </c>
      <c r="L125">
        <v>0</v>
      </c>
      <c r="M125">
        <v>0</v>
      </c>
      <c r="N125">
        <v>0</v>
      </c>
      <c r="O125" s="57">
        <f t="shared" ref="O125" si="172">O124</f>
        <v>36.402199999999993</v>
      </c>
      <c r="R125" t="s">
        <v>103</v>
      </c>
      <c r="S125">
        <v>1</v>
      </c>
      <c r="T125" t="s">
        <v>7</v>
      </c>
      <c r="U125">
        <v>26080</v>
      </c>
      <c r="V125">
        <v>160</v>
      </c>
      <c r="W125" s="41">
        <v>1</v>
      </c>
      <c r="X125">
        <v>4</v>
      </c>
      <c r="Y125" s="1">
        <v>328.48</v>
      </c>
      <c r="Z125" s="54">
        <v>36.005000000000003</v>
      </c>
      <c r="AA125" s="23">
        <v>45558</v>
      </c>
      <c r="AB125" s="46">
        <v>0.68064814814814811</v>
      </c>
      <c r="AC125">
        <v>0</v>
      </c>
      <c r="AD125">
        <v>0</v>
      </c>
      <c r="AE125">
        <v>0</v>
      </c>
      <c r="AF125" s="57">
        <f t="shared" si="95"/>
        <v>35.987800000000007</v>
      </c>
      <c r="AI125" s="23" t="s">
        <v>154</v>
      </c>
      <c r="AJ125" s="46">
        <v>1</v>
      </c>
      <c r="AK125" t="s">
        <v>7</v>
      </c>
      <c r="AL125">
        <v>26080</v>
      </c>
      <c r="AM125">
        <v>160</v>
      </c>
      <c r="AN125" s="41">
        <v>1</v>
      </c>
      <c r="AO125">
        <v>4</v>
      </c>
      <c r="AP125" s="1">
        <v>287.51</v>
      </c>
      <c r="AQ125" s="54">
        <v>41.134999999999998</v>
      </c>
      <c r="AR125" s="23">
        <v>45558</v>
      </c>
      <c r="AS125" s="46">
        <v>0.62322916666666661</v>
      </c>
      <c r="AT125">
        <v>0</v>
      </c>
      <c r="AU125">
        <v>0</v>
      </c>
      <c r="AV125">
        <v>0</v>
      </c>
      <c r="AW125" s="57">
        <f t="shared" ref="AW125:AW128" si="173">AW124</f>
        <v>40.962400000000002</v>
      </c>
      <c r="AZ125" t="s">
        <v>154</v>
      </c>
      <c r="BA125">
        <v>1</v>
      </c>
      <c r="BB125" t="s">
        <v>7</v>
      </c>
      <c r="BC125">
        <v>26080</v>
      </c>
      <c r="BD125">
        <v>160</v>
      </c>
      <c r="BE125">
        <v>1</v>
      </c>
      <c r="BF125">
        <v>4</v>
      </c>
      <c r="BG125" s="1">
        <v>323.56</v>
      </c>
      <c r="BH125" s="54">
        <v>36.552999999999997</v>
      </c>
      <c r="BI125" s="23">
        <v>45558</v>
      </c>
      <c r="BJ125" s="46">
        <v>0.65621527777777777</v>
      </c>
      <c r="BK125">
        <v>0</v>
      </c>
      <c r="BL125">
        <v>0</v>
      </c>
      <c r="BM125">
        <v>0</v>
      </c>
      <c r="BN125" s="57">
        <f t="shared" ref="BN125:BN128" si="174">BN124</f>
        <v>36.616200000000006</v>
      </c>
    </row>
    <row r="126" spans="1:66">
      <c r="A126" t="s">
        <v>103</v>
      </c>
      <c r="B126">
        <v>2</v>
      </c>
      <c r="C126" t="s">
        <v>7</v>
      </c>
      <c r="D126">
        <v>26080</v>
      </c>
      <c r="E126">
        <v>160</v>
      </c>
      <c r="F126">
        <v>1</v>
      </c>
      <c r="G126" s="41">
        <v>4</v>
      </c>
      <c r="H126" s="1">
        <v>324.37</v>
      </c>
      <c r="I126" s="54">
        <v>36.460999999999999</v>
      </c>
      <c r="J126" s="23">
        <v>45559</v>
      </c>
      <c r="K126" s="46">
        <v>2.3553240740740739E-2</v>
      </c>
      <c r="L126">
        <v>0</v>
      </c>
      <c r="M126">
        <v>0</v>
      </c>
      <c r="N126">
        <v>0</v>
      </c>
      <c r="O126" s="57">
        <f t="shared" si="102"/>
        <v>36.402199999999993</v>
      </c>
      <c r="R126" t="s">
        <v>103</v>
      </c>
      <c r="S126">
        <v>2</v>
      </c>
      <c r="T126" t="s">
        <v>7</v>
      </c>
      <c r="U126">
        <v>26080</v>
      </c>
      <c r="V126">
        <v>160</v>
      </c>
      <c r="W126" s="58">
        <v>1</v>
      </c>
      <c r="X126">
        <v>4</v>
      </c>
      <c r="Y126" s="1">
        <v>329.05</v>
      </c>
      <c r="Z126" s="54">
        <v>35.942999999999998</v>
      </c>
      <c r="AA126" s="23">
        <v>45559</v>
      </c>
      <c r="AB126" s="46">
        <v>2.375E-2</v>
      </c>
      <c r="AC126">
        <v>0</v>
      </c>
      <c r="AD126">
        <v>0</v>
      </c>
      <c r="AE126">
        <v>0</v>
      </c>
      <c r="AF126" s="57">
        <f t="shared" si="95"/>
        <v>35.987800000000007</v>
      </c>
      <c r="AI126" s="23" t="s">
        <v>154</v>
      </c>
      <c r="AJ126" s="46">
        <v>2</v>
      </c>
      <c r="AK126" t="s">
        <v>7</v>
      </c>
      <c r="AL126">
        <v>26080</v>
      </c>
      <c r="AM126">
        <v>160</v>
      </c>
      <c r="AN126" s="41">
        <v>1</v>
      </c>
      <c r="AO126">
        <v>4</v>
      </c>
      <c r="AP126" s="1">
        <v>289.17</v>
      </c>
      <c r="AQ126" s="54">
        <v>40.899000000000001</v>
      </c>
      <c r="AR126" s="23">
        <v>45558</v>
      </c>
      <c r="AS126" s="46">
        <v>0.9124768518518519</v>
      </c>
      <c r="AT126">
        <v>0</v>
      </c>
      <c r="AU126">
        <v>0</v>
      </c>
      <c r="AV126">
        <v>0</v>
      </c>
      <c r="AW126" s="57">
        <f t="shared" si="173"/>
        <v>40.962400000000002</v>
      </c>
      <c r="AZ126" t="s">
        <v>154</v>
      </c>
      <c r="BA126">
        <v>2</v>
      </c>
      <c r="BB126" t="s">
        <v>7</v>
      </c>
      <c r="BC126">
        <v>26080</v>
      </c>
      <c r="BD126">
        <v>160</v>
      </c>
      <c r="BE126">
        <v>1</v>
      </c>
      <c r="BF126">
        <v>4</v>
      </c>
      <c r="BG126" s="1">
        <v>323.05</v>
      </c>
      <c r="BH126" s="54">
        <v>36.61</v>
      </c>
      <c r="BI126" s="23">
        <v>45558</v>
      </c>
      <c r="BJ126" s="46">
        <v>0.96486111111111106</v>
      </c>
      <c r="BK126">
        <v>0</v>
      </c>
      <c r="BL126">
        <v>0</v>
      </c>
      <c r="BM126">
        <v>0</v>
      </c>
      <c r="BN126" s="57">
        <f t="shared" si="174"/>
        <v>36.616200000000006</v>
      </c>
    </row>
    <row r="127" spans="1:66">
      <c r="A127" t="s">
        <v>103</v>
      </c>
      <c r="B127">
        <v>3</v>
      </c>
      <c r="C127" t="s">
        <v>7</v>
      </c>
      <c r="D127">
        <v>26080</v>
      </c>
      <c r="E127">
        <v>160</v>
      </c>
      <c r="F127">
        <v>1</v>
      </c>
      <c r="G127" s="41">
        <v>4</v>
      </c>
      <c r="H127" s="1">
        <v>324.29000000000002</v>
      </c>
      <c r="I127" s="54">
        <v>36.47</v>
      </c>
      <c r="J127" s="23">
        <v>45559</v>
      </c>
      <c r="K127" s="46">
        <v>0.3658912037037037</v>
      </c>
      <c r="L127">
        <v>0</v>
      </c>
      <c r="M127">
        <v>0</v>
      </c>
      <c r="N127">
        <v>0</v>
      </c>
      <c r="O127" s="57">
        <f t="shared" si="102"/>
        <v>36.402199999999993</v>
      </c>
      <c r="R127" t="s">
        <v>103</v>
      </c>
      <c r="S127">
        <v>3</v>
      </c>
      <c r="T127" t="s">
        <v>7</v>
      </c>
      <c r="U127">
        <v>26080</v>
      </c>
      <c r="V127">
        <v>160</v>
      </c>
      <c r="W127" s="58">
        <v>1</v>
      </c>
      <c r="X127">
        <v>4</v>
      </c>
      <c r="Y127" s="1">
        <v>327.79</v>
      </c>
      <c r="Z127" s="54">
        <v>36.081000000000003</v>
      </c>
      <c r="AA127" s="23">
        <v>45559</v>
      </c>
      <c r="AB127" s="46">
        <v>0.36682870370370368</v>
      </c>
      <c r="AC127">
        <v>0</v>
      </c>
      <c r="AD127">
        <v>0</v>
      </c>
      <c r="AE127">
        <v>0</v>
      </c>
      <c r="AF127" s="57">
        <f t="shared" si="95"/>
        <v>35.987800000000007</v>
      </c>
      <c r="AI127" s="23" t="s">
        <v>154</v>
      </c>
      <c r="AJ127" s="46">
        <v>3</v>
      </c>
      <c r="AK127" t="s">
        <v>7</v>
      </c>
      <c r="AL127">
        <v>26080</v>
      </c>
      <c r="AM127">
        <v>160</v>
      </c>
      <c r="AN127" s="41">
        <v>1</v>
      </c>
      <c r="AO127">
        <v>4</v>
      </c>
      <c r="AP127" s="1">
        <v>288.54000000000002</v>
      </c>
      <c r="AQ127" s="54">
        <v>40.988999999999997</v>
      </c>
      <c r="AR127" s="23">
        <v>45559</v>
      </c>
      <c r="AS127" s="46">
        <v>0.20145833333333332</v>
      </c>
      <c r="AT127">
        <v>0</v>
      </c>
      <c r="AU127">
        <v>0</v>
      </c>
      <c r="AV127">
        <v>0</v>
      </c>
      <c r="AW127" s="57">
        <f t="shared" si="173"/>
        <v>40.962400000000002</v>
      </c>
      <c r="AZ127" t="s">
        <v>154</v>
      </c>
      <c r="BA127">
        <v>3</v>
      </c>
      <c r="BB127" t="s">
        <v>7</v>
      </c>
      <c r="BC127">
        <v>26080</v>
      </c>
      <c r="BD127">
        <v>160</v>
      </c>
      <c r="BE127">
        <v>1</v>
      </c>
      <c r="BF127">
        <v>4</v>
      </c>
      <c r="BG127" s="1">
        <v>323.01</v>
      </c>
      <c r="BH127" s="54">
        <v>36.615000000000002</v>
      </c>
      <c r="BI127" s="23">
        <v>45559</v>
      </c>
      <c r="BJ127" s="46">
        <v>0.27347222222222223</v>
      </c>
      <c r="BK127">
        <v>0</v>
      </c>
      <c r="BL127">
        <v>0</v>
      </c>
      <c r="BM127">
        <v>0</v>
      </c>
      <c r="BN127" s="57">
        <f t="shared" si="174"/>
        <v>36.616200000000006</v>
      </c>
    </row>
    <row r="128" spans="1:66">
      <c r="A128" t="s">
        <v>103</v>
      </c>
      <c r="B128">
        <v>4</v>
      </c>
      <c r="C128" t="s">
        <v>7</v>
      </c>
      <c r="D128">
        <v>26080</v>
      </c>
      <c r="E128">
        <v>160</v>
      </c>
      <c r="F128">
        <v>1</v>
      </c>
      <c r="G128" s="41">
        <v>4</v>
      </c>
      <c r="H128" s="1">
        <v>325.58999999999997</v>
      </c>
      <c r="I128" s="54">
        <v>36.325000000000003</v>
      </c>
      <c r="J128" s="23">
        <v>45559</v>
      </c>
      <c r="K128" s="46">
        <v>0.70817129629629627</v>
      </c>
      <c r="L128">
        <v>0</v>
      </c>
      <c r="M128">
        <v>0</v>
      </c>
      <c r="N128">
        <v>0</v>
      </c>
      <c r="O128" s="57">
        <f t="shared" si="102"/>
        <v>36.402199999999993</v>
      </c>
      <c r="R128" t="s">
        <v>103</v>
      </c>
      <c r="S128">
        <v>4</v>
      </c>
      <c r="T128" t="s">
        <v>7</v>
      </c>
      <c r="U128">
        <v>26080</v>
      </c>
      <c r="V128">
        <v>160</v>
      </c>
      <c r="W128" s="58">
        <v>1</v>
      </c>
      <c r="X128">
        <v>4</v>
      </c>
      <c r="Y128" s="1">
        <v>328.79</v>
      </c>
      <c r="Z128" s="54">
        <v>35.970999999999997</v>
      </c>
      <c r="AA128" s="23">
        <v>45559</v>
      </c>
      <c r="AB128" s="46">
        <v>0.71003472222222219</v>
      </c>
      <c r="AC128">
        <v>0</v>
      </c>
      <c r="AD128">
        <v>0</v>
      </c>
      <c r="AE128">
        <v>0</v>
      </c>
      <c r="AF128" s="57">
        <f t="shared" si="95"/>
        <v>35.987800000000007</v>
      </c>
      <c r="AI128" s="23" t="s">
        <v>154</v>
      </c>
      <c r="AJ128" s="46">
        <v>4</v>
      </c>
      <c r="AK128" t="s">
        <v>7</v>
      </c>
      <c r="AL128">
        <v>26080</v>
      </c>
      <c r="AM128">
        <v>160</v>
      </c>
      <c r="AN128" s="41">
        <v>1</v>
      </c>
      <c r="AO128">
        <v>4</v>
      </c>
      <c r="AP128" s="1">
        <v>289.99</v>
      </c>
      <c r="AQ128" s="54">
        <v>40.783000000000001</v>
      </c>
      <c r="AR128" s="23">
        <v>45559</v>
      </c>
      <c r="AS128" s="46">
        <v>0.49069444444444443</v>
      </c>
      <c r="AT128">
        <v>0</v>
      </c>
      <c r="AU128">
        <v>0</v>
      </c>
      <c r="AV128">
        <v>0</v>
      </c>
      <c r="AW128" s="57">
        <f t="shared" si="173"/>
        <v>40.962400000000002</v>
      </c>
      <c r="AZ128" t="s">
        <v>154</v>
      </c>
      <c r="BA128">
        <v>4</v>
      </c>
      <c r="BB128" t="s">
        <v>7</v>
      </c>
      <c r="BC128">
        <v>26080</v>
      </c>
      <c r="BD128">
        <v>160</v>
      </c>
      <c r="BE128">
        <v>1</v>
      </c>
      <c r="BF128">
        <v>4</v>
      </c>
      <c r="BG128" s="1">
        <v>323.89999999999998</v>
      </c>
      <c r="BH128" s="54">
        <v>36.514000000000003</v>
      </c>
      <c r="BI128" s="23">
        <v>45559</v>
      </c>
      <c r="BJ128" s="46">
        <v>0.5819212962962963</v>
      </c>
      <c r="BK128">
        <v>0</v>
      </c>
      <c r="BL128">
        <v>0</v>
      </c>
      <c r="BM128">
        <v>0</v>
      </c>
      <c r="BN128" s="57">
        <f t="shared" si="174"/>
        <v>36.616200000000006</v>
      </c>
    </row>
    <row r="129" spans="1:66">
      <c r="A129" t="s">
        <v>103</v>
      </c>
      <c r="B129">
        <v>0</v>
      </c>
      <c r="C129" t="s">
        <v>7</v>
      </c>
      <c r="D129">
        <v>27520</v>
      </c>
      <c r="E129">
        <v>160</v>
      </c>
      <c r="F129">
        <v>1</v>
      </c>
      <c r="G129" s="41">
        <v>4</v>
      </c>
      <c r="H129" s="1">
        <v>384.24</v>
      </c>
      <c r="I129" s="54">
        <v>36.164999999999999</v>
      </c>
      <c r="J129" s="23">
        <v>45558</v>
      </c>
      <c r="K129" s="46">
        <v>0.44621527777777775</v>
      </c>
      <c r="L129">
        <v>0</v>
      </c>
      <c r="M129">
        <v>0</v>
      </c>
      <c r="N129">
        <v>0</v>
      </c>
      <c r="O129" s="57">
        <f t="shared" ref="O129" si="175">AVERAGE(I129:I133)</f>
        <v>36.129399999999997</v>
      </c>
      <c r="R129" t="s">
        <v>103</v>
      </c>
      <c r="S129">
        <v>0</v>
      </c>
      <c r="T129" t="s">
        <v>7</v>
      </c>
      <c r="U129">
        <v>27520</v>
      </c>
      <c r="V129">
        <v>160</v>
      </c>
      <c r="W129" s="41">
        <v>1</v>
      </c>
      <c r="X129">
        <v>4</v>
      </c>
      <c r="Y129" s="1">
        <v>387.81</v>
      </c>
      <c r="Z129" s="54">
        <v>35.832000000000001</v>
      </c>
      <c r="AA129" s="23">
        <v>45558</v>
      </c>
      <c r="AB129" s="46">
        <v>0.44476851851851851</v>
      </c>
      <c r="AC129">
        <v>0</v>
      </c>
      <c r="AD129">
        <v>0</v>
      </c>
      <c r="AE129">
        <v>0</v>
      </c>
      <c r="AF129" s="57">
        <f t="shared" ref="AF129" si="176">AVERAGE(Z129:Z133)</f>
        <v>35.859399999999994</v>
      </c>
      <c r="AI129" s="23" t="s">
        <v>154</v>
      </c>
      <c r="AJ129" s="46">
        <v>0</v>
      </c>
      <c r="AK129" t="s">
        <v>7</v>
      </c>
      <c r="AL129">
        <v>27520</v>
      </c>
      <c r="AM129">
        <v>160</v>
      </c>
      <c r="AN129" s="41">
        <v>1</v>
      </c>
      <c r="AO129">
        <v>4</v>
      </c>
      <c r="AP129" s="1">
        <v>343.14</v>
      </c>
      <c r="AQ129" s="54">
        <v>40.497</v>
      </c>
      <c r="AR129" s="23">
        <v>45558</v>
      </c>
      <c r="AS129" s="46">
        <v>0.4215740740740741</v>
      </c>
      <c r="AT129">
        <v>0</v>
      </c>
      <c r="AU129">
        <v>0</v>
      </c>
      <c r="AV129">
        <v>0</v>
      </c>
      <c r="AW129" s="57">
        <f t="shared" ref="AW129" si="177">AVERAGE(AQ129:AQ133)</f>
        <v>40.546399999999998</v>
      </c>
      <c r="AZ129" t="s">
        <v>154</v>
      </c>
      <c r="BA129">
        <v>0</v>
      </c>
      <c r="BB129" t="s">
        <v>7</v>
      </c>
      <c r="BC129">
        <v>27520</v>
      </c>
      <c r="BD129">
        <v>160</v>
      </c>
      <c r="BE129">
        <v>1</v>
      </c>
      <c r="BF129">
        <v>4</v>
      </c>
      <c r="BG129" s="1">
        <v>378.7</v>
      </c>
      <c r="BH129" s="54">
        <v>36.694000000000003</v>
      </c>
      <c r="BI129" s="23">
        <v>45558</v>
      </c>
      <c r="BJ129" s="46">
        <v>0.43246527777777777</v>
      </c>
      <c r="BK129">
        <v>0</v>
      </c>
      <c r="BL129">
        <v>0</v>
      </c>
      <c r="BM129">
        <v>0</v>
      </c>
      <c r="BN129" s="57">
        <f t="shared" ref="BN129" si="178">AVERAGE(BH129:BH133)</f>
        <v>36.838000000000001</v>
      </c>
    </row>
    <row r="130" spans="1:66">
      <c r="A130" t="s">
        <v>103</v>
      </c>
      <c r="B130">
        <v>1</v>
      </c>
      <c r="C130" t="s">
        <v>7</v>
      </c>
      <c r="D130">
        <v>27520</v>
      </c>
      <c r="E130">
        <v>160</v>
      </c>
      <c r="F130">
        <v>1</v>
      </c>
      <c r="G130" s="41">
        <v>4</v>
      </c>
      <c r="H130" s="1">
        <v>384.59</v>
      </c>
      <c r="I130" s="54">
        <v>36.131999999999998</v>
      </c>
      <c r="J130" s="23">
        <v>45558</v>
      </c>
      <c r="K130" s="46">
        <v>0.78835648148148152</v>
      </c>
      <c r="L130">
        <v>0</v>
      </c>
      <c r="M130">
        <v>0</v>
      </c>
      <c r="N130">
        <v>0</v>
      </c>
      <c r="O130" s="57">
        <f t="shared" ref="O130" si="179">O129</f>
        <v>36.129399999999997</v>
      </c>
      <c r="R130" t="s">
        <v>103</v>
      </c>
      <c r="S130">
        <v>1</v>
      </c>
      <c r="T130" t="s">
        <v>7</v>
      </c>
      <c r="U130">
        <v>27520</v>
      </c>
      <c r="V130">
        <v>160</v>
      </c>
      <c r="W130" s="58">
        <v>1</v>
      </c>
      <c r="X130">
        <v>4</v>
      </c>
      <c r="Y130" s="1">
        <v>387.67</v>
      </c>
      <c r="Z130" s="54">
        <v>35.844999999999999</v>
      </c>
      <c r="AA130" s="23">
        <v>45558</v>
      </c>
      <c r="AB130" s="46">
        <v>0.78790509259259256</v>
      </c>
      <c r="AC130">
        <v>0</v>
      </c>
      <c r="AD130">
        <v>0</v>
      </c>
      <c r="AE130">
        <v>0</v>
      </c>
      <c r="AF130" s="57">
        <f t="shared" si="95"/>
        <v>35.859399999999994</v>
      </c>
      <c r="AI130" s="23" t="s">
        <v>154</v>
      </c>
      <c r="AJ130" s="46">
        <v>1</v>
      </c>
      <c r="AK130" t="s">
        <v>7</v>
      </c>
      <c r="AL130">
        <v>27520</v>
      </c>
      <c r="AM130">
        <v>160</v>
      </c>
      <c r="AN130" s="41">
        <v>1</v>
      </c>
      <c r="AO130">
        <v>4</v>
      </c>
      <c r="AP130" s="1">
        <v>341.19</v>
      </c>
      <c r="AQ130" s="54">
        <v>40.728000000000002</v>
      </c>
      <c r="AR130" s="23">
        <v>45558</v>
      </c>
      <c r="AS130" s="46">
        <v>0.71436342592592594</v>
      </c>
      <c r="AT130">
        <v>0</v>
      </c>
      <c r="AU130">
        <v>0</v>
      </c>
      <c r="AV130">
        <v>0</v>
      </c>
      <c r="AW130" s="57">
        <f t="shared" ref="AW130:AW133" si="180">AW129</f>
        <v>40.546399999999998</v>
      </c>
      <c r="AZ130" t="s">
        <v>154</v>
      </c>
      <c r="BA130">
        <v>1</v>
      </c>
      <c r="BB130" t="s">
        <v>7</v>
      </c>
      <c r="BC130">
        <v>27520</v>
      </c>
      <c r="BD130">
        <v>160</v>
      </c>
      <c r="BE130">
        <v>1</v>
      </c>
      <c r="BF130">
        <v>4</v>
      </c>
      <c r="BG130" s="1">
        <v>377.45</v>
      </c>
      <c r="BH130" s="54">
        <v>36.816000000000003</v>
      </c>
      <c r="BI130" s="23">
        <v>45558</v>
      </c>
      <c r="BJ130" s="46">
        <v>0.75318287037037035</v>
      </c>
      <c r="BK130">
        <v>0</v>
      </c>
      <c r="BL130">
        <v>0</v>
      </c>
      <c r="BM130">
        <v>0</v>
      </c>
      <c r="BN130" s="57">
        <f t="shared" ref="BN130:BN133" si="181">BN129</f>
        <v>36.838000000000001</v>
      </c>
    </row>
    <row r="131" spans="1:66">
      <c r="A131" t="s">
        <v>103</v>
      </c>
      <c r="B131">
        <v>2</v>
      </c>
      <c r="C131" t="s">
        <v>7</v>
      </c>
      <c r="D131">
        <v>27520</v>
      </c>
      <c r="E131">
        <v>160</v>
      </c>
      <c r="F131">
        <v>1</v>
      </c>
      <c r="G131" s="41">
        <v>4</v>
      </c>
      <c r="H131" s="1">
        <v>383.7</v>
      </c>
      <c r="I131" s="54">
        <v>36.216000000000001</v>
      </c>
      <c r="J131" s="23">
        <v>45559</v>
      </c>
      <c r="K131" s="46">
        <v>0.13046296296296298</v>
      </c>
      <c r="L131">
        <v>0</v>
      </c>
      <c r="M131">
        <v>0</v>
      </c>
      <c r="N131">
        <v>0</v>
      </c>
      <c r="O131" s="57">
        <f t="shared" si="102"/>
        <v>36.129399999999997</v>
      </c>
      <c r="R131" t="s">
        <v>103</v>
      </c>
      <c r="S131">
        <v>2</v>
      </c>
      <c r="T131" t="s">
        <v>7</v>
      </c>
      <c r="U131">
        <v>27520</v>
      </c>
      <c r="V131">
        <v>160</v>
      </c>
      <c r="W131" s="58">
        <v>1</v>
      </c>
      <c r="X131">
        <v>4</v>
      </c>
      <c r="Y131" s="1">
        <v>388.97</v>
      </c>
      <c r="Z131" s="54">
        <v>35.725000000000001</v>
      </c>
      <c r="AA131" s="23">
        <v>45559</v>
      </c>
      <c r="AB131" s="46">
        <v>0.13090277777777778</v>
      </c>
      <c r="AC131">
        <v>0</v>
      </c>
      <c r="AD131">
        <v>0</v>
      </c>
      <c r="AE131">
        <v>0</v>
      </c>
      <c r="AF131" s="57">
        <f t="shared" si="95"/>
        <v>35.859399999999994</v>
      </c>
      <c r="AI131" s="23" t="s">
        <v>154</v>
      </c>
      <c r="AJ131" s="46">
        <v>2</v>
      </c>
      <c r="AK131" t="s">
        <v>7</v>
      </c>
      <c r="AL131">
        <v>27520</v>
      </c>
      <c r="AM131">
        <v>160</v>
      </c>
      <c r="AN131" s="41">
        <v>1</v>
      </c>
      <c r="AO131">
        <v>4</v>
      </c>
      <c r="AP131" s="1">
        <v>342.89</v>
      </c>
      <c r="AQ131" s="54">
        <v>40.526000000000003</v>
      </c>
      <c r="AR131" s="23">
        <v>45559</v>
      </c>
      <c r="AS131" s="46">
        <v>3.3912037037037036E-3</v>
      </c>
      <c r="AT131">
        <v>0</v>
      </c>
      <c r="AU131">
        <v>0</v>
      </c>
      <c r="AV131">
        <v>0</v>
      </c>
      <c r="AW131" s="57">
        <f t="shared" si="180"/>
        <v>40.546399999999998</v>
      </c>
      <c r="AZ131" t="s">
        <v>154</v>
      </c>
      <c r="BA131">
        <v>2</v>
      </c>
      <c r="BB131" t="s">
        <v>7</v>
      </c>
      <c r="BC131">
        <v>27520</v>
      </c>
      <c r="BD131">
        <v>160</v>
      </c>
      <c r="BE131">
        <v>1</v>
      </c>
      <c r="BF131">
        <v>4</v>
      </c>
      <c r="BG131" s="1">
        <v>376.81</v>
      </c>
      <c r="BH131" s="54">
        <v>36.878</v>
      </c>
      <c r="BI131" s="23">
        <v>45559</v>
      </c>
      <c r="BJ131" s="46">
        <v>6.190972222222222E-2</v>
      </c>
      <c r="BK131">
        <v>0</v>
      </c>
      <c r="BL131">
        <v>0</v>
      </c>
      <c r="BM131">
        <v>0</v>
      </c>
      <c r="BN131" s="57">
        <f t="shared" si="181"/>
        <v>36.838000000000001</v>
      </c>
    </row>
    <row r="132" spans="1:66">
      <c r="A132" t="s">
        <v>103</v>
      </c>
      <c r="B132">
        <v>3</v>
      </c>
      <c r="C132" t="s">
        <v>7</v>
      </c>
      <c r="D132">
        <v>27520</v>
      </c>
      <c r="E132">
        <v>160</v>
      </c>
      <c r="F132">
        <v>1</v>
      </c>
      <c r="G132" s="41">
        <v>4</v>
      </c>
      <c r="H132" s="1">
        <v>385.2</v>
      </c>
      <c r="I132" s="54">
        <v>36.073999999999998</v>
      </c>
      <c r="J132" s="23">
        <v>45559</v>
      </c>
      <c r="K132" s="46">
        <v>0.47292824074074075</v>
      </c>
      <c r="L132">
        <v>0</v>
      </c>
      <c r="M132">
        <v>0</v>
      </c>
      <c r="N132">
        <v>0</v>
      </c>
      <c r="O132" s="57">
        <f t="shared" si="102"/>
        <v>36.129399999999997</v>
      </c>
      <c r="R132" t="s">
        <v>103</v>
      </c>
      <c r="S132">
        <v>3</v>
      </c>
      <c r="T132" t="s">
        <v>7</v>
      </c>
      <c r="U132">
        <v>27520</v>
      </c>
      <c r="V132">
        <v>160</v>
      </c>
      <c r="W132" s="58">
        <v>1</v>
      </c>
      <c r="X132">
        <v>4</v>
      </c>
      <c r="Y132" s="1">
        <v>388.4</v>
      </c>
      <c r="Z132" s="54">
        <v>35.777999999999999</v>
      </c>
      <c r="AA132" s="23">
        <v>45559</v>
      </c>
      <c r="AB132" s="46">
        <v>0.47402777777777777</v>
      </c>
      <c r="AC132">
        <v>0</v>
      </c>
      <c r="AD132">
        <v>0</v>
      </c>
      <c r="AE132">
        <v>0</v>
      </c>
      <c r="AF132" s="57">
        <f t="shared" si="95"/>
        <v>35.859399999999994</v>
      </c>
      <c r="AI132" s="23" t="s">
        <v>154</v>
      </c>
      <c r="AJ132" s="46">
        <v>3</v>
      </c>
      <c r="AK132" t="s">
        <v>7</v>
      </c>
      <c r="AL132">
        <v>27520</v>
      </c>
      <c r="AM132">
        <v>160</v>
      </c>
      <c r="AN132" s="41">
        <v>1</v>
      </c>
      <c r="AO132">
        <v>4</v>
      </c>
      <c r="AP132" s="1">
        <v>343.81</v>
      </c>
      <c r="AQ132" s="54">
        <v>40.417000000000002</v>
      </c>
      <c r="AR132" s="23">
        <v>45559</v>
      </c>
      <c r="AS132" s="46">
        <v>0.29229166666666667</v>
      </c>
      <c r="AT132">
        <v>0</v>
      </c>
      <c r="AU132">
        <v>0</v>
      </c>
      <c r="AV132">
        <v>0</v>
      </c>
      <c r="AW132" s="57">
        <f t="shared" si="180"/>
        <v>40.546399999999998</v>
      </c>
      <c r="AZ132" t="s">
        <v>154</v>
      </c>
      <c r="BA132">
        <v>3</v>
      </c>
      <c r="BB132" t="s">
        <v>7</v>
      </c>
      <c r="BC132">
        <v>27520</v>
      </c>
      <c r="BD132">
        <v>160</v>
      </c>
      <c r="BE132">
        <v>1</v>
      </c>
      <c r="BF132">
        <v>4</v>
      </c>
      <c r="BG132" s="1">
        <v>375.94</v>
      </c>
      <c r="BH132" s="54">
        <v>36.963000000000001</v>
      </c>
      <c r="BI132" s="23">
        <v>45559</v>
      </c>
      <c r="BJ132" s="46">
        <v>0.37040509259259258</v>
      </c>
      <c r="BK132">
        <v>0</v>
      </c>
      <c r="BL132">
        <v>0</v>
      </c>
      <c r="BM132">
        <v>0</v>
      </c>
      <c r="BN132" s="57">
        <f t="shared" si="181"/>
        <v>36.838000000000001</v>
      </c>
    </row>
    <row r="133" spans="1:66">
      <c r="A133" t="s">
        <v>103</v>
      </c>
      <c r="B133">
        <v>4</v>
      </c>
      <c r="C133" t="s">
        <v>7</v>
      </c>
      <c r="D133">
        <v>27520</v>
      </c>
      <c r="E133">
        <v>160</v>
      </c>
      <c r="F133">
        <v>1</v>
      </c>
      <c r="G133" s="41">
        <v>4</v>
      </c>
      <c r="H133" s="1">
        <v>385.36</v>
      </c>
      <c r="I133" s="54">
        <v>36.06</v>
      </c>
      <c r="J133" s="23">
        <v>45559</v>
      </c>
      <c r="K133" s="46">
        <v>0.81517361111111108</v>
      </c>
      <c r="L133">
        <v>0</v>
      </c>
      <c r="M133">
        <v>0</v>
      </c>
      <c r="N133">
        <v>0</v>
      </c>
      <c r="O133" s="57">
        <f t="shared" si="102"/>
        <v>36.129399999999997</v>
      </c>
      <c r="R133" t="s">
        <v>103</v>
      </c>
      <c r="S133">
        <v>4</v>
      </c>
      <c r="T133" t="s">
        <v>7</v>
      </c>
      <c r="U133">
        <v>27520</v>
      </c>
      <c r="V133">
        <v>160</v>
      </c>
      <c r="W133" s="58">
        <v>1</v>
      </c>
      <c r="X133">
        <v>4</v>
      </c>
      <c r="Y133" s="1">
        <v>384.74</v>
      </c>
      <c r="Z133" s="54">
        <v>36.116999999999997</v>
      </c>
      <c r="AA133" s="23">
        <v>45559</v>
      </c>
      <c r="AB133" s="46">
        <v>0.8171180555555555</v>
      </c>
      <c r="AC133">
        <v>0</v>
      </c>
      <c r="AD133">
        <v>0</v>
      </c>
      <c r="AE133">
        <v>0</v>
      </c>
      <c r="AF133" s="57">
        <f t="shared" si="95"/>
        <v>35.859399999999994</v>
      </c>
      <c r="AI133" s="23" t="s">
        <v>154</v>
      </c>
      <c r="AJ133" s="46">
        <v>4</v>
      </c>
      <c r="AK133" t="s">
        <v>7</v>
      </c>
      <c r="AL133">
        <v>27520</v>
      </c>
      <c r="AM133">
        <v>160</v>
      </c>
      <c r="AN133" s="41">
        <v>1</v>
      </c>
      <c r="AO133">
        <v>4</v>
      </c>
      <c r="AP133" s="1">
        <v>342.57</v>
      </c>
      <c r="AQ133" s="54">
        <v>40.564</v>
      </c>
      <c r="AR133" s="23">
        <v>45559</v>
      </c>
      <c r="AS133" s="46">
        <v>0.58178240740740739</v>
      </c>
      <c r="AT133">
        <v>0</v>
      </c>
      <c r="AU133">
        <v>0</v>
      </c>
      <c r="AV133">
        <v>0</v>
      </c>
      <c r="AW133" s="57">
        <f t="shared" si="180"/>
        <v>40.546399999999998</v>
      </c>
      <c r="AZ133" t="s">
        <v>154</v>
      </c>
      <c r="BA133">
        <v>4</v>
      </c>
      <c r="BB133" t="s">
        <v>7</v>
      </c>
      <c r="BC133">
        <v>27520</v>
      </c>
      <c r="BD133">
        <v>160</v>
      </c>
      <c r="BE133">
        <v>1</v>
      </c>
      <c r="BF133">
        <v>4</v>
      </c>
      <c r="BG133" s="1">
        <v>377.21</v>
      </c>
      <c r="BH133" s="54">
        <v>36.838999999999999</v>
      </c>
      <c r="BI133" s="23">
        <v>45559</v>
      </c>
      <c r="BJ133" s="46">
        <v>0.67890046296296291</v>
      </c>
      <c r="BK133">
        <v>0</v>
      </c>
      <c r="BL133">
        <v>0</v>
      </c>
      <c r="BM133">
        <v>0</v>
      </c>
      <c r="BN133" s="57">
        <f t="shared" si="181"/>
        <v>36.838000000000001</v>
      </c>
    </row>
    <row r="134" spans="1:66">
      <c r="A134" t="s">
        <v>103</v>
      </c>
      <c r="B134">
        <v>0</v>
      </c>
      <c r="C134" t="s">
        <v>7</v>
      </c>
      <c r="D134">
        <v>29120</v>
      </c>
      <c r="E134">
        <v>160</v>
      </c>
      <c r="F134">
        <v>1</v>
      </c>
      <c r="G134" s="41">
        <v>4</v>
      </c>
      <c r="H134" s="1">
        <v>457.8</v>
      </c>
      <c r="I134" s="54">
        <v>35.960999999999999</v>
      </c>
      <c r="J134" s="23">
        <v>45558</v>
      </c>
      <c r="K134" s="46">
        <v>0.57387731481481485</v>
      </c>
      <c r="L134">
        <v>0</v>
      </c>
      <c r="M134">
        <v>0</v>
      </c>
      <c r="N134">
        <v>0</v>
      </c>
      <c r="O134" s="57">
        <f t="shared" ref="O134" si="182">AVERAGE(I134:I138)</f>
        <v>35.976399999999998</v>
      </c>
      <c r="R134" t="s">
        <v>103</v>
      </c>
      <c r="S134">
        <v>0</v>
      </c>
      <c r="T134" t="s">
        <v>7</v>
      </c>
      <c r="U134">
        <v>29120</v>
      </c>
      <c r="V134">
        <v>160</v>
      </c>
      <c r="W134" s="41">
        <v>1</v>
      </c>
      <c r="X134">
        <v>4</v>
      </c>
      <c r="Y134" s="1">
        <v>463.71</v>
      </c>
      <c r="Z134" s="54">
        <v>35.503999999999998</v>
      </c>
      <c r="AA134" s="23">
        <v>45558</v>
      </c>
      <c r="AB134" s="46">
        <v>0.57271990740740741</v>
      </c>
      <c r="AC134">
        <v>0</v>
      </c>
      <c r="AD134">
        <v>0</v>
      </c>
      <c r="AE134">
        <v>0</v>
      </c>
      <c r="AF134" s="57">
        <f t="shared" ref="AF134" si="183">AVERAGE(Z134:Z138)</f>
        <v>35.600999999999999</v>
      </c>
      <c r="AI134" s="23" t="s">
        <v>154</v>
      </c>
      <c r="AJ134" s="46">
        <v>0</v>
      </c>
      <c r="AK134" t="s">
        <v>7</v>
      </c>
      <c r="AL134">
        <v>29120</v>
      </c>
      <c r="AM134">
        <v>160</v>
      </c>
      <c r="AN134" s="41">
        <v>1</v>
      </c>
      <c r="AO134">
        <v>4</v>
      </c>
      <c r="AP134" s="1">
        <v>404.38</v>
      </c>
      <c r="AQ134" s="54">
        <v>40.712000000000003</v>
      </c>
      <c r="AR134" s="23">
        <v>45558</v>
      </c>
      <c r="AS134" s="46">
        <v>0.55625000000000002</v>
      </c>
      <c r="AT134">
        <v>0</v>
      </c>
      <c r="AU134">
        <v>0</v>
      </c>
      <c r="AV134">
        <v>0</v>
      </c>
      <c r="AW134" s="57">
        <f t="shared" ref="AW134" si="184">AVERAGE(AQ134:AQ138)</f>
        <v>40.4664</v>
      </c>
      <c r="AZ134" t="s">
        <v>154</v>
      </c>
      <c r="BA134">
        <v>0</v>
      </c>
      <c r="BB134" t="s">
        <v>7</v>
      </c>
      <c r="BC134">
        <v>29120</v>
      </c>
      <c r="BD134">
        <v>160</v>
      </c>
      <c r="BE134">
        <v>1</v>
      </c>
      <c r="BF134">
        <v>4</v>
      </c>
      <c r="BG134" s="1">
        <v>443.15</v>
      </c>
      <c r="BH134" s="54">
        <v>37.151000000000003</v>
      </c>
      <c r="BI134" s="23">
        <v>45558</v>
      </c>
      <c r="BJ134" s="46">
        <v>0.55883101851851846</v>
      </c>
      <c r="BK134">
        <v>0</v>
      </c>
      <c r="BL134">
        <v>0</v>
      </c>
      <c r="BM134">
        <v>0</v>
      </c>
      <c r="BN134" s="57">
        <f t="shared" ref="BN134" si="185">AVERAGE(BH134:BH138)</f>
        <v>37.12080000000001</v>
      </c>
    </row>
    <row r="135" spans="1:66">
      <c r="A135" t="s">
        <v>103</v>
      </c>
      <c r="B135">
        <v>1</v>
      </c>
      <c r="C135" t="s">
        <v>7</v>
      </c>
      <c r="D135">
        <v>29120</v>
      </c>
      <c r="E135">
        <v>160</v>
      </c>
      <c r="F135">
        <v>1</v>
      </c>
      <c r="G135" s="41">
        <v>4</v>
      </c>
      <c r="H135" s="1">
        <v>458.12</v>
      </c>
      <c r="I135" s="54">
        <v>35.936999999999998</v>
      </c>
      <c r="J135" s="23">
        <v>45558</v>
      </c>
      <c r="K135" s="46">
        <v>0.91608796296296291</v>
      </c>
      <c r="L135">
        <v>0</v>
      </c>
      <c r="M135">
        <v>0</v>
      </c>
      <c r="N135">
        <v>0</v>
      </c>
      <c r="O135" s="57">
        <f t="shared" ref="O135" si="186">O134</f>
        <v>35.976399999999998</v>
      </c>
      <c r="R135" t="s">
        <v>103</v>
      </c>
      <c r="S135">
        <v>1</v>
      </c>
      <c r="T135" t="s">
        <v>7</v>
      </c>
      <c r="U135">
        <v>29120</v>
      </c>
      <c r="V135">
        <v>160</v>
      </c>
      <c r="W135" s="58">
        <v>1</v>
      </c>
      <c r="X135">
        <v>4</v>
      </c>
      <c r="Y135" s="1">
        <v>461.57</v>
      </c>
      <c r="Z135" s="54">
        <v>35.667999999999999</v>
      </c>
      <c r="AA135" s="23">
        <v>45558</v>
      </c>
      <c r="AB135" s="46">
        <v>0.91589120370370369</v>
      </c>
      <c r="AC135">
        <v>0</v>
      </c>
      <c r="AD135">
        <v>0</v>
      </c>
      <c r="AE135">
        <v>0</v>
      </c>
      <c r="AF135" s="57">
        <f t="shared" ref="AF135:AF198" si="187">AF134</f>
        <v>35.600999999999999</v>
      </c>
      <c r="AI135" s="23" t="s">
        <v>154</v>
      </c>
      <c r="AJ135" s="46">
        <v>1</v>
      </c>
      <c r="AK135" t="s">
        <v>7</v>
      </c>
      <c r="AL135">
        <v>29120</v>
      </c>
      <c r="AM135">
        <v>160</v>
      </c>
      <c r="AN135" s="41">
        <v>1</v>
      </c>
      <c r="AO135">
        <v>4</v>
      </c>
      <c r="AP135" s="1">
        <v>404.55</v>
      </c>
      <c r="AQ135" s="54">
        <v>40.695999999999998</v>
      </c>
      <c r="AR135" s="23">
        <v>45558</v>
      </c>
      <c r="AS135" s="46">
        <v>0.82250000000000001</v>
      </c>
      <c r="AT135">
        <v>0</v>
      </c>
      <c r="AU135">
        <v>0</v>
      </c>
      <c r="AV135">
        <v>0</v>
      </c>
      <c r="AW135" s="57">
        <f t="shared" ref="AW135:AW138" si="188">AW134</f>
        <v>40.4664</v>
      </c>
      <c r="AZ135" t="s">
        <v>154</v>
      </c>
      <c r="BA135">
        <v>1</v>
      </c>
      <c r="BB135" t="s">
        <v>7</v>
      </c>
      <c r="BC135">
        <v>29120</v>
      </c>
      <c r="BD135">
        <v>160</v>
      </c>
      <c r="BE135">
        <v>1</v>
      </c>
      <c r="BF135">
        <v>4</v>
      </c>
      <c r="BG135" s="1">
        <v>443.81</v>
      </c>
      <c r="BH135" s="54">
        <v>37.094999999999999</v>
      </c>
      <c r="BI135" s="23">
        <v>45558</v>
      </c>
      <c r="BJ135" s="46">
        <v>0.86774305555555553</v>
      </c>
      <c r="BK135">
        <v>0</v>
      </c>
      <c r="BL135">
        <v>0</v>
      </c>
      <c r="BM135">
        <v>0</v>
      </c>
      <c r="BN135" s="57">
        <f t="shared" ref="BN135:BN138" si="189">BN134</f>
        <v>37.12080000000001</v>
      </c>
    </row>
    <row r="136" spans="1:66">
      <c r="A136" t="s">
        <v>103</v>
      </c>
      <c r="B136">
        <v>2</v>
      </c>
      <c r="C136" t="s">
        <v>7</v>
      </c>
      <c r="D136">
        <v>29120</v>
      </c>
      <c r="E136">
        <v>160</v>
      </c>
      <c r="F136">
        <v>1</v>
      </c>
      <c r="G136" s="41">
        <v>4</v>
      </c>
      <c r="H136" s="1">
        <v>458.1</v>
      </c>
      <c r="I136" s="54">
        <v>35.938000000000002</v>
      </c>
      <c r="J136" s="23">
        <v>45559</v>
      </c>
      <c r="K136" s="46">
        <v>0.25832175925925926</v>
      </c>
      <c r="L136">
        <v>0</v>
      </c>
      <c r="M136">
        <v>0</v>
      </c>
      <c r="N136">
        <v>0</v>
      </c>
      <c r="O136" s="57">
        <f t="shared" si="102"/>
        <v>35.976399999999998</v>
      </c>
      <c r="R136" t="s">
        <v>103</v>
      </c>
      <c r="S136">
        <v>2</v>
      </c>
      <c r="T136" t="s">
        <v>7</v>
      </c>
      <c r="U136">
        <v>29120</v>
      </c>
      <c r="V136">
        <v>160</v>
      </c>
      <c r="W136" s="58">
        <v>1</v>
      </c>
      <c r="X136">
        <v>4</v>
      </c>
      <c r="Y136" s="1">
        <v>462.91</v>
      </c>
      <c r="Z136" s="54">
        <v>35.564999999999998</v>
      </c>
      <c r="AA136" s="23">
        <v>45559</v>
      </c>
      <c r="AB136" s="46">
        <v>0.2588078703703704</v>
      </c>
      <c r="AC136">
        <v>0</v>
      </c>
      <c r="AD136">
        <v>0</v>
      </c>
      <c r="AE136">
        <v>0</v>
      </c>
      <c r="AF136" s="57">
        <f t="shared" si="187"/>
        <v>35.600999999999999</v>
      </c>
      <c r="AI136" s="23" t="s">
        <v>154</v>
      </c>
      <c r="AJ136" s="46">
        <v>2</v>
      </c>
      <c r="AK136" t="s">
        <v>7</v>
      </c>
      <c r="AL136">
        <v>29120</v>
      </c>
      <c r="AM136">
        <v>160</v>
      </c>
      <c r="AN136" s="41">
        <v>1</v>
      </c>
      <c r="AO136">
        <v>4</v>
      </c>
      <c r="AP136" s="1">
        <v>404.03</v>
      </c>
      <c r="AQ136" s="54">
        <v>40.747999999999998</v>
      </c>
      <c r="AR136" s="23">
        <v>45559</v>
      </c>
      <c r="AS136" s="46">
        <v>0.11127314814814815</v>
      </c>
      <c r="AT136">
        <v>0</v>
      </c>
      <c r="AU136">
        <v>0</v>
      </c>
      <c r="AV136">
        <v>0</v>
      </c>
      <c r="AW136" s="57">
        <f t="shared" si="188"/>
        <v>40.4664</v>
      </c>
      <c r="AZ136" t="s">
        <v>154</v>
      </c>
      <c r="BA136">
        <v>2</v>
      </c>
      <c r="BB136" t="s">
        <v>7</v>
      </c>
      <c r="BC136">
        <v>29120</v>
      </c>
      <c r="BD136">
        <v>160</v>
      </c>
      <c r="BE136">
        <v>1</v>
      </c>
      <c r="BF136">
        <v>4</v>
      </c>
      <c r="BG136" s="1">
        <v>442.85</v>
      </c>
      <c r="BH136" s="54">
        <v>37.176000000000002</v>
      </c>
      <c r="BI136" s="23">
        <v>45559</v>
      </c>
      <c r="BJ136" s="46">
        <v>0.17636574074074074</v>
      </c>
      <c r="BK136">
        <v>0</v>
      </c>
      <c r="BL136">
        <v>0</v>
      </c>
      <c r="BM136">
        <v>0</v>
      </c>
      <c r="BN136" s="57">
        <f t="shared" si="189"/>
        <v>37.12080000000001</v>
      </c>
    </row>
    <row r="137" spans="1:66">
      <c r="A137" t="s">
        <v>103</v>
      </c>
      <c r="B137">
        <v>3</v>
      </c>
      <c r="C137" t="s">
        <v>7</v>
      </c>
      <c r="D137">
        <v>29120</v>
      </c>
      <c r="E137">
        <v>160</v>
      </c>
      <c r="F137">
        <v>1</v>
      </c>
      <c r="G137" s="41">
        <v>4</v>
      </c>
      <c r="H137" s="1">
        <v>458.51</v>
      </c>
      <c r="I137" s="54">
        <v>35.905999999999999</v>
      </c>
      <c r="J137" s="23">
        <v>45559</v>
      </c>
      <c r="K137" s="46">
        <v>0.60063657407407411</v>
      </c>
      <c r="L137">
        <v>0</v>
      </c>
      <c r="M137">
        <v>0</v>
      </c>
      <c r="N137">
        <v>0</v>
      </c>
      <c r="O137" s="57">
        <f t="shared" si="102"/>
        <v>35.976399999999998</v>
      </c>
      <c r="R137" t="s">
        <v>103</v>
      </c>
      <c r="S137">
        <v>3</v>
      </c>
      <c r="T137" t="s">
        <v>7</v>
      </c>
      <c r="U137">
        <v>29120</v>
      </c>
      <c r="V137">
        <v>160</v>
      </c>
      <c r="W137" s="58">
        <v>1</v>
      </c>
      <c r="X137">
        <v>4</v>
      </c>
      <c r="Y137" s="1">
        <v>464.67</v>
      </c>
      <c r="Z137" s="54">
        <v>35.43</v>
      </c>
      <c r="AA137" s="23">
        <v>45559</v>
      </c>
      <c r="AB137" s="46">
        <v>0.60212962962962968</v>
      </c>
      <c r="AC137">
        <v>0</v>
      </c>
      <c r="AD137">
        <v>0</v>
      </c>
      <c r="AE137">
        <v>0</v>
      </c>
      <c r="AF137" s="57">
        <f t="shared" si="187"/>
        <v>35.600999999999999</v>
      </c>
      <c r="AI137" s="23" t="s">
        <v>154</v>
      </c>
      <c r="AJ137" s="46">
        <v>3</v>
      </c>
      <c r="AK137" t="s">
        <v>7</v>
      </c>
      <c r="AL137">
        <v>29120</v>
      </c>
      <c r="AM137">
        <v>160</v>
      </c>
      <c r="AN137" s="41">
        <v>1</v>
      </c>
      <c r="AO137">
        <v>4</v>
      </c>
      <c r="AP137" s="1">
        <v>412.21</v>
      </c>
      <c r="AQ137" s="54">
        <v>39.939</v>
      </c>
      <c r="AR137" s="23">
        <v>45559</v>
      </c>
      <c r="AS137" s="46">
        <v>0.40052083333333333</v>
      </c>
      <c r="AT137">
        <v>0</v>
      </c>
      <c r="AU137">
        <v>0</v>
      </c>
      <c r="AV137">
        <v>0</v>
      </c>
      <c r="AW137" s="57">
        <f t="shared" si="188"/>
        <v>40.4664</v>
      </c>
      <c r="AZ137" t="s">
        <v>154</v>
      </c>
      <c r="BA137">
        <v>3</v>
      </c>
      <c r="BB137" t="s">
        <v>7</v>
      </c>
      <c r="BC137">
        <v>29120</v>
      </c>
      <c r="BD137">
        <v>160</v>
      </c>
      <c r="BE137">
        <v>1</v>
      </c>
      <c r="BF137">
        <v>4</v>
      </c>
      <c r="BG137" s="1">
        <v>443.17</v>
      </c>
      <c r="BH137" s="54">
        <v>37.149000000000001</v>
      </c>
      <c r="BI137" s="23">
        <v>45559</v>
      </c>
      <c r="BJ137" s="46">
        <v>0.48484953703703704</v>
      </c>
      <c r="BK137">
        <v>0</v>
      </c>
      <c r="BL137">
        <v>0</v>
      </c>
      <c r="BM137">
        <v>0</v>
      </c>
      <c r="BN137" s="57">
        <f t="shared" si="189"/>
        <v>37.12080000000001</v>
      </c>
    </row>
    <row r="138" spans="1:66">
      <c r="A138" t="s">
        <v>103</v>
      </c>
      <c r="B138">
        <v>4</v>
      </c>
      <c r="C138" t="s">
        <v>7</v>
      </c>
      <c r="D138">
        <v>29120</v>
      </c>
      <c r="E138">
        <v>160</v>
      </c>
      <c r="F138">
        <v>1</v>
      </c>
      <c r="G138" s="41">
        <v>4</v>
      </c>
      <c r="H138" s="1">
        <v>455.54</v>
      </c>
      <c r="I138" s="54">
        <v>36.14</v>
      </c>
      <c r="J138" s="23">
        <v>45559</v>
      </c>
      <c r="K138" s="46">
        <v>0.94271990740740741</v>
      </c>
      <c r="L138">
        <v>0</v>
      </c>
      <c r="M138">
        <v>0</v>
      </c>
      <c r="N138">
        <v>0</v>
      </c>
      <c r="O138" s="57">
        <f t="shared" si="102"/>
        <v>35.976399999999998</v>
      </c>
      <c r="R138" t="s">
        <v>103</v>
      </c>
      <c r="S138">
        <v>4</v>
      </c>
      <c r="T138" t="s">
        <v>7</v>
      </c>
      <c r="U138">
        <v>29120</v>
      </c>
      <c r="V138">
        <v>160</v>
      </c>
      <c r="W138" s="58">
        <v>1</v>
      </c>
      <c r="X138">
        <v>4</v>
      </c>
      <c r="Y138" s="1">
        <v>459.38</v>
      </c>
      <c r="Z138" s="54">
        <v>35.838000000000001</v>
      </c>
      <c r="AA138" s="23">
        <v>45559</v>
      </c>
      <c r="AB138" s="46">
        <v>0.94498842592592591</v>
      </c>
      <c r="AC138">
        <v>0</v>
      </c>
      <c r="AD138">
        <v>0</v>
      </c>
      <c r="AE138">
        <v>0</v>
      </c>
      <c r="AF138" s="57">
        <f t="shared" si="187"/>
        <v>35.600999999999999</v>
      </c>
      <c r="AI138" s="23" t="s">
        <v>154</v>
      </c>
      <c r="AJ138" s="46">
        <v>4</v>
      </c>
      <c r="AK138" t="s">
        <v>7</v>
      </c>
      <c r="AL138">
        <v>29120</v>
      </c>
      <c r="AM138">
        <v>160</v>
      </c>
      <c r="AN138" s="41">
        <v>1</v>
      </c>
      <c r="AO138">
        <v>4</v>
      </c>
      <c r="AP138" s="1">
        <v>409.16</v>
      </c>
      <c r="AQ138" s="54">
        <v>40.237000000000002</v>
      </c>
      <c r="AR138" s="23">
        <v>45559</v>
      </c>
      <c r="AS138" s="46">
        <v>0.6903125</v>
      </c>
      <c r="AT138">
        <v>0</v>
      </c>
      <c r="AU138">
        <v>0</v>
      </c>
      <c r="AV138">
        <v>0</v>
      </c>
      <c r="AW138" s="57">
        <f t="shared" si="188"/>
        <v>40.4664</v>
      </c>
      <c r="AZ138" t="s">
        <v>154</v>
      </c>
      <c r="BA138">
        <v>4</v>
      </c>
      <c r="BB138" t="s">
        <v>7</v>
      </c>
      <c r="BC138">
        <v>29120</v>
      </c>
      <c r="BD138">
        <v>160</v>
      </c>
      <c r="BE138">
        <v>1</v>
      </c>
      <c r="BF138">
        <v>4</v>
      </c>
      <c r="BG138" s="1">
        <v>444.56</v>
      </c>
      <c r="BH138" s="54">
        <v>37.033000000000001</v>
      </c>
      <c r="BI138" s="23">
        <v>45559</v>
      </c>
      <c r="BJ138" s="46">
        <v>0.79319444444444442</v>
      </c>
      <c r="BK138">
        <v>0</v>
      </c>
      <c r="BL138">
        <v>0</v>
      </c>
      <c r="BM138">
        <v>0</v>
      </c>
      <c r="BN138" s="57">
        <f t="shared" si="189"/>
        <v>37.12080000000001</v>
      </c>
    </row>
    <row r="139" spans="1:66">
      <c r="A139" t="s">
        <v>103</v>
      </c>
      <c r="B139">
        <v>0</v>
      </c>
      <c r="C139" t="s">
        <v>7</v>
      </c>
      <c r="D139">
        <v>26080</v>
      </c>
      <c r="E139">
        <v>160</v>
      </c>
      <c r="F139">
        <v>2</v>
      </c>
      <c r="G139" s="41">
        <v>2</v>
      </c>
      <c r="H139" s="1">
        <v>335.72</v>
      </c>
      <c r="I139" s="54">
        <v>35.228000000000002</v>
      </c>
      <c r="J139" s="23">
        <v>45558</v>
      </c>
      <c r="K139" s="46">
        <v>0.34383101851851849</v>
      </c>
      <c r="L139">
        <v>0</v>
      </c>
      <c r="M139">
        <v>0</v>
      </c>
      <c r="N139">
        <v>0</v>
      </c>
      <c r="O139" s="57">
        <f t="shared" ref="O139" si="190">AVERAGE(I139:I143)</f>
        <v>35.144999999999996</v>
      </c>
      <c r="R139" t="s">
        <v>103</v>
      </c>
      <c r="S139">
        <v>0</v>
      </c>
      <c r="T139" t="s">
        <v>7</v>
      </c>
      <c r="U139">
        <v>26080</v>
      </c>
      <c r="V139">
        <v>160</v>
      </c>
      <c r="W139" s="41">
        <v>2</v>
      </c>
      <c r="X139">
        <v>2</v>
      </c>
      <c r="Y139" s="1">
        <v>340.03</v>
      </c>
      <c r="Z139" s="54">
        <v>34.781999999999996</v>
      </c>
      <c r="AA139" s="23">
        <v>45558</v>
      </c>
      <c r="AB139" s="46">
        <v>0.34214120370370371</v>
      </c>
      <c r="AC139">
        <v>0</v>
      </c>
      <c r="AD139">
        <v>0</v>
      </c>
      <c r="AE139">
        <v>0</v>
      </c>
      <c r="AF139" s="57">
        <f t="shared" ref="AF139" si="191">AVERAGE(Z139:Z143)</f>
        <v>34.773799999999994</v>
      </c>
      <c r="AI139" s="23" t="s">
        <v>154</v>
      </c>
      <c r="AJ139" s="46">
        <v>0</v>
      </c>
      <c r="AK139" t="s">
        <v>7</v>
      </c>
      <c r="AL139">
        <v>26080</v>
      </c>
      <c r="AM139">
        <v>160</v>
      </c>
      <c r="AN139" s="41">
        <v>2</v>
      </c>
      <c r="AO139">
        <v>2</v>
      </c>
      <c r="AP139" s="1">
        <v>301.7</v>
      </c>
      <c r="AQ139" s="54">
        <v>39.201000000000001</v>
      </c>
      <c r="AR139" s="23">
        <v>45558</v>
      </c>
      <c r="AS139" s="46">
        <v>0.33466435185185184</v>
      </c>
      <c r="AT139">
        <v>0</v>
      </c>
      <c r="AU139">
        <v>0</v>
      </c>
      <c r="AV139">
        <v>0</v>
      </c>
      <c r="AW139" s="57">
        <f t="shared" ref="AW139" si="192">AVERAGE(AQ139:AQ143)</f>
        <v>39.380600000000001</v>
      </c>
      <c r="AZ139" t="s">
        <v>154</v>
      </c>
      <c r="BA139">
        <v>0</v>
      </c>
      <c r="BB139" t="s">
        <v>7</v>
      </c>
      <c r="BC139">
        <v>26080</v>
      </c>
      <c r="BD139">
        <v>160</v>
      </c>
      <c r="BE139">
        <v>2</v>
      </c>
      <c r="BF139">
        <v>2</v>
      </c>
      <c r="BG139" s="1">
        <v>362.25</v>
      </c>
      <c r="BH139" s="54">
        <v>32.648000000000003</v>
      </c>
      <c r="BI139" s="23">
        <v>45558</v>
      </c>
      <c r="BJ139" s="46">
        <v>0.33967592592592594</v>
      </c>
      <c r="BK139">
        <v>0</v>
      </c>
      <c r="BL139">
        <v>0</v>
      </c>
      <c r="BM139">
        <v>0</v>
      </c>
      <c r="BN139" s="57">
        <f t="shared" ref="BN139" si="193">AVERAGE(BH139:BH143)</f>
        <v>32.795400000000001</v>
      </c>
    </row>
    <row r="140" spans="1:66">
      <c r="A140" t="s">
        <v>103</v>
      </c>
      <c r="B140">
        <v>1</v>
      </c>
      <c r="C140" t="s">
        <v>7</v>
      </c>
      <c r="D140">
        <v>26080</v>
      </c>
      <c r="E140">
        <v>160</v>
      </c>
      <c r="F140">
        <v>2</v>
      </c>
      <c r="G140" s="41">
        <v>2</v>
      </c>
      <c r="H140" s="1">
        <v>337.24</v>
      </c>
      <c r="I140" s="54">
        <v>35.069000000000003</v>
      </c>
      <c r="J140" s="23">
        <v>45558</v>
      </c>
      <c r="K140" s="46">
        <v>0.68590277777777775</v>
      </c>
      <c r="L140">
        <v>0</v>
      </c>
      <c r="M140">
        <v>0</v>
      </c>
      <c r="N140">
        <v>0</v>
      </c>
      <c r="O140" s="57">
        <f t="shared" ref="O140:O203" si="194">O139</f>
        <v>35.144999999999996</v>
      </c>
      <c r="R140" t="s">
        <v>103</v>
      </c>
      <c r="S140">
        <v>1</v>
      </c>
      <c r="T140" t="s">
        <v>7</v>
      </c>
      <c r="U140">
        <v>26080</v>
      </c>
      <c r="V140">
        <v>160</v>
      </c>
      <c r="W140" s="41">
        <v>2</v>
      </c>
      <c r="X140">
        <v>2</v>
      </c>
      <c r="Y140" s="1">
        <v>339.4</v>
      </c>
      <c r="Z140" s="54">
        <v>34.845999999999997</v>
      </c>
      <c r="AA140" s="23">
        <v>45558</v>
      </c>
      <c r="AB140" s="46">
        <v>0.6852314814814815</v>
      </c>
      <c r="AC140">
        <v>0</v>
      </c>
      <c r="AD140">
        <v>0</v>
      </c>
      <c r="AE140">
        <v>0</v>
      </c>
      <c r="AF140" s="57">
        <f t="shared" si="187"/>
        <v>34.773799999999994</v>
      </c>
      <c r="AI140" s="23" t="s">
        <v>154</v>
      </c>
      <c r="AJ140" s="46">
        <v>1</v>
      </c>
      <c r="AK140" t="s">
        <v>7</v>
      </c>
      <c r="AL140">
        <v>26080</v>
      </c>
      <c r="AM140">
        <v>160</v>
      </c>
      <c r="AN140" s="41">
        <v>2</v>
      </c>
      <c r="AO140">
        <v>2</v>
      </c>
      <c r="AP140" s="1">
        <v>299.94</v>
      </c>
      <c r="AQ140" s="54">
        <v>39.430999999999997</v>
      </c>
      <c r="AR140" s="23">
        <v>45558</v>
      </c>
      <c r="AS140" s="46">
        <v>0.62690972222222219</v>
      </c>
      <c r="AT140">
        <v>0</v>
      </c>
      <c r="AU140">
        <v>0</v>
      </c>
      <c r="AV140">
        <v>0</v>
      </c>
      <c r="AW140" s="57">
        <f t="shared" ref="AW140:AW143" si="195">AW139</f>
        <v>39.380600000000001</v>
      </c>
      <c r="AZ140" t="s">
        <v>154</v>
      </c>
      <c r="BA140">
        <v>1</v>
      </c>
      <c r="BB140" t="s">
        <v>7</v>
      </c>
      <c r="BC140">
        <v>26080</v>
      </c>
      <c r="BD140">
        <v>160</v>
      </c>
      <c r="BE140">
        <v>2</v>
      </c>
      <c r="BF140">
        <v>2</v>
      </c>
      <c r="BG140" s="1">
        <v>360.21</v>
      </c>
      <c r="BH140" s="54">
        <v>32.832999999999998</v>
      </c>
      <c r="BI140" s="23">
        <v>45558</v>
      </c>
      <c r="BJ140" s="46">
        <v>0.66059027777777779</v>
      </c>
      <c r="BK140">
        <v>0</v>
      </c>
      <c r="BL140">
        <v>0</v>
      </c>
      <c r="BM140">
        <v>0</v>
      </c>
      <c r="BN140" s="57">
        <f t="shared" ref="BN140:BN143" si="196">BN139</f>
        <v>32.795400000000001</v>
      </c>
    </row>
    <row r="141" spans="1:66">
      <c r="A141" t="s">
        <v>103</v>
      </c>
      <c r="B141">
        <v>2</v>
      </c>
      <c r="C141" t="s">
        <v>7</v>
      </c>
      <c r="D141">
        <v>26080</v>
      </c>
      <c r="E141">
        <v>160</v>
      </c>
      <c r="F141">
        <v>2</v>
      </c>
      <c r="G141" s="41">
        <v>2</v>
      </c>
      <c r="H141" s="1">
        <v>335.92</v>
      </c>
      <c r="I141" s="54">
        <v>35.207000000000001</v>
      </c>
      <c r="J141" s="23">
        <v>45559</v>
      </c>
      <c r="K141" s="46">
        <v>2.8101851851851854E-2</v>
      </c>
      <c r="L141">
        <v>0</v>
      </c>
      <c r="M141">
        <v>0</v>
      </c>
      <c r="N141">
        <v>0</v>
      </c>
      <c r="O141" s="57">
        <f t="shared" si="194"/>
        <v>35.144999999999996</v>
      </c>
      <c r="R141" t="s">
        <v>103</v>
      </c>
      <c r="S141">
        <v>2</v>
      </c>
      <c r="T141" t="s">
        <v>7</v>
      </c>
      <c r="U141">
        <v>26080</v>
      </c>
      <c r="V141">
        <v>160</v>
      </c>
      <c r="W141" s="58">
        <v>2</v>
      </c>
      <c r="X141">
        <v>2</v>
      </c>
      <c r="Y141" s="1">
        <v>340.49</v>
      </c>
      <c r="Z141" s="54">
        <v>34.734999999999999</v>
      </c>
      <c r="AA141" s="23">
        <v>45559</v>
      </c>
      <c r="AB141" s="46">
        <v>2.8344907407407409E-2</v>
      </c>
      <c r="AC141">
        <v>0</v>
      </c>
      <c r="AD141">
        <v>0</v>
      </c>
      <c r="AE141">
        <v>0</v>
      </c>
      <c r="AF141" s="57">
        <f t="shared" si="187"/>
        <v>34.773799999999994</v>
      </c>
      <c r="AI141" s="23" t="s">
        <v>154</v>
      </c>
      <c r="AJ141" s="46">
        <v>2</v>
      </c>
      <c r="AK141" t="s">
        <v>7</v>
      </c>
      <c r="AL141">
        <v>26080</v>
      </c>
      <c r="AM141">
        <v>160</v>
      </c>
      <c r="AN141" s="41">
        <v>2</v>
      </c>
      <c r="AO141">
        <v>2</v>
      </c>
      <c r="AP141" s="1">
        <v>298.86</v>
      </c>
      <c r="AQ141" s="54">
        <v>39.573</v>
      </c>
      <c r="AR141" s="23">
        <v>45558</v>
      </c>
      <c r="AS141" s="46">
        <v>0.91613425925925929</v>
      </c>
      <c r="AT141">
        <v>0</v>
      </c>
      <c r="AU141">
        <v>0</v>
      </c>
      <c r="AV141">
        <v>0</v>
      </c>
      <c r="AW141" s="57">
        <f t="shared" si="195"/>
        <v>39.380600000000001</v>
      </c>
      <c r="AZ141" t="s">
        <v>154</v>
      </c>
      <c r="BA141">
        <v>2</v>
      </c>
      <c r="BB141" t="s">
        <v>7</v>
      </c>
      <c r="BC141">
        <v>26080</v>
      </c>
      <c r="BD141">
        <v>160</v>
      </c>
      <c r="BE141">
        <v>2</v>
      </c>
      <c r="BF141">
        <v>2</v>
      </c>
      <c r="BG141" s="1">
        <v>361.03</v>
      </c>
      <c r="BH141" s="54">
        <v>32.758000000000003</v>
      </c>
      <c r="BI141" s="23">
        <v>45558</v>
      </c>
      <c r="BJ141" s="46">
        <v>0.96924768518518523</v>
      </c>
      <c r="BK141">
        <v>0</v>
      </c>
      <c r="BL141">
        <v>0</v>
      </c>
      <c r="BM141">
        <v>0</v>
      </c>
      <c r="BN141" s="57">
        <f t="shared" si="196"/>
        <v>32.795400000000001</v>
      </c>
    </row>
    <row r="142" spans="1:66">
      <c r="A142" t="s">
        <v>103</v>
      </c>
      <c r="B142">
        <v>3</v>
      </c>
      <c r="C142" t="s">
        <v>7</v>
      </c>
      <c r="D142">
        <v>26080</v>
      </c>
      <c r="E142">
        <v>160</v>
      </c>
      <c r="F142">
        <v>2</v>
      </c>
      <c r="G142" s="41">
        <v>2</v>
      </c>
      <c r="H142" s="1">
        <v>336.43</v>
      </c>
      <c r="I142" s="54">
        <v>35.154000000000003</v>
      </c>
      <c r="J142" s="23">
        <v>45559</v>
      </c>
      <c r="K142" s="46">
        <v>0.3704513888888889</v>
      </c>
      <c r="L142">
        <v>0</v>
      </c>
      <c r="M142">
        <v>0</v>
      </c>
      <c r="N142">
        <v>0</v>
      </c>
      <c r="O142" s="57">
        <f t="shared" si="194"/>
        <v>35.144999999999996</v>
      </c>
      <c r="R142" t="s">
        <v>103</v>
      </c>
      <c r="S142">
        <v>3</v>
      </c>
      <c r="T142" t="s">
        <v>7</v>
      </c>
      <c r="U142">
        <v>26080</v>
      </c>
      <c r="V142">
        <v>160</v>
      </c>
      <c r="W142" s="58">
        <v>2</v>
      </c>
      <c r="X142">
        <v>2</v>
      </c>
      <c r="Y142" s="1">
        <v>340.52</v>
      </c>
      <c r="Z142" s="54">
        <v>34.731999999999999</v>
      </c>
      <c r="AA142" s="23">
        <v>45559</v>
      </c>
      <c r="AB142" s="46">
        <v>0.37142361111111111</v>
      </c>
      <c r="AC142">
        <v>0</v>
      </c>
      <c r="AD142">
        <v>0</v>
      </c>
      <c r="AE142">
        <v>0</v>
      </c>
      <c r="AF142" s="57">
        <f t="shared" si="187"/>
        <v>34.773799999999994</v>
      </c>
      <c r="AI142" s="23" t="s">
        <v>154</v>
      </c>
      <c r="AJ142" s="46">
        <v>3</v>
      </c>
      <c r="AK142" t="s">
        <v>7</v>
      </c>
      <c r="AL142">
        <v>26080</v>
      </c>
      <c r="AM142">
        <v>160</v>
      </c>
      <c r="AN142" s="41">
        <v>2</v>
      </c>
      <c r="AO142">
        <v>2</v>
      </c>
      <c r="AP142" s="1">
        <v>299.58</v>
      </c>
      <c r="AQ142" s="54">
        <v>39.478999999999999</v>
      </c>
      <c r="AR142" s="23">
        <v>45559</v>
      </c>
      <c r="AS142" s="46">
        <v>0.2051388888888889</v>
      </c>
      <c r="AT142">
        <v>0</v>
      </c>
      <c r="AU142">
        <v>0</v>
      </c>
      <c r="AV142">
        <v>0</v>
      </c>
      <c r="AW142" s="57">
        <f t="shared" si="195"/>
        <v>39.380600000000001</v>
      </c>
      <c r="AZ142" t="s">
        <v>154</v>
      </c>
      <c r="BA142">
        <v>3</v>
      </c>
      <c r="BB142" t="s">
        <v>7</v>
      </c>
      <c r="BC142">
        <v>26080</v>
      </c>
      <c r="BD142">
        <v>160</v>
      </c>
      <c r="BE142">
        <v>2</v>
      </c>
      <c r="BF142">
        <v>2</v>
      </c>
      <c r="BG142" s="1">
        <v>360.26</v>
      </c>
      <c r="BH142" s="54">
        <v>32.829000000000001</v>
      </c>
      <c r="BI142" s="23">
        <v>45559</v>
      </c>
      <c r="BJ142" s="46">
        <v>0.27783564814814815</v>
      </c>
      <c r="BK142">
        <v>0</v>
      </c>
      <c r="BL142">
        <v>0</v>
      </c>
      <c r="BM142">
        <v>0</v>
      </c>
      <c r="BN142" s="57">
        <f t="shared" si="196"/>
        <v>32.795400000000001</v>
      </c>
    </row>
    <row r="143" spans="1:66">
      <c r="A143" t="s">
        <v>103</v>
      </c>
      <c r="B143">
        <v>4</v>
      </c>
      <c r="C143" t="s">
        <v>7</v>
      </c>
      <c r="D143">
        <v>26080</v>
      </c>
      <c r="E143">
        <v>160</v>
      </c>
      <c r="F143">
        <v>2</v>
      </c>
      <c r="G143" s="41">
        <v>2</v>
      </c>
      <c r="H143" s="1">
        <v>337.26</v>
      </c>
      <c r="I143" s="54">
        <v>35.067</v>
      </c>
      <c r="J143" s="23">
        <v>45559</v>
      </c>
      <c r="K143" s="46">
        <v>0.71273148148148147</v>
      </c>
      <c r="L143">
        <v>0</v>
      </c>
      <c r="M143">
        <v>0</v>
      </c>
      <c r="N143">
        <v>0</v>
      </c>
      <c r="O143" s="57">
        <f t="shared" si="194"/>
        <v>35.144999999999996</v>
      </c>
      <c r="R143" t="s">
        <v>103</v>
      </c>
      <c r="S143">
        <v>4</v>
      </c>
      <c r="T143" t="s">
        <v>7</v>
      </c>
      <c r="U143">
        <v>26080</v>
      </c>
      <c r="V143">
        <v>160</v>
      </c>
      <c r="W143" s="58">
        <v>2</v>
      </c>
      <c r="X143">
        <v>2</v>
      </c>
      <c r="Y143" s="1">
        <v>340.1</v>
      </c>
      <c r="Z143" s="54">
        <v>34.774000000000001</v>
      </c>
      <c r="AA143" s="23">
        <v>45559</v>
      </c>
      <c r="AB143" s="46">
        <v>0.71461805555555558</v>
      </c>
      <c r="AC143">
        <v>0</v>
      </c>
      <c r="AD143">
        <v>0</v>
      </c>
      <c r="AE143">
        <v>0</v>
      </c>
      <c r="AF143" s="57">
        <f t="shared" si="187"/>
        <v>34.773799999999994</v>
      </c>
      <c r="AI143" s="23" t="s">
        <v>154</v>
      </c>
      <c r="AJ143" s="46">
        <v>4</v>
      </c>
      <c r="AK143" t="s">
        <v>7</v>
      </c>
      <c r="AL143">
        <v>26080</v>
      </c>
      <c r="AM143">
        <v>160</v>
      </c>
      <c r="AN143" s="41">
        <v>2</v>
      </c>
      <c r="AO143">
        <v>2</v>
      </c>
      <c r="AP143" s="1">
        <v>301.56</v>
      </c>
      <c r="AQ143" s="54">
        <v>39.219000000000001</v>
      </c>
      <c r="AR143" s="23">
        <v>45559</v>
      </c>
      <c r="AS143" s="46">
        <v>0.49438657407407405</v>
      </c>
      <c r="AT143">
        <v>0</v>
      </c>
      <c r="AU143">
        <v>0</v>
      </c>
      <c r="AV143">
        <v>0</v>
      </c>
      <c r="AW143" s="57">
        <f t="shared" si="195"/>
        <v>39.380600000000001</v>
      </c>
      <c r="AZ143" t="s">
        <v>154</v>
      </c>
      <c r="BA143">
        <v>4</v>
      </c>
      <c r="BB143" t="s">
        <v>7</v>
      </c>
      <c r="BC143">
        <v>26080</v>
      </c>
      <c r="BD143">
        <v>160</v>
      </c>
      <c r="BE143">
        <v>2</v>
      </c>
      <c r="BF143">
        <v>2</v>
      </c>
      <c r="BG143" s="1">
        <v>359.38</v>
      </c>
      <c r="BH143" s="54">
        <v>32.908999999999999</v>
      </c>
      <c r="BI143" s="23">
        <v>45559</v>
      </c>
      <c r="BJ143" s="46">
        <v>0.58627314814814813</v>
      </c>
      <c r="BK143">
        <v>0</v>
      </c>
      <c r="BL143">
        <v>0</v>
      </c>
      <c r="BM143">
        <v>0</v>
      </c>
      <c r="BN143" s="57">
        <f t="shared" si="196"/>
        <v>32.795400000000001</v>
      </c>
    </row>
    <row r="144" spans="1:66">
      <c r="A144" t="s">
        <v>103</v>
      </c>
      <c r="B144">
        <v>0</v>
      </c>
      <c r="C144" t="s">
        <v>7</v>
      </c>
      <c r="D144">
        <v>27520</v>
      </c>
      <c r="E144">
        <v>160</v>
      </c>
      <c r="F144">
        <v>2</v>
      </c>
      <c r="G144" s="41">
        <v>2</v>
      </c>
      <c r="H144" s="1">
        <v>395.53</v>
      </c>
      <c r="I144" s="54">
        <v>35.133000000000003</v>
      </c>
      <c r="J144" s="23">
        <v>45558</v>
      </c>
      <c r="K144" s="46">
        <v>0.45151620370370371</v>
      </c>
      <c r="L144">
        <v>0</v>
      </c>
      <c r="M144">
        <v>0</v>
      </c>
      <c r="N144">
        <v>0</v>
      </c>
      <c r="O144" s="57">
        <f t="shared" ref="O144" si="197">AVERAGE(I144:I148)</f>
        <v>35.0884</v>
      </c>
      <c r="R144" t="s">
        <v>103</v>
      </c>
      <c r="S144">
        <v>0</v>
      </c>
      <c r="T144" t="s">
        <v>7</v>
      </c>
      <c r="U144">
        <v>27520</v>
      </c>
      <c r="V144">
        <v>160</v>
      </c>
      <c r="W144" s="41">
        <v>2</v>
      </c>
      <c r="X144">
        <v>2</v>
      </c>
      <c r="Y144" s="1">
        <v>400.17</v>
      </c>
      <c r="Z144" s="54">
        <v>34.725000000000001</v>
      </c>
      <c r="AA144" s="23">
        <v>45558</v>
      </c>
      <c r="AB144" s="46">
        <v>0.45011574074074073</v>
      </c>
      <c r="AC144">
        <v>0</v>
      </c>
      <c r="AD144">
        <v>0</v>
      </c>
      <c r="AE144">
        <v>0</v>
      </c>
      <c r="AF144" s="57">
        <f t="shared" ref="AF144" si="198">AVERAGE(Z144:Z148)</f>
        <v>34.79</v>
      </c>
      <c r="AI144" s="23" t="s">
        <v>154</v>
      </c>
      <c r="AJ144" s="46">
        <v>0</v>
      </c>
      <c r="AK144" t="s">
        <v>7</v>
      </c>
      <c r="AL144">
        <v>27520</v>
      </c>
      <c r="AM144">
        <v>160</v>
      </c>
      <c r="AN144" s="41">
        <v>2</v>
      </c>
      <c r="AO144">
        <v>2</v>
      </c>
      <c r="AP144" s="1">
        <v>350.21</v>
      </c>
      <c r="AQ144" s="54">
        <v>39.679000000000002</v>
      </c>
      <c r="AR144" s="23">
        <v>45558</v>
      </c>
      <c r="AS144" s="46">
        <v>0.42584490740740738</v>
      </c>
      <c r="AT144">
        <v>0</v>
      </c>
      <c r="AU144">
        <v>0</v>
      </c>
      <c r="AV144">
        <v>0</v>
      </c>
      <c r="AW144" s="57">
        <f t="shared" ref="AW144" si="199">AVERAGE(AQ144:AQ148)</f>
        <v>39.329000000000001</v>
      </c>
      <c r="AZ144" t="s">
        <v>154</v>
      </c>
      <c r="BA144">
        <v>0</v>
      </c>
      <c r="BB144" t="s">
        <v>7</v>
      </c>
      <c r="BC144">
        <v>27520</v>
      </c>
      <c r="BD144">
        <v>160</v>
      </c>
      <c r="BE144">
        <v>2</v>
      </c>
      <c r="BF144">
        <v>2</v>
      </c>
      <c r="BG144" s="1">
        <v>418.54</v>
      </c>
      <c r="BH144" s="54">
        <v>33.201000000000001</v>
      </c>
      <c r="BI144" s="23">
        <v>45558</v>
      </c>
      <c r="BJ144" s="46">
        <v>0.43753472222222223</v>
      </c>
      <c r="BK144">
        <v>0</v>
      </c>
      <c r="BL144">
        <v>0</v>
      </c>
      <c r="BM144">
        <v>0</v>
      </c>
      <c r="BN144" s="57">
        <f t="shared" ref="BN144" si="200">AVERAGE(BH144:BH148)</f>
        <v>33.281999999999996</v>
      </c>
    </row>
    <row r="145" spans="1:66">
      <c r="A145" t="s">
        <v>103</v>
      </c>
      <c r="B145">
        <v>1</v>
      </c>
      <c r="C145" t="s">
        <v>7</v>
      </c>
      <c r="D145">
        <v>27520</v>
      </c>
      <c r="E145">
        <v>160</v>
      </c>
      <c r="F145">
        <v>2</v>
      </c>
      <c r="G145" s="41">
        <v>2</v>
      </c>
      <c r="H145" s="1">
        <v>395.82</v>
      </c>
      <c r="I145" s="54">
        <v>35.106999999999999</v>
      </c>
      <c r="J145" s="23">
        <v>45558</v>
      </c>
      <c r="K145" s="46">
        <v>0.79365740740740742</v>
      </c>
      <c r="L145">
        <v>0</v>
      </c>
      <c r="M145">
        <v>0</v>
      </c>
      <c r="N145">
        <v>0</v>
      </c>
      <c r="O145" s="57">
        <f t="shared" ref="O145" si="201">O144</f>
        <v>35.0884</v>
      </c>
      <c r="R145" t="s">
        <v>103</v>
      </c>
      <c r="S145">
        <v>1</v>
      </c>
      <c r="T145" t="s">
        <v>7</v>
      </c>
      <c r="U145">
        <v>27520</v>
      </c>
      <c r="V145">
        <v>160</v>
      </c>
      <c r="W145" s="58">
        <v>2</v>
      </c>
      <c r="X145">
        <v>2</v>
      </c>
      <c r="Y145" s="1">
        <v>398.71</v>
      </c>
      <c r="Z145" s="54">
        <v>34.851999999999997</v>
      </c>
      <c r="AA145" s="23">
        <v>45558</v>
      </c>
      <c r="AB145" s="46">
        <v>0.79324074074074069</v>
      </c>
      <c r="AC145">
        <v>0</v>
      </c>
      <c r="AD145">
        <v>0</v>
      </c>
      <c r="AE145">
        <v>0</v>
      </c>
      <c r="AF145" s="57">
        <f t="shared" si="187"/>
        <v>34.79</v>
      </c>
      <c r="AI145" s="23" t="s">
        <v>154</v>
      </c>
      <c r="AJ145" s="46">
        <v>1</v>
      </c>
      <c r="AK145" t="s">
        <v>7</v>
      </c>
      <c r="AL145">
        <v>27520</v>
      </c>
      <c r="AM145">
        <v>160</v>
      </c>
      <c r="AN145" s="41">
        <v>2</v>
      </c>
      <c r="AO145">
        <v>2</v>
      </c>
      <c r="AP145" s="1">
        <v>355.59</v>
      </c>
      <c r="AQ145" s="54">
        <v>39.079000000000001</v>
      </c>
      <c r="AR145" s="23">
        <v>45558</v>
      </c>
      <c r="AS145" s="46">
        <v>0.71870370370370373</v>
      </c>
      <c r="AT145">
        <v>0</v>
      </c>
      <c r="AU145">
        <v>0</v>
      </c>
      <c r="AV145">
        <v>0</v>
      </c>
      <c r="AW145" s="57">
        <f t="shared" ref="AW145:AW148" si="202">AW144</f>
        <v>39.329000000000001</v>
      </c>
      <c r="AZ145" t="s">
        <v>154</v>
      </c>
      <c r="BA145">
        <v>1</v>
      </c>
      <c r="BB145" t="s">
        <v>7</v>
      </c>
      <c r="BC145">
        <v>27520</v>
      </c>
      <c r="BD145">
        <v>160</v>
      </c>
      <c r="BE145">
        <v>2</v>
      </c>
      <c r="BF145">
        <v>2</v>
      </c>
      <c r="BG145" s="1">
        <v>421.28</v>
      </c>
      <c r="BH145" s="54">
        <v>32.984999999999999</v>
      </c>
      <c r="BI145" s="23">
        <v>45558</v>
      </c>
      <c r="BJ145" s="46">
        <v>0.75828703703703704</v>
      </c>
      <c r="BK145">
        <v>0</v>
      </c>
      <c r="BL145">
        <v>0</v>
      </c>
      <c r="BM145">
        <v>0</v>
      </c>
      <c r="BN145" s="57">
        <f t="shared" ref="BN145:BN148" si="203">BN144</f>
        <v>33.281999999999996</v>
      </c>
    </row>
    <row r="146" spans="1:66">
      <c r="A146" t="s">
        <v>103</v>
      </c>
      <c r="B146">
        <v>2</v>
      </c>
      <c r="C146" t="s">
        <v>7</v>
      </c>
      <c r="D146">
        <v>27520</v>
      </c>
      <c r="E146">
        <v>160</v>
      </c>
      <c r="F146">
        <v>2</v>
      </c>
      <c r="G146" s="41">
        <v>2</v>
      </c>
      <c r="H146" s="1">
        <v>395.9</v>
      </c>
      <c r="I146" s="54">
        <v>35.1</v>
      </c>
      <c r="J146" s="23">
        <v>45559</v>
      </c>
      <c r="K146" s="46">
        <v>0.13577546296296297</v>
      </c>
      <c r="L146">
        <v>0</v>
      </c>
      <c r="M146">
        <v>0</v>
      </c>
      <c r="N146">
        <v>0</v>
      </c>
      <c r="O146" s="57">
        <f t="shared" si="194"/>
        <v>35.0884</v>
      </c>
      <c r="R146" t="s">
        <v>103</v>
      </c>
      <c r="S146">
        <v>2</v>
      </c>
      <c r="T146" t="s">
        <v>7</v>
      </c>
      <c r="U146">
        <v>27520</v>
      </c>
      <c r="V146">
        <v>160</v>
      </c>
      <c r="W146" s="58">
        <v>2</v>
      </c>
      <c r="X146">
        <v>2</v>
      </c>
      <c r="Y146" s="1">
        <v>400.05</v>
      </c>
      <c r="Z146" s="54">
        <v>34.735999999999997</v>
      </c>
      <c r="AA146" s="23">
        <v>45559</v>
      </c>
      <c r="AB146" s="46">
        <v>0.13625000000000001</v>
      </c>
      <c r="AC146">
        <v>0</v>
      </c>
      <c r="AD146">
        <v>0</v>
      </c>
      <c r="AE146">
        <v>0</v>
      </c>
      <c r="AF146" s="57">
        <f t="shared" si="187"/>
        <v>34.79</v>
      </c>
      <c r="AI146" s="23" t="s">
        <v>154</v>
      </c>
      <c r="AJ146" s="46">
        <v>2</v>
      </c>
      <c r="AK146" t="s">
        <v>7</v>
      </c>
      <c r="AL146">
        <v>27520</v>
      </c>
      <c r="AM146">
        <v>160</v>
      </c>
      <c r="AN146" s="41">
        <v>2</v>
      </c>
      <c r="AO146">
        <v>2</v>
      </c>
      <c r="AP146" s="1">
        <v>350.78</v>
      </c>
      <c r="AQ146" s="54">
        <v>39.613999999999997</v>
      </c>
      <c r="AR146" s="23">
        <v>45559</v>
      </c>
      <c r="AS146" s="46">
        <v>7.6736111111111111E-3</v>
      </c>
      <c r="AT146">
        <v>0</v>
      </c>
      <c r="AU146">
        <v>0</v>
      </c>
      <c r="AV146">
        <v>0</v>
      </c>
      <c r="AW146" s="57">
        <f t="shared" si="202"/>
        <v>39.329000000000001</v>
      </c>
      <c r="AZ146" t="s">
        <v>154</v>
      </c>
      <c r="BA146">
        <v>2</v>
      </c>
      <c r="BB146" t="s">
        <v>7</v>
      </c>
      <c r="BC146">
        <v>27520</v>
      </c>
      <c r="BD146">
        <v>160</v>
      </c>
      <c r="BE146">
        <v>2</v>
      </c>
      <c r="BF146">
        <v>2</v>
      </c>
      <c r="BG146" s="1">
        <v>415.58</v>
      </c>
      <c r="BH146" s="54">
        <v>33.438000000000002</v>
      </c>
      <c r="BI146" s="23">
        <v>45559</v>
      </c>
      <c r="BJ146" s="46">
        <v>6.6944444444444445E-2</v>
      </c>
      <c r="BK146">
        <v>0</v>
      </c>
      <c r="BL146">
        <v>0</v>
      </c>
      <c r="BM146">
        <v>0</v>
      </c>
      <c r="BN146" s="57">
        <f t="shared" si="203"/>
        <v>33.281999999999996</v>
      </c>
    </row>
    <row r="147" spans="1:66">
      <c r="A147" t="s">
        <v>103</v>
      </c>
      <c r="B147">
        <v>3</v>
      </c>
      <c r="C147" t="s">
        <v>7</v>
      </c>
      <c r="D147">
        <v>27520</v>
      </c>
      <c r="E147">
        <v>160</v>
      </c>
      <c r="F147">
        <v>2</v>
      </c>
      <c r="G147" s="41">
        <v>2</v>
      </c>
      <c r="H147" s="1">
        <v>396.27</v>
      </c>
      <c r="I147" s="54">
        <v>35.067</v>
      </c>
      <c r="J147" s="23">
        <v>45559</v>
      </c>
      <c r="K147" s="46">
        <v>0.47824074074074074</v>
      </c>
      <c r="L147">
        <v>0</v>
      </c>
      <c r="M147">
        <v>0</v>
      </c>
      <c r="N147">
        <v>0</v>
      </c>
      <c r="O147" s="57">
        <f t="shared" si="194"/>
        <v>35.0884</v>
      </c>
      <c r="R147" t="s">
        <v>103</v>
      </c>
      <c r="S147">
        <v>3</v>
      </c>
      <c r="T147" t="s">
        <v>7</v>
      </c>
      <c r="U147">
        <v>27520</v>
      </c>
      <c r="V147">
        <v>160</v>
      </c>
      <c r="W147" s="58">
        <v>2</v>
      </c>
      <c r="X147">
        <v>2</v>
      </c>
      <c r="Y147" s="1">
        <v>401.34</v>
      </c>
      <c r="Z147" s="54">
        <v>34.624000000000002</v>
      </c>
      <c r="AA147" s="23">
        <v>45559</v>
      </c>
      <c r="AB147" s="46">
        <v>0.47938657407407409</v>
      </c>
      <c r="AC147">
        <v>0</v>
      </c>
      <c r="AD147">
        <v>0</v>
      </c>
      <c r="AE147">
        <v>0</v>
      </c>
      <c r="AF147" s="57">
        <f t="shared" si="187"/>
        <v>34.79</v>
      </c>
      <c r="AI147" s="23" t="s">
        <v>154</v>
      </c>
      <c r="AJ147" s="46">
        <v>3</v>
      </c>
      <c r="AK147" t="s">
        <v>7</v>
      </c>
      <c r="AL147">
        <v>27520</v>
      </c>
      <c r="AM147">
        <v>160</v>
      </c>
      <c r="AN147" s="41">
        <v>2</v>
      </c>
      <c r="AO147">
        <v>2</v>
      </c>
      <c r="AP147" s="1">
        <v>353.22</v>
      </c>
      <c r="AQ147" s="54">
        <v>39.340000000000003</v>
      </c>
      <c r="AR147" s="23">
        <v>45559</v>
      </c>
      <c r="AS147" s="46">
        <v>0.29660879629629627</v>
      </c>
      <c r="AT147">
        <v>0</v>
      </c>
      <c r="AU147">
        <v>0</v>
      </c>
      <c r="AV147">
        <v>0</v>
      </c>
      <c r="AW147" s="57">
        <f t="shared" si="202"/>
        <v>39.329000000000001</v>
      </c>
      <c r="AZ147" t="s">
        <v>154</v>
      </c>
      <c r="BA147">
        <v>3</v>
      </c>
      <c r="BB147" t="s">
        <v>7</v>
      </c>
      <c r="BC147">
        <v>27520</v>
      </c>
      <c r="BD147">
        <v>160</v>
      </c>
      <c r="BE147">
        <v>2</v>
      </c>
      <c r="BF147">
        <v>2</v>
      </c>
      <c r="BG147" s="1">
        <v>415.63</v>
      </c>
      <c r="BH147" s="54">
        <v>33.433999999999997</v>
      </c>
      <c r="BI147" s="23">
        <v>45559</v>
      </c>
      <c r="BJ147" s="46">
        <v>0.37543981481481481</v>
      </c>
      <c r="BK147">
        <v>0</v>
      </c>
      <c r="BL147">
        <v>0</v>
      </c>
      <c r="BM147">
        <v>0</v>
      </c>
      <c r="BN147" s="57">
        <f t="shared" si="203"/>
        <v>33.281999999999996</v>
      </c>
    </row>
    <row r="148" spans="1:66">
      <c r="A148" t="s">
        <v>103</v>
      </c>
      <c r="B148">
        <v>4</v>
      </c>
      <c r="C148" t="s">
        <v>7</v>
      </c>
      <c r="D148">
        <v>27520</v>
      </c>
      <c r="E148">
        <v>160</v>
      </c>
      <c r="F148">
        <v>2</v>
      </c>
      <c r="G148" s="41">
        <v>2</v>
      </c>
      <c r="H148" s="1">
        <v>396.63</v>
      </c>
      <c r="I148" s="54">
        <v>35.034999999999997</v>
      </c>
      <c r="J148" s="23">
        <v>45559</v>
      </c>
      <c r="K148" s="46">
        <v>0.82048611111111114</v>
      </c>
      <c r="L148">
        <v>0</v>
      </c>
      <c r="M148">
        <v>0</v>
      </c>
      <c r="N148">
        <v>0</v>
      </c>
      <c r="O148" s="57">
        <f t="shared" si="194"/>
        <v>35.0884</v>
      </c>
      <c r="R148" t="s">
        <v>103</v>
      </c>
      <c r="S148">
        <v>4</v>
      </c>
      <c r="T148" t="s">
        <v>7</v>
      </c>
      <c r="U148">
        <v>27520</v>
      </c>
      <c r="V148">
        <v>160</v>
      </c>
      <c r="W148" s="58">
        <v>2</v>
      </c>
      <c r="X148">
        <v>2</v>
      </c>
      <c r="Y148" s="1">
        <v>396.88</v>
      </c>
      <c r="Z148" s="54">
        <v>35.012999999999998</v>
      </c>
      <c r="AA148" s="23">
        <v>45559</v>
      </c>
      <c r="AB148" s="46">
        <v>0.82243055555555555</v>
      </c>
      <c r="AC148">
        <v>0</v>
      </c>
      <c r="AD148">
        <v>0</v>
      </c>
      <c r="AE148">
        <v>0</v>
      </c>
      <c r="AF148" s="57">
        <f t="shared" si="187"/>
        <v>34.79</v>
      </c>
      <c r="AI148" s="23" t="s">
        <v>154</v>
      </c>
      <c r="AJ148" s="46">
        <v>4</v>
      </c>
      <c r="AK148" t="s">
        <v>7</v>
      </c>
      <c r="AL148">
        <v>27520</v>
      </c>
      <c r="AM148">
        <v>160</v>
      </c>
      <c r="AN148" s="41">
        <v>2</v>
      </c>
      <c r="AO148">
        <v>2</v>
      </c>
      <c r="AP148" s="1">
        <v>356.92</v>
      </c>
      <c r="AQ148" s="54">
        <v>38.933</v>
      </c>
      <c r="AR148" s="23">
        <v>45559</v>
      </c>
      <c r="AS148" s="46">
        <v>0.58613425925925922</v>
      </c>
      <c r="AT148">
        <v>0</v>
      </c>
      <c r="AU148">
        <v>0</v>
      </c>
      <c r="AV148">
        <v>0</v>
      </c>
      <c r="AW148" s="57">
        <f t="shared" si="202"/>
        <v>39.329000000000001</v>
      </c>
      <c r="AZ148" t="s">
        <v>154</v>
      </c>
      <c r="BA148">
        <v>4</v>
      </c>
      <c r="BB148" t="s">
        <v>7</v>
      </c>
      <c r="BC148">
        <v>27520</v>
      </c>
      <c r="BD148">
        <v>160</v>
      </c>
      <c r="BE148">
        <v>2</v>
      </c>
      <c r="BF148">
        <v>2</v>
      </c>
      <c r="BG148" s="1">
        <v>416.64</v>
      </c>
      <c r="BH148" s="54">
        <v>33.351999999999997</v>
      </c>
      <c r="BI148" s="23">
        <v>45559</v>
      </c>
      <c r="BJ148" s="46">
        <v>0.6839467592592593</v>
      </c>
      <c r="BK148">
        <v>0</v>
      </c>
      <c r="BL148">
        <v>0</v>
      </c>
      <c r="BM148">
        <v>0</v>
      </c>
      <c r="BN148" s="57">
        <f t="shared" si="203"/>
        <v>33.281999999999996</v>
      </c>
    </row>
    <row r="149" spans="1:66">
      <c r="A149" t="s">
        <v>103</v>
      </c>
      <c r="B149">
        <v>0</v>
      </c>
      <c r="C149" t="s">
        <v>7</v>
      </c>
      <c r="D149">
        <v>29120</v>
      </c>
      <c r="E149">
        <v>160</v>
      </c>
      <c r="F149">
        <v>2</v>
      </c>
      <c r="G149" s="41">
        <v>2</v>
      </c>
      <c r="H149" s="1">
        <v>473.41</v>
      </c>
      <c r="I149" s="54">
        <v>34.776000000000003</v>
      </c>
      <c r="J149" s="23">
        <v>45558</v>
      </c>
      <c r="K149" s="46">
        <v>0.58016203703703706</v>
      </c>
      <c r="L149">
        <v>0</v>
      </c>
      <c r="M149">
        <v>0</v>
      </c>
      <c r="N149">
        <v>0</v>
      </c>
      <c r="O149" s="57">
        <f t="shared" ref="O149" si="204">AVERAGE(I149:I153)</f>
        <v>34.842600000000004</v>
      </c>
      <c r="R149" t="s">
        <v>103</v>
      </c>
      <c r="S149">
        <v>0</v>
      </c>
      <c r="T149" t="s">
        <v>7</v>
      </c>
      <c r="U149">
        <v>29120</v>
      </c>
      <c r="V149">
        <v>160</v>
      </c>
      <c r="W149" s="41">
        <v>2</v>
      </c>
      <c r="X149">
        <v>2</v>
      </c>
      <c r="Y149" s="1">
        <v>478.37</v>
      </c>
      <c r="Z149" s="54">
        <v>34.414999999999999</v>
      </c>
      <c r="AA149" s="23">
        <v>45558</v>
      </c>
      <c r="AB149" s="46">
        <v>0.57906250000000004</v>
      </c>
      <c r="AC149">
        <v>0</v>
      </c>
      <c r="AD149">
        <v>0</v>
      </c>
      <c r="AE149">
        <v>0</v>
      </c>
      <c r="AF149" s="57">
        <f t="shared" ref="AF149" si="205">AVERAGE(Z149:Z153)</f>
        <v>34.541600000000003</v>
      </c>
      <c r="AI149" s="23" t="s">
        <v>154</v>
      </c>
      <c r="AJ149" s="46">
        <v>0</v>
      </c>
      <c r="AK149" t="s">
        <v>7</v>
      </c>
      <c r="AL149">
        <v>29120</v>
      </c>
      <c r="AM149">
        <v>160</v>
      </c>
      <c r="AN149" s="41">
        <v>2</v>
      </c>
      <c r="AO149">
        <v>2</v>
      </c>
      <c r="AP149" s="1">
        <v>423.81</v>
      </c>
      <c r="AQ149" s="54">
        <v>38.845999999999997</v>
      </c>
      <c r="AR149" s="23">
        <v>45558</v>
      </c>
      <c r="AS149" s="46">
        <v>0.56141203703703701</v>
      </c>
      <c r="AT149">
        <v>0</v>
      </c>
      <c r="AU149">
        <v>0</v>
      </c>
      <c r="AV149">
        <v>0</v>
      </c>
      <c r="AW149" s="57">
        <f t="shared" ref="AW149" si="206">AVERAGE(AQ149:AQ153)</f>
        <v>38.780999999999999</v>
      </c>
      <c r="AZ149" t="s">
        <v>154</v>
      </c>
      <c r="BA149">
        <v>0</v>
      </c>
      <c r="BB149" t="s">
        <v>7</v>
      </c>
      <c r="BC149">
        <v>29120</v>
      </c>
      <c r="BD149">
        <v>160</v>
      </c>
      <c r="BE149">
        <v>2</v>
      </c>
      <c r="BF149">
        <v>2</v>
      </c>
      <c r="BG149" s="1">
        <v>493.11</v>
      </c>
      <c r="BH149" s="54">
        <v>33.386000000000003</v>
      </c>
      <c r="BI149" s="23">
        <v>45558</v>
      </c>
      <c r="BJ149" s="46">
        <v>0.56478009259259254</v>
      </c>
      <c r="BK149">
        <v>0</v>
      </c>
      <c r="BL149">
        <v>0</v>
      </c>
      <c r="BM149">
        <v>0</v>
      </c>
      <c r="BN149" s="57">
        <f t="shared" ref="BN149" si="207">AVERAGE(BH149:BH153)</f>
        <v>33.431200000000004</v>
      </c>
    </row>
    <row r="150" spans="1:66">
      <c r="A150" t="s">
        <v>103</v>
      </c>
      <c r="B150">
        <v>1</v>
      </c>
      <c r="C150" t="s">
        <v>7</v>
      </c>
      <c r="D150">
        <v>29120</v>
      </c>
      <c r="E150">
        <v>160</v>
      </c>
      <c r="F150">
        <v>2</v>
      </c>
      <c r="G150" s="41">
        <v>2</v>
      </c>
      <c r="H150" s="1">
        <v>471.83</v>
      </c>
      <c r="I150" s="54">
        <v>34.892000000000003</v>
      </c>
      <c r="J150" s="23">
        <v>45558</v>
      </c>
      <c r="K150" s="46">
        <v>0.92236111111111108</v>
      </c>
      <c r="L150">
        <v>0</v>
      </c>
      <c r="M150">
        <v>0</v>
      </c>
      <c r="N150">
        <v>0</v>
      </c>
      <c r="O150" s="57">
        <f t="shared" ref="O150" si="208">O149</f>
        <v>34.842600000000004</v>
      </c>
      <c r="R150" t="s">
        <v>103</v>
      </c>
      <c r="S150">
        <v>1</v>
      </c>
      <c r="T150" t="s">
        <v>7</v>
      </c>
      <c r="U150">
        <v>29120</v>
      </c>
      <c r="V150">
        <v>160</v>
      </c>
      <c r="W150" s="58">
        <v>2</v>
      </c>
      <c r="X150">
        <v>2</v>
      </c>
      <c r="Y150" s="1">
        <v>476.41</v>
      </c>
      <c r="Z150" s="54">
        <v>34.557000000000002</v>
      </c>
      <c r="AA150" s="23">
        <v>45558</v>
      </c>
      <c r="AB150" s="46">
        <v>0.92221064814814813</v>
      </c>
      <c r="AC150">
        <v>0</v>
      </c>
      <c r="AD150">
        <v>0</v>
      </c>
      <c r="AE150">
        <v>0</v>
      </c>
      <c r="AF150" s="57">
        <f t="shared" si="187"/>
        <v>34.541600000000003</v>
      </c>
      <c r="AI150" s="23" t="s">
        <v>154</v>
      </c>
      <c r="AJ150" s="46">
        <v>1</v>
      </c>
      <c r="AK150" t="s">
        <v>7</v>
      </c>
      <c r="AL150">
        <v>29120</v>
      </c>
      <c r="AM150">
        <v>160</v>
      </c>
      <c r="AN150" s="41">
        <v>2</v>
      </c>
      <c r="AO150">
        <v>2</v>
      </c>
      <c r="AP150" s="1">
        <v>421.98</v>
      </c>
      <c r="AQ150" s="54">
        <v>39.014000000000003</v>
      </c>
      <c r="AR150" s="23">
        <v>45558</v>
      </c>
      <c r="AS150" s="46">
        <v>0.82763888888888892</v>
      </c>
      <c r="AT150">
        <v>0</v>
      </c>
      <c r="AU150">
        <v>0</v>
      </c>
      <c r="AV150">
        <v>0</v>
      </c>
      <c r="AW150" s="57">
        <f t="shared" ref="AW150:AW153" si="209">AW149</f>
        <v>38.780999999999999</v>
      </c>
      <c r="AZ150" t="s">
        <v>154</v>
      </c>
      <c r="BA150">
        <v>1</v>
      </c>
      <c r="BB150" t="s">
        <v>7</v>
      </c>
      <c r="BC150">
        <v>29120</v>
      </c>
      <c r="BD150">
        <v>160</v>
      </c>
      <c r="BE150">
        <v>2</v>
      </c>
      <c r="BF150">
        <v>2</v>
      </c>
      <c r="BG150" s="1">
        <v>492.35</v>
      </c>
      <c r="BH150" s="54">
        <v>33.438000000000002</v>
      </c>
      <c r="BI150" s="23">
        <v>45558</v>
      </c>
      <c r="BJ150" s="46">
        <v>0.87369212962962961</v>
      </c>
      <c r="BK150">
        <v>0</v>
      </c>
      <c r="BL150">
        <v>0</v>
      </c>
      <c r="BM150">
        <v>0</v>
      </c>
      <c r="BN150" s="57">
        <f t="shared" ref="BN150:BN153" si="210">BN149</f>
        <v>33.431200000000004</v>
      </c>
    </row>
    <row r="151" spans="1:66">
      <c r="A151" t="s">
        <v>103</v>
      </c>
      <c r="B151">
        <v>2</v>
      </c>
      <c r="C151" t="s">
        <v>7</v>
      </c>
      <c r="D151">
        <v>29120</v>
      </c>
      <c r="E151">
        <v>160</v>
      </c>
      <c r="F151">
        <v>2</v>
      </c>
      <c r="G151" s="41">
        <v>2</v>
      </c>
      <c r="H151" s="1">
        <v>473.2</v>
      </c>
      <c r="I151" s="54">
        <v>34.792000000000002</v>
      </c>
      <c r="J151" s="23">
        <v>45559</v>
      </c>
      <c r="K151" s="46">
        <v>0.26460648148148147</v>
      </c>
      <c r="L151">
        <v>0</v>
      </c>
      <c r="M151">
        <v>0</v>
      </c>
      <c r="N151">
        <v>0</v>
      </c>
      <c r="O151" s="57">
        <f t="shared" si="194"/>
        <v>34.842600000000004</v>
      </c>
      <c r="R151" t="s">
        <v>103</v>
      </c>
      <c r="S151">
        <v>2</v>
      </c>
      <c r="T151" t="s">
        <v>7</v>
      </c>
      <c r="U151">
        <v>29120</v>
      </c>
      <c r="V151">
        <v>160</v>
      </c>
      <c r="W151" s="58">
        <v>2</v>
      </c>
      <c r="X151">
        <v>2</v>
      </c>
      <c r="Y151" s="1">
        <v>476.56</v>
      </c>
      <c r="Z151" s="54">
        <v>34.545999999999999</v>
      </c>
      <c r="AA151" s="23">
        <v>45559</v>
      </c>
      <c r="AB151" s="46">
        <v>0.26513888888888887</v>
      </c>
      <c r="AC151">
        <v>0</v>
      </c>
      <c r="AD151">
        <v>0</v>
      </c>
      <c r="AE151">
        <v>0</v>
      </c>
      <c r="AF151" s="57">
        <f t="shared" si="187"/>
        <v>34.541600000000003</v>
      </c>
      <c r="AI151" s="23" t="s">
        <v>154</v>
      </c>
      <c r="AJ151" s="46">
        <v>2</v>
      </c>
      <c r="AK151" t="s">
        <v>7</v>
      </c>
      <c r="AL151">
        <v>29120</v>
      </c>
      <c r="AM151">
        <v>160</v>
      </c>
      <c r="AN151" s="41">
        <v>2</v>
      </c>
      <c r="AO151">
        <v>2</v>
      </c>
      <c r="AP151" s="1">
        <v>427.81</v>
      </c>
      <c r="AQ151" s="54">
        <v>38.481999999999999</v>
      </c>
      <c r="AR151" s="23">
        <v>45559</v>
      </c>
      <c r="AS151" s="46">
        <v>0.11648148148148148</v>
      </c>
      <c r="AT151">
        <v>0</v>
      </c>
      <c r="AU151">
        <v>0</v>
      </c>
      <c r="AV151">
        <v>0</v>
      </c>
      <c r="AW151" s="57">
        <f t="shared" si="209"/>
        <v>38.780999999999999</v>
      </c>
      <c r="AZ151" t="s">
        <v>154</v>
      </c>
      <c r="BA151">
        <v>2</v>
      </c>
      <c r="BB151" t="s">
        <v>7</v>
      </c>
      <c r="BC151">
        <v>29120</v>
      </c>
      <c r="BD151">
        <v>160</v>
      </c>
      <c r="BE151">
        <v>2</v>
      </c>
      <c r="BF151">
        <v>2</v>
      </c>
      <c r="BG151" s="1">
        <v>494.42</v>
      </c>
      <c r="BH151" s="54">
        <v>33.298000000000002</v>
      </c>
      <c r="BI151" s="23">
        <v>45559</v>
      </c>
      <c r="BJ151" s="46">
        <v>0.18233796296296295</v>
      </c>
      <c r="BK151">
        <v>0</v>
      </c>
      <c r="BL151">
        <v>0</v>
      </c>
      <c r="BM151">
        <v>0</v>
      </c>
      <c r="BN151" s="57">
        <f t="shared" si="210"/>
        <v>33.431200000000004</v>
      </c>
    </row>
    <row r="152" spans="1:66">
      <c r="A152" t="s">
        <v>103</v>
      </c>
      <c r="B152">
        <v>3</v>
      </c>
      <c r="C152" t="s">
        <v>7</v>
      </c>
      <c r="D152">
        <v>29120</v>
      </c>
      <c r="E152">
        <v>160</v>
      </c>
      <c r="F152">
        <v>2</v>
      </c>
      <c r="G152" s="41">
        <v>2</v>
      </c>
      <c r="H152" s="1">
        <v>473.83</v>
      </c>
      <c r="I152" s="54">
        <v>34.744999999999997</v>
      </c>
      <c r="J152" s="23">
        <v>45559</v>
      </c>
      <c r="K152" s="46">
        <v>0.60692129629629632</v>
      </c>
      <c r="L152">
        <v>0</v>
      </c>
      <c r="M152">
        <v>0</v>
      </c>
      <c r="N152">
        <v>0</v>
      </c>
      <c r="O152" s="57">
        <f t="shared" si="194"/>
        <v>34.842600000000004</v>
      </c>
      <c r="R152" t="s">
        <v>103</v>
      </c>
      <c r="S152">
        <v>3</v>
      </c>
      <c r="T152" t="s">
        <v>7</v>
      </c>
      <c r="U152">
        <v>29120</v>
      </c>
      <c r="V152">
        <v>160</v>
      </c>
      <c r="W152" s="58">
        <v>2</v>
      </c>
      <c r="X152">
        <v>2</v>
      </c>
      <c r="Y152" s="1">
        <v>478.91</v>
      </c>
      <c r="Z152" s="54">
        <v>34.377000000000002</v>
      </c>
      <c r="AA152" s="23">
        <v>45559</v>
      </c>
      <c r="AB152" s="46">
        <v>0.60848379629629634</v>
      </c>
      <c r="AC152">
        <v>0</v>
      </c>
      <c r="AD152">
        <v>0</v>
      </c>
      <c r="AE152">
        <v>0</v>
      </c>
      <c r="AF152" s="57">
        <f t="shared" si="187"/>
        <v>34.541600000000003</v>
      </c>
      <c r="AI152" s="23" t="s">
        <v>154</v>
      </c>
      <c r="AJ152" s="46">
        <v>3</v>
      </c>
      <c r="AK152" t="s">
        <v>7</v>
      </c>
      <c r="AL152">
        <v>29120</v>
      </c>
      <c r="AM152">
        <v>160</v>
      </c>
      <c r="AN152" s="41">
        <v>2</v>
      </c>
      <c r="AO152">
        <v>2</v>
      </c>
      <c r="AP152" s="1">
        <v>424.76</v>
      </c>
      <c r="AQ152" s="54">
        <v>38.759</v>
      </c>
      <c r="AR152" s="23">
        <v>45559</v>
      </c>
      <c r="AS152" s="46">
        <v>0.40569444444444447</v>
      </c>
      <c r="AT152">
        <v>0</v>
      </c>
      <c r="AU152">
        <v>0</v>
      </c>
      <c r="AV152">
        <v>0</v>
      </c>
      <c r="AW152" s="57">
        <f t="shared" si="209"/>
        <v>38.780999999999999</v>
      </c>
      <c r="AZ152" t="s">
        <v>154</v>
      </c>
      <c r="BA152">
        <v>3</v>
      </c>
      <c r="BB152" t="s">
        <v>7</v>
      </c>
      <c r="BC152">
        <v>29120</v>
      </c>
      <c r="BD152">
        <v>160</v>
      </c>
      <c r="BE152">
        <v>2</v>
      </c>
      <c r="BF152">
        <v>2</v>
      </c>
      <c r="BG152" s="1">
        <v>489.9</v>
      </c>
      <c r="BH152" s="54">
        <v>33.604999999999997</v>
      </c>
      <c r="BI152" s="23">
        <v>45559</v>
      </c>
      <c r="BJ152" s="46">
        <v>0.49076388888888889</v>
      </c>
      <c r="BK152">
        <v>0</v>
      </c>
      <c r="BL152">
        <v>0</v>
      </c>
      <c r="BM152">
        <v>0</v>
      </c>
      <c r="BN152" s="57">
        <f t="shared" si="210"/>
        <v>33.431200000000004</v>
      </c>
    </row>
    <row r="153" spans="1:66">
      <c r="A153" t="s">
        <v>103</v>
      </c>
      <c r="B153">
        <v>4</v>
      </c>
      <c r="C153" t="s">
        <v>7</v>
      </c>
      <c r="D153">
        <v>29120</v>
      </c>
      <c r="E153">
        <v>160</v>
      </c>
      <c r="F153">
        <v>2</v>
      </c>
      <c r="G153" s="41">
        <v>2</v>
      </c>
      <c r="H153" s="1">
        <v>470.27</v>
      </c>
      <c r="I153" s="54">
        <v>35.008000000000003</v>
      </c>
      <c r="J153" s="23">
        <v>45559</v>
      </c>
      <c r="K153" s="46">
        <v>0.94896990740740739</v>
      </c>
      <c r="L153">
        <v>0</v>
      </c>
      <c r="M153">
        <v>0</v>
      </c>
      <c r="N153">
        <v>0</v>
      </c>
      <c r="O153" s="57">
        <f t="shared" si="194"/>
        <v>34.842600000000004</v>
      </c>
      <c r="R153" t="s">
        <v>103</v>
      </c>
      <c r="S153">
        <v>4</v>
      </c>
      <c r="T153" t="s">
        <v>7</v>
      </c>
      <c r="U153">
        <v>29120</v>
      </c>
      <c r="V153">
        <v>160</v>
      </c>
      <c r="W153" s="58">
        <v>2</v>
      </c>
      <c r="X153">
        <v>2</v>
      </c>
      <c r="Y153" s="1">
        <v>472.91</v>
      </c>
      <c r="Z153" s="54">
        <v>34.813000000000002</v>
      </c>
      <c r="AA153" s="23">
        <v>45559</v>
      </c>
      <c r="AB153" s="46">
        <v>0.95126157407407408</v>
      </c>
      <c r="AC153">
        <v>0</v>
      </c>
      <c r="AD153">
        <v>0</v>
      </c>
      <c r="AE153">
        <v>0</v>
      </c>
      <c r="AF153" s="57">
        <f t="shared" si="187"/>
        <v>34.541600000000003</v>
      </c>
      <c r="AI153" s="23" t="s">
        <v>154</v>
      </c>
      <c r="AJ153" s="46">
        <v>4</v>
      </c>
      <c r="AK153" t="s">
        <v>7</v>
      </c>
      <c r="AL153">
        <v>29120</v>
      </c>
      <c r="AM153">
        <v>160</v>
      </c>
      <c r="AN153" s="41">
        <v>2</v>
      </c>
      <c r="AO153">
        <v>2</v>
      </c>
      <c r="AP153" s="1">
        <v>424.26</v>
      </c>
      <c r="AQ153" s="54">
        <v>38.804000000000002</v>
      </c>
      <c r="AR153" s="23">
        <v>45559</v>
      </c>
      <c r="AS153" s="46">
        <v>0.69547453703703699</v>
      </c>
      <c r="AT153">
        <v>0</v>
      </c>
      <c r="AU153">
        <v>0</v>
      </c>
      <c r="AV153">
        <v>0</v>
      </c>
      <c r="AW153" s="57">
        <f t="shared" si="209"/>
        <v>38.780999999999999</v>
      </c>
      <c r="AZ153" t="s">
        <v>154</v>
      </c>
      <c r="BA153">
        <v>4</v>
      </c>
      <c r="BB153" t="s">
        <v>7</v>
      </c>
      <c r="BC153">
        <v>29120</v>
      </c>
      <c r="BD153">
        <v>160</v>
      </c>
      <c r="BE153">
        <v>2</v>
      </c>
      <c r="BF153">
        <v>2</v>
      </c>
      <c r="BG153" s="1">
        <v>492.48</v>
      </c>
      <c r="BH153" s="54">
        <v>33.429000000000002</v>
      </c>
      <c r="BI153" s="23">
        <v>45559</v>
      </c>
      <c r="BJ153" s="46">
        <v>0.7991435185185185</v>
      </c>
      <c r="BK153">
        <v>0</v>
      </c>
      <c r="BL153">
        <v>0</v>
      </c>
      <c r="BM153">
        <v>0</v>
      </c>
      <c r="BN153" s="57">
        <f t="shared" si="210"/>
        <v>33.431200000000004</v>
      </c>
    </row>
    <row r="154" spans="1:66">
      <c r="A154" t="s">
        <v>103</v>
      </c>
      <c r="B154">
        <v>0</v>
      </c>
      <c r="C154" t="s">
        <v>7</v>
      </c>
      <c r="D154">
        <v>26112</v>
      </c>
      <c r="E154">
        <v>192</v>
      </c>
      <c r="F154">
        <v>1</v>
      </c>
      <c r="G154" s="41">
        <v>4</v>
      </c>
      <c r="H154" s="1">
        <v>350.98</v>
      </c>
      <c r="I154" s="54">
        <v>33.82</v>
      </c>
      <c r="J154" s="23">
        <v>45558</v>
      </c>
      <c r="K154" s="46">
        <v>0.34854166666666669</v>
      </c>
      <c r="L154">
        <v>0</v>
      </c>
      <c r="M154">
        <v>0</v>
      </c>
      <c r="N154">
        <v>0</v>
      </c>
      <c r="O154" s="57">
        <f t="shared" ref="O154" si="211">AVERAGE(I154:I158)</f>
        <v>33.806399999999996</v>
      </c>
      <c r="R154" t="s">
        <v>103</v>
      </c>
      <c r="S154">
        <v>0</v>
      </c>
      <c r="T154" t="s">
        <v>7</v>
      </c>
      <c r="U154">
        <v>26112</v>
      </c>
      <c r="V154">
        <v>192</v>
      </c>
      <c r="W154" s="41">
        <v>1</v>
      </c>
      <c r="X154">
        <v>4</v>
      </c>
      <c r="Y154" s="1">
        <v>356.24</v>
      </c>
      <c r="Z154" s="54">
        <v>33.322000000000003</v>
      </c>
      <c r="AA154" s="23">
        <v>45558</v>
      </c>
      <c r="AB154" s="46">
        <v>0.34690972222222222</v>
      </c>
      <c r="AC154">
        <v>0</v>
      </c>
      <c r="AD154">
        <v>0</v>
      </c>
      <c r="AE154">
        <v>0</v>
      </c>
      <c r="AF154" s="57">
        <f t="shared" ref="AF154" si="212">AVERAGE(Z154:Z158)</f>
        <v>33.317999999999998</v>
      </c>
      <c r="AI154" s="23" t="s">
        <v>154</v>
      </c>
      <c r="AJ154" s="46">
        <v>0</v>
      </c>
      <c r="AK154" t="s">
        <v>7</v>
      </c>
      <c r="AL154">
        <v>26112</v>
      </c>
      <c r="AM154">
        <v>192</v>
      </c>
      <c r="AN154" s="41">
        <v>1</v>
      </c>
      <c r="AO154">
        <v>4</v>
      </c>
      <c r="AP154" s="1">
        <v>282.62</v>
      </c>
      <c r="AQ154" s="54">
        <v>42.002000000000002</v>
      </c>
      <c r="AR154" s="23">
        <v>45558</v>
      </c>
      <c r="AS154" s="46">
        <v>0.33814814814814814</v>
      </c>
      <c r="AT154">
        <v>0</v>
      </c>
      <c r="AU154">
        <v>0</v>
      </c>
      <c r="AV154">
        <v>0</v>
      </c>
      <c r="AW154" s="57">
        <f t="shared" ref="AW154" si="213">AVERAGE(AQ154:AQ158)</f>
        <v>42.094000000000001</v>
      </c>
      <c r="AZ154" t="s">
        <v>154</v>
      </c>
      <c r="BA154">
        <v>0</v>
      </c>
      <c r="BB154" t="s">
        <v>7</v>
      </c>
      <c r="BC154">
        <v>26112</v>
      </c>
      <c r="BD154">
        <v>192</v>
      </c>
      <c r="BE154">
        <v>1</v>
      </c>
      <c r="BF154">
        <v>4</v>
      </c>
      <c r="BG154" s="1">
        <v>311.22000000000003</v>
      </c>
      <c r="BH154" s="54">
        <v>38.142000000000003</v>
      </c>
      <c r="BI154" s="23">
        <v>45558</v>
      </c>
      <c r="BJ154" s="46">
        <v>0.34348379629629627</v>
      </c>
      <c r="BK154">
        <v>0</v>
      </c>
      <c r="BL154">
        <v>0</v>
      </c>
      <c r="BM154">
        <v>0</v>
      </c>
      <c r="BN154" s="57">
        <f t="shared" ref="BN154" si="214">AVERAGE(BH154:BH158)</f>
        <v>38.132400000000004</v>
      </c>
    </row>
    <row r="155" spans="1:66">
      <c r="A155" t="s">
        <v>103</v>
      </c>
      <c r="B155">
        <v>1</v>
      </c>
      <c r="C155" t="s">
        <v>7</v>
      </c>
      <c r="D155">
        <v>26112</v>
      </c>
      <c r="E155">
        <v>192</v>
      </c>
      <c r="F155">
        <v>1</v>
      </c>
      <c r="G155" s="41">
        <v>4</v>
      </c>
      <c r="H155" s="1">
        <v>351.43</v>
      </c>
      <c r="I155" s="54">
        <v>33.777999999999999</v>
      </c>
      <c r="J155" s="23">
        <v>45558</v>
      </c>
      <c r="K155" s="46">
        <v>0.69062500000000004</v>
      </c>
      <c r="L155">
        <v>0</v>
      </c>
      <c r="M155">
        <v>0</v>
      </c>
      <c r="N155">
        <v>0</v>
      </c>
      <c r="O155" s="57">
        <f t="shared" ref="O155" si="215">O154</f>
        <v>33.806399999999996</v>
      </c>
      <c r="R155" t="s">
        <v>103</v>
      </c>
      <c r="S155">
        <v>1</v>
      </c>
      <c r="T155" t="s">
        <v>7</v>
      </c>
      <c r="U155">
        <v>26112</v>
      </c>
      <c r="V155">
        <v>192</v>
      </c>
      <c r="W155" s="41">
        <v>1</v>
      </c>
      <c r="X155">
        <v>4</v>
      </c>
      <c r="Y155" s="1">
        <v>354.97</v>
      </c>
      <c r="Z155" s="54">
        <v>33.441000000000003</v>
      </c>
      <c r="AA155" s="23">
        <v>45558</v>
      </c>
      <c r="AB155" s="46">
        <v>0.68998842592592591</v>
      </c>
      <c r="AC155">
        <v>0</v>
      </c>
      <c r="AD155">
        <v>0</v>
      </c>
      <c r="AE155">
        <v>0</v>
      </c>
      <c r="AF155" s="57">
        <f t="shared" si="187"/>
        <v>33.317999999999998</v>
      </c>
      <c r="AI155" s="23" t="s">
        <v>154</v>
      </c>
      <c r="AJ155" s="46">
        <v>1</v>
      </c>
      <c r="AK155" t="s">
        <v>7</v>
      </c>
      <c r="AL155">
        <v>26112</v>
      </c>
      <c r="AM155">
        <v>192</v>
      </c>
      <c r="AN155" s="41">
        <v>1</v>
      </c>
      <c r="AO155">
        <v>4</v>
      </c>
      <c r="AP155" s="1">
        <v>280.10000000000002</v>
      </c>
      <c r="AQ155" s="54">
        <v>42.38</v>
      </c>
      <c r="AR155" s="23">
        <v>45558</v>
      </c>
      <c r="AS155" s="46">
        <v>0.63037037037037036</v>
      </c>
      <c r="AT155">
        <v>0</v>
      </c>
      <c r="AU155">
        <v>0</v>
      </c>
      <c r="AV155">
        <v>0</v>
      </c>
      <c r="AW155" s="57">
        <f t="shared" ref="AW155:AW158" si="216">AW154</f>
        <v>42.094000000000001</v>
      </c>
      <c r="AZ155" t="s">
        <v>154</v>
      </c>
      <c r="BA155">
        <v>1</v>
      </c>
      <c r="BB155" t="s">
        <v>7</v>
      </c>
      <c r="BC155">
        <v>26112</v>
      </c>
      <c r="BD155">
        <v>192</v>
      </c>
      <c r="BE155">
        <v>1</v>
      </c>
      <c r="BF155">
        <v>4</v>
      </c>
      <c r="BG155" s="1">
        <v>311.77999999999997</v>
      </c>
      <c r="BH155" s="54">
        <v>38.073</v>
      </c>
      <c r="BI155" s="23">
        <v>45558</v>
      </c>
      <c r="BJ155" s="46">
        <v>0.66439814814814813</v>
      </c>
      <c r="BK155">
        <v>0</v>
      </c>
      <c r="BL155">
        <v>0</v>
      </c>
      <c r="BM155">
        <v>0</v>
      </c>
      <c r="BN155" s="57">
        <f t="shared" ref="BN155:BN158" si="217">BN154</f>
        <v>38.132400000000004</v>
      </c>
    </row>
    <row r="156" spans="1:66">
      <c r="A156" t="s">
        <v>103</v>
      </c>
      <c r="B156">
        <v>2</v>
      </c>
      <c r="C156" t="s">
        <v>7</v>
      </c>
      <c r="D156">
        <v>26112</v>
      </c>
      <c r="E156">
        <v>192</v>
      </c>
      <c r="F156">
        <v>1</v>
      </c>
      <c r="G156" s="41">
        <v>4</v>
      </c>
      <c r="H156" s="1">
        <v>351.15</v>
      </c>
      <c r="I156" s="54">
        <v>33.804000000000002</v>
      </c>
      <c r="J156" s="23">
        <v>45559</v>
      </c>
      <c r="K156" s="46">
        <v>3.2812500000000001E-2</v>
      </c>
      <c r="L156">
        <v>0</v>
      </c>
      <c r="M156">
        <v>0</v>
      </c>
      <c r="N156">
        <v>0</v>
      </c>
      <c r="O156" s="57">
        <f t="shared" si="194"/>
        <v>33.806399999999996</v>
      </c>
      <c r="R156" t="s">
        <v>103</v>
      </c>
      <c r="S156">
        <v>2</v>
      </c>
      <c r="T156" t="s">
        <v>7</v>
      </c>
      <c r="U156">
        <v>26112</v>
      </c>
      <c r="V156">
        <v>192</v>
      </c>
      <c r="W156" s="58">
        <v>1</v>
      </c>
      <c r="X156">
        <v>4</v>
      </c>
      <c r="Y156" s="1">
        <v>358.61</v>
      </c>
      <c r="Z156" s="54">
        <v>33.100999999999999</v>
      </c>
      <c r="AA156" s="23">
        <v>45559</v>
      </c>
      <c r="AB156" s="46">
        <v>3.3148148148148149E-2</v>
      </c>
      <c r="AC156">
        <v>0</v>
      </c>
      <c r="AD156">
        <v>0</v>
      </c>
      <c r="AE156">
        <v>0</v>
      </c>
      <c r="AF156" s="57">
        <f t="shared" si="187"/>
        <v>33.317999999999998</v>
      </c>
      <c r="AI156" s="23" t="s">
        <v>154</v>
      </c>
      <c r="AJ156" s="46">
        <v>2</v>
      </c>
      <c r="AK156" t="s">
        <v>7</v>
      </c>
      <c r="AL156">
        <v>26112</v>
      </c>
      <c r="AM156">
        <v>192</v>
      </c>
      <c r="AN156" s="41">
        <v>1</v>
      </c>
      <c r="AO156">
        <v>4</v>
      </c>
      <c r="AP156" s="1">
        <v>279.95</v>
      </c>
      <c r="AQ156" s="54">
        <v>42.402999999999999</v>
      </c>
      <c r="AR156" s="23">
        <v>45558</v>
      </c>
      <c r="AS156" s="46">
        <v>0.91959490740740746</v>
      </c>
      <c r="AT156">
        <v>0</v>
      </c>
      <c r="AU156">
        <v>0</v>
      </c>
      <c r="AV156">
        <v>0</v>
      </c>
      <c r="AW156" s="57">
        <f t="shared" si="216"/>
        <v>42.094000000000001</v>
      </c>
      <c r="AZ156" t="s">
        <v>154</v>
      </c>
      <c r="BA156">
        <v>2</v>
      </c>
      <c r="BB156" t="s">
        <v>7</v>
      </c>
      <c r="BC156">
        <v>26112</v>
      </c>
      <c r="BD156">
        <v>192</v>
      </c>
      <c r="BE156">
        <v>1</v>
      </c>
      <c r="BF156">
        <v>4</v>
      </c>
      <c r="BG156" s="1">
        <v>310.88</v>
      </c>
      <c r="BH156" s="54">
        <v>38.183999999999997</v>
      </c>
      <c r="BI156" s="23">
        <v>45558</v>
      </c>
      <c r="BJ156" s="46">
        <v>0.97305555555555556</v>
      </c>
      <c r="BK156">
        <v>0</v>
      </c>
      <c r="BL156">
        <v>0</v>
      </c>
      <c r="BM156">
        <v>0</v>
      </c>
      <c r="BN156" s="57">
        <f t="shared" si="217"/>
        <v>38.132400000000004</v>
      </c>
    </row>
    <row r="157" spans="1:66">
      <c r="A157" t="s">
        <v>103</v>
      </c>
      <c r="B157">
        <v>3</v>
      </c>
      <c r="C157" t="s">
        <v>7</v>
      </c>
      <c r="D157">
        <v>26112</v>
      </c>
      <c r="E157">
        <v>192</v>
      </c>
      <c r="F157">
        <v>1</v>
      </c>
      <c r="G157" s="41">
        <v>4</v>
      </c>
      <c r="H157" s="1">
        <v>351.58</v>
      </c>
      <c r="I157" s="54">
        <v>33.762999999999998</v>
      </c>
      <c r="J157" s="23">
        <v>45559</v>
      </c>
      <c r="K157" s="46">
        <v>0.37516203703703704</v>
      </c>
      <c r="L157">
        <v>0</v>
      </c>
      <c r="M157">
        <v>0</v>
      </c>
      <c r="N157">
        <v>0</v>
      </c>
      <c r="O157" s="57">
        <f t="shared" si="194"/>
        <v>33.806399999999996</v>
      </c>
      <c r="R157" t="s">
        <v>103</v>
      </c>
      <c r="S157">
        <v>3</v>
      </c>
      <c r="T157" t="s">
        <v>7</v>
      </c>
      <c r="U157">
        <v>26112</v>
      </c>
      <c r="V157">
        <v>192</v>
      </c>
      <c r="W157" s="58">
        <v>1</v>
      </c>
      <c r="X157">
        <v>4</v>
      </c>
      <c r="Y157" s="1">
        <v>355.94</v>
      </c>
      <c r="Z157" s="54">
        <v>33.35</v>
      </c>
      <c r="AA157" s="23">
        <v>45559</v>
      </c>
      <c r="AB157" s="46">
        <v>0.37619212962962961</v>
      </c>
      <c r="AC157">
        <v>0</v>
      </c>
      <c r="AD157">
        <v>0</v>
      </c>
      <c r="AE157">
        <v>0</v>
      </c>
      <c r="AF157" s="57">
        <f t="shared" si="187"/>
        <v>33.317999999999998</v>
      </c>
      <c r="AI157" s="23" t="s">
        <v>154</v>
      </c>
      <c r="AJ157" s="46">
        <v>3</v>
      </c>
      <c r="AK157" t="s">
        <v>7</v>
      </c>
      <c r="AL157">
        <v>26112</v>
      </c>
      <c r="AM157">
        <v>192</v>
      </c>
      <c r="AN157" s="41">
        <v>1</v>
      </c>
      <c r="AO157">
        <v>4</v>
      </c>
      <c r="AP157" s="1">
        <v>282.83999999999997</v>
      </c>
      <c r="AQ157" s="54">
        <v>41.969000000000001</v>
      </c>
      <c r="AR157" s="23">
        <v>45559</v>
      </c>
      <c r="AS157" s="46">
        <v>0.20862268518518517</v>
      </c>
      <c r="AT157">
        <v>0</v>
      </c>
      <c r="AU157">
        <v>0</v>
      </c>
      <c r="AV157">
        <v>0</v>
      </c>
      <c r="AW157" s="57">
        <f t="shared" si="216"/>
        <v>42.094000000000001</v>
      </c>
      <c r="AZ157" t="s">
        <v>154</v>
      </c>
      <c r="BA157">
        <v>3</v>
      </c>
      <c r="BB157" t="s">
        <v>7</v>
      </c>
      <c r="BC157">
        <v>26112</v>
      </c>
      <c r="BD157">
        <v>192</v>
      </c>
      <c r="BE157">
        <v>1</v>
      </c>
      <c r="BF157">
        <v>4</v>
      </c>
      <c r="BG157" s="1">
        <v>311.22000000000003</v>
      </c>
      <c r="BH157" s="54">
        <v>38.142000000000003</v>
      </c>
      <c r="BI157" s="23">
        <v>45559</v>
      </c>
      <c r="BJ157" s="46">
        <v>0.28164351851851854</v>
      </c>
      <c r="BK157">
        <v>0</v>
      </c>
      <c r="BL157">
        <v>0</v>
      </c>
      <c r="BM157">
        <v>0</v>
      </c>
      <c r="BN157" s="57">
        <f t="shared" si="217"/>
        <v>38.132400000000004</v>
      </c>
    </row>
    <row r="158" spans="1:66">
      <c r="A158" t="s">
        <v>103</v>
      </c>
      <c r="B158">
        <v>4</v>
      </c>
      <c r="C158" t="s">
        <v>7</v>
      </c>
      <c r="D158">
        <v>26112</v>
      </c>
      <c r="E158">
        <v>192</v>
      </c>
      <c r="F158">
        <v>1</v>
      </c>
      <c r="G158" s="41">
        <v>4</v>
      </c>
      <c r="H158" s="1">
        <v>350.5</v>
      </c>
      <c r="I158" s="54">
        <v>33.866999999999997</v>
      </c>
      <c r="J158" s="23">
        <v>45559</v>
      </c>
      <c r="K158" s="46">
        <v>0.71744212962962961</v>
      </c>
      <c r="L158">
        <v>0</v>
      </c>
      <c r="M158">
        <v>0</v>
      </c>
      <c r="N158">
        <v>0</v>
      </c>
      <c r="O158" s="57">
        <f t="shared" si="194"/>
        <v>33.806399999999996</v>
      </c>
      <c r="R158" t="s">
        <v>103</v>
      </c>
      <c r="S158">
        <v>4</v>
      </c>
      <c r="T158" t="s">
        <v>7</v>
      </c>
      <c r="U158">
        <v>26112</v>
      </c>
      <c r="V158">
        <v>192</v>
      </c>
      <c r="W158" s="58">
        <v>1</v>
      </c>
      <c r="X158">
        <v>4</v>
      </c>
      <c r="Y158" s="1">
        <v>355.66</v>
      </c>
      <c r="Z158" s="54">
        <v>33.375999999999998</v>
      </c>
      <c r="AA158" s="23">
        <v>45559</v>
      </c>
      <c r="AB158" s="46">
        <v>0.71938657407407403</v>
      </c>
      <c r="AC158">
        <v>0</v>
      </c>
      <c r="AD158">
        <v>0</v>
      </c>
      <c r="AE158">
        <v>0</v>
      </c>
      <c r="AF158" s="57">
        <f t="shared" si="187"/>
        <v>33.317999999999998</v>
      </c>
      <c r="AI158" s="23" t="s">
        <v>154</v>
      </c>
      <c r="AJ158" s="46">
        <v>4</v>
      </c>
      <c r="AK158" t="s">
        <v>7</v>
      </c>
      <c r="AL158">
        <v>26112</v>
      </c>
      <c r="AM158">
        <v>192</v>
      </c>
      <c r="AN158" s="41">
        <v>1</v>
      </c>
      <c r="AO158">
        <v>4</v>
      </c>
      <c r="AP158" s="1">
        <v>284.56</v>
      </c>
      <c r="AQ158" s="54">
        <v>41.716000000000001</v>
      </c>
      <c r="AR158" s="23">
        <v>45559</v>
      </c>
      <c r="AS158" s="46">
        <v>0.49789351851851854</v>
      </c>
      <c r="AT158">
        <v>0</v>
      </c>
      <c r="AU158">
        <v>0</v>
      </c>
      <c r="AV158">
        <v>0</v>
      </c>
      <c r="AW158" s="57">
        <f t="shared" si="216"/>
        <v>42.094000000000001</v>
      </c>
      <c r="AZ158" t="s">
        <v>154</v>
      </c>
      <c r="BA158">
        <v>4</v>
      </c>
      <c r="BB158" t="s">
        <v>7</v>
      </c>
      <c r="BC158">
        <v>26112</v>
      </c>
      <c r="BD158">
        <v>192</v>
      </c>
      <c r="BE158">
        <v>1</v>
      </c>
      <c r="BF158">
        <v>4</v>
      </c>
      <c r="BG158" s="1">
        <v>311.39</v>
      </c>
      <c r="BH158" s="54">
        <v>38.121000000000002</v>
      </c>
      <c r="BI158" s="23">
        <v>45559</v>
      </c>
      <c r="BJ158" s="46">
        <v>0.59009259259259261</v>
      </c>
      <c r="BK158">
        <v>0</v>
      </c>
      <c r="BL158">
        <v>0</v>
      </c>
      <c r="BM158">
        <v>0</v>
      </c>
      <c r="BN158" s="57">
        <f t="shared" si="217"/>
        <v>38.132400000000004</v>
      </c>
    </row>
    <row r="159" spans="1:66">
      <c r="A159" t="s">
        <v>103</v>
      </c>
      <c r="B159">
        <v>0</v>
      </c>
      <c r="C159" t="s">
        <v>7</v>
      </c>
      <c r="D159">
        <v>27648</v>
      </c>
      <c r="E159">
        <v>192</v>
      </c>
      <c r="F159">
        <v>1</v>
      </c>
      <c r="G159" s="41">
        <v>4</v>
      </c>
      <c r="H159" s="1">
        <v>469.24</v>
      </c>
      <c r="I159" s="54">
        <v>30.029</v>
      </c>
      <c r="J159" s="23">
        <v>45558</v>
      </c>
      <c r="K159" s="46">
        <v>0.4576736111111111</v>
      </c>
      <c r="L159">
        <v>0</v>
      </c>
      <c r="M159">
        <v>0</v>
      </c>
      <c r="N159">
        <v>0</v>
      </c>
      <c r="O159" s="57">
        <f t="shared" ref="O159" si="218">AVERAGE(I159:I163)</f>
        <v>29.786999999999999</v>
      </c>
      <c r="R159" t="s">
        <v>103</v>
      </c>
      <c r="S159">
        <v>0</v>
      </c>
      <c r="T159" t="s">
        <v>7</v>
      </c>
      <c r="U159">
        <v>27648</v>
      </c>
      <c r="V159">
        <v>192</v>
      </c>
      <c r="W159" s="41">
        <v>1</v>
      </c>
      <c r="X159">
        <v>4</v>
      </c>
      <c r="Y159" s="1">
        <v>472.28</v>
      </c>
      <c r="Z159" s="54">
        <v>29.835999999999999</v>
      </c>
      <c r="AA159" s="23">
        <v>45558</v>
      </c>
      <c r="AB159" s="46">
        <v>0.45630787037037035</v>
      </c>
      <c r="AC159">
        <v>0</v>
      </c>
      <c r="AD159">
        <v>0</v>
      </c>
      <c r="AE159">
        <v>0</v>
      </c>
      <c r="AF159" s="57">
        <f t="shared" ref="AF159" si="219">AVERAGE(Z159:Z163)</f>
        <v>29.753800000000002</v>
      </c>
      <c r="AI159" s="23" t="s">
        <v>154</v>
      </c>
      <c r="AJ159" s="46">
        <v>0</v>
      </c>
      <c r="AK159" t="s">
        <v>7</v>
      </c>
      <c r="AL159">
        <v>27648</v>
      </c>
      <c r="AM159">
        <v>192</v>
      </c>
      <c r="AN159" s="41">
        <v>1</v>
      </c>
      <c r="AO159">
        <v>4</v>
      </c>
      <c r="AP159" s="1">
        <v>340.54</v>
      </c>
      <c r="AQ159" s="54">
        <v>41.378</v>
      </c>
      <c r="AR159" s="23">
        <v>45558</v>
      </c>
      <c r="AS159" s="46">
        <v>0.43003472222222222</v>
      </c>
      <c r="AT159">
        <v>0</v>
      </c>
      <c r="AU159">
        <v>0</v>
      </c>
      <c r="AV159">
        <v>0</v>
      </c>
      <c r="AW159" s="57">
        <f t="shared" ref="AW159" si="220">AVERAGE(AQ159:AQ163)</f>
        <v>41.099200000000003</v>
      </c>
      <c r="AZ159" t="s">
        <v>154</v>
      </c>
      <c r="BA159">
        <v>0</v>
      </c>
      <c r="BB159" t="s">
        <v>7</v>
      </c>
      <c r="BC159">
        <v>27648</v>
      </c>
      <c r="BD159">
        <v>192</v>
      </c>
      <c r="BE159">
        <v>1</v>
      </c>
      <c r="BF159">
        <v>4</v>
      </c>
      <c r="BG159" s="1">
        <v>373.61</v>
      </c>
      <c r="BH159" s="54">
        <v>37.715000000000003</v>
      </c>
      <c r="BI159" s="23">
        <v>45558</v>
      </c>
      <c r="BJ159" s="46">
        <v>0.44208333333333333</v>
      </c>
      <c r="BK159">
        <v>0</v>
      </c>
      <c r="BL159">
        <v>0</v>
      </c>
      <c r="BM159">
        <v>0</v>
      </c>
      <c r="BN159" s="57">
        <f t="shared" ref="BN159" si="221">AVERAGE(BH159:BH163)</f>
        <v>37.698599999999999</v>
      </c>
    </row>
    <row r="160" spans="1:66">
      <c r="A160" t="s">
        <v>103</v>
      </c>
      <c r="B160">
        <v>1</v>
      </c>
      <c r="C160" t="s">
        <v>7</v>
      </c>
      <c r="D160">
        <v>27648</v>
      </c>
      <c r="E160">
        <v>192</v>
      </c>
      <c r="F160">
        <v>1</v>
      </c>
      <c r="G160" s="41">
        <v>4</v>
      </c>
      <c r="H160" s="1">
        <v>476.9</v>
      </c>
      <c r="I160" s="54">
        <v>29.547000000000001</v>
      </c>
      <c r="J160" s="23">
        <v>45558</v>
      </c>
      <c r="K160" s="46">
        <v>0.7999074074074074</v>
      </c>
      <c r="L160">
        <v>0</v>
      </c>
      <c r="M160">
        <v>0</v>
      </c>
      <c r="N160">
        <v>0</v>
      </c>
      <c r="O160" s="57">
        <f t="shared" ref="O160" si="222">O159</f>
        <v>29.786999999999999</v>
      </c>
      <c r="R160" t="s">
        <v>103</v>
      </c>
      <c r="S160">
        <v>1</v>
      </c>
      <c r="T160" t="s">
        <v>7</v>
      </c>
      <c r="U160">
        <v>27648</v>
      </c>
      <c r="V160">
        <v>192</v>
      </c>
      <c r="W160" s="58">
        <v>1</v>
      </c>
      <c r="X160">
        <v>4</v>
      </c>
      <c r="Y160" s="1">
        <v>476.6</v>
      </c>
      <c r="Z160" s="54">
        <v>29.565000000000001</v>
      </c>
      <c r="AA160" s="23">
        <v>45558</v>
      </c>
      <c r="AB160" s="46">
        <v>0.79947916666666663</v>
      </c>
      <c r="AC160">
        <v>0</v>
      </c>
      <c r="AD160">
        <v>0</v>
      </c>
      <c r="AE160">
        <v>0</v>
      </c>
      <c r="AF160" s="57">
        <f t="shared" si="187"/>
        <v>29.753800000000002</v>
      </c>
      <c r="AI160" s="23" t="s">
        <v>154</v>
      </c>
      <c r="AJ160" s="46">
        <v>1</v>
      </c>
      <c r="AK160" t="s">
        <v>7</v>
      </c>
      <c r="AL160">
        <v>27648</v>
      </c>
      <c r="AM160">
        <v>192</v>
      </c>
      <c r="AN160" s="41">
        <v>1</v>
      </c>
      <c r="AO160">
        <v>4</v>
      </c>
      <c r="AP160" s="1">
        <v>342.46</v>
      </c>
      <c r="AQ160" s="54">
        <v>41.145000000000003</v>
      </c>
      <c r="AR160" s="23">
        <v>45558</v>
      </c>
      <c r="AS160" s="46">
        <v>0.72291666666666665</v>
      </c>
      <c r="AT160">
        <v>0</v>
      </c>
      <c r="AU160">
        <v>0</v>
      </c>
      <c r="AV160">
        <v>0</v>
      </c>
      <c r="AW160" s="57">
        <f t="shared" ref="AW160:AW163" si="223">AW159</f>
        <v>41.099200000000003</v>
      </c>
      <c r="AZ160" t="s">
        <v>154</v>
      </c>
      <c r="BA160">
        <v>1</v>
      </c>
      <c r="BB160" t="s">
        <v>7</v>
      </c>
      <c r="BC160">
        <v>27648</v>
      </c>
      <c r="BD160">
        <v>192</v>
      </c>
      <c r="BE160">
        <v>1</v>
      </c>
      <c r="BF160">
        <v>4</v>
      </c>
      <c r="BG160" s="1">
        <v>373.1</v>
      </c>
      <c r="BH160" s="54">
        <v>37.767000000000003</v>
      </c>
      <c r="BI160" s="23">
        <v>45558</v>
      </c>
      <c r="BJ160" s="46">
        <v>0.76283564814814819</v>
      </c>
      <c r="BK160">
        <v>0</v>
      </c>
      <c r="BL160">
        <v>0</v>
      </c>
      <c r="BM160">
        <v>0</v>
      </c>
      <c r="BN160" s="57">
        <f t="shared" ref="BN160:BN163" si="224">BN159</f>
        <v>37.698599999999999</v>
      </c>
    </row>
    <row r="161" spans="1:66">
      <c r="A161" t="s">
        <v>103</v>
      </c>
      <c r="B161">
        <v>2</v>
      </c>
      <c r="C161" t="s">
        <v>7</v>
      </c>
      <c r="D161">
        <v>27648</v>
      </c>
      <c r="E161">
        <v>192</v>
      </c>
      <c r="F161">
        <v>1</v>
      </c>
      <c r="G161" s="41">
        <v>4</v>
      </c>
      <c r="H161" s="1">
        <v>473.92</v>
      </c>
      <c r="I161" s="54">
        <v>29.731999999999999</v>
      </c>
      <c r="J161" s="23">
        <v>45559</v>
      </c>
      <c r="K161" s="46">
        <v>0.14197916666666666</v>
      </c>
      <c r="L161">
        <v>0</v>
      </c>
      <c r="M161">
        <v>0</v>
      </c>
      <c r="N161">
        <v>0</v>
      </c>
      <c r="O161" s="57">
        <f t="shared" si="194"/>
        <v>29.786999999999999</v>
      </c>
      <c r="R161" t="s">
        <v>103</v>
      </c>
      <c r="S161">
        <v>2</v>
      </c>
      <c r="T161" t="s">
        <v>7</v>
      </c>
      <c r="U161">
        <v>27648</v>
      </c>
      <c r="V161">
        <v>192</v>
      </c>
      <c r="W161" s="58">
        <v>1</v>
      </c>
      <c r="X161">
        <v>4</v>
      </c>
      <c r="Y161" s="1">
        <v>473.13</v>
      </c>
      <c r="Z161" s="54">
        <v>29.782</v>
      </c>
      <c r="AA161" s="23">
        <v>45559</v>
      </c>
      <c r="AB161" s="46">
        <v>0.14245370370370369</v>
      </c>
      <c r="AC161">
        <v>0</v>
      </c>
      <c r="AD161">
        <v>0</v>
      </c>
      <c r="AE161">
        <v>0</v>
      </c>
      <c r="AF161" s="57">
        <f t="shared" si="187"/>
        <v>29.753800000000002</v>
      </c>
      <c r="AI161" s="23" t="s">
        <v>154</v>
      </c>
      <c r="AJ161" s="46">
        <v>2</v>
      </c>
      <c r="AK161" t="s">
        <v>7</v>
      </c>
      <c r="AL161">
        <v>27648</v>
      </c>
      <c r="AM161">
        <v>192</v>
      </c>
      <c r="AN161" s="41">
        <v>1</v>
      </c>
      <c r="AO161">
        <v>4</v>
      </c>
      <c r="AP161" s="1">
        <v>341.54</v>
      </c>
      <c r="AQ161" s="54">
        <v>41.256</v>
      </c>
      <c r="AR161" s="23">
        <v>45559</v>
      </c>
      <c r="AS161" s="46">
        <v>1.1863425925925927E-2</v>
      </c>
      <c r="AT161">
        <v>0</v>
      </c>
      <c r="AU161">
        <v>0</v>
      </c>
      <c r="AV161">
        <v>0</v>
      </c>
      <c r="AW161" s="57">
        <f t="shared" si="223"/>
        <v>41.099200000000003</v>
      </c>
      <c r="AZ161" t="s">
        <v>154</v>
      </c>
      <c r="BA161">
        <v>2</v>
      </c>
      <c r="BB161" t="s">
        <v>7</v>
      </c>
      <c r="BC161">
        <v>27648</v>
      </c>
      <c r="BD161">
        <v>192</v>
      </c>
      <c r="BE161">
        <v>1</v>
      </c>
      <c r="BF161">
        <v>4</v>
      </c>
      <c r="BG161" s="1">
        <v>373.06</v>
      </c>
      <c r="BH161" s="54">
        <v>37.771000000000001</v>
      </c>
      <c r="BI161" s="23">
        <v>45559</v>
      </c>
      <c r="BJ161" s="46">
        <v>7.1504629629629626E-2</v>
      </c>
      <c r="BK161">
        <v>0</v>
      </c>
      <c r="BL161">
        <v>0</v>
      </c>
      <c r="BM161">
        <v>0</v>
      </c>
      <c r="BN161" s="57">
        <f t="shared" si="224"/>
        <v>37.698599999999999</v>
      </c>
    </row>
    <row r="162" spans="1:66">
      <c r="A162" t="s">
        <v>103</v>
      </c>
      <c r="B162">
        <v>3</v>
      </c>
      <c r="C162" t="s">
        <v>7</v>
      </c>
      <c r="D162">
        <v>27648</v>
      </c>
      <c r="E162">
        <v>192</v>
      </c>
      <c r="F162">
        <v>1</v>
      </c>
      <c r="G162" s="41">
        <v>4</v>
      </c>
      <c r="H162" s="1">
        <v>469.37</v>
      </c>
      <c r="I162" s="54">
        <v>30.02</v>
      </c>
      <c r="J162" s="23">
        <v>45559</v>
      </c>
      <c r="K162" s="46">
        <v>0.48439814814814813</v>
      </c>
      <c r="L162">
        <v>0</v>
      </c>
      <c r="M162">
        <v>0</v>
      </c>
      <c r="N162">
        <v>0</v>
      </c>
      <c r="O162" s="57">
        <f t="shared" si="194"/>
        <v>29.786999999999999</v>
      </c>
      <c r="R162" t="s">
        <v>103</v>
      </c>
      <c r="S162">
        <v>3</v>
      </c>
      <c r="T162" t="s">
        <v>7</v>
      </c>
      <c r="U162">
        <v>27648</v>
      </c>
      <c r="V162">
        <v>192</v>
      </c>
      <c r="W162" s="58">
        <v>1</v>
      </c>
      <c r="X162">
        <v>4</v>
      </c>
      <c r="Y162" s="1">
        <v>471.46</v>
      </c>
      <c r="Z162" s="54">
        <v>29.887</v>
      </c>
      <c r="AA162" s="23">
        <v>45559</v>
      </c>
      <c r="AB162" s="46">
        <v>0.48556712962962961</v>
      </c>
      <c r="AC162">
        <v>0</v>
      </c>
      <c r="AD162">
        <v>0</v>
      </c>
      <c r="AE162">
        <v>0</v>
      </c>
      <c r="AF162" s="57">
        <f t="shared" si="187"/>
        <v>29.753800000000002</v>
      </c>
      <c r="AI162" s="23" t="s">
        <v>154</v>
      </c>
      <c r="AJ162" s="46">
        <v>3</v>
      </c>
      <c r="AK162" t="s">
        <v>7</v>
      </c>
      <c r="AL162">
        <v>27648</v>
      </c>
      <c r="AM162">
        <v>192</v>
      </c>
      <c r="AN162" s="41">
        <v>1</v>
      </c>
      <c r="AO162">
        <v>4</v>
      </c>
      <c r="AP162" s="1">
        <v>344.16</v>
      </c>
      <c r="AQ162" s="54">
        <v>40.942</v>
      </c>
      <c r="AR162" s="23">
        <v>45559</v>
      </c>
      <c r="AS162" s="46">
        <v>0.30083333333333334</v>
      </c>
      <c r="AT162">
        <v>0</v>
      </c>
      <c r="AU162">
        <v>0</v>
      </c>
      <c r="AV162">
        <v>0</v>
      </c>
      <c r="AW162" s="57">
        <f t="shared" si="223"/>
        <v>41.099200000000003</v>
      </c>
      <c r="AZ162" t="s">
        <v>154</v>
      </c>
      <c r="BA162">
        <v>3</v>
      </c>
      <c r="BB162" t="s">
        <v>7</v>
      </c>
      <c r="BC162">
        <v>27648</v>
      </c>
      <c r="BD162">
        <v>192</v>
      </c>
      <c r="BE162">
        <v>1</v>
      </c>
      <c r="BF162">
        <v>4</v>
      </c>
      <c r="BG162" s="1">
        <v>375.08</v>
      </c>
      <c r="BH162" s="54">
        <v>37.567</v>
      </c>
      <c r="BI162" s="23">
        <v>45559</v>
      </c>
      <c r="BJ162" s="46">
        <v>0.38002314814814814</v>
      </c>
      <c r="BK162">
        <v>0</v>
      </c>
      <c r="BL162">
        <v>0</v>
      </c>
      <c r="BM162">
        <v>0</v>
      </c>
      <c r="BN162" s="57">
        <f t="shared" si="224"/>
        <v>37.698599999999999</v>
      </c>
    </row>
    <row r="163" spans="1:66">
      <c r="A163" t="s">
        <v>103</v>
      </c>
      <c r="B163">
        <v>4</v>
      </c>
      <c r="C163" t="s">
        <v>7</v>
      </c>
      <c r="D163">
        <v>27648</v>
      </c>
      <c r="E163">
        <v>192</v>
      </c>
      <c r="F163">
        <v>1</v>
      </c>
      <c r="G163" s="41">
        <v>4</v>
      </c>
      <c r="H163" s="1">
        <v>475.92</v>
      </c>
      <c r="I163" s="54">
        <v>29.606999999999999</v>
      </c>
      <c r="J163" s="23">
        <v>45559</v>
      </c>
      <c r="K163" s="46">
        <v>0.82672453703703708</v>
      </c>
      <c r="L163">
        <v>0</v>
      </c>
      <c r="M163">
        <v>0</v>
      </c>
      <c r="N163">
        <v>0</v>
      </c>
      <c r="O163" s="57">
        <f t="shared" si="194"/>
        <v>29.786999999999999</v>
      </c>
      <c r="R163" t="s">
        <v>103</v>
      </c>
      <c r="S163">
        <v>4</v>
      </c>
      <c r="T163" t="s">
        <v>7</v>
      </c>
      <c r="U163">
        <v>27648</v>
      </c>
      <c r="V163">
        <v>192</v>
      </c>
      <c r="W163" s="58">
        <v>1</v>
      </c>
      <c r="X163">
        <v>4</v>
      </c>
      <c r="Y163" s="1">
        <v>474.46</v>
      </c>
      <c r="Z163" s="54">
        <v>29.699000000000002</v>
      </c>
      <c r="AA163" s="23">
        <v>45559</v>
      </c>
      <c r="AB163" s="46">
        <v>0.8286458333333333</v>
      </c>
      <c r="AC163">
        <v>0</v>
      </c>
      <c r="AD163">
        <v>0</v>
      </c>
      <c r="AE163">
        <v>0</v>
      </c>
      <c r="AF163" s="57">
        <f t="shared" si="187"/>
        <v>29.753800000000002</v>
      </c>
      <c r="AI163" s="23" t="s">
        <v>154</v>
      </c>
      <c r="AJ163" s="46">
        <v>4</v>
      </c>
      <c r="AK163" t="s">
        <v>7</v>
      </c>
      <c r="AL163">
        <v>27648</v>
      </c>
      <c r="AM163">
        <v>192</v>
      </c>
      <c r="AN163" s="41">
        <v>1</v>
      </c>
      <c r="AO163">
        <v>4</v>
      </c>
      <c r="AP163" s="1">
        <v>345.57</v>
      </c>
      <c r="AQ163" s="54">
        <v>40.774999999999999</v>
      </c>
      <c r="AR163" s="23">
        <v>45559</v>
      </c>
      <c r="AS163" s="46">
        <v>0.59038194444444447</v>
      </c>
      <c r="AT163">
        <v>0</v>
      </c>
      <c r="AU163">
        <v>0</v>
      </c>
      <c r="AV163">
        <v>0</v>
      </c>
      <c r="AW163" s="57">
        <f t="shared" si="223"/>
        <v>41.099200000000003</v>
      </c>
      <c r="AZ163" t="s">
        <v>154</v>
      </c>
      <c r="BA163">
        <v>4</v>
      </c>
      <c r="BB163" t="s">
        <v>7</v>
      </c>
      <c r="BC163">
        <v>27648</v>
      </c>
      <c r="BD163">
        <v>192</v>
      </c>
      <c r="BE163">
        <v>1</v>
      </c>
      <c r="BF163">
        <v>4</v>
      </c>
      <c r="BG163" s="1">
        <v>374.03</v>
      </c>
      <c r="BH163" s="54">
        <v>37.673000000000002</v>
      </c>
      <c r="BI163" s="23">
        <v>45559</v>
      </c>
      <c r="BJ163" s="46">
        <v>0.68850694444444449</v>
      </c>
      <c r="BK163">
        <v>0</v>
      </c>
      <c r="BL163">
        <v>0</v>
      </c>
      <c r="BM163">
        <v>0</v>
      </c>
      <c r="BN163" s="57">
        <f t="shared" si="224"/>
        <v>37.698599999999999</v>
      </c>
    </row>
    <row r="164" spans="1:66">
      <c r="A164" t="s">
        <v>103</v>
      </c>
      <c r="B164">
        <v>0</v>
      </c>
      <c r="C164" t="s">
        <v>7</v>
      </c>
      <c r="D164">
        <v>29184</v>
      </c>
      <c r="E164">
        <v>192</v>
      </c>
      <c r="F164">
        <v>1</v>
      </c>
      <c r="G164" s="41">
        <v>4</v>
      </c>
      <c r="H164" s="1">
        <v>502.66</v>
      </c>
      <c r="I164" s="54">
        <v>32.969000000000001</v>
      </c>
      <c r="J164" s="23">
        <v>45558</v>
      </c>
      <c r="K164" s="46">
        <v>0.58679398148148143</v>
      </c>
      <c r="L164">
        <v>0</v>
      </c>
      <c r="M164">
        <v>0</v>
      </c>
      <c r="N164">
        <v>0</v>
      </c>
      <c r="O164" s="57">
        <f t="shared" ref="O164" si="225">AVERAGE(I164:I168)</f>
        <v>32.8964</v>
      </c>
      <c r="R164" t="s">
        <v>103</v>
      </c>
      <c r="S164">
        <v>0</v>
      </c>
      <c r="T164" t="s">
        <v>7</v>
      </c>
      <c r="U164">
        <v>29184</v>
      </c>
      <c r="V164">
        <v>192</v>
      </c>
      <c r="W164" s="41">
        <v>1</v>
      </c>
      <c r="X164">
        <v>4</v>
      </c>
      <c r="Y164" s="1">
        <v>507.77</v>
      </c>
      <c r="Z164" s="54">
        <v>32.637</v>
      </c>
      <c r="AA164" s="23">
        <v>45558</v>
      </c>
      <c r="AB164" s="46">
        <v>0.58575231481481482</v>
      </c>
      <c r="AC164">
        <v>0</v>
      </c>
      <c r="AD164">
        <v>0</v>
      </c>
      <c r="AE164">
        <v>0</v>
      </c>
      <c r="AF164" s="57">
        <f t="shared" ref="AF164" si="226">AVERAGE(Z164:Z168)</f>
        <v>32.651400000000002</v>
      </c>
      <c r="AI164" s="23" t="s">
        <v>154</v>
      </c>
      <c r="AJ164" s="46">
        <v>0</v>
      </c>
      <c r="AK164" t="s">
        <v>7</v>
      </c>
      <c r="AL164">
        <v>29184</v>
      </c>
      <c r="AM164">
        <v>192</v>
      </c>
      <c r="AN164" s="41">
        <v>1</v>
      </c>
      <c r="AO164">
        <v>4</v>
      </c>
      <c r="AP164" s="1">
        <v>394.48</v>
      </c>
      <c r="AQ164" s="54">
        <v>42.01</v>
      </c>
      <c r="AR164" s="23">
        <v>45558</v>
      </c>
      <c r="AS164" s="46">
        <v>0.56625000000000003</v>
      </c>
      <c r="AT164">
        <v>0</v>
      </c>
      <c r="AU164">
        <v>0</v>
      </c>
      <c r="AV164">
        <v>0</v>
      </c>
      <c r="AW164" s="57">
        <f t="shared" ref="AW164" si="227">AVERAGE(AQ164:AQ168)</f>
        <v>41.850999999999999</v>
      </c>
      <c r="AZ164" t="s">
        <v>154</v>
      </c>
      <c r="BA164">
        <v>0</v>
      </c>
      <c r="BB164" t="s">
        <v>7</v>
      </c>
      <c r="BC164">
        <v>29184</v>
      </c>
      <c r="BD164">
        <v>192</v>
      </c>
      <c r="BE164">
        <v>1</v>
      </c>
      <c r="BF164">
        <v>4</v>
      </c>
      <c r="BG164" s="1">
        <v>429.1</v>
      </c>
      <c r="BH164" s="54">
        <v>38.619999999999997</v>
      </c>
      <c r="BI164" s="23">
        <v>45558</v>
      </c>
      <c r="BJ164" s="46">
        <v>0.56999999999999995</v>
      </c>
      <c r="BK164">
        <v>0</v>
      </c>
      <c r="BL164">
        <v>0</v>
      </c>
      <c r="BM164">
        <v>0</v>
      </c>
      <c r="BN164" s="57">
        <f t="shared" ref="BN164" si="228">AVERAGE(BH164:BH168)</f>
        <v>38.7378</v>
      </c>
    </row>
    <row r="165" spans="1:66">
      <c r="A165" t="s">
        <v>103</v>
      </c>
      <c r="B165">
        <v>1</v>
      </c>
      <c r="C165" t="s">
        <v>7</v>
      </c>
      <c r="D165">
        <v>29184</v>
      </c>
      <c r="E165">
        <v>192</v>
      </c>
      <c r="F165">
        <v>1</v>
      </c>
      <c r="G165" s="41">
        <v>4</v>
      </c>
      <c r="H165" s="1">
        <v>504.31</v>
      </c>
      <c r="I165" s="54">
        <v>32.860999999999997</v>
      </c>
      <c r="J165" s="23">
        <v>45558</v>
      </c>
      <c r="K165" s="46">
        <v>0.9290046296296296</v>
      </c>
      <c r="L165">
        <v>0</v>
      </c>
      <c r="M165">
        <v>0</v>
      </c>
      <c r="N165">
        <v>0</v>
      </c>
      <c r="O165" s="57">
        <f t="shared" ref="O165" si="229">O164</f>
        <v>32.8964</v>
      </c>
      <c r="R165" t="s">
        <v>103</v>
      </c>
      <c r="S165">
        <v>1</v>
      </c>
      <c r="T165" t="s">
        <v>7</v>
      </c>
      <c r="U165">
        <v>29184</v>
      </c>
      <c r="V165">
        <v>192</v>
      </c>
      <c r="W165" s="58">
        <v>1</v>
      </c>
      <c r="X165">
        <v>4</v>
      </c>
      <c r="Y165" s="1">
        <v>507.76</v>
      </c>
      <c r="Z165" s="54">
        <v>32.637999999999998</v>
      </c>
      <c r="AA165" s="23">
        <v>45558</v>
      </c>
      <c r="AB165" s="46">
        <v>0.92890046296296291</v>
      </c>
      <c r="AC165">
        <v>0</v>
      </c>
      <c r="AD165">
        <v>0</v>
      </c>
      <c r="AE165">
        <v>0</v>
      </c>
      <c r="AF165" s="57">
        <f t="shared" si="187"/>
        <v>32.651400000000002</v>
      </c>
      <c r="AI165" s="23" t="s">
        <v>154</v>
      </c>
      <c r="AJ165" s="46">
        <v>1</v>
      </c>
      <c r="AK165" t="s">
        <v>7</v>
      </c>
      <c r="AL165">
        <v>29184</v>
      </c>
      <c r="AM165">
        <v>192</v>
      </c>
      <c r="AN165" s="41">
        <v>1</v>
      </c>
      <c r="AO165">
        <v>4</v>
      </c>
      <c r="AP165" s="1">
        <v>398.62</v>
      </c>
      <c r="AQ165" s="54">
        <v>41.573</v>
      </c>
      <c r="AR165" s="23">
        <v>45558</v>
      </c>
      <c r="AS165" s="46">
        <v>0.8325231481481481</v>
      </c>
      <c r="AT165">
        <v>0</v>
      </c>
      <c r="AU165">
        <v>0</v>
      </c>
      <c r="AV165">
        <v>0</v>
      </c>
      <c r="AW165" s="57">
        <f t="shared" ref="AW165:AW168" si="230">AW164</f>
        <v>41.850999999999999</v>
      </c>
      <c r="AZ165" t="s">
        <v>154</v>
      </c>
      <c r="BA165">
        <v>1</v>
      </c>
      <c r="BB165" t="s">
        <v>7</v>
      </c>
      <c r="BC165">
        <v>29184</v>
      </c>
      <c r="BD165">
        <v>192</v>
      </c>
      <c r="BE165">
        <v>1</v>
      </c>
      <c r="BF165">
        <v>4</v>
      </c>
      <c r="BG165" s="1">
        <v>426.52</v>
      </c>
      <c r="BH165" s="54">
        <v>38.853999999999999</v>
      </c>
      <c r="BI165" s="23">
        <v>45558</v>
      </c>
      <c r="BJ165" s="46">
        <v>0.87888888888888894</v>
      </c>
      <c r="BK165">
        <v>0</v>
      </c>
      <c r="BL165">
        <v>0</v>
      </c>
      <c r="BM165">
        <v>0</v>
      </c>
      <c r="BN165" s="57">
        <f t="shared" ref="BN165:BN168" si="231">BN164</f>
        <v>38.7378</v>
      </c>
    </row>
    <row r="166" spans="1:66">
      <c r="A166" t="s">
        <v>103</v>
      </c>
      <c r="B166">
        <v>2</v>
      </c>
      <c r="C166" t="s">
        <v>7</v>
      </c>
      <c r="D166">
        <v>29184</v>
      </c>
      <c r="E166">
        <v>192</v>
      </c>
      <c r="F166">
        <v>1</v>
      </c>
      <c r="G166" s="41">
        <v>4</v>
      </c>
      <c r="H166" s="1">
        <v>505.12</v>
      </c>
      <c r="I166" s="54">
        <v>32.808</v>
      </c>
      <c r="J166" s="23">
        <v>45559</v>
      </c>
      <c r="K166" s="46">
        <v>0.27126157407407409</v>
      </c>
      <c r="L166">
        <v>0</v>
      </c>
      <c r="M166">
        <v>0</v>
      </c>
      <c r="N166">
        <v>0</v>
      </c>
      <c r="O166" s="57">
        <f t="shared" si="194"/>
        <v>32.8964</v>
      </c>
      <c r="R166" t="s">
        <v>103</v>
      </c>
      <c r="S166">
        <v>2</v>
      </c>
      <c r="T166" t="s">
        <v>7</v>
      </c>
      <c r="U166">
        <v>29184</v>
      </c>
      <c r="V166">
        <v>192</v>
      </c>
      <c r="W166" s="58">
        <v>1</v>
      </c>
      <c r="X166">
        <v>4</v>
      </c>
      <c r="Y166" s="1">
        <v>508.84</v>
      </c>
      <c r="Z166" s="54">
        <v>32.569000000000003</v>
      </c>
      <c r="AA166" s="23">
        <v>45559</v>
      </c>
      <c r="AB166" s="46">
        <v>0.27182870370370371</v>
      </c>
      <c r="AC166">
        <v>0</v>
      </c>
      <c r="AD166">
        <v>0</v>
      </c>
      <c r="AE166">
        <v>0</v>
      </c>
      <c r="AF166" s="57">
        <f t="shared" si="187"/>
        <v>32.651400000000002</v>
      </c>
      <c r="AI166" s="23" t="s">
        <v>154</v>
      </c>
      <c r="AJ166" s="46">
        <v>2</v>
      </c>
      <c r="AK166" t="s">
        <v>7</v>
      </c>
      <c r="AL166">
        <v>29184</v>
      </c>
      <c r="AM166">
        <v>192</v>
      </c>
      <c r="AN166" s="41">
        <v>1</v>
      </c>
      <c r="AO166">
        <v>4</v>
      </c>
      <c r="AP166" s="1">
        <v>393.9</v>
      </c>
      <c r="AQ166" s="54">
        <v>42.072000000000003</v>
      </c>
      <c r="AR166" s="23">
        <v>45559</v>
      </c>
      <c r="AS166" s="46">
        <v>0.12130787037037037</v>
      </c>
      <c r="AT166">
        <v>0</v>
      </c>
      <c r="AU166">
        <v>0</v>
      </c>
      <c r="AV166">
        <v>0</v>
      </c>
      <c r="AW166" s="57">
        <f t="shared" si="230"/>
        <v>41.850999999999999</v>
      </c>
      <c r="AZ166" t="s">
        <v>154</v>
      </c>
      <c r="BA166">
        <v>2</v>
      </c>
      <c r="BB166" t="s">
        <v>7</v>
      </c>
      <c r="BC166">
        <v>29184</v>
      </c>
      <c r="BD166">
        <v>192</v>
      </c>
      <c r="BE166">
        <v>1</v>
      </c>
      <c r="BF166">
        <v>4</v>
      </c>
      <c r="BG166" s="1">
        <v>425.67</v>
      </c>
      <c r="BH166" s="54">
        <v>38.930999999999997</v>
      </c>
      <c r="BI166" s="23">
        <v>45559</v>
      </c>
      <c r="BJ166" s="46">
        <v>0.18752314814814816</v>
      </c>
      <c r="BK166">
        <v>0</v>
      </c>
      <c r="BL166">
        <v>0</v>
      </c>
      <c r="BM166">
        <v>0</v>
      </c>
      <c r="BN166" s="57">
        <f t="shared" si="231"/>
        <v>38.7378</v>
      </c>
    </row>
    <row r="167" spans="1:66">
      <c r="A167" t="s">
        <v>103</v>
      </c>
      <c r="B167">
        <v>3</v>
      </c>
      <c r="C167" t="s">
        <v>7</v>
      </c>
      <c r="D167">
        <v>29184</v>
      </c>
      <c r="E167">
        <v>192</v>
      </c>
      <c r="F167">
        <v>1</v>
      </c>
      <c r="G167" s="41">
        <v>4</v>
      </c>
      <c r="H167" s="1">
        <v>504.83</v>
      </c>
      <c r="I167" s="54">
        <v>32.826999999999998</v>
      </c>
      <c r="J167" s="23">
        <v>45559</v>
      </c>
      <c r="K167" s="46">
        <v>0.61357638888888888</v>
      </c>
      <c r="L167">
        <v>0</v>
      </c>
      <c r="M167">
        <v>0</v>
      </c>
      <c r="N167">
        <v>0</v>
      </c>
      <c r="O167" s="57">
        <f t="shared" si="194"/>
        <v>32.8964</v>
      </c>
      <c r="R167" t="s">
        <v>103</v>
      </c>
      <c r="S167">
        <v>3</v>
      </c>
      <c r="T167" t="s">
        <v>7</v>
      </c>
      <c r="U167">
        <v>29184</v>
      </c>
      <c r="V167">
        <v>192</v>
      </c>
      <c r="W167" s="58">
        <v>1</v>
      </c>
      <c r="X167">
        <v>4</v>
      </c>
      <c r="Y167" s="1">
        <v>509.43</v>
      </c>
      <c r="Z167" s="54">
        <v>32.530999999999999</v>
      </c>
      <c r="AA167" s="23">
        <v>45559</v>
      </c>
      <c r="AB167" s="46">
        <v>0.61518518518518517</v>
      </c>
      <c r="AC167">
        <v>0</v>
      </c>
      <c r="AD167">
        <v>0</v>
      </c>
      <c r="AE167">
        <v>0</v>
      </c>
      <c r="AF167" s="57">
        <f t="shared" si="187"/>
        <v>32.651400000000002</v>
      </c>
      <c r="AI167" s="23" t="s">
        <v>154</v>
      </c>
      <c r="AJ167" s="46">
        <v>3</v>
      </c>
      <c r="AK167" t="s">
        <v>7</v>
      </c>
      <c r="AL167">
        <v>29184</v>
      </c>
      <c r="AM167">
        <v>192</v>
      </c>
      <c r="AN167" s="41">
        <v>1</v>
      </c>
      <c r="AO167">
        <v>4</v>
      </c>
      <c r="AP167" s="1">
        <v>394.56</v>
      </c>
      <c r="AQ167" s="54">
        <v>42.002000000000002</v>
      </c>
      <c r="AR167" s="23">
        <v>45559</v>
      </c>
      <c r="AS167" s="46">
        <v>0.41053240740740743</v>
      </c>
      <c r="AT167">
        <v>0</v>
      </c>
      <c r="AU167">
        <v>0</v>
      </c>
      <c r="AV167">
        <v>0</v>
      </c>
      <c r="AW167" s="57">
        <f t="shared" si="230"/>
        <v>41.850999999999999</v>
      </c>
      <c r="AZ167" t="s">
        <v>154</v>
      </c>
      <c r="BA167">
        <v>3</v>
      </c>
      <c r="BB167" t="s">
        <v>7</v>
      </c>
      <c r="BC167">
        <v>29184</v>
      </c>
      <c r="BD167">
        <v>192</v>
      </c>
      <c r="BE167">
        <v>1</v>
      </c>
      <c r="BF167">
        <v>4</v>
      </c>
      <c r="BG167" s="1">
        <v>430.32</v>
      </c>
      <c r="BH167" s="54">
        <v>38.511000000000003</v>
      </c>
      <c r="BI167" s="23">
        <v>45559</v>
      </c>
      <c r="BJ167" s="46">
        <v>0.49600694444444443</v>
      </c>
      <c r="BK167">
        <v>0</v>
      </c>
      <c r="BL167">
        <v>0</v>
      </c>
      <c r="BM167">
        <v>0</v>
      </c>
      <c r="BN167" s="57">
        <f t="shared" si="231"/>
        <v>38.7378</v>
      </c>
    </row>
    <row r="168" spans="1:66">
      <c r="A168" t="s">
        <v>103</v>
      </c>
      <c r="B168">
        <v>4</v>
      </c>
      <c r="C168" t="s">
        <v>7</v>
      </c>
      <c r="D168">
        <v>29184</v>
      </c>
      <c r="E168">
        <v>192</v>
      </c>
      <c r="F168">
        <v>1</v>
      </c>
      <c r="G168" s="41">
        <v>4</v>
      </c>
      <c r="H168" s="1">
        <v>501.92</v>
      </c>
      <c r="I168" s="54">
        <v>33.017000000000003</v>
      </c>
      <c r="J168" s="23">
        <v>45559</v>
      </c>
      <c r="K168" s="46">
        <v>0.95557870370370368</v>
      </c>
      <c r="L168">
        <v>0</v>
      </c>
      <c r="M168">
        <v>0</v>
      </c>
      <c r="N168">
        <v>0</v>
      </c>
      <c r="O168" s="57">
        <f t="shared" si="194"/>
        <v>32.8964</v>
      </c>
      <c r="R168" t="s">
        <v>103</v>
      </c>
      <c r="S168">
        <v>4</v>
      </c>
      <c r="T168" t="s">
        <v>7</v>
      </c>
      <c r="U168">
        <v>29184</v>
      </c>
      <c r="V168">
        <v>192</v>
      </c>
      <c r="W168" s="58">
        <v>1</v>
      </c>
      <c r="X168">
        <v>4</v>
      </c>
      <c r="Y168" s="1">
        <v>503.99</v>
      </c>
      <c r="Z168" s="54">
        <v>32.881999999999998</v>
      </c>
      <c r="AA168" s="23">
        <v>45559</v>
      </c>
      <c r="AB168" s="46">
        <v>0.9579050925925926</v>
      </c>
      <c r="AC168">
        <v>0</v>
      </c>
      <c r="AD168">
        <v>0</v>
      </c>
      <c r="AE168">
        <v>0</v>
      </c>
      <c r="AF168" s="57">
        <f t="shared" si="187"/>
        <v>32.651400000000002</v>
      </c>
      <c r="AI168" s="23" t="s">
        <v>154</v>
      </c>
      <c r="AJ168" s="46">
        <v>4</v>
      </c>
      <c r="AK168" t="s">
        <v>7</v>
      </c>
      <c r="AL168">
        <v>29184</v>
      </c>
      <c r="AM168">
        <v>192</v>
      </c>
      <c r="AN168" s="41">
        <v>1</v>
      </c>
      <c r="AO168">
        <v>4</v>
      </c>
      <c r="AP168" s="1">
        <v>398.39</v>
      </c>
      <c r="AQ168" s="54">
        <v>41.597999999999999</v>
      </c>
      <c r="AR168" s="23">
        <v>45559</v>
      </c>
      <c r="AS168" s="46">
        <v>0.70035879629629627</v>
      </c>
      <c r="AT168">
        <v>0</v>
      </c>
      <c r="AU168">
        <v>0</v>
      </c>
      <c r="AV168">
        <v>0</v>
      </c>
      <c r="AW168" s="57">
        <f t="shared" si="230"/>
        <v>41.850999999999999</v>
      </c>
      <c r="AZ168" t="s">
        <v>154</v>
      </c>
      <c r="BA168">
        <v>4</v>
      </c>
      <c r="BB168" t="s">
        <v>7</v>
      </c>
      <c r="BC168">
        <v>29184</v>
      </c>
      <c r="BD168">
        <v>192</v>
      </c>
      <c r="BE168">
        <v>1</v>
      </c>
      <c r="BF168">
        <v>4</v>
      </c>
      <c r="BG168" s="1">
        <v>427.41</v>
      </c>
      <c r="BH168" s="54">
        <v>38.773000000000003</v>
      </c>
      <c r="BI168" s="23">
        <v>45559</v>
      </c>
      <c r="BJ168" s="46">
        <v>0.80435185185185187</v>
      </c>
      <c r="BK168">
        <v>0</v>
      </c>
      <c r="BL168">
        <v>0</v>
      </c>
      <c r="BM168">
        <v>0</v>
      </c>
      <c r="BN168" s="57">
        <f t="shared" si="231"/>
        <v>38.7378</v>
      </c>
    </row>
    <row r="169" spans="1:66">
      <c r="A169" t="s">
        <v>103</v>
      </c>
      <c r="B169">
        <v>0</v>
      </c>
      <c r="C169" t="s">
        <v>7</v>
      </c>
      <c r="D169">
        <v>26112</v>
      </c>
      <c r="E169">
        <v>192</v>
      </c>
      <c r="F169">
        <v>2</v>
      </c>
      <c r="G169" s="41">
        <v>2</v>
      </c>
      <c r="H169" s="1">
        <v>342.31</v>
      </c>
      <c r="I169" s="54">
        <v>34.677999999999997</v>
      </c>
      <c r="J169" s="23">
        <v>45558</v>
      </c>
      <c r="K169" s="46">
        <v>0.35314814814814816</v>
      </c>
      <c r="L169">
        <v>0</v>
      </c>
      <c r="M169">
        <v>0</v>
      </c>
      <c r="N169">
        <v>0</v>
      </c>
      <c r="O169" s="57">
        <f t="shared" ref="O169" si="232">AVERAGE(I169:I173)</f>
        <v>34.605600000000003</v>
      </c>
      <c r="R169" t="s">
        <v>103</v>
      </c>
      <c r="S169">
        <v>0</v>
      </c>
      <c r="T169" t="s">
        <v>7</v>
      </c>
      <c r="U169">
        <v>26112</v>
      </c>
      <c r="V169">
        <v>192</v>
      </c>
      <c r="W169" s="41">
        <v>2</v>
      </c>
      <c r="X169">
        <v>2</v>
      </c>
      <c r="Y169" s="1">
        <v>346.95</v>
      </c>
      <c r="Z169" s="54">
        <v>34.213999999999999</v>
      </c>
      <c r="AA169" s="23">
        <v>45558</v>
      </c>
      <c r="AB169" s="46">
        <v>0.35157407407407409</v>
      </c>
      <c r="AC169">
        <v>0</v>
      </c>
      <c r="AD169">
        <v>0</v>
      </c>
      <c r="AE169">
        <v>0</v>
      </c>
      <c r="AF169" s="57">
        <f t="shared" ref="AF169" si="233">AVERAGE(Z169:Z173)</f>
        <v>34.229400000000005</v>
      </c>
      <c r="AI169" s="23" t="s">
        <v>154</v>
      </c>
      <c r="AJ169" s="46">
        <v>0</v>
      </c>
      <c r="AK169" t="s">
        <v>7</v>
      </c>
      <c r="AL169">
        <v>26112</v>
      </c>
      <c r="AM169">
        <v>192</v>
      </c>
      <c r="AN169" s="41">
        <v>2</v>
      </c>
      <c r="AO169">
        <v>2</v>
      </c>
      <c r="AP169" s="1">
        <v>292.25</v>
      </c>
      <c r="AQ169" s="54">
        <v>40.616999999999997</v>
      </c>
      <c r="AR169" s="23">
        <v>45558</v>
      </c>
      <c r="AS169" s="46">
        <v>0.34173611111111113</v>
      </c>
      <c r="AT169">
        <v>0</v>
      </c>
      <c r="AU169">
        <v>0</v>
      </c>
      <c r="AV169">
        <v>0</v>
      </c>
      <c r="AW169" s="57">
        <f t="shared" ref="AW169" si="234">AVERAGE(AQ169:AQ173)</f>
        <v>40.2864</v>
      </c>
      <c r="AZ169" t="s">
        <v>154</v>
      </c>
      <c r="BA169">
        <v>0</v>
      </c>
      <c r="BB169" t="s">
        <v>7</v>
      </c>
      <c r="BC169">
        <v>26112</v>
      </c>
      <c r="BD169">
        <v>192</v>
      </c>
      <c r="BE169">
        <v>2</v>
      </c>
      <c r="BF169">
        <v>2</v>
      </c>
      <c r="BG169" s="1">
        <v>351.44</v>
      </c>
      <c r="BH169" s="54">
        <v>33.777000000000001</v>
      </c>
      <c r="BI169" s="23">
        <v>45558</v>
      </c>
      <c r="BJ169" s="46">
        <v>0.34775462962962961</v>
      </c>
      <c r="BK169">
        <v>0</v>
      </c>
      <c r="BL169">
        <v>0</v>
      </c>
      <c r="BM169">
        <v>0</v>
      </c>
      <c r="BN169" s="57">
        <f t="shared" ref="BN169" si="235">AVERAGE(BH169:BH173)</f>
        <v>34.202200000000005</v>
      </c>
    </row>
    <row r="170" spans="1:66">
      <c r="A170" t="s">
        <v>103</v>
      </c>
      <c r="B170">
        <v>1</v>
      </c>
      <c r="C170" t="s">
        <v>7</v>
      </c>
      <c r="D170">
        <v>26112</v>
      </c>
      <c r="E170">
        <v>192</v>
      </c>
      <c r="F170">
        <v>2</v>
      </c>
      <c r="G170" s="41">
        <v>2</v>
      </c>
      <c r="H170" s="1">
        <v>343.28</v>
      </c>
      <c r="I170" s="54">
        <v>34.579000000000001</v>
      </c>
      <c r="J170" s="23">
        <v>45558</v>
      </c>
      <c r="K170" s="46">
        <v>0.69525462962962958</v>
      </c>
      <c r="L170">
        <v>0</v>
      </c>
      <c r="M170">
        <v>0</v>
      </c>
      <c r="N170">
        <v>0</v>
      </c>
      <c r="O170" s="57">
        <f t="shared" ref="O170" si="236">O169</f>
        <v>34.605600000000003</v>
      </c>
      <c r="R170" t="s">
        <v>103</v>
      </c>
      <c r="S170">
        <v>1</v>
      </c>
      <c r="T170" t="s">
        <v>7</v>
      </c>
      <c r="U170">
        <v>26112</v>
      </c>
      <c r="V170">
        <v>192</v>
      </c>
      <c r="W170" s="41">
        <v>2</v>
      </c>
      <c r="X170">
        <v>2</v>
      </c>
      <c r="Y170" s="1">
        <v>346.69</v>
      </c>
      <c r="Z170" s="54">
        <v>34.24</v>
      </c>
      <c r="AA170" s="23">
        <v>45558</v>
      </c>
      <c r="AB170" s="46">
        <v>0.69465277777777779</v>
      </c>
      <c r="AC170">
        <v>0</v>
      </c>
      <c r="AD170">
        <v>0</v>
      </c>
      <c r="AE170">
        <v>0</v>
      </c>
      <c r="AF170" s="57">
        <f t="shared" si="187"/>
        <v>34.229400000000005</v>
      </c>
      <c r="AI170" s="23" t="s">
        <v>154</v>
      </c>
      <c r="AJ170" s="46">
        <v>1</v>
      </c>
      <c r="AK170" t="s">
        <v>7</v>
      </c>
      <c r="AL170">
        <v>26112</v>
      </c>
      <c r="AM170">
        <v>192</v>
      </c>
      <c r="AN170" s="41">
        <v>2</v>
      </c>
      <c r="AO170">
        <v>2</v>
      </c>
      <c r="AP170" s="1">
        <v>289.76</v>
      </c>
      <c r="AQ170" s="54">
        <v>40.966000000000001</v>
      </c>
      <c r="AR170" s="23">
        <v>45558</v>
      </c>
      <c r="AS170" s="46">
        <v>0.63393518518518521</v>
      </c>
      <c r="AT170">
        <v>0</v>
      </c>
      <c r="AU170">
        <v>0</v>
      </c>
      <c r="AV170">
        <v>0</v>
      </c>
      <c r="AW170" s="57">
        <f t="shared" ref="AW170:AW173" si="237">AW169</f>
        <v>40.2864</v>
      </c>
      <c r="AZ170" t="s">
        <v>154</v>
      </c>
      <c r="BA170">
        <v>1</v>
      </c>
      <c r="BB170" t="s">
        <v>7</v>
      </c>
      <c r="BC170">
        <v>26112</v>
      </c>
      <c r="BD170">
        <v>192</v>
      </c>
      <c r="BE170">
        <v>2</v>
      </c>
      <c r="BF170">
        <v>2</v>
      </c>
      <c r="BG170" s="1">
        <v>348.33</v>
      </c>
      <c r="BH170" s="54">
        <v>34.078000000000003</v>
      </c>
      <c r="BI170" s="23">
        <v>45558</v>
      </c>
      <c r="BJ170" s="46">
        <v>0.66863425925925923</v>
      </c>
      <c r="BK170">
        <v>0</v>
      </c>
      <c r="BL170">
        <v>0</v>
      </c>
      <c r="BM170">
        <v>0</v>
      </c>
      <c r="BN170" s="57">
        <f t="shared" ref="BN170:BN173" si="238">BN169</f>
        <v>34.202200000000005</v>
      </c>
    </row>
    <row r="171" spans="1:66">
      <c r="A171" t="s">
        <v>103</v>
      </c>
      <c r="B171">
        <v>2</v>
      </c>
      <c r="C171" t="s">
        <v>7</v>
      </c>
      <c r="D171">
        <v>26112</v>
      </c>
      <c r="E171">
        <v>192</v>
      </c>
      <c r="F171">
        <v>2</v>
      </c>
      <c r="G171" s="41">
        <v>2</v>
      </c>
      <c r="H171" s="1">
        <v>342.9</v>
      </c>
      <c r="I171" s="54">
        <v>34.618000000000002</v>
      </c>
      <c r="J171" s="23">
        <v>45559</v>
      </c>
      <c r="K171" s="46">
        <v>3.7430555555555557E-2</v>
      </c>
      <c r="L171">
        <v>0</v>
      </c>
      <c r="M171">
        <v>0</v>
      </c>
      <c r="N171">
        <v>0</v>
      </c>
      <c r="O171" s="57">
        <f t="shared" si="194"/>
        <v>34.605600000000003</v>
      </c>
      <c r="R171" t="s">
        <v>103</v>
      </c>
      <c r="S171">
        <v>2</v>
      </c>
      <c r="T171" t="s">
        <v>7</v>
      </c>
      <c r="U171">
        <v>26112</v>
      </c>
      <c r="V171">
        <v>192</v>
      </c>
      <c r="W171" s="58">
        <v>2</v>
      </c>
      <c r="X171">
        <v>2</v>
      </c>
      <c r="Y171" s="1">
        <v>345.89</v>
      </c>
      <c r="Z171" s="54">
        <v>34.319000000000003</v>
      </c>
      <c r="AA171" s="23">
        <v>45559</v>
      </c>
      <c r="AB171" s="46">
        <v>3.7800925925925925E-2</v>
      </c>
      <c r="AC171">
        <v>0</v>
      </c>
      <c r="AD171">
        <v>0</v>
      </c>
      <c r="AE171">
        <v>0</v>
      </c>
      <c r="AF171" s="57">
        <f t="shared" si="187"/>
        <v>34.229400000000005</v>
      </c>
      <c r="AI171" s="23" t="s">
        <v>154</v>
      </c>
      <c r="AJ171" s="46">
        <v>2</v>
      </c>
      <c r="AK171" t="s">
        <v>7</v>
      </c>
      <c r="AL171">
        <v>26112</v>
      </c>
      <c r="AM171">
        <v>192</v>
      </c>
      <c r="AN171" s="41">
        <v>2</v>
      </c>
      <c r="AO171">
        <v>2</v>
      </c>
      <c r="AP171" s="1">
        <v>295.92</v>
      </c>
      <c r="AQ171" s="54">
        <v>40.113</v>
      </c>
      <c r="AR171" s="23">
        <v>45558</v>
      </c>
      <c r="AS171" s="46">
        <v>0.92321759259259262</v>
      </c>
      <c r="AT171">
        <v>0</v>
      </c>
      <c r="AU171">
        <v>0</v>
      </c>
      <c r="AV171">
        <v>0</v>
      </c>
      <c r="AW171" s="57">
        <f t="shared" si="237"/>
        <v>40.2864</v>
      </c>
      <c r="AZ171" t="s">
        <v>154</v>
      </c>
      <c r="BA171">
        <v>2</v>
      </c>
      <c r="BB171" t="s">
        <v>7</v>
      </c>
      <c r="BC171">
        <v>26112</v>
      </c>
      <c r="BD171">
        <v>192</v>
      </c>
      <c r="BE171">
        <v>2</v>
      </c>
      <c r="BF171">
        <v>2</v>
      </c>
      <c r="BG171" s="1">
        <v>344.32</v>
      </c>
      <c r="BH171" s="54">
        <v>34.475000000000001</v>
      </c>
      <c r="BI171" s="23">
        <v>45558</v>
      </c>
      <c r="BJ171" s="46">
        <v>0.97723379629629625</v>
      </c>
      <c r="BK171">
        <v>0</v>
      </c>
      <c r="BL171">
        <v>0</v>
      </c>
      <c r="BM171">
        <v>0</v>
      </c>
      <c r="BN171" s="57">
        <f t="shared" si="238"/>
        <v>34.202200000000005</v>
      </c>
    </row>
    <row r="172" spans="1:66">
      <c r="A172" t="s">
        <v>103</v>
      </c>
      <c r="B172">
        <v>3</v>
      </c>
      <c r="C172" t="s">
        <v>7</v>
      </c>
      <c r="D172">
        <v>26112</v>
      </c>
      <c r="E172">
        <v>192</v>
      </c>
      <c r="F172">
        <v>2</v>
      </c>
      <c r="G172" s="41">
        <v>2</v>
      </c>
      <c r="H172" s="1">
        <v>343.7</v>
      </c>
      <c r="I172" s="54">
        <v>34.536999999999999</v>
      </c>
      <c r="J172" s="23">
        <v>45559</v>
      </c>
      <c r="K172" s="46">
        <v>0.37979166666666669</v>
      </c>
      <c r="L172">
        <v>0</v>
      </c>
      <c r="M172">
        <v>0</v>
      </c>
      <c r="N172">
        <v>0</v>
      </c>
      <c r="O172" s="57">
        <f t="shared" si="194"/>
        <v>34.605600000000003</v>
      </c>
      <c r="R172" t="s">
        <v>103</v>
      </c>
      <c r="S172">
        <v>3</v>
      </c>
      <c r="T172" t="s">
        <v>7</v>
      </c>
      <c r="U172">
        <v>26112</v>
      </c>
      <c r="V172">
        <v>192</v>
      </c>
      <c r="W172" s="58">
        <v>2</v>
      </c>
      <c r="X172">
        <v>2</v>
      </c>
      <c r="Y172" s="1">
        <v>347.15</v>
      </c>
      <c r="Z172" s="54">
        <v>34.194000000000003</v>
      </c>
      <c r="AA172" s="23">
        <v>45559</v>
      </c>
      <c r="AB172" s="46">
        <v>0.38085648148148149</v>
      </c>
      <c r="AC172">
        <v>0</v>
      </c>
      <c r="AD172">
        <v>0</v>
      </c>
      <c r="AE172">
        <v>0</v>
      </c>
      <c r="AF172" s="57">
        <f t="shared" si="187"/>
        <v>34.229400000000005</v>
      </c>
      <c r="AI172" s="23" t="s">
        <v>154</v>
      </c>
      <c r="AJ172" s="46">
        <v>3</v>
      </c>
      <c r="AK172" t="s">
        <v>7</v>
      </c>
      <c r="AL172">
        <v>26112</v>
      </c>
      <c r="AM172">
        <v>192</v>
      </c>
      <c r="AN172" s="41">
        <v>2</v>
      </c>
      <c r="AO172">
        <v>2</v>
      </c>
      <c r="AP172" s="1">
        <v>297.97000000000003</v>
      </c>
      <c r="AQ172" s="54">
        <v>39.837000000000003</v>
      </c>
      <c r="AR172" s="23">
        <v>45559</v>
      </c>
      <c r="AS172" s="46">
        <v>0.21228009259259259</v>
      </c>
      <c r="AT172">
        <v>0</v>
      </c>
      <c r="AU172">
        <v>0</v>
      </c>
      <c r="AV172">
        <v>0</v>
      </c>
      <c r="AW172" s="57">
        <f t="shared" si="237"/>
        <v>40.2864</v>
      </c>
      <c r="AZ172" t="s">
        <v>154</v>
      </c>
      <c r="BA172">
        <v>3</v>
      </c>
      <c r="BB172" t="s">
        <v>7</v>
      </c>
      <c r="BC172">
        <v>26112</v>
      </c>
      <c r="BD172">
        <v>192</v>
      </c>
      <c r="BE172">
        <v>2</v>
      </c>
      <c r="BF172">
        <v>2</v>
      </c>
      <c r="BG172" s="1">
        <v>345.57</v>
      </c>
      <c r="BH172" s="54">
        <v>34.350999999999999</v>
      </c>
      <c r="BI172" s="23">
        <v>45559</v>
      </c>
      <c r="BJ172" s="46">
        <v>0.28584490740740742</v>
      </c>
      <c r="BK172">
        <v>0</v>
      </c>
      <c r="BL172">
        <v>0</v>
      </c>
      <c r="BM172">
        <v>0</v>
      </c>
      <c r="BN172" s="57">
        <f t="shared" si="238"/>
        <v>34.202200000000005</v>
      </c>
    </row>
    <row r="173" spans="1:66">
      <c r="A173" t="s">
        <v>103</v>
      </c>
      <c r="B173">
        <v>4</v>
      </c>
      <c r="C173" t="s">
        <v>7</v>
      </c>
      <c r="D173">
        <v>26112</v>
      </c>
      <c r="E173">
        <v>192</v>
      </c>
      <c r="F173">
        <v>2</v>
      </c>
      <c r="G173" s="41">
        <v>2</v>
      </c>
      <c r="H173" s="1">
        <v>342.92</v>
      </c>
      <c r="I173" s="54">
        <v>34.616</v>
      </c>
      <c r="J173" s="23">
        <v>45559</v>
      </c>
      <c r="K173" s="46">
        <v>0.72206018518518522</v>
      </c>
      <c r="L173">
        <v>0</v>
      </c>
      <c r="M173">
        <v>0</v>
      </c>
      <c r="N173">
        <v>0</v>
      </c>
      <c r="O173" s="57">
        <f t="shared" si="194"/>
        <v>34.605600000000003</v>
      </c>
      <c r="R173" t="s">
        <v>103</v>
      </c>
      <c r="S173">
        <v>4</v>
      </c>
      <c r="T173" t="s">
        <v>7</v>
      </c>
      <c r="U173">
        <v>26112</v>
      </c>
      <c r="V173">
        <v>192</v>
      </c>
      <c r="W173" s="58">
        <v>2</v>
      </c>
      <c r="X173">
        <v>2</v>
      </c>
      <c r="Y173" s="1">
        <v>347.29</v>
      </c>
      <c r="Z173" s="54">
        <v>34.18</v>
      </c>
      <c r="AA173" s="23">
        <v>45559</v>
      </c>
      <c r="AB173" s="46">
        <v>0.7240509259259259</v>
      </c>
      <c r="AC173">
        <v>0</v>
      </c>
      <c r="AD173">
        <v>0</v>
      </c>
      <c r="AE173">
        <v>0</v>
      </c>
      <c r="AF173" s="57">
        <f t="shared" si="187"/>
        <v>34.229400000000005</v>
      </c>
      <c r="AI173" s="23" t="s">
        <v>154</v>
      </c>
      <c r="AJ173" s="46">
        <v>4</v>
      </c>
      <c r="AK173" t="s">
        <v>7</v>
      </c>
      <c r="AL173">
        <v>26112</v>
      </c>
      <c r="AM173">
        <v>192</v>
      </c>
      <c r="AN173" s="41">
        <v>2</v>
      </c>
      <c r="AO173">
        <v>2</v>
      </c>
      <c r="AP173" s="1">
        <v>297.51</v>
      </c>
      <c r="AQ173" s="54">
        <v>39.899000000000001</v>
      </c>
      <c r="AR173" s="23">
        <v>45559</v>
      </c>
      <c r="AS173" s="46">
        <v>0.50153935185185183</v>
      </c>
      <c r="AT173">
        <v>0</v>
      </c>
      <c r="AU173">
        <v>0</v>
      </c>
      <c r="AV173">
        <v>0</v>
      </c>
      <c r="AW173" s="57">
        <f t="shared" si="237"/>
        <v>40.2864</v>
      </c>
      <c r="AZ173" t="s">
        <v>154</v>
      </c>
      <c r="BA173">
        <v>4</v>
      </c>
      <c r="BB173" t="s">
        <v>7</v>
      </c>
      <c r="BC173">
        <v>26112</v>
      </c>
      <c r="BD173">
        <v>192</v>
      </c>
      <c r="BE173">
        <v>2</v>
      </c>
      <c r="BF173">
        <v>2</v>
      </c>
      <c r="BG173" s="1">
        <v>345.78</v>
      </c>
      <c r="BH173" s="54">
        <v>34.33</v>
      </c>
      <c r="BI173" s="23">
        <v>45559</v>
      </c>
      <c r="BJ173" s="46">
        <v>0.59429398148148149</v>
      </c>
      <c r="BK173">
        <v>0</v>
      </c>
      <c r="BL173">
        <v>0</v>
      </c>
      <c r="BM173">
        <v>0</v>
      </c>
      <c r="BN173" s="57">
        <f t="shared" si="238"/>
        <v>34.202200000000005</v>
      </c>
    </row>
    <row r="174" spans="1:66">
      <c r="A174" t="s">
        <v>103</v>
      </c>
      <c r="B174">
        <v>0</v>
      </c>
      <c r="C174" t="s">
        <v>7</v>
      </c>
      <c r="D174">
        <v>27648</v>
      </c>
      <c r="E174">
        <v>192</v>
      </c>
      <c r="F174">
        <v>2</v>
      </c>
      <c r="G174" s="41">
        <v>2</v>
      </c>
      <c r="H174" s="1">
        <v>409.52</v>
      </c>
      <c r="I174" s="54">
        <v>34.408000000000001</v>
      </c>
      <c r="J174" s="23">
        <v>45558</v>
      </c>
      <c r="K174" s="46">
        <v>0.46314814814814814</v>
      </c>
      <c r="L174">
        <v>0</v>
      </c>
      <c r="M174">
        <v>0</v>
      </c>
      <c r="N174">
        <v>0</v>
      </c>
      <c r="O174" s="57">
        <f t="shared" ref="O174" si="239">AVERAGE(I174:I178)</f>
        <v>34.383600000000001</v>
      </c>
      <c r="R174" t="s">
        <v>103</v>
      </c>
      <c r="S174">
        <v>0</v>
      </c>
      <c r="T174" t="s">
        <v>7</v>
      </c>
      <c r="U174">
        <v>27648</v>
      </c>
      <c r="V174">
        <v>192</v>
      </c>
      <c r="W174" s="41">
        <v>2</v>
      </c>
      <c r="X174">
        <v>2</v>
      </c>
      <c r="Y174" s="1">
        <v>413.1</v>
      </c>
      <c r="Z174" s="54">
        <v>34.11</v>
      </c>
      <c r="AA174" s="23">
        <v>45558</v>
      </c>
      <c r="AB174" s="46">
        <v>0.46181712962962962</v>
      </c>
      <c r="AC174">
        <v>0</v>
      </c>
      <c r="AD174">
        <v>0</v>
      </c>
      <c r="AE174">
        <v>0</v>
      </c>
      <c r="AF174" s="57">
        <f t="shared" ref="AF174" si="240">AVERAGE(Z174:Z178)</f>
        <v>34.078800000000001</v>
      </c>
      <c r="AI174" s="23" t="s">
        <v>154</v>
      </c>
      <c r="AJ174" s="46">
        <v>0</v>
      </c>
      <c r="AK174" t="s">
        <v>7</v>
      </c>
      <c r="AL174">
        <v>27648</v>
      </c>
      <c r="AM174">
        <v>192</v>
      </c>
      <c r="AN174" s="41">
        <v>2</v>
      </c>
      <c r="AO174">
        <v>2</v>
      </c>
      <c r="AP174" s="1">
        <v>343.49</v>
      </c>
      <c r="AQ174" s="54">
        <v>41.023000000000003</v>
      </c>
      <c r="AR174" s="23">
        <v>45558</v>
      </c>
      <c r="AS174" s="46">
        <v>0.4342361111111111</v>
      </c>
      <c r="AT174">
        <v>0</v>
      </c>
      <c r="AU174">
        <v>0</v>
      </c>
      <c r="AV174">
        <v>0</v>
      </c>
      <c r="AW174" s="57">
        <f t="shared" ref="AW174" si="241">AVERAGE(AQ174:AQ178)</f>
        <v>40.951999999999998</v>
      </c>
      <c r="AZ174" t="s">
        <v>154</v>
      </c>
      <c r="BA174">
        <v>0</v>
      </c>
      <c r="BB174" t="s">
        <v>7</v>
      </c>
      <c r="BC174">
        <v>27648</v>
      </c>
      <c r="BD174">
        <v>192</v>
      </c>
      <c r="BE174">
        <v>2</v>
      </c>
      <c r="BF174">
        <v>2</v>
      </c>
      <c r="BG174" s="1">
        <v>401.4</v>
      </c>
      <c r="BH174" s="54">
        <v>35.103999999999999</v>
      </c>
      <c r="BI174" s="23">
        <v>45558</v>
      </c>
      <c r="BJ174" s="46">
        <v>0.44695601851851852</v>
      </c>
      <c r="BK174">
        <v>0</v>
      </c>
      <c r="BL174">
        <v>0</v>
      </c>
      <c r="BM174">
        <v>0</v>
      </c>
      <c r="BN174" s="57">
        <f t="shared" ref="BN174" si="242">AVERAGE(BH174:BH178)</f>
        <v>35.059199999999997</v>
      </c>
    </row>
    <row r="175" spans="1:66">
      <c r="A175" t="s">
        <v>103</v>
      </c>
      <c r="B175">
        <v>1</v>
      </c>
      <c r="C175" t="s">
        <v>7</v>
      </c>
      <c r="D175">
        <v>27648</v>
      </c>
      <c r="E175">
        <v>192</v>
      </c>
      <c r="F175">
        <v>2</v>
      </c>
      <c r="G175" s="41">
        <v>2</v>
      </c>
      <c r="H175" s="1">
        <v>409.51</v>
      </c>
      <c r="I175" s="54">
        <v>34.408999999999999</v>
      </c>
      <c r="J175" s="23">
        <v>45558</v>
      </c>
      <c r="K175" s="46">
        <v>0.8053703703703704</v>
      </c>
      <c r="L175">
        <v>0</v>
      </c>
      <c r="M175">
        <v>0</v>
      </c>
      <c r="N175">
        <v>0</v>
      </c>
      <c r="O175" s="57">
        <f t="shared" ref="O175" si="243">O174</f>
        <v>34.383600000000001</v>
      </c>
      <c r="R175" t="s">
        <v>103</v>
      </c>
      <c r="S175">
        <v>1</v>
      </c>
      <c r="T175" t="s">
        <v>7</v>
      </c>
      <c r="U175">
        <v>27648</v>
      </c>
      <c r="V175">
        <v>192</v>
      </c>
      <c r="W175" s="58">
        <v>2</v>
      </c>
      <c r="X175">
        <v>2</v>
      </c>
      <c r="Y175" s="1">
        <v>413.68</v>
      </c>
      <c r="Z175" s="54">
        <v>34.061999999999998</v>
      </c>
      <c r="AA175" s="23">
        <v>45558</v>
      </c>
      <c r="AB175" s="46">
        <v>0.8049884259259259</v>
      </c>
      <c r="AC175">
        <v>0</v>
      </c>
      <c r="AD175">
        <v>0</v>
      </c>
      <c r="AE175">
        <v>0</v>
      </c>
      <c r="AF175" s="57">
        <f t="shared" si="187"/>
        <v>34.078800000000001</v>
      </c>
      <c r="AI175" s="23" t="s">
        <v>154</v>
      </c>
      <c r="AJ175" s="46">
        <v>1</v>
      </c>
      <c r="AK175" t="s">
        <v>7</v>
      </c>
      <c r="AL175">
        <v>27648</v>
      </c>
      <c r="AM175">
        <v>192</v>
      </c>
      <c r="AN175" s="41">
        <v>2</v>
      </c>
      <c r="AO175">
        <v>2</v>
      </c>
      <c r="AP175" s="1">
        <v>343.42</v>
      </c>
      <c r="AQ175" s="54">
        <v>41.030999999999999</v>
      </c>
      <c r="AR175" s="23">
        <v>45558</v>
      </c>
      <c r="AS175" s="46">
        <v>0.72711805555555553</v>
      </c>
      <c r="AT175">
        <v>0</v>
      </c>
      <c r="AU175">
        <v>0</v>
      </c>
      <c r="AV175">
        <v>0</v>
      </c>
      <c r="AW175" s="57">
        <f t="shared" ref="AW175:AW178" si="244">AW174</f>
        <v>40.951999999999998</v>
      </c>
      <c r="AZ175" t="s">
        <v>154</v>
      </c>
      <c r="BA175">
        <v>1</v>
      </c>
      <c r="BB175" t="s">
        <v>7</v>
      </c>
      <c r="BC175">
        <v>27648</v>
      </c>
      <c r="BD175">
        <v>192</v>
      </c>
      <c r="BE175">
        <v>2</v>
      </c>
      <c r="BF175">
        <v>2</v>
      </c>
      <c r="BG175" s="1">
        <v>403.06</v>
      </c>
      <c r="BH175" s="54">
        <v>34.96</v>
      </c>
      <c r="BI175" s="23">
        <v>45558</v>
      </c>
      <c r="BJ175" s="46">
        <v>0.76771990740740736</v>
      </c>
      <c r="BK175">
        <v>0</v>
      </c>
      <c r="BL175">
        <v>0</v>
      </c>
      <c r="BM175">
        <v>0</v>
      </c>
      <c r="BN175" s="57">
        <f t="shared" ref="BN175:BN178" si="245">BN174</f>
        <v>35.059199999999997</v>
      </c>
    </row>
    <row r="176" spans="1:66">
      <c r="A176" t="s">
        <v>103</v>
      </c>
      <c r="B176">
        <v>2</v>
      </c>
      <c r="C176" t="s">
        <v>7</v>
      </c>
      <c r="D176">
        <v>27648</v>
      </c>
      <c r="E176">
        <v>192</v>
      </c>
      <c r="F176">
        <v>2</v>
      </c>
      <c r="G176" s="41">
        <v>2</v>
      </c>
      <c r="H176" s="1">
        <v>409.46</v>
      </c>
      <c r="I176" s="54">
        <v>34.412999999999997</v>
      </c>
      <c r="J176" s="23">
        <v>45559</v>
      </c>
      <c r="K176" s="46">
        <v>0.1474537037037037</v>
      </c>
      <c r="L176">
        <v>0</v>
      </c>
      <c r="M176">
        <v>0</v>
      </c>
      <c r="N176">
        <v>0</v>
      </c>
      <c r="O176" s="57">
        <f t="shared" si="194"/>
        <v>34.383600000000001</v>
      </c>
      <c r="R176" t="s">
        <v>103</v>
      </c>
      <c r="S176">
        <v>2</v>
      </c>
      <c r="T176" t="s">
        <v>7</v>
      </c>
      <c r="U176">
        <v>27648</v>
      </c>
      <c r="V176">
        <v>192</v>
      </c>
      <c r="W176" s="58">
        <v>2</v>
      </c>
      <c r="X176">
        <v>2</v>
      </c>
      <c r="Y176" s="1">
        <v>414.06</v>
      </c>
      <c r="Z176" s="54">
        <v>34.030999999999999</v>
      </c>
      <c r="AA176" s="23">
        <v>45559</v>
      </c>
      <c r="AB176" s="46">
        <v>0.14797453703703703</v>
      </c>
      <c r="AC176">
        <v>0</v>
      </c>
      <c r="AD176">
        <v>0</v>
      </c>
      <c r="AE176">
        <v>0</v>
      </c>
      <c r="AF176" s="57">
        <f t="shared" si="187"/>
        <v>34.078800000000001</v>
      </c>
      <c r="AI176" s="23" t="s">
        <v>154</v>
      </c>
      <c r="AJ176" s="46">
        <v>2</v>
      </c>
      <c r="AK176" t="s">
        <v>7</v>
      </c>
      <c r="AL176">
        <v>27648</v>
      </c>
      <c r="AM176">
        <v>192</v>
      </c>
      <c r="AN176" s="41">
        <v>2</v>
      </c>
      <c r="AO176">
        <v>2</v>
      </c>
      <c r="AP176" s="1">
        <v>342.75</v>
      </c>
      <c r="AQ176" s="54">
        <v>41.110999999999997</v>
      </c>
      <c r="AR176" s="23">
        <v>45559</v>
      </c>
      <c r="AS176" s="46">
        <v>1.6064814814814816E-2</v>
      </c>
      <c r="AT176">
        <v>0</v>
      </c>
      <c r="AU176">
        <v>0</v>
      </c>
      <c r="AV176">
        <v>0</v>
      </c>
      <c r="AW176" s="57">
        <f t="shared" si="244"/>
        <v>40.951999999999998</v>
      </c>
      <c r="AZ176" t="s">
        <v>154</v>
      </c>
      <c r="BA176">
        <v>2</v>
      </c>
      <c r="BB176" t="s">
        <v>7</v>
      </c>
      <c r="BC176">
        <v>27648</v>
      </c>
      <c r="BD176">
        <v>192</v>
      </c>
      <c r="BE176">
        <v>2</v>
      </c>
      <c r="BF176">
        <v>2</v>
      </c>
      <c r="BG176" s="1">
        <v>402.91</v>
      </c>
      <c r="BH176" s="54">
        <v>34.972999999999999</v>
      </c>
      <c r="BI176" s="23">
        <v>45559</v>
      </c>
      <c r="BJ176" s="46">
        <v>7.6388888888888895E-2</v>
      </c>
      <c r="BK176">
        <v>0</v>
      </c>
      <c r="BL176">
        <v>0</v>
      </c>
      <c r="BM176">
        <v>0</v>
      </c>
      <c r="BN176" s="57">
        <f t="shared" si="245"/>
        <v>35.059199999999997</v>
      </c>
    </row>
    <row r="177" spans="1:66">
      <c r="A177" t="s">
        <v>103</v>
      </c>
      <c r="B177">
        <v>3</v>
      </c>
      <c r="C177" t="s">
        <v>7</v>
      </c>
      <c r="D177">
        <v>27648</v>
      </c>
      <c r="E177">
        <v>192</v>
      </c>
      <c r="F177">
        <v>2</v>
      </c>
      <c r="G177" s="41">
        <v>2</v>
      </c>
      <c r="H177" s="1">
        <v>410.52</v>
      </c>
      <c r="I177" s="54">
        <v>34.323999999999998</v>
      </c>
      <c r="J177" s="23">
        <v>45559</v>
      </c>
      <c r="K177" s="46">
        <v>0.48988425925925927</v>
      </c>
      <c r="L177">
        <v>0</v>
      </c>
      <c r="M177">
        <v>0</v>
      </c>
      <c r="N177">
        <v>0</v>
      </c>
      <c r="O177" s="57">
        <f t="shared" si="194"/>
        <v>34.383600000000001</v>
      </c>
      <c r="R177" t="s">
        <v>103</v>
      </c>
      <c r="S177">
        <v>3</v>
      </c>
      <c r="T177" t="s">
        <v>7</v>
      </c>
      <c r="U177">
        <v>27648</v>
      </c>
      <c r="V177">
        <v>192</v>
      </c>
      <c r="W177" s="58">
        <v>2</v>
      </c>
      <c r="X177">
        <v>2</v>
      </c>
      <c r="Y177" s="1">
        <v>415.33</v>
      </c>
      <c r="Z177" s="54">
        <v>33.926000000000002</v>
      </c>
      <c r="AA177" s="23">
        <v>45559</v>
      </c>
      <c r="AB177" s="46">
        <v>0.49111111111111111</v>
      </c>
      <c r="AC177">
        <v>0</v>
      </c>
      <c r="AD177">
        <v>0</v>
      </c>
      <c r="AE177">
        <v>0</v>
      </c>
      <c r="AF177" s="57">
        <f t="shared" si="187"/>
        <v>34.078800000000001</v>
      </c>
      <c r="AI177" s="23" t="s">
        <v>154</v>
      </c>
      <c r="AJ177" s="46">
        <v>3</v>
      </c>
      <c r="AK177" t="s">
        <v>7</v>
      </c>
      <c r="AL177">
        <v>27648</v>
      </c>
      <c r="AM177">
        <v>192</v>
      </c>
      <c r="AN177" s="41">
        <v>2</v>
      </c>
      <c r="AO177">
        <v>2</v>
      </c>
      <c r="AP177" s="1">
        <v>344.65</v>
      </c>
      <c r="AQ177" s="54">
        <v>40.884</v>
      </c>
      <c r="AR177" s="23">
        <v>45559</v>
      </c>
      <c r="AS177" s="46">
        <v>0.30504629629629632</v>
      </c>
      <c r="AT177">
        <v>0</v>
      </c>
      <c r="AU177">
        <v>0</v>
      </c>
      <c r="AV177">
        <v>0</v>
      </c>
      <c r="AW177" s="57">
        <f t="shared" si="244"/>
        <v>40.951999999999998</v>
      </c>
      <c r="AZ177" t="s">
        <v>154</v>
      </c>
      <c r="BA177">
        <v>3</v>
      </c>
      <c r="BB177" t="s">
        <v>7</v>
      </c>
      <c r="BC177">
        <v>27648</v>
      </c>
      <c r="BD177">
        <v>192</v>
      </c>
      <c r="BE177">
        <v>2</v>
      </c>
      <c r="BF177">
        <v>2</v>
      </c>
      <c r="BG177" s="1">
        <v>401.23</v>
      </c>
      <c r="BH177" s="54">
        <v>35.119</v>
      </c>
      <c r="BI177" s="23">
        <v>45559</v>
      </c>
      <c r="BJ177" s="46">
        <v>0.38488425925925923</v>
      </c>
      <c r="BK177">
        <v>0</v>
      </c>
      <c r="BL177">
        <v>0</v>
      </c>
      <c r="BM177">
        <v>0</v>
      </c>
      <c r="BN177" s="57">
        <f t="shared" si="245"/>
        <v>35.059199999999997</v>
      </c>
    </row>
    <row r="178" spans="1:66">
      <c r="A178" t="s">
        <v>103</v>
      </c>
      <c r="B178">
        <v>4</v>
      </c>
      <c r="C178" t="s">
        <v>7</v>
      </c>
      <c r="D178">
        <v>27648</v>
      </c>
      <c r="E178">
        <v>192</v>
      </c>
      <c r="F178">
        <v>2</v>
      </c>
      <c r="G178" s="41">
        <v>2</v>
      </c>
      <c r="H178" s="1">
        <v>410.04</v>
      </c>
      <c r="I178" s="54">
        <v>34.363999999999997</v>
      </c>
      <c r="J178" s="23">
        <v>45559</v>
      </c>
      <c r="K178" s="46">
        <v>0.83219907407407412</v>
      </c>
      <c r="L178">
        <v>0</v>
      </c>
      <c r="M178">
        <v>0</v>
      </c>
      <c r="N178">
        <v>0</v>
      </c>
      <c r="O178" s="57">
        <f t="shared" si="194"/>
        <v>34.383600000000001</v>
      </c>
      <c r="R178" t="s">
        <v>103</v>
      </c>
      <c r="S178">
        <v>4</v>
      </c>
      <c r="T178" t="s">
        <v>7</v>
      </c>
      <c r="U178">
        <v>27648</v>
      </c>
      <c r="V178">
        <v>192</v>
      </c>
      <c r="W178" s="58">
        <v>2</v>
      </c>
      <c r="X178">
        <v>2</v>
      </c>
      <c r="Y178" s="1">
        <v>411.22</v>
      </c>
      <c r="Z178" s="54">
        <v>34.265000000000001</v>
      </c>
      <c r="AA178" s="23">
        <v>45559</v>
      </c>
      <c r="AB178" s="46">
        <v>0.8341319444444445</v>
      </c>
      <c r="AC178">
        <v>0</v>
      </c>
      <c r="AD178">
        <v>0</v>
      </c>
      <c r="AE178">
        <v>0</v>
      </c>
      <c r="AF178" s="57">
        <f t="shared" si="187"/>
        <v>34.078800000000001</v>
      </c>
      <c r="AI178" s="23" t="s">
        <v>154</v>
      </c>
      <c r="AJ178" s="46">
        <v>4</v>
      </c>
      <c r="AK178" t="s">
        <v>7</v>
      </c>
      <c r="AL178">
        <v>27648</v>
      </c>
      <c r="AM178">
        <v>192</v>
      </c>
      <c r="AN178" s="41">
        <v>2</v>
      </c>
      <c r="AO178">
        <v>2</v>
      </c>
      <c r="AP178" s="1">
        <v>346.12</v>
      </c>
      <c r="AQ178" s="54">
        <v>40.710999999999999</v>
      </c>
      <c r="AR178" s="23">
        <v>45559</v>
      </c>
      <c r="AS178" s="46">
        <v>0.59461805555555558</v>
      </c>
      <c r="AT178">
        <v>0</v>
      </c>
      <c r="AU178">
        <v>0</v>
      </c>
      <c r="AV178">
        <v>0</v>
      </c>
      <c r="AW178" s="57">
        <f t="shared" si="244"/>
        <v>40.951999999999998</v>
      </c>
      <c r="AZ178" t="s">
        <v>154</v>
      </c>
      <c r="BA178">
        <v>4</v>
      </c>
      <c r="BB178" t="s">
        <v>7</v>
      </c>
      <c r="BC178">
        <v>27648</v>
      </c>
      <c r="BD178">
        <v>192</v>
      </c>
      <c r="BE178">
        <v>2</v>
      </c>
      <c r="BF178">
        <v>2</v>
      </c>
      <c r="BG178" s="1">
        <v>400.99</v>
      </c>
      <c r="BH178" s="54">
        <v>35.14</v>
      </c>
      <c r="BI178" s="23">
        <v>45559</v>
      </c>
      <c r="BJ178" s="46">
        <v>0.69336805555555558</v>
      </c>
      <c r="BK178">
        <v>0</v>
      </c>
      <c r="BL178">
        <v>0</v>
      </c>
      <c r="BM178">
        <v>0</v>
      </c>
      <c r="BN178" s="57">
        <f t="shared" si="245"/>
        <v>35.059199999999997</v>
      </c>
    </row>
    <row r="179" spans="1:66">
      <c r="A179" t="s">
        <v>103</v>
      </c>
      <c r="B179">
        <v>0</v>
      </c>
      <c r="C179" t="s">
        <v>7</v>
      </c>
      <c r="D179">
        <v>29184</v>
      </c>
      <c r="E179">
        <v>192</v>
      </c>
      <c r="F179">
        <v>2</v>
      </c>
      <c r="G179" s="41">
        <v>2</v>
      </c>
      <c r="H179" s="1">
        <v>488.59</v>
      </c>
      <c r="I179" s="54">
        <v>33.917999999999999</v>
      </c>
      <c r="J179" s="23">
        <v>45558</v>
      </c>
      <c r="K179" s="46">
        <v>0.59325231481481477</v>
      </c>
      <c r="L179">
        <v>0</v>
      </c>
      <c r="M179">
        <v>0</v>
      </c>
      <c r="N179">
        <v>0</v>
      </c>
      <c r="O179" s="57">
        <f t="shared" ref="O179" si="246">AVERAGE(I179:I183)</f>
        <v>33.980399999999996</v>
      </c>
      <c r="R179" t="s">
        <v>103</v>
      </c>
      <c r="S179">
        <v>0</v>
      </c>
      <c r="T179" t="s">
        <v>7</v>
      </c>
      <c r="U179">
        <v>29184</v>
      </c>
      <c r="V179">
        <v>192</v>
      </c>
      <c r="W179" s="41">
        <v>2</v>
      </c>
      <c r="X179">
        <v>2</v>
      </c>
      <c r="Y179" s="1">
        <v>493.19</v>
      </c>
      <c r="Z179" s="54">
        <v>33.601999999999997</v>
      </c>
      <c r="AA179" s="23">
        <v>45558</v>
      </c>
      <c r="AB179" s="46">
        <v>0.59226851851851847</v>
      </c>
      <c r="AC179">
        <v>0</v>
      </c>
      <c r="AD179">
        <v>0</v>
      </c>
      <c r="AE179">
        <v>0</v>
      </c>
      <c r="AF179" s="57">
        <f t="shared" ref="AF179" si="247">AVERAGE(Z179:Z183)</f>
        <v>33.703600000000002</v>
      </c>
      <c r="AI179" s="23" t="s">
        <v>154</v>
      </c>
      <c r="AJ179" s="46">
        <v>0</v>
      </c>
      <c r="AK179" t="s">
        <v>7</v>
      </c>
      <c r="AL179">
        <v>29184</v>
      </c>
      <c r="AM179">
        <v>192</v>
      </c>
      <c r="AN179" s="41">
        <v>2</v>
      </c>
      <c r="AO179">
        <v>2</v>
      </c>
      <c r="AP179" s="1">
        <v>414.22</v>
      </c>
      <c r="AQ179" s="54">
        <v>40.008000000000003</v>
      </c>
      <c r="AR179" s="23">
        <v>45558</v>
      </c>
      <c r="AS179" s="46">
        <v>0.5712962962962963</v>
      </c>
      <c r="AT179">
        <v>0</v>
      </c>
      <c r="AU179">
        <v>0</v>
      </c>
      <c r="AV179">
        <v>0</v>
      </c>
      <c r="AW179" s="57">
        <f t="shared" ref="AW179" si="248">AVERAGE(AQ179:AQ183)</f>
        <v>39.823</v>
      </c>
      <c r="AZ179" t="s">
        <v>154</v>
      </c>
      <c r="BA179">
        <v>0</v>
      </c>
      <c r="BB179" t="s">
        <v>7</v>
      </c>
      <c r="BC179">
        <v>29184</v>
      </c>
      <c r="BD179">
        <v>192</v>
      </c>
      <c r="BE179">
        <v>2</v>
      </c>
      <c r="BF179">
        <v>2</v>
      </c>
      <c r="BG179" s="1">
        <v>485.19</v>
      </c>
      <c r="BH179" s="54">
        <v>34.155999999999999</v>
      </c>
      <c r="BI179" s="23">
        <v>45558</v>
      </c>
      <c r="BJ179" s="46">
        <v>0.57586805555555554</v>
      </c>
      <c r="BK179">
        <v>0</v>
      </c>
      <c r="BL179">
        <v>0</v>
      </c>
      <c r="BM179">
        <v>0</v>
      </c>
      <c r="BN179" s="57">
        <f t="shared" ref="BN179" si="249">AVERAGE(BH179:BH183)</f>
        <v>34.718599999999995</v>
      </c>
    </row>
    <row r="180" spans="1:66">
      <c r="A180" t="s">
        <v>103</v>
      </c>
      <c r="B180">
        <v>1</v>
      </c>
      <c r="C180" t="s">
        <v>7</v>
      </c>
      <c r="D180">
        <v>29184</v>
      </c>
      <c r="E180">
        <v>192</v>
      </c>
      <c r="F180">
        <v>2</v>
      </c>
      <c r="G180" s="41">
        <v>2</v>
      </c>
      <c r="H180" s="1">
        <v>487.7</v>
      </c>
      <c r="I180" s="54">
        <v>33.979999999999997</v>
      </c>
      <c r="J180" s="23">
        <v>45558</v>
      </c>
      <c r="K180" s="46">
        <v>0.93546296296296294</v>
      </c>
      <c r="L180">
        <v>0</v>
      </c>
      <c r="M180">
        <v>0</v>
      </c>
      <c r="N180">
        <v>0</v>
      </c>
      <c r="O180" s="57">
        <f t="shared" ref="O180" si="250">O179</f>
        <v>33.980399999999996</v>
      </c>
      <c r="R180" t="s">
        <v>103</v>
      </c>
      <c r="S180">
        <v>1</v>
      </c>
      <c r="T180" t="s">
        <v>7</v>
      </c>
      <c r="U180">
        <v>29184</v>
      </c>
      <c r="V180">
        <v>192</v>
      </c>
      <c r="W180" s="58">
        <v>2</v>
      </c>
      <c r="X180">
        <v>2</v>
      </c>
      <c r="Y180" s="1">
        <v>491.9</v>
      </c>
      <c r="Z180" s="54">
        <v>33.69</v>
      </c>
      <c r="AA180" s="23">
        <v>45558</v>
      </c>
      <c r="AB180" s="46">
        <v>0.93540509259259264</v>
      </c>
      <c r="AC180">
        <v>0</v>
      </c>
      <c r="AD180">
        <v>0</v>
      </c>
      <c r="AE180">
        <v>0</v>
      </c>
      <c r="AF180" s="57">
        <f t="shared" si="187"/>
        <v>33.703600000000002</v>
      </c>
      <c r="AI180" s="23" t="s">
        <v>154</v>
      </c>
      <c r="AJ180" s="46">
        <v>1</v>
      </c>
      <c r="AK180" t="s">
        <v>7</v>
      </c>
      <c r="AL180">
        <v>29184</v>
      </c>
      <c r="AM180">
        <v>192</v>
      </c>
      <c r="AN180" s="41">
        <v>2</v>
      </c>
      <c r="AO180">
        <v>2</v>
      </c>
      <c r="AP180" s="1">
        <v>414.24</v>
      </c>
      <c r="AQ180" s="54">
        <v>40.006</v>
      </c>
      <c r="AR180" s="23">
        <v>45558</v>
      </c>
      <c r="AS180" s="46">
        <v>0.83758101851851852</v>
      </c>
      <c r="AT180">
        <v>0</v>
      </c>
      <c r="AU180">
        <v>0</v>
      </c>
      <c r="AV180">
        <v>0</v>
      </c>
      <c r="AW180" s="57">
        <f t="shared" ref="AW180:AW183" si="251">AW179</f>
        <v>39.823</v>
      </c>
      <c r="AZ180" t="s">
        <v>154</v>
      </c>
      <c r="BA180">
        <v>1</v>
      </c>
      <c r="BB180" t="s">
        <v>7</v>
      </c>
      <c r="BC180">
        <v>29184</v>
      </c>
      <c r="BD180">
        <v>192</v>
      </c>
      <c r="BE180">
        <v>2</v>
      </c>
      <c r="BF180">
        <v>2</v>
      </c>
      <c r="BG180" s="1">
        <v>477.41</v>
      </c>
      <c r="BH180" s="54">
        <v>34.712000000000003</v>
      </c>
      <c r="BI180" s="23">
        <v>45558</v>
      </c>
      <c r="BJ180" s="46">
        <v>0.88466435185185188</v>
      </c>
      <c r="BK180">
        <v>0</v>
      </c>
      <c r="BL180">
        <v>0</v>
      </c>
      <c r="BM180">
        <v>0</v>
      </c>
      <c r="BN180" s="57">
        <f t="shared" ref="BN180:BN183" si="252">BN179</f>
        <v>34.718599999999995</v>
      </c>
    </row>
    <row r="181" spans="1:66">
      <c r="A181" t="s">
        <v>103</v>
      </c>
      <c r="B181">
        <v>2</v>
      </c>
      <c r="C181" t="s">
        <v>7</v>
      </c>
      <c r="D181">
        <v>29184</v>
      </c>
      <c r="E181">
        <v>192</v>
      </c>
      <c r="F181">
        <v>2</v>
      </c>
      <c r="G181" s="41">
        <v>2</v>
      </c>
      <c r="H181" s="1">
        <v>487.43</v>
      </c>
      <c r="I181" s="54">
        <v>33.999000000000002</v>
      </c>
      <c r="J181" s="23">
        <v>45559</v>
      </c>
      <c r="K181" s="46">
        <v>0.27771990740740743</v>
      </c>
      <c r="L181">
        <v>0</v>
      </c>
      <c r="M181">
        <v>0</v>
      </c>
      <c r="N181">
        <v>0</v>
      </c>
      <c r="O181" s="57">
        <f t="shared" si="194"/>
        <v>33.980399999999996</v>
      </c>
      <c r="R181" t="s">
        <v>103</v>
      </c>
      <c r="S181">
        <v>2</v>
      </c>
      <c r="T181" t="s">
        <v>7</v>
      </c>
      <c r="U181">
        <v>29184</v>
      </c>
      <c r="V181">
        <v>192</v>
      </c>
      <c r="W181" s="58">
        <v>2</v>
      </c>
      <c r="X181">
        <v>2</v>
      </c>
      <c r="Y181" s="1">
        <v>492.36</v>
      </c>
      <c r="Z181" s="54">
        <v>33.658000000000001</v>
      </c>
      <c r="AA181" s="23">
        <v>45559</v>
      </c>
      <c r="AB181" s="46">
        <v>0.27834490740740742</v>
      </c>
      <c r="AC181">
        <v>0</v>
      </c>
      <c r="AD181">
        <v>0</v>
      </c>
      <c r="AE181">
        <v>0</v>
      </c>
      <c r="AF181" s="57">
        <f t="shared" si="187"/>
        <v>33.703600000000002</v>
      </c>
      <c r="AI181" s="23" t="s">
        <v>154</v>
      </c>
      <c r="AJ181" s="46">
        <v>2</v>
      </c>
      <c r="AK181" t="s">
        <v>7</v>
      </c>
      <c r="AL181">
        <v>29184</v>
      </c>
      <c r="AM181">
        <v>192</v>
      </c>
      <c r="AN181" s="41">
        <v>2</v>
      </c>
      <c r="AO181">
        <v>2</v>
      </c>
      <c r="AP181" s="1">
        <v>417.14</v>
      </c>
      <c r="AQ181" s="54">
        <v>39.728000000000002</v>
      </c>
      <c r="AR181" s="23">
        <v>45559</v>
      </c>
      <c r="AS181" s="46">
        <v>0.12638888888888888</v>
      </c>
      <c r="AT181">
        <v>0</v>
      </c>
      <c r="AU181">
        <v>0</v>
      </c>
      <c r="AV181">
        <v>0</v>
      </c>
      <c r="AW181" s="57">
        <f t="shared" si="251"/>
        <v>39.823</v>
      </c>
      <c r="AZ181" t="s">
        <v>154</v>
      </c>
      <c r="BA181">
        <v>2</v>
      </c>
      <c r="BB181" t="s">
        <v>7</v>
      </c>
      <c r="BC181">
        <v>29184</v>
      </c>
      <c r="BD181">
        <v>192</v>
      </c>
      <c r="BE181">
        <v>2</v>
      </c>
      <c r="BF181">
        <v>2</v>
      </c>
      <c r="BG181" s="1">
        <v>478.31</v>
      </c>
      <c r="BH181" s="54">
        <v>34.646999999999998</v>
      </c>
      <c r="BI181" s="23">
        <v>45559</v>
      </c>
      <c r="BJ181" s="46">
        <v>0.1933101851851852</v>
      </c>
      <c r="BK181">
        <v>0</v>
      </c>
      <c r="BL181">
        <v>0</v>
      </c>
      <c r="BM181">
        <v>0</v>
      </c>
      <c r="BN181" s="57">
        <f t="shared" si="252"/>
        <v>34.718599999999995</v>
      </c>
    </row>
    <row r="182" spans="1:66">
      <c r="A182" t="s">
        <v>103</v>
      </c>
      <c r="B182">
        <v>3</v>
      </c>
      <c r="C182" t="s">
        <v>7</v>
      </c>
      <c r="D182">
        <v>29184</v>
      </c>
      <c r="E182">
        <v>192</v>
      </c>
      <c r="F182">
        <v>2</v>
      </c>
      <c r="G182" s="41">
        <v>2</v>
      </c>
      <c r="H182" s="1">
        <v>488.89</v>
      </c>
      <c r="I182" s="54">
        <v>33.896999999999998</v>
      </c>
      <c r="J182" s="23">
        <v>45559</v>
      </c>
      <c r="K182" s="46">
        <v>0.62004629629629626</v>
      </c>
      <c r="L182">
        <v>0</v>
      </c>
      <c r="M182">
        <v>0</v>
      </c>
      <c r="N182">
        <v>0</v>
      </c>
      <c r="O182" s="57">
        <f t="shared" si="194"/>
        <v>33.980399999999996</v>
      </c>
      <c r="R182" t="s">
        <v>103</v>
      </c>
      <c r="S182">
        <v>3</v>
      </c>
      <c r="T182" t="s">
        <v>7</v>
      </c>
      <c r="U182">
        <v>29184</v>
      </c>
      <c r="V182">
        <v>192</v>
      </c>
      <c r="W182" s="58">
        <v>2</v>
      </c>
      <c r="X182">
        <v>2</v>
      </c>
      <c r="Y182" s="1">
        <v>492.7</v>
      </c>
      <c r="Z182" s="54">
        <v>33.634999999999998</v>
      </c>
      <c r="AA182" s="23">
        <v>45559</v>
      </c>
      <c r="AB182" s="46">
        <v>0.62170138888888893</v>
      </c>
      <c r="AC182">
        <v>0</v>
      </c>
      <c r="AD182">
        <v>0</v>
      </c>
      <c r="AE182">
        <v>0</v>
      </c>
      <c r="AF182" s="57">
        <f t="shared" si="187"/>
        <v>33.703600000000002</v>
      </c>
      <c r="AI182" s="23" t="s">
        <v>154</v>
      </c>
      <c r="AJ182" s="46">
        <v>3</v>
      </c>
      <c r="AK182" t="s">
        <v>7</v>
      </c>
      <c r="AL182">
        <v>29184</v>
      </c>
      <c r="AM182">
        <v>192</v>
      </c>
      <c r="AN182" s="41">
        <v>2</v>
      </c>
      <c r="AO182">
        <v>2</v>
      </c>
      <c r="AP182" s="1">
        <v>413.76</v>
      </c>
      <c r="AQ182" s="54">
        <v>40.052</v>
      </c>
      <c r="AR182" s="23">
        <v>45559</v>
      </c>
      <c r="AS182" s="46">
        <v>0.4155787037037037</v>
      </c>
      <c r="AT182">
        <v>0</v>
      </c>
      <c r="AU182">
        <v>0</v>
      </c>
      <c r="AV182">
        <v>0</v>
      </c>
      <c r="AW182" s="57">
        <f t="shared" si="251"/>
        <v>39.823</v>
      </c>
      <c r="AZ182" t="s">
        <v>154</v>
      </c>
      <c r="BA182">
        <v>3</v>
      </c>
      <c r="BB182" t="s">
        <v>7</v>
      </c>
      <c r="BC182">
        <v>29184</v>
      </c>
      <c r="BD182">
        <v>192</v>
      </c>
      <c r="BE182">
        <v>2</v>
      </c>
      <c r="BF182">
        <v>2</v>
      </c>
      <c r="BG182" s="1">
        <v>473.19</v>
      </c>
      <c r="BH182" s="54">
        <v>35.021999999999998</v>
      </c>
      <c r="BI182" s="23">
        <v>45559</v>
      </c>
      <c r="BJ182" s="46">
        <v>0.50172453703703701</v>
      </c>
      <c r="BK182">
        <v>0</v>
      </c>
      <c r="BL182">
        <v>0</v>
      </c>
      <c r="BM182">
        <v>0</v>
      </c>
      <c r="BN182" s="57">
        <f t="shared" si="252"/>
        <v>34.718599999999995</v>
      </c>
    </row>
    <row r="183" spans="1:66">
      <c r="A183" t="s">
        <v>103</v>
      </c>
      <c r="B183">
        <v>4</v>
      </c>
      <c r="C183" t="s">
        <v>7</v>
      </c>
      <c r="D183">
        <v>29184</v>
      </c>
      <c r="E183">
        <v>192</v>
      </c>
      <c r="F183">
        <v>2</v>
      </c>
      <c r="G183" s="41">
        <v>2</v>
      </c>
      <c r="H183" s="1">
        <v>485.87</v>
      </c>
      <c r="I183" s="54">
        <v>34.107999999999997</v>
      </c>
      <c r="J183" s="23">
        <v>45559</v>
      </c>
      <c r="K183" s="46">
        <v>0.96201388888888884</v>
      </c>
      <c r="L183">
        <v>0</v>
      </c>
      <c r="M183">
        <v>0</v>
      </c>
      <c r="N183">
        <v>0</v>
      </c>
      <c r="O183" s="57">
        <f t="shared" si="194"/>
        <v>33.980399999999996</v>
      </c>
      <c r="R183" t="s">
        <v>103</v>
      </c>
      <c r="S183">
        <v>4</v>
      </c>
      <c r="T183" t="s">
        <v>7</v>
      </c>
      <c r="U183">
        <v>29184</v>
      </c>
      <c r="V183">
        <v>192</v>
      </c>
      <c r="W183" s="58">
        <v>2</v>
      </c>
      <c r="X183">
        <v>2</v>
      </c>
      <c r="Y183" s="1">
        <v>488.37</v>
      </c>
      <c r="Z183" s="54">
        <v>33.933</v>
      </c>
      <c r="AA183" s="23">
        <v>45559</v>
      </c>
      <c r="AB183" s="46">
        <v>0.96436342592592594</v>
      </c>
      <c r="AC183">
        <v>0</v>
      </c>
      <c r="AD183">
        <v>0</v>
      </c>
      <c r="AE183">
        <v>0</v>
      </c>
      <c r="AF183" s="57">
        <f t="shared" si="187"/>
        <v>33.703600000000002</v>
      </c>
      <c r="AI183" s="23" t="s">
        <v>154</v>
      </c>
      <c r="AJ183" s="46">
        <v>4</v>
      </c>
      <c r="AK183" t="s">
        <v>7</v>
      </c>
      <c r="AL183">
        <v>29184</v>
      </c>
      <c r="AM183">
        <v>192</v>
      </c>
      <c r="AN183" s="41">
        <v>2</v>
      </c>
      <c r="AO183">
        <v>2</v>
      </c>
      <c r="AP183" s="1">
        <v>421.45</v>
      </c>
      <c r="AQ183" s="54">
        <v>39.320999999999998</v>
      </c>
      <c r="AR183" s="23">
        <v>45559</v>
      </c>
      <c r="AS183" s="46">
        <v>0.70548611111111115</v>
      </c>
      <c r="AT183">
        <v>0</v>
      </c>
      <c r="AU183">
        <v>0</v>
      </c>
      <c r="AV183">
        <v>0</v>
      </c>
      <c r="AW183" s="57">
        <f t="shared" si="251"/>
        <v>39.823</v>
      </c>
      <c r="AZ183" t="s">
        <v>154</v>
      </c>
      <c r="BA183">
        <v>4</v>
      </c>
      <c r="BB183" t="s">
        <v>7</v>
      </c>
      <c r="BC183">
        <v>29184</v>
      </c>
      <c r="BD183">
        <v>192</v>
      </c>
      <c r="BE183">
        <v>2</v>
      </c>
      <c r="BF183">
        <v>2</v>
      </c>
      <c r="BG183" s="1">
        <v>472.73</v>
      </c>
      <c r="BH183" s="54">
        <v>35.055999999999997</v>
      </c>
      <c r="BI183" s="23">
        <v>45559</v>
      </c>
      <c r="BJ183" s="46">
        <v>0.8100694444444444</v>
      </c>
      <c r="BK183">
        <v>0</v>
      </c>
      <c r="BL183">
        <v>0</v>
      </c>
      <c r="BM183">
        <v>0</v>
      </c>
      <c r="BN183" s="57">
        <f t="shared" si="252"/>
        <v>34.718599999999995</v>
      </c>
    </row>
    <row r="184" spans="1:66">
      <c r="A184" t="s">
        <v>103</v>
      </c>
      <c r="B184">
        <v>0</v>
      </c>
      <c r="C184" t="s">
        <v>7</v>
      </c>
      <c r="D184">
        <v>25984</v>
      </c>
      <c r="E184">
        <v>224</v>
      </c>
      <c r="F184">
        <v>1</v>
      </c>
      <c r="G184" s="41">
        <v>4</v>
      </c>
      <c r="H184" s="1">
        <v>327.33</v>
      </c>
      <c r="I184" s="54">
        <v>35.734000000000002</v>
      </c>
      <c r="J184" s="23">
        <v>45558</v>
      </c>
      <c r="K184" s="46">
        <v>0.35758101851851853</v>
      </c>
      <c r="L184">
        <v>0</v>
      </c>
      <c r="M184">
        <v>0</v>
      </c>
      <c r="N184">
        <v>0</v>
      </c>
      <c r="O184" s="57">
        <f t="shared" ref="O184" si="253">AVERAGE(I184:I188)</f>
        <v>35.639200000000002</v>
      </c>
      <c r="R184" t="s">
        <v>103</v>
      </c>
      <c r="S184">
        <v>0</v>
      </c>
      <c r="T184" t="s">
        <v>7</v>
      </c>
      <c r="U184">
        <v>25984</v>
      </c>
      <c r="V184">
        <v>224</v>
      </c>
      <c r="W184" s="41">
        <v>1</v>
      </c>
      <c r="X184">
        <v>4</v>
      </c>
      <c r="Y184" s="1">
        <v>332.9</v>
      </c>
      <c r="Z184" s="54">
        <v>35.136000000000003</v>
      </c>
      <c r="AA184" s="23">
        <v>45558</v>
      </c>
      <c r="AB184" s="46">
        <v>0.35607638888888887</v>
      </c>
      <c r="AC184">
        <v>0</v>
      </c>
      <c r="AD184">
        <v>0</v>
      </c>
      <c r="AE184">
        <v>0</v>
      </c>
      <c r="AF184" s="57">
        <f t="shared" ref="AF184" si="254">AVERAGE(Z184:Z188)</f>
        <v>35.263800000000003</v>
      </c>
      <c r="AI184" s="23" t="s">
        <v>154</v>
      </c>
      <c r="AJ184" s="46">
        <v>0</v>
      </c>
      <c r="AK184" t="s">
        <v>7</v>
      </c>
      <c r="AL184">
        <v>25984</v>
      </c>
      <c r="AM184">
        <v>224</v>
      </c>
      <c r="AN184" s="41">
        <v>1</v>
      </c>
      <c r="AO184">
        <v>4</v>
      </c>
      <c r="AP184" s="1">
        <v>273.99</v>
      </c>
      <c r="AQ184" s="54">
        <v>42.69</v>
      </c>
      <c r="AR184" s="23">
        <v>45558</v>
      </c>
      <c r="AS184" s="46">
        <v>0.34511574074074075</v>
      </c>
      <c r="AT184">
        <v>0</v>
      </c>
      <c r="AU184">
        <v>0</v>
      </c>
      <c r="AV184">
        <v>0</v>
      </c>
      <c r="AW184" s="57">
        <f t="shared" ref="AW184" si="255">AVERAGE(AQ184:AQ188)</f>
        <v>42.206000000000003</v>
      </c>
      <c r="AZ184" t="s">
        <v>154</v>
      </c>
      <c r="BA184">
        <v>0</v>
      </c>
      <c r="BB184" t="s">
        <v>7</v>
      </c>
      <c r="BC184">
        <v>25984</v>
      </c>
      <c r="BD184">
        <v>224</v>
      </c>
      <c r="BE184">
        <v>1</v>
      </c>
      <c r="BF184">
        <v>4</v>
      </c>
      <c r="BG184" s="1">
        <v>300.64</v>
      </c>
      <c r="BH184" s="54">
        <v>38.905999999999999</v>
      </c>
      <c r="BI184" s="23">
        <v>45558</v>
      </c>
      <c r="BJ184" s="46">
        <v>0.35143518518518518</v>
      </c>
      <c r="BK184">
        <v>0</v>
      </c>
      <c r="BL184">
        <v>0</v>
      </c>
      <c r="BM184">
        <v>0</v>
      </c>
      <c r="BN184" s="57">
        <f t="shared" ref="BN184" si="256">AVERAGE(BH184:BH188)</f>
        <v>38.784399999999998</v>
      </c>
    </row>
    <row r="185" spans="1:66">
      <c r="A185" t="s">
        <v>103</v>
      </c>
      <c r="B185">
        <v>1</v>
      </c>
      <c r="C185" t="s">
        <v>7</v>
      </c>
      <c r="D185">
        <v>25984</v>
      </c>
      <c r="E185">
        <v>224</v>
      </c>
      <c r="F185">
        <v>1</v>
      </c>
      <c r="G185" s="41">
        <v>4</v>
      </c>
      <c r="H185" s="1">
        <v>328.48</v>
      </c>
      <c r="I185" s="54">
        <v>35.609000000000002</v>
      </c>
      <c r="J185" s="23">
        <v>45558</v>
      </c>
      <c r="K185" s="46">
        <v>0.69969907407407406</v>
      </c>
      <c r="L185">
        <v>0</v>
      </c>
      <c r="M185">
        <v>0</v>
      </c>
      <c r="N185">
        <v>0</v>
      </c>
      <c r="O185" s="57">
        <f t="shared" ref="O185" si="257">O184</f>
        <v>35.639200000000002</v>
      </c>
      <c r="R185" t="s">
        <v>103</v>
      </c>
      <c r="S185">
        <v>1</v>
      </c>
      <c r="T185" t="s">
        <v>7</v>
      </c>
      <c r="U185">
        <v>25984</v>
      </c>
      <c r="V185">
        <v>224</v>
      </c>
      <c r="W185" s="41">
        <v>1</v>
      </c>
      <c r="X185">
        <v>4</v>
      </c>
      <c r="Y185" s="1">
        <v>332.13</v>
      </c>
      <c r="Z185" s="54">
        <v>35.216999999999999</v>
      </c>
      <c r="AA185" s="23">
        <v>45558</v>
      </c>
      <c r="AB185" s="46">
        <v>0.69914351851851853</v>
      </c>
      <c r="AC185">
        <v>0</v>
      </c>
      <c r="AD185">
        <v>0</v>
      </c>
      <c r="AE185">
        <v>0</v>
      </c>
      <c r="AF185" s="57">
        <f t="shared" si="187"/>
        <v>35.263800000000003</v>
      </c>
      <c r="AI185" s="23" t="s">
        <v>154</v>
      </c>
      <c r="AJ185" s="46">
        <v>1</v>
      </c>
      <c r="AK185" t="s">
        <v>7</v>
      </c>
      <c r="AL185">
        <v>25984</v>
      </c>
      <c r="AM185">
        <v>224</v>
      </c>
      <c r="AN185" s="41">
        <v>1</v>
      </c>
      <c r="AO185">
        <v>4</v>
      </c>
      <c r="AP185" s="1">
        <v>275.68</v>
      </c>
      <c r="AQ185" s="54">
        <v>42.427999999999997</v>
      </c>
      <c r="AR185" s="23">
        <v>45558</v>
      </c>
      <c r="AS185" s="46">
        <v>0.63733796296296297</v>
      </c>
      <c r="AT185">
        <v>0</v>
      </c>
      <c r="AU185">
        <v>0</v>
      </c>
      <c r="AV185">
        <v>0</v>
      </c>
      <c r="AW185" s="57">
        <f t="shared" ref="AW185:AW188" si="258">AW184</f>
        <v>42.206000000000003</v>
      </c>
      <c r="AZ185" t="s">
        <v>154</v>
      </c>
      <c r="BA185">
        <v>1</v>
      </c>
      <c r="BB185" t="s">
        <v>7</v>
      </c>
      <c r="BC185">
        <v>25984</v>
      </c>
      <c r="BD185">
        <v>224</v>
      </c>
      <c r="BE185">
        <v>1</v>
      </c>
      <c r="BF185">
        <v>4</v>
      </c>
      <c r="BG185" s="1">
        <v>302.33999999999997</v>
      </c>
      <c r="BH185" s="54">
        <v>38.688000000000002</v>
      </c>
      <c r="BI185" s="23">
        <v>45558</v>
      </c>
      <c r="BJ185" s="46">
        <v>0.672337962962963</v>
      </c>
      <c r="BK185">
        <v>0</v>
      </c>
      <c r="BL185">
        <v>0</v>
      </c>
      <c r="BM185">
        <v>0</v>
      </c>
      <c r="BN185" s="57">
        <f t="shared" ref="BN185:BN188" si="259">BN184</f>
        <v>38.784399999999998</v>
      </c>
    </row>
    <row r="186" spans="1:66">
      <c r="A186" t="s">
        <v>103</v>
      </c>
      <c r="B186">
        <v>2</v>
      </c>
      <c r="C186" t="s">
        <v>7</v>
      </c>
      <c r="D186">
        <v>25984</v>
      </c>
      <c r="E186">
        <v>224</v>
      </c>
      <c r="F186">
        <v>1</v>
      </c>
      <c r="G186" s="41">
        <v>4</v>
      </c>
      <c r="H186" s="1">
        <v>327.82</v>
      </c>
      <c r="I186" s="54">
        <v>35.68</v>
      </c>
      <c r="J186" s="23">
        <v>45559</v>
      </c>
      <c r="K186" s="46">
        <v>4.1863425925925929E-2</v>
      </c>
      <c r="L186">
        <v>0</v>
      </c>
      <c r="M186">
        <v>0</v>
      </c>
      <c r="N186">
        <v>0</v>
      </c>
      <c r="O186" s="57">
        <f t="shared" si="194"/>
        <v>35.639200000000002</v>
      </c>
      <c r="R186" t="s">
        <v>103</v>
      </c>
      <c r="S186">
        <v>2</v>
      </c>
      <c r="T186" t="s">
        <v>7</v>
      </c>
      <c r="U186">
        <v>25984</v>
      </c>
      <c r="V186">
        <v>224</v>
      </c>
      <c r="W186" s="58">
        <v>1</v>
      </c>
      <c r="X186">
        <v>4</v>
      </c>
      <c r="Y186" s="1">
        <v>330.89</v>
      </c>
      <c r="Z186" s="54">
        <v>35.348999999999997</v>
      </c>
      <c r="AA186" s="23">
        <v>45559</v>
      </c>
      <c r="AB186" s="46">
        <v>4.2268518518518518E-2</v>
      </c>
      <c r="AC186">
        <v>0</v>
      </c>
      <c r="AD186">
        <v>0</v>
      </c>
      <c r="AE186">
        <v>0</v>
      </c>
      <c r="AF186" s="57">
        <f t="shared" si="187"/>
        <v>35.263800000000003</v>
      </c>
      <c r="AI186" s="23" t="s">
        <v>154</v>
      </c>
      <c r="AJ186" s="46">
        <v>2</v>
      </c>
      <c r="AK186" t="s">
        <v>7</v>
      </c>
      <c r="AL186">
        <v>25984</v>
      </c>
      <c r="AM186">
        <v>224</v>
      </c>
      <c r="AN186" s="41">
        <v>1</v>
      </c>
      <c r="AO186">
        <v>4</v>
      </c>
      <c r="AP186" s="1">
        <v>279.44</v>
      </c>
      <c r="AQ186" s="54">
        <v>41.856999999999999</v>
      </c>
      <c r="AR186" s="23">
        <v>45558</v>
      </c>
      <c r="AS186" s="46">
        <v>0.92666666666666664</v>
      </c>
      <c r="AT186">
        <v>0</v>
      </c>
      <c r="AU186">
        <v>0</v>
      </c>
      <c r="AV186">
        <v>0</v>
      </c>
      <c r="AW186" s="57">
        <f t="shared" si="258"/>
        <v>42.206000000000003</v>
      </c>
      <c r="AZ186" t="s">
        <v>154</v>
      </c>
      <c r="BA186">
        <v>2</v>
      </c>
      <c r="BB186" t="s">
        <v>7</v>
      </c>
      <c r="BC186">
        <v>25984</v>
      </c>
      <c r="BD186">
        <v>224</v>
      </c>
      <c r="BE186">
        <v>1</v>
      </c>
      <c r="BF186">
        <v>4</v>
      </c>
      <c r="BG186" s="1">
        <v>300.76</v>
      </c>
      <c r="BH186" s="54">
        <v>38.890999999999998</v>
      </c>
      <c r="BI186" s="23">
        <v>45558</v>
      </c>
      <c r="BJ186" s="46">
        <v>0.98092592592592598</v>
      </c>
      <c r="BK186">
        <v>0</v>
      </c>
      <c r="BL186">
        <v>0</v>
      </c>
      <c r="BM186">
        <v>0</v>
      </c>
      <c r="BN186" s="57">
        <f t="shared" si="259"/>
        <v>38.784399999999998</v>
      </c>
    </row>
    <row r="187" spans="1:66">
      <c r="A187" t="s">
        <v>103</v>
      </c>
      <c r="B187">
        <v>3</v>
      </c>
      <c r="C187" t="s">
        <v>7</v>
      </c>
      <c r="D187">
        <v>25984</v>
      </c>
      <c r="E187">
        <v>224</v>
      </c>
      <c r="F187">
        <v>1</v>
      </c>
      <c r="G187" s="41">
        <v>4</v>
      </c>
      <c r="H187" s="1">
        <v>328.14</v>
      </c>
      <c r="I187" s="54">
        <v>35.645000000000003</v>
      </c>
      <c r="J187" s="23">
        <v>45559</v>
      </c>
      <c r="K187" s="46">
        <v>0.38423611111111111</v>
      </c>
      <c r="L187">
        <v>0</v>
      </c>
      <c r="M187">
        <v>0</v>
      </c>
      <c r="N187">
        <v>0</v>
      </c>
      <c r="O187" s="57">
        <f t="shared" si="194"/>
        <v>35.639200000000002</v>
      </c>
      <c r="R187" t="s">
        <v>103</v>
      </c>
      <c r="S187">
        <v>3</v>
      </c>
      <c r="T187" t="s">
        <v>7</v>
      </c>
      <c r="U187">
        <v>25984</v>
      </c>
      <c r="V187">
        <v>224</v>
      </c>
      <c r="W187" s="58">
        <v>1</v>
      </c>
      <c r="X187">
        <v>4</v>
      </c>
      <c r="Y187" s="1">
        <v>332.04</v>
      </c>
      <c r="Z187" s="54">
        <v>35.226999999999997</v>
      </c>
      <c r="AA187" s="23">
        <v>45559</v>
      </c>
      <c r="AB187" s="46">
        <v>0.38534722222222223</v>
      </c>
      <c r="AC187">
        <v>0</v>
      </c>
      <c r="AD187">
        <v>0</v>
      </c>
      <c r="AE187">
        <v>0</v>
      </c>
      <c r="AF187" s="57">
        <f t="shared" si="187"/>
        <v>35.263800000000003</v>
      </c>
      <c r="AI187" s="23" t="s">
        <v>154</v>
      </c>
      <c r="AJ187" s="46">
        <v>3</v>
      </c>
      <c r="AK187" t="s">
        <v>7</v>
      </c>
      <c r="AL187">
        <v>25984</v>
      </c>
      <c r="AM187">
        <v>224</v>
      </c>
      <c r="AN187" s="41">
        <v>1</v>
      </c>
      <c r="AO187">
        <v>4</v>
      </c>
      <c r="AP187" s="1">
        <v>276.17</v>
      </c>
      <c r="AQ187" s="54">
        <v>42.353000000000002</v>
      </c>
      <c r="AR187" s="23">
        <v>45559</v>
      </c>
      <c r="AS187" s="46">
        <v>0.21568287037037037</v>
      </c>
      <c r="AT187">
        <v>0</v>
      </c>
      <c r="AU187">
        <v>0</v>
      </c>
      <c r="AV187">
        <v>0</v>
      </c>
      <c r="AW187" s="57">
        <f t="shared" si="258"/>
        <v>42.206000000000003</v>
      </c>
      <c r="AZ187" t="s">
        <v>154</v>
      </c>
      <c r="BA187">
        <v>3</v>
      </c>
      <c r="BB187" t="s">
        <v>7</v>
      </c>
      <c r="BC187">
        <v>25984</v>
      </c>
      <c r="BD187">
        <v>224</v>
      </c>
      <c r="BE187">
        <v>1</v>
      </c>
      <c r="BF187">
        <v>4</v>
      </c>
      <c r="BG187" s="1">
        <v>302.22000000000003</v>
      </c>
      <c r="BH187" s="54">
        <v>38.703000000000003</v>
      </c>
      <c r="BI187" s="23">
        <v>45559</v>
      </c>
      <c r="BJ187" s="46">
        <v>0.28954861111111113</v>
      </c>
      <c r="BK187">
        <v>0</v>
      </c>
      <c r="BL187">
        <v>0</v>
      </c>
      <c r="BM187">
        <v>0</v>
      </c>
      <c r="BN187" s="57">
        <f t="shared" si="259"/>
        <v>38.784399999999998</v>
      </c>
    </row>
    <row r="188" spans="1:66">
      <c r="A188" t="s">
        <v>103</v>
      </c>
      <c r="B188">
        <v>4</v>
      </c>
      <c r="C188" t="s">
        <v>7</v>
      </c>
      <c r="D188">
        <v>25984</v>
      </c>
      <c r="E188">
        <v>224</v>
      </c>
      <c r="F188">
        <v>1</v>
      </c>
      <c r="G188" s="41">
        <v>4</v>
      </c>
      <c r="H188" s="1">
        <v>329.23</v>
      </c>
      <c r="I188" s="54">
        <v>35.527999999999999</v>
      </c>
      <c r="J188" s="23">
        <v>45559</v>
      </c>
      <c r="K188" s="46">
        <v>0.72651620370370373</v>
      </c>
      <c r="L188">
        <v>0</v>
      </c>
      <c r="M188">
        <v>0</v>
      </c>
      <c r="N188">
        <v>0</v>
      </c>
      <c r="O188" s="57">
        <f t="shared" si="194"/>
        <v>35.639200000000002</v>
      </c>
      <c r="R188" t="s">
        <v>103</v>
      </c>
      <c r="S188">
        <v>4</v>
      </c>
      <c r="T188" t="s">
        <v>7</v>
      </c>
      <c r="U188">
        <v>25984</v>
      </c>
      <c r="V188">
        <v>224</v>
      </c>
      <c r="W188" s="58">
        <v>1</v>
      </c>
      <c r="X188">
        <v>4</v>
      </c>
      <c r="Y188" s="1">
        <v>330.51</v>
      </c>
      <c r="Z188" s="54">
        <v>35.39</v>
      </c>
      <c r="AA188" s="23">
        <v>45559</v>
      </c>
      <c r="AB188" s="46">
        <v>0.72851851851851857</v>
      </c>
      <c r="AC188">
        <v>0</v>
      </c>
      <c r="AD188">
        <v>0</v>
      </c>
      <c r="AE188">
        <v>0</v>
      </c>
      <c r="AF188" s="57">
        <f t="shared" si="187"/>
        <v>35.263800000000003</v>
      </c>
      <c r="AI188" s="23" t="s">
        <v>154</v>
      </c>
      <c r="AJ188" s="46">
        <v>4</v>
      </c>
      <c r="AK188" t="s">
        <v>7</v>
      </c>
      <c r="AL188">
        <v>25984</v>
      </c>
      <c r="AM188">
        <v>224</v>
      </c>
      <c r="AN188" s="41">
        <v>1</v>
      </c>
      <c r="AO188">
        <v>4</v>
      </c>
      <c r="AP188" s="1">
        <v>280.49</v>
      </c>
      <c r="AQ188" s="54">
        <v>41.701999999999998</v>
      </c>
      <c r="AR188" s="23">
        <v>45559</v>
      </c>
      <c r="AS188" s="46">
        <v>0.505</v>
      </c>
      <c r="AT188">
        <v>0</v>
      </c>
      <c r="AU188">
        <v>0</v>
      </c>
      <c r="AV188">
        <v>0</v>
      </c>
      <c r="AW188" s="57">
        <f t="shared" si="258"/>
        <v>42.206000000000003</v>
      </c>
      <c r="AZ188" t="s">
        <v>154</v>
      </c>
      <c r="BA188">
        <v>4</v>
      </c>
      <c r="BB188" t="s">
        <v>7</v>
      </c>
      <c r="BC188">
        <v>25984</v>
      </c>
      <c r="BD188">
        <v>224</v>
      </c>
      <c r="BE188">
        <v>1</v>
      </c>
      <c r="BF188">
        <v>4</v>
      </c>
      <c r="BG188" s="1">
        <v>301.98</v>
      </c>
      <c r="BH188" s="54">
        <v>38.734000000000002</v>
      </c>
      <c r="BI188" s="23">
        <v>45559</v>
      </c>
      <c r="BJ188" s="46">
        <v>0.59798611111111111</v>
      </c>
      <c r="BK188">
        <v>0</v>
      </c>
      <c r="BL188">
        <v>0</v>
      </c>
      <c r="BM188">
        <v>0</v>
      </c>
      <c r="BN188" s="57">
        <f t="shared" si="259"/>
        <v>38.784399999999998</v>
      </c>
    </row>
    <row r="189" spans="1:66">
      <c r="A189" t="s">
        <v>103</v>
      </c>
      <c r="B189">
        <v>0</v>
      </c>
      <c r="C189" t="s">
        <v>7</v>
      </c>
      <c r="D189">
        <v>27552</v>
      </c>
      <c r="E189">
        <v>224</v>
      </c>
      <c r="F189">
        <v>1</v>
      </c>
      <c r="G189" s="41">
        <v>4</v>
      </c>
      <c r="H189" s="1">
        <v>395.85</v>
      </c>
      <c r="I189" s="54">
        <v>35.226999999999997</v>
      </c>
      <c r="J189" s="23">
        <v>45558</v>
      </c>
      <c r="K189" s="46">
        <v>0.4684490740740741</v>
      </c>
      <c r="L189">
        <v>0</v>
      </c>
      <c r="M189">
        <v>0</v>
      </c>
      <c r="N189">
        <v>0</v>
      </c>
      <c r="O189" s="57">
        <f t="shared" ref="O189" si="260">AVERAGE(I189:I193)</f>
        <v>35.366</v>
      </c>
      <c r="R189" t="s">
        <v>103</v>
      </c>
      <c r="S189">
        <v>0</v>
      </c>
      <c r="T189" t="s">
        <v>7</v>
      </c>
      <c r="U189">
        <v>27552</v>
      </c>
      <c r="V189">
        <v>224</v>
      </c>
      <c r="W189" s="41">
        <v>1</v>
      </c>
      <c r="X189">
        <v>4</v>
      </c>
      <c r="Y189" s="1">
        <v>398.95</v>
      </c>
      <c r="Z189" s="54">
        <v>34.953000000000003</v>
      </c>
      <c r="AA189" s="23">
        <v>45558</v>
      </c>
      <c r="AB189" s="46">
        <v>0.46716435185185184</v>
      </c>
      <c r="AC189">
        <v>0</v>
      </c>
      <c r="AD189">
        <v>0</v>
      </c>
      <c r="AE189">
        <v>0</v>
      </c>
      <c r="AF189" s="57">
        <f t="shared" ref="AF189" si="261">AVERAGE(Z189:Z193)</f>
        <v>34.938400000000001</v>
      </c>
      <c r="AI189" s="23" t="s">
        <v>154</v>
      </c>
      <c r="AJ189" s="46">
        <v>0</v>
      </c>
      <c r="AK189" t="s">
        <v>7</v>
      </c>
      <c r="AL189">
        <v>27552</v>
      </c>
      <c r="AM189">
        <v>224</v>
      </c>
      <c r="AN189" s="41">
        <v>1</v>
      </c>
      <c r="AO189">
        <v>4</v>
      </c>
      <c r="AP189" s="1">
        <v>328.82</v>
      </c>
      <c r="AQ189" s="54">
        <v>42.408000000000001</v>
      </c>
      <c r="AR189" s="23">
        <v>45558</v>
      </c>
      <c r="AS189" s="46">
        <v>0.43828703703703703</v>
      </c>
      <c r="AT189">
        <v>0</v>
      </c>
      <c r="AU189">
        <v>0</v>
      </c>
      <c r="AV189">
        <v>0</v>
      </c>
      <c r="AW189" s="57">
        <f t="shared" ref="AW189" si="262">AVERAGE(AQ189:AQ193)</f>
        <v>42.1648</v>
      </c>
      <c r="AZ189" t="s">
        <v>154</v>
      </c>
      <c r="BA189">
        <v>0</v>
      </c>
      <c r="BB189" t="s">
        <v>7</v>
      </c>
      <c r="BC189">
        <v>27552</v>
      </c>
      <c r="BD189">
        <v>224</v>
      </c>
      <c r="BE189">
        <v>1</v>
      </c>
      <c r="BF189">
        <v>4</v>
      </c>
      <c r="BG189" s="1">
        <v>357.24</v>
      </c>
      <c r="BH189" s="54">
        <v>39.033999999999999</v>
      </c>
      <c r="BI189" s="23">
        <v>45558</v>
      </c>
      <c r="BJ189" s="46">
        <v>0.45131944444444444</v>
      </c>
      <c r="BK189">
        <v>0</v>
      </c>
      <c r="BL189">
        <v>0</v>
      </c>
      <c r="BM189">
        <v>0</v>
      </c>
      <c r="BN189" s="57">
        <f t="shared" ref="BN189" si="263">AVERAGE(BH189:BH193)</f>
        <v>38.907600000000002</v>
      </c>
    </row>
    <row r="190" spans="1:66">
      <c r="A190" t="s">
        <v>103</v>
      </c>
      <c r="B190">
        <v>1</v>
      </c>
      <c r="C190" t="s">
        <v>7</v>
      </c>
      <c r="D190">
        <v>27552</v>
      </c>
      <c r="E190">
        <v>224</v>
      </c>
      <c r="F190">
        <v>1</v>
      </c>
      <c r="G190" s="41">
        <v>4</v>
      </c>
      <c r="H190" s="1">
        <v>393.68</v>
      </c>
      <c r="I190" s="54">
        <v>35.420999999999999</v>
      </c>
      <c r="J190" s="23">
        <v>45558</v>
      </c>
      <c r="K190" s="46">
        <v>0.81065972222222227</v>
      </c>
      <c r="L190">
        <v>0</v>
      </c>
      <c r="M190">
        <v>0</v>
      </c>
      <c r="N190">
        <v>0</v>
      </c>
      <c r="O190" s="57">
        <f t="shared" ref="O190" si="264">O189</f>
        <v>35.366</v>
      </c>
      <c r="R190" t="s">
        <v>103</v>
      </c>
      <c r="S190">
        <v>1</v>
      </c>
      <c r="T190" t="s">
        <v>7</v>
      </c>
      <c r="U190">
        <v>27552</v>
      </c>
      <c r="V190">
        <v>224</v>
      </c>
      <c r="W190" s="58">
        <v>1</v>
      </c>
      <c r="X190">
        <v>4</v>
      </c>
      <c r="Y190" s="1">
        <v>399.07</v>
      </c>
      <c r="Z190" s="54">
        <v>34.942</v>
      </c>
      <c r="AA190" s="23">
        <v>45558</v>
      </c>
      <c r="AB190" s="46">
        <v>0.81033564814814818</v>
      </c>
      <c r="AC190">
        <v>0</v>
      </c>
      <c r="AD190">
        <v>0</v>
      </c>
      <c r="AE190">
        <v>0</v>
      </c>
      <c r="AF190" s="57">
        <f t="shared" si="187"/>
        <v>34.938400000000001</v>
      </c>
      <c r="AI190" s="23" t="s">
        <v>154</v>
      </c>
      <c r="AJ190" s="46">
        <v>1</v>
      </c>
      <c r="AK190" t="s">
        <v>7</v>
      </c>
      <c r="AL190">
        <v>27552</v>
      </c>
      <c r="AM190">
        <v>224</v>
      </c>
      <c r="AN190" s="41">
        <v>1</v>
      </c>
      <c r="AO190">
        <v>4</v>
      </c>
      <c r="AP190" s="1">
        <v>331.47</v>
      </c>
      <c r="AQ190" s="54">
        <v>42.069000000000003</v>
      </c>
      <c r="AR190" s="23">
        <v>45558</v>
      </c>
      <c r="AS190" s="46">
        <v>0.73119212962962965</v>
      </c>
      <c r="AT190">
        <v>0</v>
      </c>
      <c r="AU190">
        <v>0</v>
      </c>
      <c r="AV190">
        <v>0</v>
      </c>
      <c r="AW190" s="57">
        <f t="shared" ref="AW190:AW193" si="265">AW189</f>
        <v>42.1648</v>
      </c>
      <c r="AZ190" t="s">
        <v>154</v>
      </c>
      <c r="BA190">
        <v>1</v>
      </c>
      <c r="BB190" t="s">
        <v>7</v>
      </c>
      <c r="BC190">
        <v>27552</v>
      </c>
      <c r="BD190">
        <v>224</v>
      </c>
      <c r="BE190">
        <v>1</v>
      </c>
      <c r="BF190">
        <v>4</v>
      </c>
      <c r="BG190" s="1">
        <v>359.36</v>
      </c>
      <c r="BH190" s="54">
        <v>38.804000000000002</v>
      </c>
      <c r="BI190" s="23">
        <v>45558</v>
      </c>
      <c r="BJ190" s="46">
        <v>0.77211805555555557</v>
      </c>
      <c r="BK190">
        <v>0</v>
      </c>
      <c r="BL190">
        <v>0</v>
      </c>
      <c r="BM190">
        <v>0</v>
      </c>
      <c r="BN190" s="57">
        <f t="shared" ref="BN190:BN193" si="266">BN189</f>
        <v>38.907600000000002</v>
      </c>
    </row>
    <row r="191" spans="1:66">
      <c r="A191" t="s">
        <v>103</v>
      </c>
      <c r="B191">
        <v>2</v>
      </c>
      <c r="C191" t="s">
        <v>7</v>
      </c>
      <c r="D191">
        <v>27552</v>
      </c>
      <c r="E191">
        <v>224</v>
      </c>
      <c r="F191">
        <v>1</v>
      </c>
      <c r="G191" s="41">
        <v>4</v>
      </c>
      <c r="H191" s="1">
        <v>393.83</v>
      </c>
      <c r="I191" s="54">
        <v>35.406999999999996</v>
      </c>
      <c r="J191" s="23">
        <v>45559</v>
      </c>
      <c r="K191" s="46">
        <v>0.15274305555555556</v>
      </c>
      <c r="L191">
        <v>0</v>
      </c>
      <c r="M191">
        <v>0</v>
      </c>
      <c r="N191">
        <v>0</v>
      </c>
      <c r="O191" s="57">
        <f t="shared" si="194"/>
        <v>35.366</v>
      </c>
      <c r="R191" t="s">
        <v>103</v>
      </c>
      <c r="S191">
        <v>2</v>
      </c>
      <c r="T191" t="s">
        <v>7</v>
      </c>
      <c r="U191">
        <v>27552</v>
      </c>
      <c r="V191">
        <v>224</v>
      </c>
      <c r="W191" s="58">
        <v>1</v>
      </c>
      <c r="X191">
        <v>4</v>
      </c>
      <c r="Y191" s="1">
        <v>400.02</v>
      </c>
      <c r="Z191" s="54">
        <v>34.86</v>
      </c>
      <c r="AA191" s="23">
        <v>45559</v>
      </c>
      <c r="AB191" s="46">
        <v>0.15333333333333332</v>
      </c>
      <c r="AC191">
        <v>0</v>
      </c>
      <c r="AD191">
        <v>0</v>
      </c>
      <c r="AE191">
        <v>0</v>
      </c>
      <c r="AF191" s="57">
        <f t="shared" si="187"/>
        <v>34.938400000000001</v>
      </c>
      <c r="AI191" s="23" t="s">
        <v>154</v>
      </c>
      <c r="AJ191" s="46">
        <v>2</v>
      </c>
      <c r="AK191" t="s">
        <v>7</v>
      </c>
      <c r="AL191">
        <v>27552</v>
      </c>
      <c r="AM191">
        <v>224</v>
      </c>
      <c r="AN191" s="41">
        <v>1</v>
      </c>
      <c r="AO191">
        <v>4</v>
      </c>
      <c r="AP191" s="1">
        <v>329.81</v>
      </c>
      <c r="AQ191" s="54">
        <v>42.28</v>
      </c>
      <c r="AR191" s="23">
        <v>45559</v>
      </c>
      <c r="AS191" s="46">
        <v>2.011574074074074E-2</v>
      </c>
      <c r="AT191">
        <v>0</v>
      </c>
      <c r="AU191">
        <v>0</v>
      </c>
      <c r="AV191">
        <v>0</v>
      </c>
      <c r="AW191" s="57">
        <f t="shared" si="265"/>
        <v>42.1648</v>
      </c>
      <c r="AZ191" t="s">
        <v>154</v>
      </c>
      <c r="BA191">
        <v>2</v>
      </c>
      <c r="BB191" t="s">
        <v>7</v>
      </c>
      <c r="BC191">
        <v>27552</v>
      </c>
      <c r="BD191">
        <v>224</v>
      </c>
      <c r="BE191">
        <v>1</v>
      </c>
      <c r="BF191">
        <v>4</v>
      </c>
      <c r="BG191" s="1">
        <v>358.82</v>
      </c>
      <c r="BH191" s="54">
        <v>38.862000000000002</v>
      </c>
      <c r="BI191" s="23">
        <v>45559</v>
      </c>
      <c r="BJ191" s="46">
        <v>8.0775462962962966E-2</v>
      </c>
      <c r="BK191">
        <v>0</v>
      </c>
      <c r="BL191">
        <v>0</v>
      </c>
      <c r="BM191">
        <v>0</v>
      </c>
      <c r="BN191" s="57">
        <f t="shared" si="266"/>
        <v>38.907600000000002</v>
      </c>
    </row>
    <row r="192" spans="1:66">
      <c r="A192" t="s">
        <v>103</v>
      </c>
      <c r="B192">
        <v>3</v>
      </c>
      <c r="C192" t="s">
        <v>7</v>
      </c>
      <c r="D192">
        <v>27552</v>
      </c>
      <c r="E192">
        <v>224</v>
      </c>
      <c r="F192">
        <v>1</v>
      </c>
      <c r="G192" s="41">
        <v>4</v>
      </c>
      <c r="H192" s="1">
        <v>394.27</v>
      </c>
      <c r="I192" s="54">
        <v>35.368000000000002</v>
      </c>
      <c r="J192" s="23">
        <v>45559</v>
      </c>
      <c r="K192" s="46">
        <v>0.49517361111111113</v>
      </c>
      <c r="L192">
        <v>0</v>
      </c>
      <c r="M192">
        <v>0</v>
      </c>
      <c r="N192">
        <v>0</v>
      </c>
      <c r="O192" s="57">
        <f t="shared" si="194"/>
        <v>35.366</v>
      </c>
      <c r="R192" t="s">
        <v>103</v>
      </c>
      <c r="S192">
        <v>3</v>
      </c>
      <c r="T192" t="s">
        <v>7</v>
      </c>
      <c r="U192">
        <v>27552</v>
      </c>
      <c r="V192">
        <v>224</v>
      </c>
      <c r="W192" s="58">
        <v>1</v>
      </c>
      <c r="X192">
        <v>4</v>
      </c>
      <c r="Y192" s="1">
        <v>401.51</v>
      </c>
      <c r="Z192" s="54">
        <v>34.731000000000002</v>
      </c>
      <c r="AA192" s="23">
        <v>45559</v>
      </c>
      <c r="AB192" s="46">
        <v>0.49648148148148147</v>
      </c>
      <c r="AC192">
        <v>0</v>
      </c>
      <c r="AD192">
        <v>0</v>
      </c>
      <c r="AE192">
        <v>0</v>
      </c>
      <c r="AF192" s="57">
        <f t="shared" si="187"/>
        <v>34.938400000000001</v>
      </c>
      <c r="AI192" s="23" t="s">
        <v>154</v>
      </c>
      <c r="AJ192" s="46">
        <v>3</v>
      </c>
      <c r="AK192" t="s">
        <v>7</v>
      </c>
      <c r="AL192">
        <v>27552</v>
      </c>
      <c r="AM192">
        <v>224</v>
      </c>
      <c r="AN192" s="41">
        <v>1</v>
      </c>
      <c r="AO192">
        <v>4</v>
      </c>
      <c r="AP192" s="1">
        <v>330.21</v>
      </c>
      <c r="AQ192" s="54">
        <v>42.23</v>
      </c>
      <c r="AR192" s="23">
        <v>45559</v>
      </c>
      <c r="AS192" s="46">
        <v>0.30912037037037038</v>
      </c>
      <c r="AT192">
        <v>0</v>
      </c>
      <c r="AU192">
        <v>0</v>
      </c>
      <c r="AV192">
        <v>0</v>
      </c>
      <c r="AW192" s="57">
        <f t="shared" si="265"/>
        <v>42.1648</v>
      </c>
      <c r="AZ192" t="s">
        <v>154</v>
      </c>
      <c r="BA192">
        <v>3</v>
      </c>
      <c r="BB192" t="s">
        <v>7</v>
      </c>
      <c r="BC192">
        <v>27552</v>
      </c>
      <c r="BD192">
        <v>224</v>
      </c>
      <c r="BE192">
        <v>1</v>
      </c>
      <c r="BF192">
        <v>4</v>
      </c>
      <c r="BG192" s="1">
        <v>358.63</v>
      </c>
      <c r="BH192" s="54">
        <v>38.883000000000003</v>
      </c>
      <c r="BI192" s="23">
        <v>45559</v>
      </c>
      <c r="BJ192" s="46">
        <v>0.38927083333333334</v>
      </c>
      <c r="BK192">
        <v>0</v>
      </c>
      <c r="BL192">
        <v>0</v>
      </c>
      <c r="BM192">
        <v>0</v>
      </c>
      <c r="BN192" s="57">
        <f t="shared" si="266"/>
        <v>38.907600000000002</v>
      </c>
    </row>
    <row r="193" spans="1:66">
      <c r="A193" t="s">
        <v>103</v>
      </c>
      <c r="B193">
        <v>4</v>
      </c>
      <c r="C193" t="s">
        <v>7</v>
      </c>
      <c r="D193">
        <v>27552</v>
      </c>
      <c r="E193">
        <v>224</v>
      </c>
      <c r="F193">
        <v>1</v>
      </c>
      <c r="G193" s="41">
        <v>4</v>
      </c>
      <c r="H193" s="1">
        <v>393.83</v>
      </c>
      <c r="I193" s="54">
        <v>35.406999999999996</v>
      </c>
      <c r="J193" s="23">
        <v>45559</v>
      </c>
      <c r="K193" s="46">
        <v>0.83748842592592587</v>
      </c>
      <c r="L193">
        <v>0</v>
      </c>
      <c r="M193">
        <v>0</v>
      </c>
      <c r="N193">
        <v>0</v>
      </c>
      <c r="O193" s="57">
        <f t="shared" si="194"/>
        <v>35.366</v>
      </c>
      <c r="R193" t="s">
        <v>103</v>
      </c>
      <c r="S193">
        <v>4</v>
      </c>
      <c r="T193" t="s">
        <v>7</v>
      </c>
      <c r="U193">
        <v>27552</v>
      </c>
      <c r="V193">
        <v>224</v>
      </c>
      <c r="W193" s="58">
        <v>1</v>
      </c>
      <c r="X193">
        <v>4</v>
      </c>
      <c r="Y193" s="1">
        <v>396.09</v>
      </c>
      <c r="Z193" s="54">
        <v>35.206000000000003</v>
      </c>
      <c r="AA193" s="23">
        <v>45559</v>
      </c>
      <c r="AB193" s="46">
        <v>0.83944444444444444</v>
      </c>
      <c r="AC193">
        <v>0</v>
      </c>
      <c r="AD193">
        <v>0</v>
      </c>
      <c r="AE193">
        <v>0</v>
      </c>
      <c r="AF193" s="57">
        <f t="shared" si="187"/>
        <v>34.938400000000001</v>
      </c>
      <c r="AI193" s="23" t="s">
        <v>154</v>
      </c>
      <c r="AJ193" s="46">
        <v>4</v>
      </c>
      <c r="AK193" t="s">
        <v>7</v>
      </c>
      <c r="AL193">
        <v>27552</v>
      </c>
      <c r="AM193">
        <v>224</v>
      </c>
      <c r="AN193" s="41">
        <v>1</v>
      </c>
      <c r="AO193">
        <v>4</v>
      </c>
      <c r="AP193" s="1">
        <v>333.3</v>
      </c>
      <c r="AQ193" s="54">
        <v>41.837000000000003</v>
      </c>
      <c r="AR193" s="23">
        <v>45559</v>
      </c>
      <c r="AS193" s="46">
        <v>0.59871527777777778</v>
      </c>
      <c r="AT193">
        <v>0</v>
      </c>
      <c r="AU193">
        <v>0</v>
      </c>
      <c r="AV193">
        <v>0</v>
      </c>
      <c r="AW193" s="57">
        <f t="shared" si="265"/>
        <v>42.1648</v>
      </c>
      <c r="AZ193" t="s">
        <v>154</v>
      </c>
      <c r="BA193">
        <v>4</v>
      </c>
      <c r="BB193" t="s">
        <v>7</v>
      </c>
      <c r="BC193">
        <v>27552</v>
      </c>
      <c r="BD193">
        <v>224</v>
      </c>
      <c r="BE193">
        <v>1</v>
      </c>
      <c r="BF193">
        <v>4</v>
      </c>
      <c r="BG193" s="1">
        <v>357.96</v>
      </c>
      <c r="BH193" s="54">
        <v>38.954999999999998</v>
      </c>
      <c r="BI193" s="23">
        <v>45559</v>
      </c>
      <c r="BJ193" s="46">
        <v>0.6977430555555556</v>
      </c>
      <c r="BK193">
        <v>0</v>
      </c>
      <c r="BL193">
        <v>0</v>
      </c>
      <c r="BM193">
        <v>0</v>
      </c>
      <c r="BN193" s="57">
        <f t="shared" si="266"/>
        <v>38.907600000000002</v>
      </c>
    </row>
    <row r="194" spans="1:66">
      <c r="A194" t="s">
        <v>103</v>
      </c>
      <c r="B194">
        <v>0</v>
      </c>
      <c r="C194" t="s">
        <v>7</v>
      </c>
      <c r="D194">
        <v>29120</v>
      </c>
      <c r="E194">
        <v>224</v>
      </c>
      <c r="F194">
        <v>1</v>
      </c>
      <c r="G194" s="41">
        <v>4</v>
      </c>
      <c r="H194" s="1">
        <v>468.97</v>
      </c>
      <c r="I194" s="54">
        <v>35.104999999999997</v>
      </c>
      <c r="J194" s="23">
        <v>45558</v>
      </c>
      <c r="K194" s="46">
        <v>0.59950231481481486</v>
      </c>
      <c r="L194">
        <v>0</v>
      </c>
      <c r="M194">
        <v>0</v>
      </c>
      <c r="N194">
        <v>0</v>
      </c>
      <c r="O194" s="57">
        <f t="shared" ref="O194" si="267">AVERAGE(I194:I198)</f>
        <v>35.116199999999992</v>
      </c>
      <c r="R194" t="s">
        <v>103</v>
      </c>
      <c r="S194">
        <v>0</v>
      </c>
      <c r="T194" t="s">
        <v>7</v>
      </c>
      <c r="U194">
        <v>29120</v>
      </c>
      <c r="V194">
        <v>224</v>
      </c>
      <c r="W194" s="41">
        <v>1</v>
      </c>
      <c r="X194">
        <v>4</v>
      </c>
      <c r="Y194" s="1">
        <v>474.67</v>
      </c>
      <c r="Z194" s="54">
        <v>34.683999999999997</v>
      </c>
      <c r="AA194" s="23">
        <v>45558</v>
      </c>
      <c r="AB194" s="46">
        <v>0.59857638888888887</v>
      </c>
      <c r="AC194">
        <v>0</v>
      </c>
      <c r="AD194">
        <v>0</v>
      </c>
      <c r="AE194">
        <v>0</v>
      </c>
      <c r="AF194" s="57">
        <f t="shared" ref="AF194" si="268">AVERAGE(Z194:Z198)</f>
        <v>34.74</v>
      </c>
      <c r="AI194" s="23" t="s">
        <v>154</v>
      </c>
      <c r="AJ194" s="46">
        <v>0</v>
      </c>
      <c r="AK194" t="s">
        <v>7</v>
      </c>
      <c r="AL194">
        <v>29120</v>
      </c>
      <c r="AM194">
        <v>224</v>
      </c>
      <c r="AN194" s="41">
        <v>1</v>
      </c>
      <c r="AO194">
        <v>4</v>
      </c>
      <c r="AP194" s="1">
        <v>388.79</v>
      </c>
      <c r="AQ194" s="54">
        <v>42.344999999999999</v>
      </c>
      <c r="AR194" s="23">
        <v>45558</v>
      </c>
      <c r="AS194" s="46">
        <v>0.57606481481481486</v>
      </c>
      <c r="AT194">
        <v>0</v>
      </c>
      <c r="AU194">
        <v>0</v>
      </c>
      <c r="AV194">
        <v>0</v>
      </c>
      <c r="AW194" s="57">
        <f t="shared" ref="AW194" si="269">AVERAGE(AQ194:AQ198)</f>
        <v>42.326000000000001</v>
      </c>
      <c r="AZ194" t="s">
        <v>154</v>
      </c>
      <c r="BA194">
        <v>0</v>
      </c>
      <c r="BB194" t="s">
        <v>7</v>
      </c>
      <c r="BC194">
        <v>29120</v>
      </c>
      <c r="BD194">
        <v>224</v>
      </c>
      <c r="BE194">
        <v>1</v>
      </c>
      <c r="BF194">
        <v>4</v>
      </c>
      <c r="BG194" s="1">
        <v>418.26</v>
      </c>
      <c r="BH194" s="54">
        <v>39.362000000000002</v>
      </c>
      <c r="BI194" s="23">
        <v>45558</v>
      </c>
      <c r="BJ194" s="46">
        <v>0.58097222222222222</v>
      </c>
      <c r="BK194">
        <v>0</v>
      </c>
      <c r="BL194">
        <v>0</v>
      </c>
      <c r="BM194">
        <v>0</v>
      </c>
      <c r="BN194" s="57">
        <f t="shared" ref="BN194" si="270">AVERAGE(BH194:BH198)</f>
        <v>39.205399999999997</v>
      </c>
    </row>
    <row r="195" spans="1:66">
      <c r="A195" t="s">
        <v>103</v>
      </c>
      <c r="B195">
        <v>1</v>
      </c>
      <c r="C195" t="s">
        <v>7</v>
      </c>
      <c r="D195">
        <v>29120</v>
      </c>
      <c r="E195">
        <v>224</v>
      </c>
      <c r="F195">
        <v>1</v>
      </c>
      <c r="G195" s="41">
        <v>4</v>
      </c>
      <c r="H195" s="1">
        <v>469.9</v>
      </c>
      <c r="I195" s="54">
        <v>35.034999999999997</v>
      </c>
      <c r="J195" s="23">
        <v>45558</v>
      </c>
      <c r="K195" s="46">
        <v>0.94171296296296292</v>
      </c>
      <c r="L195">
        <v>0</v>
      </c>
      <c r="M195">
        <v>0</v>
      </c>
      <c r="N195">
        <v>0</v>
      </c>
      <c r="O195" s="57">
        <f t="shared" ref="O195" si="271">O194</f>
        <v>35.116199999999992</v>
      </c>
      <c r="R195" t="s">
        <v>103</v>
      </c>
      <c r="S195">
        <v>1</v>
      </c>
      <c r="T195" t="s">
        <v>7</v>
      </c>
      <c r="U195">
        <v>29120</v>
      </c>
      <c r="V195">
        <v>224</v>
      </c>
      <c r="W195" s="58">
        <v>1</v>
      </c>
      <c r="X195">
        <v>4</v>
      </c>
      <c r="Y195" s="1">
        <v>473.91</v>
      </c>
      <c r="Z195" s="54">
        <v>34.738999999999997</v>
      </c>
      <c r="AA195" s="23">
        <v>45558</v>
      </c>
      <c r="AB195" s="46">
        <v>0.94170138888888888</v>
      </c>
      <c r="AC195">
        <v>0</v>
      </c>
      <c r="AD195">
        <v>0</v>
      </c>
      <c r="AE195">
        <v>0</v>
      </c>
      <c r="AF195" s="57">
        <f t="shared" si="187"/>
        <v>34.74</v>
      </c>
      <c r="AI195" s="23" t="s">
        <v>154</v>
      </c>
      <c r="AJ195" s="46">
        <v>1</v>
      </c>
      <c r="AK195" t="s">
        <v>7</v>
      </c>
      <c r="AL195">
        <v>29120</v>
      </c>
      <c r="AM195">
        <v>224</v>
      </c>
      <c r="AN195" s="41">
        <v>1</v>
      </c>
      <c r="AO195">
        <v>4</v>
      </c>
      <c r="AP195" s="1">
        <v>387.72</v>
      </c>
      <c r="AQ195" s="54">
        <v>42.462000000000003</v>
      </c>
      <c r="AR195" s="23">
        <v>45558</v>
      </c>
      <c r="AS195" s="46">
        <v>0.84233796296296293</v>
      </c>
      <c r="AT195">
        <v>0</v>
      </c>
      <c r="AU195">
        <v>0</v>
      </c>
      <c r="AV195">
        <v>0</v>
      </c>
      <c r="AW195" s="57">
        <f t="shared" ref="AW195:AW198" si="272">AW194</f>
        <v>42.326000000000001</v>
      </c>
      <c r="AZ195" t="s">
        <v>154</v>
      </c>
      <c r="BA195">
        <v>1</v>
      </c>
      <c r="BB195" t="s">
        <v>7</v>
      </c>
      <c r="BC195">
        <v>29120</v>
      </c>
      <c r="BD195">
        <v>224</v>
      </c>
      <c r="BE195">
        <v>1</v>
      </c>
      <c r="BF195">
        <v>4</v>
      </c>
      <c r="BG195" s="1">
        <v>420.27</v>
      </c>
      <c r="BH195" s="54">
        <v>39.173000000000002</v>
      </c>
      <c r="BI195" s="23">
        <v>45558</v>
      </c>
      <c r="BJ195" s="46">
        <v>0.88979166666666665</v>
      </c>
      <c r="BK195">
        <v>0</v>
      </c>
      <c r="BL195">
        <v>0</v>
      </c>
      <c r="BM195">
        <v>0</v>
      </c>
      <c r="BN195" s="57">
        <f t="shared" ref="BN195:BN198" si="273">BN194</f>
        <v>39.205399999999997</v>
      </c>
    </row>
    <row r="196" spans="1:66">
      <c r="A196" t="s">
        <v>103</v>
      </c>
      <c r="B196">
        <v>2</v>
      </c>
      <c r="C196" t="s">
        <v>7</v>
      </c>
      <c r="D196">
        <v>29120</v>
      </c>
      <c r="E196">
        <v>224</v>
      </c>
      <c r="F196">
        <v>1</v>
      </c>
      <c r="G196" s="41">
        <v>4</v>
      </c>
      <c r="H196" s="1">
        <v>469.53</v>
      </c>
      <c r="I196" s="54">
        <v>35.063000000000002</v>
      </c>
      <c r="J196" s="23">
        <v>45559</v>
      </c>
      <c r="K196" s="46">
        <v>0.28396990740740741</v>
      </c>
      <c r="L196">
        <v>0</v>
      </c>
      <c r="M196">
        <v>0</v>
      </c>
      <c r="N196">
        <v>0</v>
      </c>
      <c r="O196" s="57">
        <f t="shared" si="194"/>
        <v>35.116199999999992</v>
      </c>
      <c r="R196" t="s">
        <v>103</v>
      </c>
      <c r="S196">
        <v>2</v>
      </c>
      <c r="T196" t="s">
        <v>7</v>
      </c>
      <c r="U196">
        <v>29120</v>
      </c>
      <c r="V196">
        <v>224</v>
      </c>
      <c r="W196" s="58">
        <v>1</v>
      </c>
      <c r="X196">
        <v>4</v>
      </c>
      <c r="Y196" s="1">
        <v>477.68</v>
      </c>
      <c r="Z196" s="54">
        <v>34.465000000000003</v>
      </c>
      <c r="AA196" s="23">
        <v>45559</v>
      </c>
      <c r="AB196" s="46">
        <v>0.28468749999999998</v>
      </c>
      <c r="AC196">
        <v>0</v>
      </c>
      <c r="AD196">
        <v>0</v>
      </c>
      <c r="AE196">
        <v>0</v>
      </c>
      <c r="AF196" s="57">
        <f t="shared" si="187"/>
        <v>34.74</v>
      </c>
      <c r="AI196" s="23" t="s">
        <v>154</v>
      </c>
      <c r="AJ196" s="46">
        <v>2</v>
      </c>
      <c r="AK196" t="s">
        <v>7</v>
      </c>
      <c r="AL196">
        <v>29120</v>
      </c>
      <c r="AM196">
        <v>224</v>
      </c>
      <c r="AN196" s="41">
        <v>1</v>
      </c>
      <c r="AO196">
        <v>4</v>
      </c>
      <c r="AP196" s="1">
        <v>386.47</v>
      </c>
      <c r="AQ196" s="54">
        <v>42.598999999999997</v>
      </c>
      <c r="AR196" s="23">
        <v>45559</v>
      </c>
      <c r="AS196" s="46">
        <v>0.13113425925925926</v>
      </c>
      <c r="AT196">
        <v>0</v>
      </c>
      <c r="AU196">
        <v>0</v>
      </c>
      <c r="AV196">
        <v>0</v>
      </c>
      <c r="AW196" s="57">
        <f t="shared" si="272"/>
        <v>42.326000000000001</v>
      </c>
      <c r="AZ196" t="s">
        <v>154</v>
      </c>
      <c r="BA196">
        <v>2</v>
      </c>
      <c r="BB196" t="s">
        <v>7</v>
      </c>
      <c r="BC196">
        <v>29120</v>
      </c>
      <c r="BD196">
        <v>224</v>
      </c>
      <c r="BE196">
        <v>1</v>
      </c>
      <c r="BF196">
        <v>4</v>
      </c>
      <c r="BG196" s="1">
        <v>418.38</v>
      </c>
      <c r="BH196" s="54">
        <v>39.35</v>
      </c>
      <c r="BI196" s="23">
        <v>45559</v>
      </c>
      <c r="BJ196" s="46">
        <v>0.19841435185185186</v>
      </c>
      <c r="BK196">
        <v>0</v>
      </c>
      <c r="BL196">
        <v>0</v>
      </c>
      <c r="BM196">
        <v>0</v>
      </c>
      <c r="BN196" s="57">
        <f t="shared" si="273"/>
        <v>39.205399999999997</v>
      </c>
    </row>
    <row r="197" spans="1:66">
      <c r="A197" t="s">
        <v>103</v>
      </c>
      <c r="B197">
        <v>3</v>
      </c>
      <c r="C197" t="s">
        <v>7</v>
      </c>
      <c r="D197">
        <v>29120</v>
      </c>
      <c r="E197">
        <v>224</v>
      </c>
      <c r="F197">
        <v>1</v>
      </c>
      <c r="G197" s="41">
        <v>4</v>
      </c>
      <c r="H197" s="1">
        <v>469.02</v>
      </c>
      <c r="I197" s="54">
        <v>35.100999999999999</v>
      </c>
      <c r="J197" s="23">
        <v>45559</v>
      </c>
      <c r="K197" s="46">
        <v>0.62629629629629635</v>
      </c>
      <c r="L197">
        <v>0</v>
      </c>
      <c r="M197">
        <v>0</v>
      </c>
      <c r="N197">
        <v>0</v>
      </c>
      <c r="O197" s="57">
        <f t="shared" si="194"/>
        <v>35.116199999999992</v>
      </c>
      <c r="R197" t="s">
        <v>103</v>
      </c>
      <c r="S197">
        <v>3</v>
      </c>
      <c r="T197" t="s">
        <v>7</v>
      </c>
      <c r="U197">
        <v>29120</v>
      </c>
      <c r="V197">
        <v>224</v>
      </c>
      <c r="W197" s="58">
        <v>1</v>
      </c>
      <c r="X197">
        <v>4</v>
      </c>
      <c r="Y197" s="1">
        <v>473.41</v>
      </c>
      <c r="Z197" s="54">
        <v>34.776000000000003</v>
      </c>
      <c r="AA197" s="23">
        <v>45559</v>
      </c>
      <c r="AB197" s="46">
        <v>0.62799768518518517</v>
      </c>
      <c r="AC197">
        <v>0</v>
      </c>
      <c r="AD197">
        <v>0</v>
      </c>
      <c r="AE197">
        <v>0</v>
      </c>
      <c r="AF197" s="57">
        <f t="shared" si="187"/>
        <v>34.74</v>
      </c>
      <c r="AI197" s="23" t="s">
        <v>154</v>
      </c>
      <c r="AJ197" s="46">
        <v>3</v>
      </c>
      <c r="AK197" t="s">
        <v>7</v>
      </c>
      <c r="AL197">
        <v>29120</v>
      </c>
      <c r="AM197">
        <v>224</v>
      </c>
      <c r="AN197" s="41">
        <v>1</v>
      </c>
      <c r="AO197">
        <v>4</v>
      </c>
      <c r="AP197" s="1">
        <v>390.27</v>
      </c>
      <c r="AQ197" s="54">
        <v>42.183999999999997</v>
      </c>
      <c r="AR197" s="23">
        <v>45559</v>
      </c>
      <c r="AS197" s="46">
        <v>0.42038194444444443</v>
      </c>
      <c r="AT197">
        <v>0</v>
      </c>
      <c r="AU197">
        <v>0</v>
      </c>
      <c r="AV197">
        <v>0</v>
      </c>
      <c r="AW197" s="57">
        <f t="shared" si="272"/>
        <v>42.326000000000001</v>
      </c>
      <c r="AZ197" t="s">
        <v>154</v>
      </c>
      <c r="BA197">
        <v>3</v>
      </c>
      <c r="BB197" t="s">
        <v>7</v>
      </c>
      <c r="BC197">
        <v>29120</v>
      </c>
      <c r="BD197">
        <v>224</v>
      </c>
      <c r="BE197">
        <v>1</v>
      </c>
      <c r="BF197">
        <v>4</v>
      </c>
      <c r="BG197" s="1">
        <v>419.86</v>
      </c>
      <c r="BH197" s="54">
        <v>39.210999999999999</v>
      </c>
      <c r="BI197" s="23">
        <v>45559</v>
      </c>
      <c r="BJ197" s="46">
        <v>0.50685185185185189</v>
      </c>
      <c r="BK197">
        <v>0</v>
      </c>
      <c r="BL197">
        <v>0</v>
      </c>
      <c r="BM197">
        <v>0</v>
      </c>
      <c r="BN197" s="57">
        <f t="shared" si="273"/>
        <v>39.205399999999997</v>
      </c>
    </row>
    <row r="198" spans="1:66">
      <c r="A198" t="s">
        <v>103</v>
      </c>
      <c r="B198">
        <v>4</v>
      </c>
      <c r="C198" t="s">
        <v>7</v>
      </c>
      <c r="D198">
        <v>29120</v>
      </c>
      <c r="E198">
        <v>224</v>
      </c>
      <c r="F198">
        <v>1</v>
      </c>
      <c r="G198" s="41">
        <v>4</v>
      </c>
      <c r="H198" s="1">
        <v>466.69</v>
      </c>
      <c r="I198" s="54">
        <v>35.277000000000001</v>
      </c>
      <c r="J198" s="23">
        <v>45559</v>
      </c>
      <c r="K198" s="46">
        <v>0.96824074074074074</v>
      </c>
      <c r="L198">
        <v>0</v>
      </c>
      <c r="M198">
        <v>0</v>
      </c>
      <c r="N198">
        <v>0</v>
      </c>
      <c r="O198" s="57">
        <f t="shared" si="194"/>
        <v>35.116199999999992</v>
      </c>
      <c r="R198" t="s">
        <v>103</v>
      </c>
      <c r="S198">
        <v>4</v>
      </c>
      <c r="T198" t="s">
        <v>7</v>
      </c>
      <c r="U198">
        <v>29120</v>
      </c>
      <c r="V198">
        <v>224</v>
      </c>
      <c r="W198" s="58">
        <v>1</v>
      </c>
      <c r="X198">
        <v>4</v>
      </c>
      <c r="Y198" s="1">
        <v>469.89</v>
      </c>
      <c r="Z198" s="54">
        <v>35.036000000000001</v>
      </c>
      <c r="AA198" s="23">
        <v>45559</v>
      </c>
      <c r="AB198" s="46">
        <v>0.97062499999999996</v>
      </c>
      <c r="AC198">
        <v>0</v>
      </c>
      <c r="AD198">
        <v>0</v>
      </c>
      <c r="AE198">
        <v>0</v>
      </c>
      <c r="AF198" s="57">
        <f t="shared" si="187"/>
        <v>34.74</v>
      </c>
      <c r="AI198" s="23" t="s">
        <v>154</v>
      </c>
      <c r="AJ198" s="46">
        <v>4</v>
      </c>
      <c r="AK198" t="s">
        <v>7</v>
      </c>
      <c r="AL198">
        <v>29120</v>
      </c>
      <c r="AM198">
        <v>224</v>
      </c>
      <c r="AN198" s="41">
        <v>1</v>
      </c>
      <c r="AO198">
        <v>4</v>
      </c>
      <c r="AP198" s="1">
        <v>391.61</v>
      </c>
      <c r="AQ198" s="54">
        <v>42.04</v>
      </c>
      <c r="AR198" s="23">
        <v>45559</v>
      </c>
      <c r="AS198" s="46">
        <v>0.71028935185185182</v>
      </c>
      <c r="AT198">
        <v>0</v>
      </c>
      <c r="AU198">
        <v>0</v>
      </c>
      <c r="AV198">
        <v>0</v>
      </c>
      <c r="AW198" s="57">
        <f t="shared" si="272"/>
        <v>42.326000000000001</v>
      </c>
      <c r="AZ198" t="s">
        <v>154</v>
      </c>
      <c r="BA198">
        <v>4</v>
      </c>
      <c r="BB198" t="s">
        <v>7</v>
      </c>
      <c r="BC198">
        <v>29120</v>
      </c>
      <c r="BD198">
        <v>224</v>
      </c>
      <c r="BE198">
        <v>1</v>
      </c>
      <c r="BF198">
        <v>4</v>
      </c>
      <c r="BG198" s="1">
        <v>422.89</v>
      </c>
      <c r="BH198" s="54">
        <v>38.930999999999997</v>
      </c>
      <c r="BI198" s="23">
        <v>45559</v>
      </c>
      <c r="BJ198" s="46">
        <v>0.81521990740740746</v>
      </c>
      <c r="BK198">
        <v>0</v>
      </c>
      <c r="BL198">
        <v>0</v>
      </c>
      <c r="BM198">
        <v>0</v>
      </c>
      <c r="BN198" s="57">
        <f t="shared" si="273"/>
        <v>39.205399999999997</v>
      </c>
    </row>
    <row r="199" spans="1:66">
      <c r="A199" t="s">
        <v>103</v>
      </c>
      <c r="B199">
        <v>0</v>
      </c>
      <c r="C199" t="s">
        <v>7</v>
      </c>
      <c r="D199">
        <v>25984</v>
      </c>
      <c r="E199">
        <v>224</v>
      </c>
      <c r="F199">
        <v>2</v>
      </c>
      <c r="G199" s="41">
        <v>2</v>
      </c>
      <c r="H199" s="1">
        <v>324.19</v>
      </c>
      <c r="I199" s="54">
        <v>36.08</v>
      </c>
      <c r="J199" s="23">
        <v>45558</v>
      </c>
      <c r="K199" s="46">
        <v>0.36197916666666669</v>
      </c>
      <c r="L199">
        <v>0</v>
      </c>
      <c r="M199">
        <v>0</v>
      </c>
      <c r="N199">
        <v>0</v>
      </c>
      <c r="O199" s="57">
        <f t="shared" ref="O199" si="274">AVERAGE(I199:I203)</f>
        <v>36.046199999999999</v>
      </c>
      <c r="R199" t="s">
        <v>103</v>
      </c>
      <c r="S199">
        <v>0</v>
      </c>
      <c r="T199" t="s">
        <v>7</v>
      </c>
      <c r="U199">
        <v>25984</v>
      </c>
      <c r="V199">
        <v>224</v>
      </c>
      <c r="W199" s="41">
        <v>2</v>
      </c>
      <c r="X199">
        <v>2</v>
      </c>
      <c r="Y199" s="1">
        <v>327.85</v>
      </c>
      <c r="Z199" s="54">
        <v>35.677</v>
      </c>
      <c r="AA199" s="23">
        <v>45558</v>
      </c>
      <c r="AB199" s="46">
        <v>0.36050925925925925</v>
      </c>
      <c r="AC199">
        <v>0</v>
      </c>
      <c r="AD199">
        <v>0</v>
      </c>
      <c r="AE199">
        <v>0</v>
      </c>
      <c r="AF199" s="57">
        <f t="shared" ref="AF199" si="275">AVERAGE(Z199:Z203)</f>
        <v>35.672199999999997</v>
      </c>
      <c r="AI199" s="23" t="s">
        <v>154</v>
      </c>
      <c r="AJ199" s="46">
        <v>0</v>
      </c>
      <c r="AK199" t="s">
        <v>7</v>
      </c>
      <c r="AL199">
        <v>25984</v>
      </c>
      <c r="AM199">
        <v>224</v>
      </c>
      <c r="AN199" s="41">
        <v>2</v>
      </c>
      <c r="AO199">
        <v>2</v>
      </c>
      <c r="AP199" s="1">
        <v>280.86</v>
      </c>
      <c r="AQ199" s="54">
        <v>41.646000000000001</v>
      </c>
      <c r="AR199" s="23">
        <v>45558</v>
      </c>
      <c r="AS199" s="46">
        <v>0.34856481481481483</v>
      </c>
      <c r="AT199">
        <v>0</v>
      </c>
      <c r="AU199">
        <v>0</v>
      </c>
      <c r="AV199">
        <v>0</v>
      </c>
      <c r="AW199" s="57">
        <f t="shared" ref="AW199" si="276">AVERAGE(AQ199:AQ203)</f>
        <v>40.903600000000004</v>
      </c>
      <c r="AZ199" t="s">
        <v>154</v>
      </c>
      <c r="BA199">
        <v>0</v>
      </c>
      <c r="BB199" t="s">
        <v>7</v>
      </c>
      <c r="BC199">
        <v>25984</v>
      </c>
      <c r="BD199">
        <v>224</v>
      </c>
      <c r="BE199">
        <v>2</v>
      </c>
      <c r="BF199">
        <v>2</v>
      </c>
      <c r="BG199" s="1">
        <v>337.21</v>
      </c>
      <c r="BH199" s="54">
        <v>34.686999999999998</v>
      </c>
      <c r="BI199" s="23">
        <v>45558</v>
      </c>
      <c r="BJ199" s="46">
        <v>0.35553240740740738</v>
      </c>
      <c r="BK199">
        <v>0</v>
      </c>
      <c r="BL199">
        <v>0</v>
      </c>
      <c r="BM199">
        <v>0</v>
      </c>
      <c r="BN199" s="57">
        <f t="shared" ref="BN199" si="277">AVERAGE(BH199:BH203)</f>
        <v>34.917400000000001</v>
      </c>
    </row>
    <row r="200" spans="1:66">
      <c r="A200" t="s">
        <v>103</v>
      </c>
      <c r="B200">
        <v>1</v>
      </c>
      <c r="C200" t="s">
        <v>7</v>
      </c>
      <c r="D200">
        <v>25984</v>
      </c>
      <c r="E200">
        <v>224</v>
      </c>
      <c r="F200">
        <v>2</v>
      </c>
      <c r="G200" s="41">
        <v>2</v>
      </c>
      <c r="H200" s="1">
        <v>324.41000000000003</v>
      </c>
      <c r="I200" s="54">
        <v>36.055</v>
      </c>
      <c r="J200" s="23">
        <v>45558</v>
      </c>
      <c r="K200" s="46">
        <v>0.70409722222222226</v>
      </c>
      <c r="L200">
        <v>0</v>
      </c>
      <c r="M200">
        <v>0</v>
      </c>
      <c r="N200">
        <v>0</v>
      </c>
      <c r="O200" s="57">
        <f t="shared" ref="O200" si="278">O199</f>
        <v>36.046199999999999</v>
      </c>
      <c r="R200" t="s">
        <v>103</v>
      </c>
      <c r="S200">
        <v>1</v>
      </c>
      <c r="T200" t="s">
        <v>7</v>
      </c>
      <c r="U200">
        <v>25984</v>
      </c>
      <c r="V200">
        <v>224</v>
      </c>
      <c r="W200" s="41">
        <v>2</v>
      </c>
      <c r="X200">
        <v>2</v>
      </c>
      <c r="Y200" s="1">
        <v>328.64</v>
      </c>
      <c r="Z200" s="54">
        <v>35.591000000000001</v>
      </c>
      <c r="AA200" s="23">
        <v>45558</v>
      </c>
      <c r="AB200" s="46">
        <v>0.703587962962963</v>
      </c>
      <c r="AC200">
        <v>0</v>
      </c>
      <c r="AD200">
        <v>0</v>
      </c>
      <c r="AE200">
        <v>0</v>
      </c>
      <c r="AF200" s="57">
        <f t="shared" ref="AF200:AF243" si="279">AF199</f>
        <v>35.672199999999997</v>
      </c>
      <c r="AI200" s="23" t="s">
        <v>154</v>
      </c>
      <c r="AJ200" s="46">
        <v>1</v>
      </c>
      <c r="AK200" t="s">
        <v>7</v>
      </c>
      <c r="AL200">
        <v>25984</v>
      </c>
      <c r="AM200">
        <v>224</v>
      </c>
      <c r="AN200" s="41">
        <v>2</v>
      </c>
      <c r="AO200">
        <v>2</v>
      </c>
      <c r="AP200" s="1">
        <v>292.68</v>
      </c>
      <c r="AQ200" s="54">
        <v>39.965000000000003</v>
      </c>
      <c r="AR200" s="23">
        <v>45558</v>
      </c>
      <c r="AS200" s="46">
        <v>0.6409259259259259</v>
      </c>
      <c r="AT200">
        <v>0</v>
      </c>
      <c r="AU200">
        <v>0</v>
      </c>
      <c r="AV200">
        <v>0</v>
      </c>
      <c r="AW200" s="57">
        <f t="shared" ref="AW200:AW203" si="280">AW199</f>
        <v>40.903600000000004</v>
      </c>
      <c r="AZ200" t="s">
        <v>154</v>
      </c>
      <c r="BA200">
        <v>1</v>
      </c>
      <c r="BB200" t="s">
        <v>7</v>
      </c>
      <c r="BC200">
        <v>25984</v>
      </c>
      <c r="BD200">
        <v>224</v>
      </c>
      <c r="BE200">
        <v>2</v>
      </c>
      <c r="BF200">
        <v>2</v>
      </c>
      <c r="BG200" s="1">
        <v>333.81</v>
      </c>
      <c r="BH200" s="54">
        <v>35.04</v>
      </c>
      <c r="BI200" s="23">
        <v>45558</v>
      </c>
      <c r="BJ200" s="46">
        <v>0.67640046296296297</v>
      </c>
      <c r="BK200">
        <v>0</v>
      </c>
      <c r="BL200">
        <v>0</v>
      </c>
      <c r="BM200">
        <v>0</v>
      </c>
      <c r="BN200" s="57">
        <f t="shared" ref="BN200:BN203" si="281">BN199</f>
        <v>34.917400000000001</v>
      </c>
    </row>
    <row r="201" spans="1:66">
      <c r="A201" t="s">
        <v>103</v>
      </c>
      <c r="B201">
        <v>2</v>
      </c>
      <c r="C201" t="s">
        <v>7</v>
      </c>
      <c r="D201">
        <v>25984</v>
      </c>
      <c r="E201">
        <v>224</v>
      </c>
      <c r="F201">
        <v>2</v>
      </c>
      <c r="G201" s="41">
        <v>2</v>
      </c>
      <c r="H201" s="1">
        <v>324.64999999999998</v>
      </c>
      <c r="I201" s="54">
        <v>36.029000000000003</v>
      </c>
      <c r="J201" s="23">
        <v>45559</v>
      </c>
      <c r="K201" s="46">
        <v>4.6273148148148147E-2</v>
      </c>
      <c r="L201">
        <v>0</v>
      </c>
      <c r="M201">
        <v>0</v>
      </c>
      <c r="N201">
        <v>0</v>
      </c>
      <c r="O201" s="57">
        <f t="shared" si="194"/>
        <v>36.046199999999999</v>
      </c>
      <c r="R201" t="s">
        <v>103</v>
      </c>
      <c r="S201">
        <v>2</v>
      </c>
      <c r="T201" t="s">
        <v>7</v>
      </c>
      <c r="U201">
        <v>25984</v>
      </c>
      <c r="V201">
        <v>224</v>
      </c>
      <c r="W201" s="58">
        <v>2</v>
      </c>
      <c r="X201">
        <v>2</v>
      </c>
      <c r="Y201" s="1">
        <v>328.05</v>
      </c>
      <c r="Z201" s="54">
        <v>35.655999999999999</v>
      </c>
      <c r="AA201" s="23">
        <v>45559</v>
      </c>
      <c r="AB201" s="46">
        <v>4.6712962962962963E-2</v>
      </c>
      <c r="AC201">
        <v>0</v>
      </c>
      <c r="AD201">
        <v>0</v>
      </c>
      <c r="AE201">
        <v>0</v>
      </c>
      <c r="AF201" s="57">
        <f t="shared" si="279"/>
        <v>35.672199999999997</v>
      </c>
      <c r="AI201" s="23" t="s">
        <v>154</v>
      </c>
      <c r="AJ201" s="46">
        <v>2</v>
      </c>
      <c r="AK201" t="s">
        <v>7</v>
      </c>
      <c r="AL201">
        <v>25984</v>
      </c>
      <c r="AM201">
        <v>224</v>
      </c>
      <c r="AN201" s="41">
        <v>2</v>
      </c>
      <c r="AO201">
        <v>2</v>
      </c>
      <c r="AP201" s="1">
        <v>289.29000000000002</v>
      </c>
      <c r="AQ201" s="54">
        <v>40.432000000000002</v>
      </c>
      <c r="AR201" s="23">
        <v>45558</v>
      </c>
      <c r="AS201" s="46">
        <v>0.93021990740740745</v>
      </c>
      <c r="AT201">
        <v>0</v>
      </c>
      <c r="AU201">
        <v>0</v>
      </c>
      <c r="AV201">
        <v>0</v>
      </c>
      <c r="AW201" s="57">
        <f t="shared" si="280"/>
        <v>40.903600000000004</v>
      </c>
      <c r="AZ201" t="s">
        <v>154</v>
      </c>
      <c r="BA201">
        <v>2</v>
      </c>
      <c r="BB201" t="s">
        <v>7</v>
      </c>
      <c r="BC201">
        <v>25984</v>
      </c>
      <c r="BD201">
        <v>224</v>
      </c>
      <c r="BE201">
        <v>2</v>
      </c>
      <c r="BF201">
        <v>2</v>
      </c>
      <c r="BG201" s="1">
        <v>335.04</v>
      </c>
      <c r="BH201" s="54">
        <v>34.911000000000001</v>
      </c>
      <c r="BI201" s="23">
        <v>45558</v>
      </c>
      <c r="BJ201" s="46">
        <v>0.98501157407407403</v>
      </c>
      <c r="BK201">
        <v>0</v>
      </c>
      <c r="BL201">
        <v>0</v>
      </c>
      <c r="BM201">
        <v>0</v>
      </c>
      <c r="BN201" s="57">
        <f t="shared" si="281"/>
        <v>34.917400000000001</v>
      </c>
    </row>
    <row r="202" spans="1:66">
      <c r="A202" t="s">
        <v>103</v>
      </c>
      <c r="B202">
        <v>3</v>
      </c>
      <c r="C202" t="s">
        <v>7</v>
      </c>
      <c r="D202">
        <v>25984</v>
      </c>
      <c r="E202">
        <v>224</v>
      </c>
      <c r="F202">
        <v>2</v>
      </c>
      <c r="G202" s="41">
        <v>2</v>
      </c>
      <c r="H202" s="1">
        <v>325.14</v>
      </c>
      <c r="I202" s="54">
        <v>35.973999999999997</v>
      </c>
      <c r="J202" s="23">
        <v>45559</v>
      </c>
      <c r="K202" s="46">
        <v>0.38864583333333336</v>
      </c>
      <c r="L202">
        <v>0</v>
      </c>
      <c r="M202">
        <v>0</v>
      </c>
      <c r="N202">
        <v>0</v>
      </c>
      <c r="O202" s="57">
        <f t="shared" si="194"/>
        <v>36.046199999999999</v>
      </c>
      <c r="R202" t="s">
        <v>103</v>
      </c>
      <c r="S202">
        <v>3</v>
      </c>
      <c r="T202" t="s">
        <v>7</v>
      </c>
      <c r="U202">
        <v>25984</v>
      </c>
      <c r="V202">
        <v>224</v>
      </c>
      <c r="W202" s="58">
        <v>2</v>
      </c>
      <c r="X202">
        <v>2</v>
      </c>
      <c r="Y202" s="1">
        <v>329.06</v>
      </c>
      <c r="Z202" s="54">
        <v>35.545999999999999</v>
      </c>
      <c r="AA202" s="23">
        <v>45559</v>
      </c>
      <c r="AB202" s="46">
        <v>0.38979166666666665</v>
      </c>
      <c r="AC202">
        <v>0</v>
      </c>
      <c r="AD202">
        <v>0</v>
      </c>
      <c r="AE202">
        <v>0</v>
      </c>
      <c r="AF202" s="57">
        <f t="shared" si="279"/>
        <v>35.672199999999997</v>
      </c>
      <c r="AI202" s="23" t="s">
        <v>154</v>
      </c>
      <c r="AJ202" s="46">
        <v>3</v>
      </c>
      <c r="AK202" t="s">
        <v>7</v>
      </c>
      <c r="AL202">
        <v>25984</v>
      </c>
      <c r="AM202">
        <v>224</v>
      </c>
      <c r="AN202" s="41">
        <v>2</v>
      </c>
      <c r="AO202">
        <v>2</v>
      </c>
      <c r="AP202" s="1">
        <v>282.27999999999997</v>
      </c>
      <c r="AQ202" s="54">
        <v>41.436</v>
      </c>
      <c r="AR202" s="23">
        <v>45559</v>
      </c>
      <c r="AS202" s="46">
        <v>0.21915509259259258</v>
      </c>
      <c r="AT202">
        <v>0</v>
      </c>
      <c r="AU202">
        <v>0</v>
      </c>
      <c r="AV202">
        <v>0</v>
      </c>
      <c r="AW202" s="57">
        <f t="shared" si="280"/>
        <v>40.903600000000004</v>
      </c>
      <c r="AZ202" t="s">
        <v>154</v>
      </c>
      <c r="BA202">
        <v>3</v>
      </c>
      <c r="BB202" t="s">
        <v>7</v>
      </c>
      <c r="BC202">
        <v>25984</v>
      </c>
      <c r="BD202">
        <v>224</v>
      </c>
      <c r="BE202">
        <v>2</v>
      </c>
      <c r="BF202">
        <v>2</v>
      </c>
      <c r="BG202" s="1">
        <v>334.27</v>
      </c>
      <c r="BH202" s="54">
        <v>34.991999999999997</v>
      </c>
      <c r="BI202" s="23">
        <v>45559</v>
      </c>
      <c r="BJ202" s="46">
        <v>0.29362268518518519</v>
      </c>
      <c r="BK202">
        <v>0</v>
      </c>
      <c r="BL202">
        <v>0</v>
      </c>
      <c r="BM202">
        <v>0</v>
      </c>
      <c r="BN202" s="57">
        <f t="shared" si="281"/>
        <v>34.917400000000001</v>
      </c>
    </row>
    <row r="203" spans="1:66">
      <c r="A203" t="s">
        <v>103</v>
      </c>
      <c r="B203">
        <v>4</v>
      </c>
      <c r="C203" t="s">
        <v>7</v>
      </c>
      <c r="D203">
        <v>25984</v>
      </c>
      <c r="E203">
        <v>224</v>
      </c>
      <c r="F203">
        <v>2</v>
      </c>
      <c r="G203" s="41">
        <v>2</v>
      </c>
      <c r="H203" s="1">
        <v>324.07</v>
      </c>
      <c r="I203" s="54">
        <v>36.093000000000004</v>
      </c>
      <c r="J203" s="23">
        <v>45559</v>
      </c>
      <c r="K203" s="46">
        <v>0.73091435185185183</v>
      </c>
      <c r="L203">
        <v>0</v>
      </c>
      <c r="M203">
        <v>0</v>
      </c>
      <c r="N203">
        <v>0</v>
      </c>
      <c r="O203" s="57">
        <f t="shared" si="194"/>
        <v>36.046199999999999</v>
      </c>
      <c r="R203" t="s">
        <v>103</v>
      </c>
      <c r="S203">
        <v>4</v>
      </c>
      <c r="T203" t="s">
        <v>7</v>
      </c>
      <c r="U203">
        <v>25984</v>
      </c>
      <c r="V203">
        <v>224</v>
      </c>
      <c r="W203" s="58">
        <v>2</v>
      </c>
      <c r="X203">
        <v>2</v>
      </c>
      <c r="Y203" s="1">
        <v>325.89999999999998</v>
      </c>
      <c r="Z203" s="54">
        <v>35.890999999999998</v>
      </c>
      <c r="AA203" s="23">
        <v>45559</v>
      </c>
      <c r="AB203" s="46">
        <v>0.73293981481481485</v>
      </c>
      <c r="AC203">
        <v>0</v>
      </c>
      <c r="AD203">
        <v>0</v>
      </c>
      <c r="AE203">
        <v>0</v>
      </c>
      <c r="AF203" s="57">
        <f t="shared" si="279"/>
        <v>35.672199999999997</v>
      </c>
      <c r="AI203" s="23" t="s">
        <v>154</v>
      </c>
      <c r="AJ203" s="46">
        <v>4</v>
      </c>
      <c r="AK203" t="s">
        <v>7</v>
      </c>
      <c r="AL203">
        <v>25984</v>
      </c>
      <c r="AM203">
        <v>224</v>
      </c>
      <c r="AN203" s="41">
        <v>2</v>
      </c>
      <c r="AO203">
        <v>2</v>
      </c>
      <c r="AP203" s="1">
        <v>285.02</v>
      </c>
      <c r="AQ203" s="54">
        <v>41.039000000000001</v>
      </c>
      <c r="AR203" s="23">
        <v>45559</v>
      </c>
      <c r="AS203" s="46">
        <v>0.5084953703703704</v>
      </c>
      <c r="AT203">
        <v>0</v>
      </c>
      <c r="AU203">
        <v>0</v>
      </c>
      <c r="AV203">
        <v>0</v>
      </c>
      <c r="AW203" s="57">
        <f t="shared" si="280"/>
        <v>40.903600000000004</v>
      </c>
      <c r="AZ203" t="s">
        <v>154</v>
      </c>
      <c r="BA203">
        <v>4</v>
      </c>
      <c r="BB203" t="s">
        <v>7</v>
      </c>
      <c r="BC203">
        <v>25984</v>
      </c>
      <c r="BD203">
        <v>224</v>
      </c>
      <c r="BE203">
        <v>2</v>
      </c>
      <c r="BF203">
        <v>2</v>
      </c>
      <c r="BG203" s="1">
        <v>334.61</v>
      </c>
      <c r="BH203" s="54">
        <v>34.957000000000001</v>
      </c>
      <c r="BI203" s="23">
        <v>45559</v>
      </c>
      <c r="BJ203" s="46">
        <v>0.60206018518518523</v>
      </c>
      <c r="BK203">
        <v>0</v>
      </c>
      <c r="BL203">
        <v>0</v>
      </c>
      <c r="BM203">
        <v>0</v>
      </c>
      <c r="BN203" s="57">
        <f t="shared" si="281"/>
        <v>34.917400000000001</v>
      </c>
    </row>
    <row r="204" spans="1:66">
      <c r="A204" t="s">
        <v>103</v>
      </c>
      <c r="B204">
        <v>0</v>
      </c>
      <c r="C204" t="s">
        <v>7</v>
      </c>
      <c r="D204">
        <v>27552</v>
      </c>
      <c r="E204">
        <v>224</v>
      </c>
      <c r="F204">
        <v>2</v>
      </c>
      <c r="G204" s="41">
        <v>2</v>
      </c>
      <c r="H204" s="1">
        <v>386.84</v>
      </c>
      <c r="I204" s="54">
        <v>36.046999999999997</v>
      </c>
      <c r="J204" s="23">
        <v>45558</v>
      </c>
      <c r="K204" s="46">
        <v>0.47366898148148145</v>
      </c>
      <c r="L204">
        <v>0</v>
      </c>
      <c r="M204">
        <v>0</v>
      </c>
      <c r="N204">
        <v>0</v>
      </c>
      <c r="O204" s="57">
        <f t="shared" ref="O204" si="282">AVERAGE(I204:I208)</f>
        <v>36.043399999999998</v>
      </c>
      <c r="R204" t="s">
        <v>103</v>
      </c>
      <c r="S204">
        <v>0</v>
      </c>
      <c r="T204" t="s">
        <v>7</v>
      </c>
      <c r="U204">
        <v>27552</v>
      </c>
      <c r="V204">
        <v>224</v>
      </c>
      <c r="W204" s="41">
        <v>2</v>
      </c>
      <c r="X204">
        <v>2</v>
      </c>
      <c r="Y204" s="1">
        <v>390.49</v>
      </c>
      <c r="Z204" s="54">
        <v>35.71</v>
      </c>
      <c r="AA204" s="23">
        <v>45558</v>
      </c>
      <c r="AB204" s="46">
        <v>0.47241898148148148</v>
      </c>
      <c r="AC204">
        <v>0</v>
      </c>
      <c r="AD204">
        <v>0</v>
      </c>
      <c r="AE204">
        <v>0</v>
      </c>
      <c r="AF204" s="57">
        <f t="shared" ref="AF204" si="283">AVERAGE(Z204:Z208)</f>
        <v>35.672800000000002</v>
      </c>
      <c r="AI204" s="23" t="s">
        <v>154</v>
      </c>
      <c r="AJ204" s="46">
        <v>0</v>
      </c>
      <c r="AK204" t="s">
        <v>7</v>
      </c>
      <c r="AL204">
        <v>27552</v>
      </c>
      <c r="AM204">
        <v>224</v>
      </c>
      <c r="AN204" s="41">
        <v>2</v>
      </c>
      <c r="AO204">
        <v>2</v>
      </c>
      <c r="AP204" s="1">
        <v>341.16</v>
      </c>
      <c r="AQ204" s="54">
        <v>40.874000000000002</v>
      </c>
      <c r="AR204" s="23">
        <v>45558</v>
      </c>
      <c r="AS204" s="46">
        <v>0.44246527777777778</v>
      </c>
      <c r="AT204">
        <v>0</v>
      </c>
      <c r="AU204">
        <v>0</v>
      </c>
      <c r="AV204">
        <v>0</v>
      </c>
      <c r="AW204" s="57">
        <f t="shared" ref="AW204" si="284">AVERAGE(AQ204:AQ208)</f>
        <v>40.734599999999993</v>
      </c>
      <c r="AZ204" t="s">
        <v>154</v>
      </c>
      <c r="BA204">
        <v>0</v>
      </c>
      <c r="BB204" t="s">
        <v>7</v>
      </c>
      <c r="BC204">
        <v>27552</v>
      </c>
      <c r="BD204">
        <v>224</v>
      </c>
      <c r="BE204">
        <v>2</v>
      </c>
      <c r="BF204">
        <v>2</v>
      </c>
      <c r="BG204" s="1">
        <v>399.04</v>
      </c>
      <c r="BH204" s="54">
        <v>34.945</v>
      </c>
      <c r="BI204" s="23">
        <v>45558</v>
      </c>
      <c r="BJ204" s="46">
        <v>0.45616898148148149</v>
      </c>
      <c r="BK204">
        <v>0</v>
      </c>
      <c r="BL204">
        <v>0</v>
      </c>
      <c r="BM204">
        <v>0</v>
      </c>
      <c r="BN204" s="57">
        <f t="shared" ref="BN204" si="285">AVERAGE(BH204:BH208)</f>
        <v>35.047600000000003</v>
      </c>
    </row>
    <row r="205" spans="1:66">
      <c r="A205" t="s">
        <v>103</v>
      </c>
      <c r="B205">
        <v>1</v>
      </c>
      <c r="C205" t="s">
        <v>7</v>
      </c>
      <c r="D205">
        <v>27552</v>
      </c>
      <c r="E205">
        <v>224</v>
      </c>
      <c r="F205">
        <v>2</v>
      </c>
      <c r="G205" s="41">
        <v>2</v>
      </c>
      <c r="H205" s="1">
        <v>386.83</v>
      </c>
      <c r="I205" s="54">
        <v>36.048000000000002</v>
      </c>
      <c r="J205" s="23">
        <v>45558</v>
      </c>
      <c r="K205" s="46">
        <v>0.81586805555555553</v>
      </c>
      <c r="L205">
        <v>0</v>
      </c>
      <c r="M205">
        <v>0</v>
      </c>
      <c r="N205">
        <v>0</v>
      </c>
      <c r="O205" s="57">
        <f t="shared" ref="O205:O243" si="286">O204</f>
        <v>36.043399999999998</v>
      </c>
      <c r="R205" t="s">
        <v>103</v>
      </c>
      <c r="S205">
        <v>1</v>
      </c>
      <c r="T205" t="s">
        <v>7</v>
      </c>
      <c r="U205">
        <v>27552</v>
      </c>
      <c r="V205">
        <v>224</v>
      </c>
      <c r="W205" s="58">
        <v>2</v>
      </c>
      <c r="X205">
        <v>2</v>
      </c>
      <c r="Y205" s="1">
        <v>391.81</v>
      </c>
      <c r="Z205" s="54">
        <v>35.590000000000003</v>
      </c>
      <c r="AA205" s="23">
        <v>45558</v>
      </c>
      <c r="AB205" s="46">
        <v>0.81560185185185186</v>
      </c>
      <c r="AC205">
        <v>0</v>
      </c>
      <c r="AD205">
        <v>0</v>
      </c>
      <c r="AE205">
        <v>0</v>
      </c>
      <c r="AF205" s="57">
        <f t="shared" si="279"/>
        <v>35.672800000000002</v>
      </c>
      <c r="AI205" s="23" t="s">
        <v>154</v>
      </c>
      <c r="AJ205" s="46">
        <v>1</v>
      </c>
      <c r="AK205" t="s">
        <v>7</v>
      </c>
      <c r="AL205">
        <v>27552</v>
      </c>
      <c r="AM205">
        <v>224</v>
      </c>
      <c r="AN205" s="41">
        <v>2</v>
      </c>
      <c r="AO205">
        <v>2</v>
      </c>
      <c r="AP205" s="1">
        <v>340.51</v>
      </c>
      <c r="AQ205" s="54">
        <v>40.951999999999998</v>
      </c>
      <c r="AR205" s="23">
        <v>45558</v>
      </c>
      <c r="AS205" s="46">
        <v>0.73537037037037034</v>
      </c>
      <c r="AT205">
        <v>0</v>
      </c>
      <c r="AU205">
        <v>0</v>
      </c>
      <c r="AV205">
        <v>0</v>
      </c>
      <c r="AW205" s="57">
        <f t="shared" ref="AW205:AW208" si="287">AW204</f>
        <v>40.734599999999993</v>
      </c>
      <c r="AZ205" t="s">
        <v>154</v>
      </c>
      <c r="BA205">
        <v>1</v>
      </c>
      <c r="BB205" t="s">
        <v>7</v>
      </c>
      <c r="BC205">
        <v>27552</v>
      </c>
      <c r="BD205">
        <v>224</v>
      </c>
      <c r="BE205">
        <v>2</v>
      </c>
      <c r="BF205">
        <v>2</v>
      </c>
      <c r="BG205" s="1">
        <v>396.46</v>
      </c>
      <c r="BH205" s="54">
        <v>35.173000000000002</v>
      </c>
      <c r="BI205" s="23">
        <v>45558</v>
      </c>
      <c r="BJ205" s="46">
        <v>0.77692129629629625</v>
      </c>
      <c r="BK205">
        <v>0</v>
      </c>
      <c r="BL205">
        <v>0</v>
      </c>
      <c r="BM205">
        <v>0</v>
      </c>
      <c r="BN205" s="57">
        <f t="shared" ref="BN205:BN208" si="288">BN204</f>
        <v>35.047600000000003</v>
      </c>
    </row>
    <row r="206" spans="1:66">
      <c r="A206" t="s">
        <v>103</v>
      </c>
      <c r="B206">
        <v>2</v>
      </c>
      <c r="C206" t="s">
        <v>7</v>
      </c>
      <c r="D206">
        <v>27552</v>
      </c>
      <c r="E206">
        <v>224</v>
      </c>
      <c r="F206">
        <v>2</v>
      </c>
      <c r="G206" s="41">
        <v>2</v>
      </c>
      <c r="H206" s="1">
        <v>387.99</v>
      </c>
      <c r="I206" s="54">
        <v>35.94</v>
      </c>
      <c r="J206" s="23">
        <v>45559</v>
      </c>
      <c r="K206" s="46">
        <v>0.15796296296296297</v>
      </c>
      <c r="L206">
        <v>0</v>
      </c>
      <c r="M206">
        <v>0</v>
      </c>
      <c r="N206">
        <v>0</v>
      </c>
      <c r="O206" s="57">
        <f t="shared" si="286"/>
        <v>36.043399999999998</v>
      </c>
      <c r="R206" t="s">
        <v>103</v>
      </c>
      <c r="S206">
        <v>2</v>
      </c>
      <c r="T206" t="s">
        <v>7</v>
      </c>
      <c r="U206">
        <v>27552</v>
      </c>
      <c r="V206">
        <v>224</v>
      </c>
      <c r="W206" s="58">
        <v>2</v>
      </c>
      <c r="X206">
        <v>2</v>
      </c>
      <c r="Y206" s="1">
        <v>391.77</v>
      </c>
      <c r="Z206" s="54">
        <v>35.594000000000001</v>
      </c>
      <c r="AA206" s="23">
        <v>45559</v>
      </c>
      <c r="AB206" s="46">
        <v>0.15859953703703702</v>
      </c>
      <c r="AC206">
        <v>0</v>
      </c>
      <c r="AD206">
        <v>0</v>
      </c>
      <c r="AE206">
        <v>0</v>
      </c>
      <c r="AF206" s="57">
        <f t="shared" si="279"/>
        <v>35.672800000000002</v>
      </c>
      <c r="AI206" s="23" t="s">
        <v>154</v>
      </c>
      <c r="AJ206" s="46">
        <v>2</v>
      </c>
      <c r="AK206" t="s">
        <v>7</v>
      </c>
      <c r="AL206">
        <v>27552</v>
      </c>
      <c r="AM206">
        <v>224</v>
      </c>
      <c r="AN206" s="41">
        <v>2</v>
      </c>
      <c r="AO206">
        <v>2</v>
      </c>
      <c r="AP206" s="1">
        <v>337.62</v>
      </c>
      <c r="AQ206" s="54">
        <v>41.302</v>
      </c>
      <c r="AR206" s="23">
        <v>45559</v>
      </c>
      <c r="AS206" s="46">
        <v>2.4259259259259258E-2</v>
      </c>
      <c r="AT206">
        <v>0</v>
      </c>
      <c r="AU206">
        <v>0</v>
      </c>
      <c r="AV206">
        <v>0</v>
      </c>
      <c r="AW206" s="57">
        <f t="shared" si="287"/>
        <v>40.734599999999993</v>
      </c>
      <c r="AZ206" t="s">
        <v>154</v>
      </c>
      <c r="BA206">
        <v>2</v>
      </c>
      <c r="BB206" t="s">
        <v>7</v>
      </c>
      <c r="BC206">
        <v>27552</v>
      </c>
      <c r="BD206">
        <v>224</v>
      </c>
      <c r="BE206">
        <v>2</v>
      </c>
      <c r="BF206">
        <v>2</v>
      </c>
      <c r="BG206" s="1">
        <v>405.1</v>
      </c>
      <c r="BH206" s="54">
        <v>34.423000000000002</v>
      </c>
      <c r="BI206" s="23">
        <v>45559</v>
      </c>
      <c r="BJ206" s="46">
        <v>8.5694444444444448E-2</v>
      </c>
      <c r="BK206">
        <v>0</v>
      </c>
      <c r="BL206">
        <v>0</v>
      </c>
      <c r="BM206">
        <v>0</v>
      </c>
      <c r="BN206" s="57">
        <f t="shared" si="288"/>
        <v>35.047600000000003</v>
      </c>
    </row>
    <row r="207" spans="1:66">
      <c r="A207" t="s">
        <v>103</v>
      </c>
      <c r="B207">
        <v>3</v>
      </c>
      <c r="C207" t="s">
        <v>7</v>
      </c>
      <c r="D207">
        <v>27552</v>
      </c>
      <c r="E207">
        <v>224</v>
      </c>
      <c r="F207">
        <v>2</v>
      </c>
      <c r="G207" s="41">
        <v>2</v>
      </c>
      <c r="H207" s="1">
        <v>387.63</v>
      </c>
      <c r="I207" s="54">
        <v>35.973999999999997</v>
      </c>
      <c r="J207" s="23">
        <v>45559</v>
      </c>
      <c r="K207" s="46">
        <v>0.50039351851851854</v>
      </c>
      <c r="L207">
        <v>0</v>
      </c>
      <c r="M207">
        <v>0</v>
      </c>
      <c r="N207">
        <v>0</v>
      </c>
      <c r="O207" s="57">
        <f t="shared" si="286"/>
        <v>36.043399999999998</v>
      </c>
      <c r="R207" t="s">
        <v>103</v>
      </c>
      <c r="S207">
        <v>3</v>
      </c>
      <c r="T207" t="s">
        <v>7</v>
      </c>
      <c r="U207">
        <v>27552</v>
      </c>
      <c r="V207">
        <v>224</v>
      </c>
      <c r="W207" s="58">
        <v>2</v>
      </c>
      <c r="X207">
        <v>2</v>
      </c>
      <c r="Y207" s="1">
        <v>392.99</v>
      </c>
      <c r="Z207" s="54">
        <v>35.484000000000002</v>
      </c>
      <c r="AA207" s="23">
        <v>45559</v>
      </c>
      <c r="AB207" s="46">
        <v>0.50175925925925924</v>
      </c>
      <c r="AC207">
        <v>0</v>
      </c>
      <c r="AD207">
        <v>0</v>
      </c>
      <c r="AE207">
        <v>0</v>
      </c>
      <c r="AF207" s="57">
        <f t="shared" si="279"/>
        <v>35.672800000000002</v>
      </c>
      <c r="AI207" s="23" t="s">
        <v>154</v>
      </c>
      <c r="AJ207" s="46">
        <v>3</v>
      </c>
      <c r="AK207" t="s">
        <v>7</v>
      </c>
      <c r="AL207">
        <v>27552</v>
      </c>
      <c r="AM207">
        <v>224</v>
      </c>
      <c r="AN207" s="41">
        <v>2</v>
      </c>
      <c r="AO207">
        <v>2</v>
      </c>
      <c r="AP207" s="1">
        <v>348.98</v>
      </c>
      <c r="AQ207" s="54">
        <v>39.957000000000001</v>
      </c>
      <c r="AR207" s="23">
        <v>45559</v>
      </c>
      <c r="AS207" s="46">
        <v>0.31339120370370371</v>
      </c>
      <c r="AT207">
        <v>0</v>
      </c>
      <c r="AU207">
        <v>0</v>
      </c>
      <c r="AV207">
        <v>0</v>
      </c>
      <c r="AW207" s="57">
        <f t="shared" si="287"/>
        <v>40.734599999999993</v>
      </c>
      <c r="AZ207" t="s">
        <v>154</v>
      </c>
      <c r="BA207">
        <v>3</v>
      </c>
      <c r="BB207" t="s">
        <v>7</v>
      </c>
      <c r="BC207">
        <v>27552</v>
      </c>
      <c r="BD207">
        <v>224</v>
      </c>
      <c r="BE207">
        <v>2</v>
      </c>
      <c r="BF207">
        <v>2</v>
      </c>
      <c r="BG207" s="1">
        <v>396.51</v>
      </c>
      <c r="BH207" s="54">
        <v>35.167999999999999</v>
      </c>
      <c r="BI207" s="23">
        <v>45559</v>
      </c>
      <c r="BJ207" s="46">
        <v>0.39407407407407408</v>
      </c>
      <c r="BK207">
        <v>0</v>
      </c>
      <c r="BL207">
        <v>0</v>
      </c>
      <c r="BM207">
        <v>0</v>
      </c>
      <c r="BN207" s="57">
        <f t="shared" si="288"/>
        <v>35.047600000000003</v>
      </c>
    </row>
    <row r="208" spans="1:66">
      <c r="A208" t="s">
        <v>103</v>
      </c>
      <c r="B208">
        <v>4</v>
      </c>
      <c r="C208" t="s">
        <v>7</v>
      </c>
      <c r="D208">
        <v>27552</v>
      </c>
      <c r="E208">
        <v>224</v>
      </c>
      <c r="F208">
        <v>2</v>
      </c>
      <c r="G208" s="41">
        <v>2</v>
      </c>
      <c r="H208" s="1">
        <v>385.12</v>
      </c>
      <c r="I208" s="54">
        <v>36.207999999999998</v>
      </c>
      <c r="J208" s="23">
        <v>45559</v>
      </c>
      <c r="K208" s="46">
        <v>0.8426851851851852</v>
      </c>
      <c r="L208">
        <v>0</v>
      </c>
      <c r="M208">
        <v>0</v>
      </c>
      <c r="N208">
        <v>0</v>
      </c>
      <c r="O208" s="57">
        <f t="shared" si="286"/>
        <v>36.043399999999998</v>
      </c>
      <c r="R208" t="s">
        <v>103</v>
      </c>
      <c r="S208">
        <v>4</v>
      </c>
      <c r="T208" t="s">
        <v>7</v>
      </c>
      <c r="U208">
        <v>27552</v>
      </c>
      <c r="V208">
        <v>224</v>
      </c>
      <c r="W208" s="58">
        <v>2</v>
      </c>
      <c r="X208">
        <v>2</v>
      </c>
      <c r="Y208" s="1">
        <v>387.5</v>
      </c>
      <c r="Z208" s="54">
        <v>35.985999999999997</v>
      </c>
      <c r="AA208" s="23">
        <v>45559</v>
      </c>
      <c r="AB208" s="46">
        <v>0.84466435185185185</v>
      </c>
      <c r="AC208">
        <v>0</v>
      </c>
      <c r="AD208">
        <v>0</v>
      </c>
      <c r="AE208">
        <v>0</v>
      </c>
      <c r="AF208" s="57">
        <f t="shared" si="279"/>
        <v>35.672800000000002</v>
      </c>
      <c r="AI208" s="23" t="s">
        <v>154</v>
      </c>
      <c r="AJ208" s="46">
        <v>4</v>
      </c>
      <c r="AK208" t="s">
        <v>7</v>
      </c>
      <c r="AL208">
        <v>27552</v>
      </c>
      <c r="AM208">
        <v>224</v>
      </c>
      <c r="AN208" s="41">
        <v>2</v>
      </c>
      <c r="AO208">
        <v>2</v>
      </c>
      <c r="AP208" s="1">
        <v>343.56</v>
      </c>
      <c r="AQ208" s="54">
        <v>40.588000000000001</v>
      </c>
      <c r="AR208" s="23">
        <v>45559</v>
      </c>
      <c r="AS208" s="46">
        <v>0.60291666666666666</v>
      </c>
      <c r="AT208">
        <v>0</v>
      </c>
      <c r="AU208">
        <v>0</v>
      </c>
      <c r="AV208">
        <v>0</v>
      </c>
      <c r="AW208" s="57">
        <f t="shared" si="287"/>
        <v>40.734599999999993</v>
      </c>
      <c r="AZ208" t="s">
        <v>154</v>
      </c>
      <c r="BA208">
        <v>4</v>
      </c>
      <c r="BB208" t="s">
        <v>7</v>
      </c>
      <c r="BC208">
        <v>27552</v>
      </c>
      <c r="BD208">
        <v>224</v>
      </c>
      <c r="BE208">
        <v>2</v>
      </c>
      <c r="BF208">
        <v>2</v>
      </c>
      <c r="BG208" s="1">
        <v>392.48</v>
      </c>
      <c r="BH208" s="54">
        <v>35.529000000000003</v>
      </c>
      <c r="BI208" s="23">
        <v>45559</v>
      </c>
      <c r="BJ208" s="46">
        <v>0.70251157407407405</v>
      </c>
      <c r="BK208">
        <v>0</v>
      </c>
      <c r="BL208">
        <v>0</v>
      </c>
      <c r="BM208">
        <v>0</v>
      </c>
      <c r="BN208" s="57">
        <f t="shared" si="288"/>
        <v>35.047600000000003</v>
      </c>
    </row>
    <row r="209" spans="1:66">
      <c r="A209" t="s">
        <v>103</v>
      </c>
      <c r="B209">
        <v>0</v>
      </c>
      <c r="C209" t="s">
        <v>7</v>
      </c>
      <c r="D209">
        <v>29120</v>
      </c>
      <c r="E209">
        <v>224</v>
      </c>
      <c r="F209">
        <v>2</v>
      </c>
      <c r="G209" s="41">
        <v>2</v>
      </c>
      <c r="H209" s="1">
        <v>458.25</v>
      </c>
      <c r="I209" s="54">
        <v>35.926000000000002</v>
      </c>
      <c r="J209" s="23">
        <v>45558</v>
      </c>
      <c r="K209" s="46">
        <v>0.60561342592592593</v>
      </c>
      <c r="L209">
        <v>0</v>
      </c>
      <c r="M209">
        <v>0</v>
      </c>
      <c r="N209">
        <v>0</v>
      </c>
      <c r="O209" s="57">
        <f t="shared" ref="O209" si="289">AVERAGE(I209:I213)</f>
        <v>35.922399999999996</v>
      </c>
      <c r="R209" t="s">
        <v>103</v>
      </c>
      <c r="S209">
        <v>0</v>
      </c>
      <c r="T209" t="s">
        <v>7</v>
      </c>
      <c r="U209">
        <v>29120</v>
      </c>
      <c r="V209">
        <v>224</v>
      </c>
      <c r="W209" s="41">
        <v>2</v>
      </c>
      <c r="X209">
        <v>2</v>
      </c>
      <c r="Y209" s="1">
        <v>463.18</v>
      </c>
      <c r="Z209" s="54">
        <v>35.543999999999997</v>
      </c>
      <c r="AA209" s="23">
        <v>45558</v>
      </c>
      <c r="AB209" s="46">
        <v>0.60474537037037035</v>
      </c>
      <c r="AC209">
        <v>0</v>
      </c>
      <c r="AD209">
        <v>0</v>
      </c>
      <c r="AE209">
        <v>0</v>
      </c>
      <c r="AF209" s="57">
        <f t="shared" ref="AF209" si="290">AVERAGE(Z209:Z213)</f>
        <v>35.560199999999995</v>
      </c>
      <c r="AI209" s="23" t="s">
        <v>154</v>
      </c>
      <c r="AJ209" s="46">
        <v>0</v>
      </c>
      <c r="AK209" t="s">
        <v>7</v>
      </c>
      <c r="AL209">
        <v>29120</v>
      </c>
      <c r="AM209">
        <v>224</v>
      </c>
      <c r="AN209" s="41">
        <v>2</v>
      </c>
      <c r="AO209">
        <v>2</v>
      </c>
      <c r="AP209" s="1">
        <v>403.06</v>
      </c>
      <c r="AQ209" s="54">
        <v>40.845999999999997</v>
      </c>
      <c r="AR209" s="23">
        <v>45558</v>
      </c>
      <c r="AS209" s="46">
        <v>0.58098379629629626</v>
      </c>
      <c r="AT209">
        <v>0</v>
      </c>
      <c r="AU209">
        <v>0</v>
      </c>
      <c r="AV209">
        <v>0</v>
      </c>
      <c r="AW209" s="57">
        <f t="shared" ref="AW209" si="291">AVERAGE(AQ209:AQ213)</f>
        <v>40.862400000000001</v>
      </c>
      <c r="AZ209" t="s">
        <v>154</v>
      </c>
      <c r="BA209">
        <v>0</v>
      </c>
      <c r="BB209" t="s">
        <v>7</v>
      </c>
      <c r="BC209">
        <v>29120</v>
      </c>
      <c r="BD209">
        <v>224</v>
      </c>
      <c r="BE209">
        <v>2</v>
      </c>
      <c r="BF209">
        <v>2</v>
      </c>
      <c r="BG209" s="1">
        <v>467.02</v>
      </c>
      <c r="BH209" s="54">
        <v>35.252000000000002</v>
      </c>
      <c r="BI209" s="23">
        <v>45558</v>
      </c>
      <c r="BJ209" s="46">
        <v>0.5866203703703704</v>
      </c>
      <c r="BK209">
        <v>0</v>
      </c>
      <c r="BL209">
        <v>0</v>
      </c>
      <c r="BM209">
        <v>0</v>
      </c>
      <c r="BN209" s="57">
        <f t="shared" ref="BN209" si="292">AVERAGE(BH209:BH213)</f>
        <v>35.448999999999998</v>
      </c>
    </row>
    <row r="210" spans="1:66">
      <c r="A210" t="s">
        <v>103</v>
      </c>
      <c r="B210">
        <v>1</v>
      </c>
      <c r="C210" t="s">
        <v>7</v>
      </c>
      <c r="D210">
        <v>29120</v>
      </c>
      <c r="E210">
        <v>224</v>
      </c>
      <c r="F210">
        <v>2</v>
      </c>
      <c r="G210" s="41">
        <v>2</v>
      </c>
      <c r="H210" s="1">
        <v>458.34</v>
      </c>
      <c r="I210" s="54">
        <v>35.918999999999997</v>
      </c>
      <c r="J210" s="23">
        <v>45558</v>
      </c>
      <c r="K210" s="46">
        <v>0.9478240740740741</v>
      </c>
      <c r="L210">
        <v>0</v>
      </c>
      <c r="M210">
        <v>0</v>
      </c>
      <c r="N210">
        <v>0</v>
      </c>
      <c r="O210" s="57">
        <f t="shared" ref="O210" si="293">O209</f>
        <v>35.922399999999996</v>
      </c>
      <c r="R210" t="s">
        <v>103</v>
      </c>
      <c r="S210">
        <v>1</v>
      </c>
      <c r="T210" t="s">
        <v>7</v>
      </c>
      <c r="U210">
        <v>29120</v>
      </c>
      <c r="V210">
        <v>224</v>
      </c>
      <c r="W210" s="58">
        <v>2</v>
      </c>
      <c r="X210">
        <v>2</v>
      </c>
      <c r="Y210" s="1">
        <v>462.36</v>
      </c>
      <c r="Z210" s="54">
        <v>35.606999999999999</v>
      </c>
      <c r="AA210" s="23">
        <v>45558</v>
      </c>
      <c r="AB210" s="46">
        <v>0.94785879629629632</v>
      </c>
      <c r="AC210">
        <v>0</v>
      </c>
      <c r="AD210">
        <v>0</v>
      </c>
      <c r="AE210">
        <v>0</v>
      </c>
      <c r="AF210" s="57">
        <f t="shared" si="279"/>
        <v>35.560199999999995</v>
      </c>
      <c r="AI210" s="23" t="s">
        <v>154</v>
      </c>
      <c r="AJ210" s="46">
        <v>1</v>
      </c>
      <c r="AK210" t="s">
        <v>7</v>
      </c>
      <c r="AL210">
        <v>29120</v>
      </c>
      <c r="AM210">
        <v>224</v>
      </c>
      <c r="AN210" s="41">
        <v>2</v>
      </c>
      <c r="AO210">
        <v>2</v>
      </c>
      <c r="AP210" s="1">
        <v>400.91</v>
      </c>
      <c r="AQ210" s="54">
        <v>41.064999999999998</v>
      </c>
      <c r="AR210" s="23">
        <v>45558</v>
      </c>
      <c r="AS210" s="46">
        <v>0.84723379629629625</v>
      </c>
      <c r="AT210">
        <v>0</v>
      </c>
      <c r="AU210">
        <v>0</v>
      </c>
      <c r="AV210">
        <v>0</v>
      </c>
      <c r="AW210" s="57">
        <f t="shared" ref="AW210:AW213" si="294">AW209</f>
        <v>40.862400000000001</v>
      </c>
      <c r="AZ210" t="s">
        <v>154</v>
      </c>
      <c r="BA210">
        <v>1</v>
      </c>
      <c r="BB210" t="s">
        <v>7</v>
      </c>
      <c r="BC210">
        <v>29120</v>
      </c>
      <c r="BD210">
        <v>224</v>
      </c>
      <c r="BE210">
        <v>2</v>
      </c>
      <c r="BF210">
        <v>2</v>
      </c>
      <c r="BG210" s="1">
        <v>464.69</v>
      </c>
      <c r="BH210" s="54">
        <v>35.429000000000002</v>
      </c>
      <c r="BI210" s="23">
        <v>45558</v>
      </c>
      <c r="BJ210" s="46">
        <v>0.89541666666666664</v>
      </c>
      <c r="BK210">
        <v>0</v>
      </c>
      <c r="BL210">
        <v>0</v>
      </c>
      <c r="BM210">
        <v>0</v>
      </c>
      <c r="BN210" s="57">
        <f t="shared" ref="BN210:BN213" si="295">BN209</f>
        <v>35.448999999999998</v>
      </c>
    </row>
    <row r="211" spans="1:66">
      <c r="A211" t="s">
        <v>103</v>
      </c>
      <c r="B211">
        <v>2</v>
      </c>
      <c r="C211" t="s">
        <v>7</v>
      </c>
      <c r="D211">
        <v>29120</v>
      </c>
      <c r="E211">
        <v>224</v>
      </c>
      <c r="F211">
        <v>2</v>
      </c>
      <c r="G211" s="41">
        <v>2</v>
      </c>
      <c r="H211" s="1">
        <v>458.95</v>
      </c>
      <c r="I211" s="54">
        <v>35.871000000000002</v>
      </c>
      <c r="J211" s="23">
        <v>45559</v>
      </c>
      <c r="K211" s="46">
        <v>0.29009259259259257</v>
      </c>
      <c r="L211">
        <v>0</v>
      </c>
      <c r="M211">
        <v>0</v>
      </c>
      <c r="N211">
        <v>0</v>
      </c>
      <c r="O211" s="57">
        <f t="shared" si="286"/>
        <v>35.922399999999996</v>
      </c>
      <c r="R211" t="s">
        <v>103</v>
      </c>
      <c r="S211">
        <v>2</v>
      </c>
      <c r="T211" t="s">
        <v>7</v>
      </c>
      <c r="U211">
        <v>29120</v>
      </c>
      <c r="V211">
        <v>224</v>
      </c>
      <c r="W211" s="58">
        <v>2</v>
      </c>
      <c r="X211">
        <v>2</v>
      </c>
      <c r="Y211" s="1">
        <v>465.32</v>
      </c>
      <c r="Z211" s="54">
        <v>35.380000000000003</v>
      </c>
      <c r="AA211" s="23">
        <v>45559</v>
      </c>
      <c r="AB211" s="46">
        <v>0.29087962962962965</v>
      </c>
      <c r="AC211">
        <v>0</v>
      </c>
      <c r="AD211">
        <v>0</v>
      </c>
      <c r="AE211">
        <v>0</v>
      </c>
      <c r="AF211" s="57">
        <f t="shared" si="279"/>
        <v>35.560199999999995</v>
      </c>
      <c r="AI211" s="23" t="s">
        <v>154</v>
      </c>
      <c r="AJ211" s="46">
        <v>2</v>
      </c>
      <c r="AK211" t="s">
        <v>7</v>
      </c>
      <c r="AL211">
        <v>29120</v>
      </c>
      <c r="AM211">
        <v>224</v>
      </c>
      <c r="AN211" s="41">
        <v>2</v>
      </c>
      <c r="AO211">
        <v>2</v>
      </c>
      <c r="AP211" s="1">
        <v>399.8</v>
      </c>
      <c r="AQ211" s="54">
        <v>41.177999999999997</v>
      </c>
      <c r="AR211" s="23">
        <v>45559</v>
      </c>
      <c r="AS211" s="46">
        <v>0.13601851851851851</v>
      </c>
      <c r="AT211">
        <v>0</v>
      </c>
      <c r="AU211">
        <v>0</v>
      </c>
      <c r="AV211">
        <v>0</v>
      </c>
      <c r="AW211" s="57">
        <f t="shared" si="294"/>
        <v>40.862400000000001</v>
      </c>
      <c r="AZ211" t="s">
        <v>154</v>
      </c>
      <c r="BA211">
        <v>2</v>
      </c>
      <c r="BB211" t="s">
        <v>7</v>
      </c>
      <c r="BC211">
        <v>29120</v>
      </c>
      <c r="BD211">
        <v>224</v>
      </c>
      <c r="BE211">
        <v>2</v>
      </c>
      <c r="BF211">
        <v>2</v>
      </c>
      <c r="BG211" s="1">
        <v>464.58</v>
      </c>
      <c r="BH211" s="54">
        <v>35.436999999999998</v>
      </c>
      <c r="BI211" s="23">
        <v>45559</v>
      </c>
      <c r="BJ211" s="46">
        <v>0.20405092592592591</v>
      </c>
      <c r="BK211">
        <v>0</v>
      </c>
      <c r="BL211">
        <v>0</v>
      </c>
      <c r="BM211">
        <v>0</v>
      </c>
      <c r="BN211" s="57">
        <f t="shared" si="295"/>
        <v>35.448999999999998</v>
      </c>
    </row>
    <row r="212" spans="1:66">
      <c r="A212" t="s">
        <v>103</v>
      </c>
      <c r="B212">
        <v>3</v>
      </c>
      <c r="C212" t="s">
        <v>7</v>
      </c>
      <c r="D212">
        <v>29120</v>
      </c>
      <c r="E212">
        <v>224</v>
      </c>
      <c r="F212">
        <v>2</v>
      </c>
      <c r="G212" s="41">
        <v>2</v>
      </c>
      <c r="H212" s="1">
        <v>459.79</v>
      </c>
      <c r="I212" s="54">
        <v>35.805999999999997</v>
      </c>
      <c r="J212" s="23">
        <v>45559</v>
      </c>
      <c r="K212" s="46">
        <v>0.63241898148148146</v>
      </c>
      <c r="L212">
        <v>0</v>
      </c>
      <c r="M212">
        <v>0</v>
      </c>
      <c r="N212">
        <v>0</v>
      </c>
      <c r="O212" s="57">
        <f t="shared" si="286"/>
        <v>35.922399999999996</v>
      </c>
      <c r="R212" t="s">
        <v>103</v>
      </c>
      <c r="S212">
        <v>3</v>
      </c>
      <c r="T212" t="s">
        <v>7</v>
      </c>
      <c r="U212">
        <v>29120</v>
      </c>
      <c r="V212">
        <v>224</v>
      </c>
      <c r="W212" s="58">
        <v>2</v>
      </c>
      <c r="X212">
        <v>2</v>
      </c>
      <c r="Y212" s="1">
        <v>464.38</v>
      </c>
      <c r="Z212" s="54">
        <v>35.451999999999998</v>
      </c>
      <c r="AA212" s="23">
        <v>45559</v>
      </c>
      <c r="AB212" s="46">
        <v>0.6341782407407407</v>
      </c>
      <c r="AC212">
        <v>0</v>
      </c>
      <c r="AD212">
        <v>0</v>
      </c>
      <c r="AE212">
        <v>0</v>
      </c>
      <c r="AF212" s="57">
        <f t="shared" si="279"/>
        <v>35.560199999999995</v>
      </c>
      <c r="AI212" s="23" t="s">
        <v>154</v>
      </c>
      <c r="AJ212" s="46">
        <v>3</v>
      </c>
      <c r="AK212" t="s">
        <v>7</v>
      </c>
      <c r="AL212">
        <v>29120</v>
      </c>
      <c r="AM212">
        <v>224</v>
      </c>
      <c r="AN212" s="41">
        <v>2</v>
      </c>
      <c r="AO212">
        <v>2</v>
      </c>
      <c r="AP212" s="1">
        <v>405.67</v>
      </c>
      <c r="AQ212" s="54">
        <v>40.582999999999998</v>
      </c>
      <c r="AR212" s="23">
        <v>45559</v>
      </c>
      <c r="AS212" s="46">
        <v>0.42532407407407408</v>
      </c>
      <c r="AT212">
        <v>0</v>
      </c>
      <c r="AU212">
        <v>0</v>
      </c>
      <c r="AV212">
        <v>0</v>
      </c>
      <c r="AW212" s="57">
        <f t="shared" si="294"/>
        <v>40.862400000000001</v>
      </c>
      <c r="AZ212" t="s">
        <v>154</v>
      </c>
      <c r="BA212">
        <v>3</v>
      </c>
      <c r="BB212" t="s">
        <v>7</v>
      </c>
      <c r="BC212">
        <v>29120</v>
      </c>
      <c r="BD212">
        <v>224</v>
      </c>
      <c r="BE212">
        <v>2</v>
      </c>
      <c r="BF212">
        <v>2</v>
      </c>
      <c r="BG212" s="1">
        <v>462.27</v>
      </c>
      <c r="BH212" s="54">
        <v>35.613999999999997</v>
      </c>
      <c r="BI212" s="23">
        <v>45559</v>
      </c>
      <c r="BJ212" s="46">
        <v>0.51244212962962965</v>
      </c>
      <c r="BK212">
        <v>0</v>
      </c>
      <c r="BL212">
        <v>0</v>
      </c>
      <c r="BM212">
        <v>0</v>
      </c>
      <c r="BN212" s="57">
        <f t="shared" si="295"/>
        <v>35.448999999999998</v>
      </c>
    </row>
    <row r="213" spans="1:66">
      <c r="A213" t="s">
        <v>103</v>
      </c>
      <c r="B213">
        <v>4</v>
      </c>
      <c r="C213" t="s">
        <v>7</v>
      </c>
      <c r="D213">
        <v>29120</v>
      </c>
      <c r="E213">
        <v>224</v>
      </c>
      <c r="F213">
        <v>2</v>
      </c>
      <c r="G213" s="41">
        <v>2</v>
      </c>
      <c r="H213" s="1">
        <v>456.17</v>
      </c>
      <c r="I213" s="54">
        <v>36.090000000000003</v>
      </c>
      <c r="J213" s="23">
        <v>45559</v>
      </c>
      <c r="K213" s="46">
        <v>0.97432870370370372</v>
      </c>
      <c r="L213">
        <v>0</v>
      </c>
      <c r="M213">
        <v>0</v>
      </c>
      <c r="N213">
        <v>0</v>
      </c>
      <c r="O213" s="57">
        <f t="shared" si="286"/>
        <v>35.922399999999996</v>
      </c>
      <c r="R213" t="s">
        <v>103</v>
      </c>
      <c r="S213">
        <v>4</v>
      </c>
      <c r="T213" t="s">
        <v>7</v>
      </c>
      <c r="U213">
        <v>29120</v>
      </c>
      <c r="V213">
        <v>224</v>
      </c>
      <c r="W213" s="58">
        <v>2</v>
      </c>
      <c r="X213">
        <v>2</v>
      </c>
      <c r="Y213" s="1">
        <v>459.64</v>
      </c>
      <c r="Z213" s="54">
        <v>35.817999999999998</v>
      </c>
      <c r="AA213" s="23">
        <v>45559</v>
      </c>
      <c r="AB213" s="46">
        <v>0.97674768518518518</v>
      </c>
      <c r="AC213">
        <v>0</v>
      </c>
      <c r="AD213">
        <v>0</v>
      </c>
      <c r="AE213">
        <v>0</v>
      </c>
      <c r="AF213" s="57">
        <f t="shared" si="279"/>
        <v>35.560199999999995</v>
      </c>
      <c r="AI213" s="23" t="s">
        <v>154</v>
      </c>
      <c r="AJ213" s="46">
        <v>4</v>
      </c>
      <c r="AK213" t="s">
        <v>7</v>
      </c>
      <c r="AL213">
        <v>29120</v>
      </c>
      <c r="AM213">
        <v>224</v>
      </c>
      <c r="AN213" s="41">
        <v>2</v>
      </c>
      <c r="AO213">
        <v>2</v>
      </c>
      <c r="AP213" s="1">
        <v>405.1</v>
      </c>
      <c r="AQ213" s="54">
        <v>40.64</v>
      </c>
      <c r="AR213" s="23">
        <v>45559</v>
      </c>
      <c r="AS213" s="46">
        <v>0.71523148148148152</v>
      </c>
      <c r="AT213">
        <v>0</v>
      </c>
      <c r="AU213">
        <v>0</v>
      </c>
      <c r="AV213">
        <v>0</v>
      </c>
      <c r="AW213" s="57">
        <f t="shared" si="294"/>
        <v>40.862400000000001</v>
      </c>
      <c r="AZ213" t="s">
        <v>154</v>
      </c>
      <c r="BA213">
        <v>4</v>
      </c>
      <c r="BB213" t="s">
        <v>7</v>
      </c>
      <c r="BC213">
        <v>29120</v>
      </c>
      <c r="BD213">
        <v>224</v>
      </c>
      <c r="BE213">
        <v>2</v>
      </c>
      <c r="BF213">
        <v>2</v>
      </c>
      <c r="BG213" s="1">
        <v>463.58</v>
      </c>
      <c r="BH213" s="54">
        <v>35.512999999999998</v>
      </c>
      <c r="BI213" s="23">
        <v>45559</v>
      </c>
      <c r="BJ213" s="46">
        <v>0.8208333333333333</v>
      </c>
      <c r="BK213">
        <v>0</v>
      </c>
      <c r="BL213">
        <v>0</v>
      </c>
      <c r="BM213">
        <v>0</v>
      </c>
      <c r="BN213" s="57">
        <f t="shared" si="295"/>
        <v>35.448999999999998</v>
      </c>
    </row>
    <row r="214" spans="1:66">
      <c r="A214" t="s">
        <v>103</v>
      </c>
      <c r="B214">
        <v>0</v>
      </c>
      <c r="C214" t="s">
        <v>7</v>
      </c>
      <c r="D214">
        <v>26112</v>
      </c>
      <c r="E214">
        <v>256</v>
      </c>
      <c r="F214">
        <v>1</v>
      </c>
      <c r="G214" s="41">
        <v>4</v>
      </c>
      <c r="H214" s="1">
        <v>356.54</v>
      </c>
      <c r="I214" s="54">
        <v>33.293999999999997</v>
      </c>
      <c r="J214" s="23">
        <v>45558</v>
      </c>
      <c r="K214" s="46">
        <v>0.36677083333333332</v>
      </c>
      <c r="L214">
        <v>0</v>
      </c>
      <c r="M214">
        <v>0</v>
      </c>
      <c r="N214">
        <v>0</v>
      </c>
      <c r="O214" s="57">
        <f t="shared" ref="O214" si="296">AVERAGE(I214:I218)</f>
        <v>33.241399999999999</v>
      </c>
      <c r="R214" t="s">
        <v>103</v>
      </c>
      <c r="S214">
        <v>0</v>
      </c>
      <c r="T214" t="s">
        <v>7</v>
      </c>
      <c r="U214">
        <v>26112</v>
      </c>
      <c r="V214">
        <v>256</v>
      </c>
      <c r="W214" s="41">
        <v>1</v>
      </c>
      <c r="X214">
        <v>4</v>
      </c>
      <c r="Y214" s="1">
        <v>360.4</v>
      </c>
      <c r="Z214" s="54">
        <v>32.936999999999998</v>
      </c>
      <c r="AA214" s="23">
        <v>45558</v>
      </c>
      <c r="AB214" s="46">
        <v>0.36533564814814817</v>
      </c>
      <c r="AC214">
        <v>0</v>
      </c>
      <c r="AD214">
        <v>0</v>
      </c>
      <c r="AE214">
        <v>0</v>
      </c>
      <c r="AF214" s="57">
        <f t="shared" ref="AF214" si="297">AVERAGE(Z214:Z218)</f>
        <v>33.017600000000002</v>
      </c>
      <c r="AI214" s="23" t="s">
        <v>154</v>
      </c>
      <c r="AJ214" s="46">
        <v>0</v>
      </c>
      <c r="AK214" t="s">
        <v>7</v>
      </c>
      <c r="AL214">
        <v>26112</v>
      </c>
      <c r="AM214">
        <v>256</v>
      </c>
      <c r="AN214" s="41">
        <v>1</v>
      </c>
      <c r="AO214">
        <v>4</v>
      </c>
      <c r="AP214" s="1">
        <v>281.83999999999997</v>
      </c>
      <c r="AQ214" s="54">
        <v>42.116999999999997</v>
      </c>
      <c r="AR214" s="23">
        <v>45558</v>
      </c>
      <c r="AS214" s="46">
        <v>0.35204861111111113</v>
      </c>
      <c r="AT214">
        <v>0</v>
      </c>
      <c r="AU214">
        <v>0</v>
      </c>
      <c r="AV214">
        <v>0</v>
      </c>
      <c r="AW214" s="57">
        <f t="shared" ref="AW214" si="298">AVERAGE(AQ214:AQ218)</f>
        <v>42.068799999999996</v>
      </c>
      <c r="AZ214" t="s">
        <v>154</v>
      </c>
      <c r="BA214">
        <v>0</v>
      </c>
      <c r="BB214" t="s">
        <v>7</v>
      </c>
      <c r="BC214">
        <v>26112</v>
      </c>
      <c r="BD214">
        <v>256</v>
      </c>
      <c r="BE214">
        <v>1</v>
      </c>
      <c r="BF214">
        <v>4</v>
      </c>
      <c r="BG214" s="1">
        <v>313.76</v>
      </c>
      <c r="BH214" s="54">
        <v>37.832999999999998</v>
      </c>
      <c r="BI214" s="23">
        <v>45558</v>
      </c>
      <c r="BJ214" s="46">
        <v>0.359375</v>
      </c>
      <c r="BK214">
        <v>0</v>
      </c>
      <c r="BL214">
        <v>0</v>
      </c>
      <c r="BM214">
        <v>0</v>
      </c>
      <c r="BN214" s="57">
        <f t="shared" ref="BN214" si="299">AVERAGE(BH214:BH218)</f>
        <v>38.442799999999998</v>
      </c>
    </row>
    <row r="215" spans="1:66">
      <c r="A215" t="s">
        <v>103</v>
      </c>
      <c r="B215">
        <v>1</v>
      </c>
      <c r="C215" t="s">
        <v>7</v>
      </c>
      <c r="D215">
        <v>26112</v>
      </c>
      <c r="E215">
        <v>256</v>
      </c>
      <c r="F215">
        <v>1</v>
      </c>
      <c r="G215" s="41">
        <v>4</v>
      </c>
      <c r="H215" s="1">
        <v>356.41</v>
      </c>
      <c r="I215" s="54">
        <v>33.305999999999997</v>
      </c>
      <c r="J215" s="23">
        <v>45558</v>
      </c>
      <c r="K215" s="46">
        <v>0.70887731481481486</v>
      </c>
      <c r="L215">
        <v>0</v>
      </c>
      <c r="M215">
        <v>0</v>
      </c>
      <c r="N215">
        <v>0</v>
      </c>
      <c r="O215" s="57">
        <f t="shared" ref="O215" si="300">O214</f>
        <v>33.241399999999999</v>
      </c>
      <c r="R215" t="s">
        <v>103</v>
      </c>
      <c r="S215">
        <v>1</v>
      </c>
      <c r="T215" t="s">
        <v>7</v>
      </c>
      <c r="U215">
        <v>26112</v>
      </c>
      <c r="V215">
        <v>256</v>
      </c>
      <c r="W215" s="41">
        <v>1</v>
      </c>
      <c r="X215">
        <v>4</v>
      </c>
      <c r="Y215" s="1">
        <v>360.84</v>
      </c>
      <c r="Z215" s="54">
        <v>32.896999999999998</v>
      </c>
      <c r="AA215" s="23">
        <v>45558</v>
      </c>
      <c r="AB215" s="46">
        <v>0.7084259259259259</v>
      </c>
      <c r="AC215">
        <v>0</v>
      </c>
      <c r="AD215">
        <v>0</v>
      </c>
      <c r="AE215">
        <v>0</v>
      </c>
      <c r="AF215" s="57">
        <f t="shared" si="279"/>
        <v>33.017600000000002</v>
      </c>
      <c r="AI215" s="23" t="s">
        <v>154</v>
      </c>
      <c r="AJ215" s="46">
        <v>1</v>
      </c>
      <c r="AK215" t="s">
        <v>7</v>
      </c>
      <c r="AL215">
        <v>26112</v>
      </c>
      <c r="AM215">
        <v>256</v>
      </c>
      <c r="AN215" s="41">
        <v>1</v>
      </c>
      <c r="AO215">
        <v>4</v>
      </c>
      <c r="AP215" s="1">
        <v>281.08999999999997</v>
      </c>
      <c r="AQ215" s="54">
        <v>42.23</v>
      </c>
      <c r="AR215" s="23">
        <v>45558</v>
      </c>
      <c r="AS215" s="46">
        <v>0.64439814814814811</v>
      </c>
      <c r="AT215">
        <v>0</v>
      </c>
      <c r="AU215">
        <v>0</v>
      </c>
      <c r="AV215">
        <v>0</v>
      </c>
      <c r="AW215" s="57">
        <f t="shared" ref="AW215:AW218" si="301">AW214</f>
        <v>42.068799999999996</v>
      </c>
      <c r="AZ215" t="s">
        <v>154</v>
      </c>
      <c r="BA215">
        <v>1</v>
      </c>
      <c r="BB215" t="s">
        <v>7</v>
      </c>
      <c r="BC215">
        <v>26112</v>
      </c>
      <c r="BD215">
        <v>256</v>
      </c>
      <c r="BE215">
        <v>1</v>
      </c>
      <c r="BF215">
        <v>4</v>
      </c>
      <c r="BG215" s="1">
        <v>307.63</v>
      </c>
      <c r="BH215" s="54">
        <v>38.585999999999999</v>
      </c>
      <c r="BI215" s="23">
        <v>45558</v>
      </c>
      <c r="BJ215" s="46">
        <v>0.68016203703703704</v>
      </c>
      <c r="BK215">
        <v>0</v>
      </c>
      <c r="BL215">
        <v>0</v>
      </c>
      <c r="BM215">
        <v>0</v>
      </c>
      <c r="BN215" s="57">
        <f t="shared" ref="BN215:BN218" si="302">BN214</f>
        <v>38.442799999999998</v>
      </c>
    </row>
    <row r="216" spans="1:66">
      <c r="A216" t="s">
        <v>103</v>
      </c>
      <c r="B216">
        <v>2</v>
      </c>
      <c r="C216" t="s">
        <v>7</v>
      </c>
      <c r="D216">
        <v>26112</v>
      </c>
      <c r="E216">
        <v>256</v>
      </c>
      <c r="F216">
        <v>1</v>
      </c>
      <c r="G216" s="41">
        <v>4</v>
      </c>
      <c r="H216" s="1">
        <v>355.76</v>
      </c>
      <c r="I216" s="54">
        <v>33.366</v>
      </c>
      <c r="J216" s="23">
        <v>45559</v>
      </c>
      <c r="K216" s="46">
        <v>5.1053240740740739E-2</v>
      </c>
      <c r="L216">
        <v>0</v>
      </c>
      <c r="M216">
        <v>0</v>
      </c>
      <c r="N216">
        <v>0</v>
      </c>
      <c r="O216" s="57">
        <f t="shared" si="286"/>
        <v>33.241399999999999</v>
      </c>
      <c r="R216" t="s">
        <v>103</v>
      </c>
      <c r="S216">
        <v>2</v>
      </c>
      <c r="T216" t="s">
        <v>7</v>
      </c>
      <c r="U216">
        <v>26112</v>
      </c>
      <c r="V216">
        <v>256</v>
      </c>
      <c r="W216" s="58">
        <v>1</v>
      </c>
      <c r="X216">
        <v>4</v>
      </c>
      <c r="Y216" s="1">
        <v>359.23</v>
      </c>
      <c r="Z216" s="54">
        <v>33.043999999999997</v>
      </c>
      <c r="AA216" s="23">
        <v>45559</v>
      </c>
      <c r="AB216" s="46">
        <v>5.1527777777777777E-2</v>
      </c>
      <c r="AC216">
        <v>0</v>
      </c>
      <c r="AD216">
        <v>0</v>
      </c>
      <c r="AE216">
        <v>0</v>
      </c>
      <c r="AF216" s="57">
        <f t="shared" si="279"/>
        <v>33.017600000000002</v>
      </c>
      <c r="AI216" s="23" t="s">
        <v>154</v>
      </c>
      <c r="AJ216" s="46">
        <v>2</v>
      </c>
      <c r="AK216" t="s">
        <v>7</v>
      </c>
      <c r="AL216">
        <v>26112</v>
      </c>
      <c r="AM216">
        <v>256</v>
      </c>
      <c r="AN216" s="41">
        <v>1</v>
      </c>
      <c r="AO216">
        <v>4</v>
      </c>
      <c r="AP216" s="1">
        <v>282.13</v>
      </c>
      <c r="AQ216" s="54">
        <v>42.075000000000003</v>
      </c>
      <c r="AR216" s="23">
        <v>45558</v>
      </c>
      <c r="AS216" s="46">
        <v>0.9337037037037037</v>
      </c>
      <c r="AT216">
        <v>0</v>
      </c>
      <c r="AU216">
        <v>0</v>
      </c>
      <c r="AV216">
        <v>0</v>
      </c>
      <c r="AW216" s="57">
        <f t="shared" si="301"/>
        <v>42.068799999999996</v>
      </c>
      <c r="AZ216" t="s">
        <v>154</v>
      </c>
      <c r="BA216">
        <v>2</v>
      </c>
      <c r="BB216" t="s">
        <v>7</v>
      </c>
      <c r="BC216">
        <v>26112</v>
      </c>
      <c r="BD216">
        <v>256</v>
      </c>
      <c r="BE216">
        <v>1</v>
      </c>
      <c r="BF216">
        <v>4</v>
      </c>
      <c r="BG216" s="1">
        <v>307.08999999999997</v>
      </c>
      <c r="BH216" s="54">
        <v>38.654000000000003</v>
      </c>
      <c r="BI216" s="23">
        <v>45558</v>
      </c>
      <c r="BJ216" s="46">
        <v>0.9887731481481481</v>
      </c>
      <c r="BK216">
        <v>0</v>
      </c>
      <c r="BL216">
        <v>0</v>
      </c>
      <c r="BM216">
        <v>0</v>
      </c>
      <c r="BN216" s="57">
        <f t="shared" si="302"/>
        <v>38.442799999999998</v>
      </c>
    </row>
    <row r="217" spans="1:66">
      <c r="A217" t="s">
        <v>103</v>
      </c>
      <c r="B217">
        <v>3</v>
      </c>
      <c r="C217" t="s">
        <v>7</v>
      </c>
      <c r="D217">
        <v>26112</v>
      </c>
      <c r="E217">
        <v>256</v>
      </c>
      <c r="F217">
        <v>1</v>
      </c>
      <c r="G217" s="41">
        <v>4</v>
      </c>
      <c r="H217" s="1">
        <v>358.89</v>
      </c>
      <c r="I217" s="54">
        <v>33.076000000000001</v>
      </c>
      <c r="J217" s="23">
        <v>45559</v>
      </c>
      <c r="K217" s="46">
        <v>0.39346064814814813</v>
      </c>
      <c r="L217">
        <v>0</v>
      </c>
      <c r="M217">
        <v>0</v>
      </c>
      <c r="N217">
        <v>0</v>
      </c>
      <c r="O217" s="57">
        <f t="shared" si="286"/>
        <v>33.241399999999999</v>
      </c>
      <c r="R217" t="s">
        <v>103</v>
      </c>
      <c r="S217">
        <v>3</v>
      </c>
      <c r="T217" t="s">
        <v>7</v>
      </c>
      <c r="U217">
        <v>26112</v>
      </c>
      <c r="V217">
        <v>256</v>
      </c>
      <c r="W217" s="58">
        <v>1</v>
      </c>
      <c r="X217">
        <v>4</v>
      </c>
      <c r="Y217" s="1">
        <v>360.86</v>
      </c>
      <c r="Z217" s="54">
        <v>32.895000000000003</v>
      </c>
      <c r="AA217" s="23">
        <v>45559</v>
      </c>
      <c r="AB217" s="46">
        <v>0.39462962962962961</v>
      </c>
      <c r="AC217">
        <v>0</v>
      </c>
      <c r="AD217">
        <v>0</v>
      </c>
      <c r="AE217">
        <v>0</v>
      </c>
      <c r="AF217" s="57">
        <f t="shared" si="279"/>
        <v>33.017600000000002</v>
      </c>
      <c r="AI217" s="23" t="s">
        <v>154</v>
      </c>
      <c r="AJ217" s="46">
        <v>3</v>
      </c>
      <c r="AK217" t="s">
        <v>7</v>
      </c>
      <c r="AL217">
        <v>26112</v>
      </c>
      <c r="AM217">
        <v>256</v>
      </c>
      <c r="AN217" s="41">
        <v>1</v>
      </c>
      <c r="AO217">
        <v>4</v>
      </c>
      <c r="AP217" s="1">
        <v>283.06</v>
      </c>
      <c r="AQ217" s="54">
        <v>41.936</v>
      </c>
      <c r="AR217" s="23">
        <v>45559</v>
      </c>
      <c r="AS217" s="46">
        <v>0.22265046296296295</v>
      </c>
      <c r="AT217">
        <v>0</v>
      </c>
      <c r="AU217">
        <v>0</v>
      </c>
      <c r="AV217">
        <v>0</v>
      </c>
      <c r="AW217" s="57">
        <f t="shared" si="301"/>
        <v>42.068799999999996</v>
      </c>
      <c r="AZ217" t="s">
        <v>154</v>
      </c>
      <c r="BA217">
        <v>3</v>
      </c>
      <c r="BB217" t="s">
        <v>7</v>
      </c>
      <c r="BC217">
        <v>26112</v>
      </c>
      <c r="BD217">
        <v>256</v>
      </c>
      <c r="BE217">
        <v>1</v>
      </c>
      <c r="BF217">
        <v>4</v>
      </c>
      <c r="BG217" s="1">
        <v>306.89</v>
      </c>
      <c r="BH217" s="54">
        <v>38.68</v>
      </c>
      <c r="BI217" s="23">
        <v>45559</v>
      </c>
      <c r="BJ217" s="46">
        <v>0.29738425925925926</v>
      </c>
      <c r="BK217">
        <v>0</v>
      </c>
      <c r="BL217">
        <v>0</v>
      </c>
      <c r="BM217">
        <v>0</v>
      </c>
      <c r="BN217" s="57">
        <f t="shared" si="302"/>
        <v>38.442799999999998</v>
      </c>
    </row>
    <row r="218" spans="1:66">
      <c r="A218" t="s">
        <v>103</v>
      </c>
      <c r="B218">
        <v>4</v>
      </c>
      <c r="C218" t="s">
        <v>7</v>
      </c>
      <c r="D218">
        <v>26112</v>
      </c>
      <c r="E218">
        <v>256</v>
      </c>
      <c r="F218">
        <v>1</v>
      </c>
      <c r="G218" s="41">
        <v>4</v>
      </c>
      <c r="H218" s="1">
        <v>357.92</v>
      </c>
      <c r="I218" s="54">
        <v>33.164999999999999</v>
      </c>
      <c r="J218" s="23">
        <v>45559</v>
      </c>
      <c r="K218" s="46">
        <v>0.73571759259259262</v>
      </c>
      <c r="L218">
        <v>0</v>
      </c>
      <c r="M218">
        <v>0</v>
      </c>
      <c r="N218">
        <v>0</v>
      </c>
      <c r="O218" s="57">
        <f t="shared" si="286"/>
        <v>33.241399999999999</v>
      </c>
      <c r="R218" t="s">
        <v>103</v>
      </c>
      <c r="S218">
        <v>4</v>
      </c>
      <c r="T218" t="s">
        <v>7</v>
      </c>
      <c r="U218">
        <v>26112</v>
      </c>
      <c r="V218">
        <v>256</v>
      </c>
      <c r="W218" s="58">
        <v>1</v>
      </c>
      <c r="X218">
        <v>4</v>
      </c>
      <c r="Y218" s="1">
        <v>356.31</v>
      </c>
      <c r="Z218" s="54">
        <v>33.314999999999998</v>
      </c>
      <c r="AA218" s="23">
        <v>45559</v>
      </c>
      <c r="AB218" s="46">
        <v>0.73771990740740745</v>
      </c>
      <c r="AC218">
        <v>0</v>
      </c>
      <c r="AD218">
        <v>0</v>
      </c>
      <c r="AE218">
        <v>0</v>
      </c>
      <c r="AF218" s="57">
        <f t="shared" si="279"/>
        <v>33.017600000000002</v>
      </c>
      <c r="AI218" s="23" t="s">
        <v>154</v>
      </c>
      <c r="AJ218" s="46">
        <v>4</v>
      </c>
      <c r="AK218" t="s">
        <v>7</v>
      </c>
      <c r="AL218">
        <v>26112</v>
      </c>
      <c r="AM218">
        <v>256</v>
      </c>
      <c r="AN218" s="41">
        <v>1</v>
      </c>
      <c r="AO218">
        <v>4</v>
      </c>
      <c r="AP218" s="1">
        <v>282.73</v>
      </c>
      <c r="AQ218" s="54">
        <v>41.985999999999997</v>
      </c>
      <c r="AR218" s="23">
        <v>45559</v>
      </c>
      <c r="AS218" s="46">
        <v>0.51197916666666665</v>
      </c>
      <c r="AT218">
        <v>0</v>
      </c>
      <c r="AU218">
        <v>0</v>
      </c>
      <c r="AV218">
        <v>0</v>
      </c>
      <c r="AW218" s="57">
        <f t="shared" si="301"/>
        <v>42.068799999999996</v>
      </c>
      <c r="AZ218" t="s">
        <v>154</v>
      </c>
      <c r="BA218">
        <v>4</v>
      </c>
      <c r="BB218" t="s">
        <v>7</v>
      </c>
      <c r="BC218">
        <v>26112</v>
      </c>
      <c r="BD218">
        <v>256</v>
      </c>
      <c r="BE218">
        <v>1</v>
      </c>
      <c r="BF218">
        <v>4</v>
      </c>
      <c r="BG218" s="1">
        <v>308.64</v>
      </c>
      <c r="BH218" s="54">
        <v>38.460999999999999</v>
      </c>
      <c r="BI218" s="23">
        <v>45559</v>
      </c>
      <c r="BJ218" s="46">
        <v>0.60583333333333333</v>
      </c>
      <c r="BK218">
        <v>0</v>
      </c>
      <c r="BL218">
        <v>0</v>
      </c>
      <c r="BM218">
        <v>0</v>
      </c>
      <c r="BN218" s="57">
        <f t="shared" si="302"/>
        <v>38.442799999999998</v>
      </c>
    </row>
    <row r="219" spans="1:66">
      <c r="A219" t="s">
        <v>103</v>
      </c>
      <c r="B219">
        <v>0</v>
      </c>
      <c r="C219" t="s">
        <v>7</v>
      </c>
      <c r="D219">
        <v>27648</v>
      </c>
      <c r="E219">
        <v>256</v>
      </c>
      <c r="F219">
        <v>1</v>
      </c>
      <c r="G219" s="41">
        <v>4</v>
      </c>
      <c r="H219" s="1">
        <v>467.43</v>
      </c>
      <c r="I219" s="54">
        <v>30.145</v>
      </c>
      <c r="J219" s="23">
        <v>45558</v>
      </c>
      <c r="K219" s="46">
        <v>0.47980324074074077</v>
      </c>
      <c r="L219">
        <v>0</v>
      </c>
      <c r="M219">
        <v>0</v>
      </c>
      <c r="N219">
        <v>0</v>
      </c>
      <c r="O219" s="57">
        <f t="shared" ref="O219" si="303">AVERAGE(I219:I223)</f>
        <v>30.217200000000002</v>
      </c>
      <c r="R219" t="s">
        <v>103</v>
      </c>
      <c r="S219">
        <v>0</v>
      </c>
      <c r="T219" t="s">
        <v>7</v>
      </c>
      <c r="U219">
        <v>27648</v>
      </c>
      <c r="V219">
        <v>256</v>
      </c>
      <c r="W219" s="41">
        <v>1</v>
      </c>
      <c r="X219">
        <v>4</v>
      </c>
      <c r="Y219" s="1">
        <v>471.57</v>
      </c>
      <c r="Z219" s="54">
        <v>29.88</v>
      </c>
      <c r="AA219" s="23">
        <v>45558</v>
      </c>
      <c r="AB219" s="46">
        <v>0.47859953703703706</v>
      </c>
      <c r="AC219">
        <v>0</v>
      </c>
      <c r="AD219">
        <v>0</v>
      </c>
      <c r="AE219">
        <v>0</v>
      </c>
      <c r="AF219" s="57">
        <f t="shared" ref="AF219" si="304">AVERAGE(Z219:Z223)</f>
        <v>30.026999999999997</v>
      </c>
      <c r="AI219" s="23" t="s">
        <v>154</v>
      </c>
      <c r="AJ219" s="46">
        <v>0</v>
      </c>
      <c r="AK219" t="s">
        <v>7</v>
      </c>
      <c r="AL219">
        <v>27648</v>
      </c>
      <c r="AM219">
        <v>256</v>
      </c>
      <c r="AN219" s="41">
        <v>1</v>
      </c>
      <c r="AO219">
        <v>4</v>
      </c>
      <c r="AP219" s="1">
        <v>343.41</v>
      </c>
      <c r="AQ219" s="54">
        <v>41.031999999999996</v>
      </c>
      <c r="AR219" s="23">
        <v>45558</v>
      </c>
      <c r="AS219" s="46">
        <v>0.44667824074074075</v>
      </c>
      <c r="AT219">
        <v>0</v>
      </c>
      <c r="AU219">
        <v>0</v>
      </c>
      <c r="AV219">
        <v>0</v>
      </c>
      <c r="AW219" s="57">
        <f t="shared" ref="AW219" si="305">AVERAGE(AQ219:AQ223)</f>
        <v>41.422199999999997</v>
      </c>
      <c r="AZ219" t="s">
        <v>154</v>
      </c>
      <c r="BA219">
        <v>0</v>
      </c>
      <c r="BB219" t="s">
        <v>7</v>
      </c>
      <c r="BC219">
        <v>27648</v>
      </c>
      <c r="BD219">
        <v>256</v>
      </c>
      <c r="BE219">
        <v>1</v>
      </c>
      <c r="BF219">
        <v>4</v>
      </c>
      <c r="BG219" s="1">
        <v>363.87</v>
      </c>
      <c r="BH219" s="54">
        <v>38.725000000000001</v>
      </c>
      <c r="BI219" s="23">
        <v>45558</v>
      </c>
      <c r="BJ219" s="46">
        <v>0.46060185185185187</v>
      </c>
      <c r="BK219">
        <v>0</v>
      </c>
      <c r="BL219">
        <v>0</v>
      </c>
      <c r="BM219">
        <v>0</v>
      </c>
      <c r="BN219" s="57">
        <f t="shared" ref="BN219" si="306">AVERAGE(BH219:BH223)</f>
        <v>38.438200000000002</v>
      </c>
    </row>
    <row r="220" spans="1:66">
      <c r="A220" t="s">
        <v>103</v>
      </c>
      <c r="B220">
        <v>1</v>
      </c>
      <c r="C220" t="s">
        <v>7</v>
      </c>
      <c r="D220">
        <v>27648</v>
      </c>
      <c r="E220">
        <v>256</v>
      </c>
      <c r="F220">
        <v>1</v>
      </c>
      <c r="G220" s="41">
        <v>4</v>
      </c>
      <c r="H220" s="1">
        <v>469.03</v>
      </c>
      <c r="I220" s="54">
        <v>30.042999999999999</v>
      </c>
      <c r="J220" s="23">
        <v>45558</v>
      </c>
      <c r="K220" s="46">
        <v>0.82202546296296297</v>
      </c>
      <c r="L220">
        <v>0</v>
      </c>
      <c r="M220">
        <v>0</v>
      </c>
      <c r="N220">
        <v>0</v>
      </c>
      <c r="O220" s="57">
        <f t="shared" ref="O220" si="307">O219</f>
        <v>30.217200000000002</v>
      </c>
      <c r="R220" t="s">
        <v>103</v>
      </c>
      <c r="S220">
        <v>1</v>
      </c>
      <c r="T220" t="s">
        <v>7</v>
      </c>
      <c r="U220">
        <v>27648</v>
      </c>
      <c r="V220">
        <v>256</v>
      </c>
      <c r="W220" s="58">
        <v>1</v>
      </c>
      <c r="X220">
        <v>4</v>
      </c>
      <c r="Y220" s="1">
        <v>464.01</v>
      </c>
      <c r="Z220" s="54">
        <v>30.367000000000001</v>
      </c>
      <c r="AA220" s="23">
        <v>45558</v>
      </c>
      <c r="AB220" s="46">
        <v>0.82170138888888888</v>
      </c>
      <c r="AC220">
        <v>0</v>
      </c>
      <c r="AD220">
        <v>0</v>
      </c>
      <c r="AE220">
        <v>0</v>
      </c>
      <c r="AF220" s="57">
        <f t="shared" si="279"/>
        <v>30.026999999999997</v>
      </c>
      <c r="AI220" s="23" t="s">
        <v>154</v>
      </c>
      <c r="AJ220" s="46">
        <v>1</v>
      </c>
      <c r="AK220" t="s">
        <v>7</v>
      </c>
      <c r="AL220">
        <v>27648</v>
      </c>
      <c r="AM220">
        <v>256</v>
      </c>
      <c r="AN220" s="41">
        <v>1</v>
      </c>
      <c r="AO220">
        <v>4</v>
      </c>
      <c r="AP220" s="1">
        <v>336.84</v>
      </c>
      <c r="AQ220" s="54">
        <v>41.832000000000001</v>
      </c>
      <c r="AR220" s="23">
        <v>45558</v>
      </c>
      <c r="AS220" s="46">
        <v>0.73951388888888892</v>
      </c>
      <c r="AT220">
        <v>0</v>
      </c>
      <c r="AU220">
        <v>0</v>
      </c>
      <c r="AV220">
        <v>0</v>
      </c>
      <c r="AW220" s="57">
        <f t="shared" ref="AW220:AW223" si="308">AW219</f>
        <v>41.422199999999997</v>
      </c>
      <c r="AZ220" t="s">
        <v>154</v>
      </c>
      <c r="BA220">
        <v>1</v>
      </c>
      <c r="BB220" t="s">
        <v>7</v>
      </c>
      <c r="BC220">
        <v>27648</v>
      </c>
      <c r="BD220">
        <v>256</v>
      </c>
      <c r="BE220">
        <v>1</v>
      </c>
      <c r="BF220">
        <v>4</v>
      </c>
      <c r="BG220" s="1">
        <v>366.82</v>
      </c>
      <c r="BH220" s="54">
        <v>38.412999999999997</v>
      </c>
      <c r="BI220" s="23">
        <v>45558</v>
      </c>
      <c r="BJ220" s="46">
        <v>0.78140046296296295</v>
      </c>
      <c r="BK220">
        <v>0</v>
      </c>
      <c r="BL220">
        <v>0</v>
      </c>
      <c r="BM220">
        <v>0</v>
      </c>
      <c r="BN220" s="57">
        <f t="shared" ref="BN220:BN223" si="309">BN219</f>
        <v>38.438200000000002</v>
      </c>
    </row>
    <row r="221" spans="1:66">
      <c r="A221" t="s">
        <v>103</v>
      </c>
      <c r="B221">
        <v>2</v>
      </c>
      <c r="C221" t="s">
        <v>7</v>
      </c>
      <c r="D221">
        <v>27648</v>
      </c>
      <c r="E221">
        <v>256</v>
      </c>
      <c r="F221">
        <v>1</v>
      </c>
      <c r="G221" s="41">
        <v>4</v>
      </c>
      <c r="H221" s="1">
        <v>471.12</v>
      </c>
      <c r="I221" s="54">
        <v>29.908999999999999</v>
      </c>
      <c r="J221" s="23">
        <v>45559</v>
      </c>
      <c r="K221" s="46">
        <v>0.16414351851851852</v>
      </c>
      <c r="L221">
        <v>0</v>
      </c>
      <c r="M221">
        <v>0</v>
      </c>
      <c r="N221">
        <v>0</v>
      </c>
      <c r="O221" s="57">
        <f t="shared" si="286"/>
        <v>30.217200000000002</v>
      </c>
      <c r="R221" t="s">
        <v>103</v>
      </c>
      <c r="S221">
        <v>2</v>
      </c>
      <c r="T221" t="s">
        <v>7</v>
      </c>
      <c r="U221">
        <v>27648</v>
      </c>
      <c r="V221">
        <v>256</v>
      </c>
      <c r="W221" s="58">
        <v>1</v>
      </c>
      <c r="X221">
        <v>4</v>
      </c>
      <c r="Y221" s="1">
        <v>467.5</v>
      </c>
      <c r="Z221" s="54">
        <v>30.140999999999998</v>
      </c>
      <c r="AA221" s="23">
        <v>45559</v>
      </c>
      <c r="AB221" s="46">
        <v>0.16473379629629631</v>
      </c>
      <c r="AC221">
        <v>0</v>
      </c>
      <c r="AD221">
        <v>0</v>
      </c>
      <c r="AE221">
        <v>0</v>
      </c>
      <c r="AF221" s="57">
        <f t="shared" si="279"/>
        <v>30.026999999999997</v>
      </c>
      <c r="AI221" s="23" t="s">
        <v>154</v>
      </c>
      <c r="AJ221" s="46">
        <v>2</v>
      </c>
      <c r="AK221" t="s">
        <v>7</v>
      </c>
      <c r="AL221">
        <v>27648</v>
      </c>
      <c r="AM221">
        <v>256</v>
      </c>
      <c r="AN221" s="41">
        <v>1</v>
      </c>
      <c r="AO221">
        <v>4</v>
      </c>
      <c r="AP221" s="1">
        <v>339.2</v>
      </c>
      <c r="AQ221" s="54">
        <v>41.540999999999997</v>
      </c>
      <c r="AR221" s="23">
        <v>45559</v>
      </c>
      <c r="AS221" s="46">
        <v>2.8425925925925927E-2</v>
      </c>
      <c r="AT221">
        <v>0</v>
      </c>
      <c r="AU221">
        <v>0</v>
      </c>
      <c r="AV221">
        <v>0</v>
      </c>
      <c r="AW221" s="57">
        <f t="shared" si="308"/>
        <v>41.422199999999997</v>
      </c>
      <c r="AZ221" t="s">
        <v>154</v>
      </c>
      <c r="BA221">
        <v>2</v>
      </c>
      <c r="BB221" t="s">
        <v>7</v>
      </c>
      <c r="BC221">
        <v>27648</v>
      </c>
      <c r="BD221">
        <v>256</v>
      </c>
      <c r="BE221">
        <v>1</v>
      </c>
      <c r="BF221">
        <v>4</v>
      </c>
      <c r="BG221" s="1">
        <v>366.48</v>
      </c>
      <c r="BH221" s="54">
        <v>38.448999999999998</v>
      </c>
      <c r="BI221" s="23">
        <v>45559</v>
      </c>
      <c r="BJ221" s="46">
        <v>9.0162037037037041E-2</v>
      </c>
      <c r="BK221">
        <v>0</v>
      </c>
      <c r="BL221">
        <v>0</v>
      </c>
      <c r="BM221">
        <v>0</v>
      </c>
      <c r="BN221" s="57">
        <f t="shared" si="309"/>
        <v>38.438200000000002</v>
      </c>
    </row>
    <row r="222" spans="1:66">
      <c r="A222" t="s">
        <v>103</v>
      </c>
      <c r="B222">
        <v>3</v>
      </c>
      <c r="C222" t="s">
        <v>7</v>
      </c>
      <c r="D222">
        <v>27648</v>
      </c>
      <c r="E222">
        <v>256</v>
      </c>
      <c r="F222">
        <v>1</v>
      </c>
      <c r="G222" s="41">
        <v>4</v>
      </c>
      <c r="H222" s="1">
        <v>462.43</v>
      </c>
      <c r="I222" s="54">
        <v>30.471</v>
      </c>
      <c r="J222" s="23">
        <v>45559</v>
      </c>
      <c r="K222" s="46">
        <v>0.50646990740740738</v>
      </c>
      <c r="L222">
        <v>0</v>
      </c>
      <c r="M222">
        <v>0</v>
      </c>
      <c r="N222">
        <v>0</v>
      </c>
      <c r="O222" s="57">
        <f t="shared" si="286"/>
        <v>30.217200000000002</v>
      </c>
      <c r="R222" t="s">
        <v>103</v>
      </c>
      <c r="S222">
        <v>3</v>
      </c>
      <c r="T222" t="s">
        <v>7</v>
      </c>
      <c r="U222">
        <v>27648</v>
      </c>
      <c r="V222">
        <v>256</v>
      </c>
      <c r="W222" s="58">
        <v>1</v>
      </c>
      <c r="X222">
        <v>4</v>
      </c>
      <c r="Y222" s="1">
        <v>469.47</v>
      </c>
      <c r="Z222" s="54">
        <v>30.013999999999999</v>
      </c>
      <c r="AA222" s="23">
        <v>45559</v>
      </c>
      <c r="AB222" s="46">
        <v>0.50791666666666668</v>
      </c>
      <c r="AC222">
        <v>0</v>
      </c>
      <c r="AD222">
        <v>0</v>
      </c>
      <c r="AE222">
        <v>0</v>
      </c>
      <c r="AF222" s="57">
        <f t="shared" si="279"/>
        <v>30.026999999999997</v>
      </c>
      <c r="AI222" s="23" t="s">
        <v>154</v>
      </c>
      <c r="AJ222" s="46">
        <v>3</v>
      </c>
      <c r="AK222" t="s">
        <v>7</v>
      </c>
      <c r="AL222">
        <v>27648</v>
      </c>
      <c r="AM222">
        <v>256</v>
      </c>
      <c r="AN222" s="41">
        <v>1</v>
      </c>
      <c r="AO222">
        <v>4</v>
      </c>
      <c r="AP222" s="1">
        <v>337.82</v>
      </c>
      <c r="AQ222" s="54">
        <v>41.710999999999999</v>
      </c>
      <c r="AR222" s="23">
        <v>45559</v>
      </c>
      <c r="AS222" s="46">
        <v>0.31754629629629627</v>
      </c>
      <c r="AT222">
        <v>0</v>
      </c>
      <c r="AU222">
        <v>0</v>
      </c>
      <c r="AV222">
        <v>0</v>
      </c>
      <c r="AW222" s="57">
        <f t="shared" si="308"/>
        <v>41.422199999999997</v>
      </c>
      <c r="AZ222" t="s">
        <v>154</v>
      </c>
      <c r="BA222">
        <v>3</v>
      </c>
      <c r="BB222" t="s">
        <v>7</v>
      </c>
      <c r="BC222">
        <v>27648</v>
      </c>
      <c r="BD222">
        <v>256</v>
      </c>
      <c r="BE222">
        <v>1</v>
      </c>
      <c r="BF222">
        <v>4</v>
      </c>
      <c r="BG222" s="1">
        <v>365.98</v>
      </c>
      <c r="BH222" s="54">
        <v>38.500999999999998</v>
      </c>
      <c r="BI222" s="23">
        <v>45559</v>
      </c>
      <c r="BJ222" s="46">
        <v>0.39854166666666668</v>
      </c>
      <c r="BK222">
        <v>0</v>
      </c>
      <c r="BL222">
        <v>0</v>
      </c>
      <c r="BM222">
        <v>0</v>
      </c>
      <c r="BN222" s="57">
        <f t="shared" si="309"/>
        <v>38.438200000000002</v>
      </c>
    </row>
    <row r="223" spans="1:66">
      <c r="A223" t="s">
        <v>103</v>
      </c>
      <c r="B223">
        <v>4</v>
      </c>
      <c r="C223" t="s">
        <v>7</v>
      </c>
      <c r="D223">
        <v>27648</v>
      </c>
      <c r="E223">
        <v>256</v>
      </c>
      <c r="F223">
        <v>1</v>
      </c>
      <c r="G223" s="41">
        <v>4</v>
      </c>
      <c r="H223" s="1">
        <v>461.72</v>
      </c>
      <c r="I223" s="54">
        <v>30.518000000000001</v>
      </c>
      <c r="J223" s="23">
        <v>45559</v>
      </c>
      <c r="K223" s="46">
        <v>0.84875</v>
      </c>
      <c r="L223">
        <v>0</v>
      </c>
      <c r="M223">
        <v>0</v>
      </c>
      <c r="N223">
        <v>0</v>
      </c>
      <c r="O223" s="57">
        <f t="shared" si="286"/>
        <v>30.217200000000002</v>
      </c>
      <c r="R223" t="s">
        <v>103</v>
      </c>
      <c r="S223">
        <v>4</v>
      </c>
      <c r="T223" t="s">
        <v>7</v>
      </c>
      <c r="U223">
        <v>27648</v>
      </c>
      <c r="V223">
        <v>256</v>
      </c>
      <c r="W223" s="58">
        <v>1</v>
      </c>
      <c r="X223">
        <v>4</v>
      </c>
      <c r="Y223" s="1">
        <v>473.91</v>
      </c>
      <c r="Z223" s="54">
        <v>29.733000000000001</v>
      </c>
      <c r="AA223" s="23">
        <v>45559</v>
      </c>
      <c r="AB223" s="46">
        <v>0.8508796296296296</v>
      </c>
      <c r="AC223">
        <v>0</v>
      </c>
      <c r="AD223">
        <v>0</v>
      </c>
      <c r="AE223">
        <v>0</v>
      </c>
      <c r="AF223" s="57">
        <f t="shared" si="279"/>
        <v>30.026999999999997</v>
      </c>
      <c r="AI223" s="23" t="s">
        <v>154</v>
      </c>
      <c r="AJ223" s="46">
        <v>4</v>
      </c>
      <c r="AK223" t="s">
        <v>7</v>
      </c>
      <c r="AL223">
        <v>27648</v>
      </c>
      <c r="AM223">
        <v>256</v>
      </c>
      <c r="AN223" s="41">
        <v>1</v>
      </c>
      <c r="AO223">
        <v>4</v>
      </c>
      <c r="AP223" s="1">
        <v>343.72</v>
      </c>
      <c r="AQ223" s="54">
        <v>40.994999999999997</v>
      </c>
      <c r="AR223" s="23">
        <v>45559</v>
      </c>
      <c r="AS223" s="46">
        <v>0.60714120370370372</v>
      </c>
      <c r="AT223">
        <v>0</v>
      </c>
      <c r="AU223">
        <v>0</v>
      </c>
      <c r="AV223">
        <v>0</v>
      </c>
      <c r="AW223" s="57">
        <f t="shared" si="308"/>
        <v>41.422199999999997</v>
      </c>
      <c r="AZ223" t="s">
        <v>154</v>
      </c>
      <c r="BA223">
        <v>4</v>
      </c>
      <c r="BB223" t="s">
        <v>7</v>
      </c>
      <c r="BC223">
        <v>27648</v>
      </c>
      <c r="BD223">
        <v>256</v>
      </c>
      <c r="BE223">
        <v>1</v>
      </c>
      <c r="BF223">
        <v>4</v>
      </c>
      <c r="BG223" s="1">
        <v>369.81</v>
      </c>
      <c r="BH223" s="54">
        <v>38.103000000000002</v>
      </c>
      <c r="BI223" s="23">
        <v>45559</v>
      </c>
      <c r="BJ223" s="46">
        <v>0.70702546296296298</v>
      </c>
      <c r="BK223">
        <v>0</v>
      </c>
      <c r="BL223">
        <v>0</v>
      </c>
      <c r="BM223">
        <v>0</v>
      </c>
      <c r="BN223" s="57">
        <f t="shared" si="309"/>
        <v>38.438200000000002</v>
      </c>
    </row>
    <row r="224" spans="1:66">
      <c r="A224" t="s">
        <v>103</v>
      </c>
      <c r="B224">
        <v>0</v>
      </c>
      <c r="C224" t="s">
        <v>7</v>
      </c>
      <c r="D224">
        <v>29184</v>
      </c>
      <c r="E224">
        <v>256</v>
      </c>
      <c r="F224">
        <v>1</v>
      </c>
      <c r="G224" s="41">
        <v>4</v>
      </c>
      <c r="H224" s="1">
        <v>509.01</v>
      </c>
      <c r="I224" s="54">
        <v>32.558</v>
      </c>
      <c r="J224" s="23">
        <v>45558</v>
      </c>
      <c r="K224" s="46">
        <v>0.61232638888888891</v>
      </c>
      <c r="L224">
        <v>0</v>
      </c>
      <c r="M224">
        <v>0</v>
      </c>
      <c r="N224">
        <v>0</v>
      </c>
      <c r="O224" s="57">
        <f t="shared" ref="O224" si="310">AVERAGE(I224:I228)</f>
        <v>32.614199999999997</v>
      </c>
      <c r="R224" t="s">
        <v>103</v>
      </c>
      <c r="S224">
        <v>0</v>
      </c>
      <c r="T224" t="s">
        <v>7</v>
      </c>
      <c r="U224">
        <v>29184</v>
      </c>
      <c r="V224">
        <v>256</v>
      </c>
      <c r="W224" s="41">
        <v>1</v>
      </c>
      <c r="X224">
        <v>4</v>
      </c>
      <c r="Y224" s="1">
        <v>513.97</v>
      </c>
      <c r="Z224" s="54">
        <v>32.243000000000002</v>
      </c>
      <c r="AA224" s="23">
        <v>45558</v>
      </c>
      <c r="AB224" s="46">
        <v>0.61151620370370374</v>
      </c>
      <c r="AC224">
        <v>0</v>
      </c>
      <c r="AD224">
        <v>0</v>
      </c>
      <c r="AE224">
        <v>0</v>
      </c>
      <c r="AF224" s="57">
        <f t="shared" ref="AF224" si="311">AVERAGE(Z224:Z228)</f>
        <v>32.333800000000004</v>
      </c>
      <c r="AI224" s="23" t="s">
        <v>154</v>
      </c>
      <c r="AJ224" s="46">
        <v>0</v>
      </c>
      <c r="AK224" t="s">
        <v>7</v>
      </c>
      <c r="AL224">
        <v>29184</v>
      </c>
      <c r="AM224">
        <v>256</v>
      </c>
      <c r="AN224" s="41">
        <v>1</v>
      </c>
      <c r="AO224">
        <v>4</v>
      </c>
      <c r="AP224" s="1">
        <v>393.42</v>
      </c>
      <c r="AQ224" s="54">
        <v>42.122999999999998</v>
      </c>
      <c r="AR224" s="23">
        <v>45558</v>
      </c>
      <c r="AS224" s="46">
        <v>0.58581018518518524</v>
      </c>
      <c r="AT224">
        <v>0</v>
      </c>
      <c r="AU224">
        <v>0</v>
      </c>
      <c r="AV224">
        <v>0</v>
      </c>
      <c r="AW224" s="57">
        <f t="shared" ref="AW224" si="312">AVERAGE(AQ224:AQ228)</f>
        <v>41.564</v>
      </c>
      <c r="AZ224" t="s">
        <v>154</v>
      </c>
      <c r="BA224">
        <v>0</v>
      </c>
      <c r="BB224" t="s">
        <v>7</v>
      </c>
      <c r="BC224">
        <v>29184</v>
      </c>
      <c r="BD224">
        <v>256</v>
      </c>
      <c r="BE224">
        <v>1</v>
      </c>
      <c r="BF224">
        <v>4</v>
      </c>
      <c r="BG224" s="1">
        <v>429.3</v>
      </c>
      <c r="BH224" s="54">
        <v>38.603000000000002</v>
      </c>
      <c r="BI224" s="23">
        <v>45558</v>
      </c>
      <c r="BJ224" s="46">
        <v>0.59185185185185185</v>
      </c>
      <c r="BK224">
        <v>0</v>
      </c>
      <c r="BL224">
        <v>0</v>
      </c>
      <c r="BM224">
        <v>0</v>
      </c>
      <c r="BN224" s="57">
        <f t="shared" ref="BN224" si="313">AVERAGE(BH224:BH228)</f>
        <v>38.783799999999999</v>
      </c>
    </row>
    <row r="225" spans="1:66">
      <c r="A225" t="s">
        <v>103</v>
      </c>
      <c r="B225">
        <v>1</v>
      </c>
      <c r="C225" t="s">
        <v>7</v>
      </c>
      <c r="D225">
        <v>29184</v>
      </c>
      <c r="E225">
        <v>256</v>
      </c>
      <c r="F225">
        <v>1</v>
      </c>
      <c r="G225" s="41">
        <v>4</v>
      </c>
      <c r="H225" s="1">
        <v>509.08</v>
      </c>
      <c r="I225" s="54">
        <v>32.552999999999997</v>
      </c>
      <c r="J225" s="23">
        <v>45558</v>
      </c>
      <c r="K225" s="46">
        <v>0.95453703703703707</v>
      </c>
      <c r="L225">
        <v>0</v>
      </c>
      <c r="M225">
        <v>0</v>
      </c>
      <c r="N225">
        <v>0</v>
      </c>
      <c r="O225" s="57">
        <f t="shared" ref="O225" si="314">O224</f>
        <v>32.614199999999997</v>
      </c>
      <c r="R225" t="s">
        <v>103</v>
      </c>
      <c r="S225">
        <v>1</v>
      </c>
      <c r="T225" t="s">
        <v>7</v>
      </c>
      <c r="U225">
        <v>29184</v>
      </c>
      <c r="V225">
        <v>256</v>
      </c>
      <c r="W225" s="58">
        <v>1</v>
      </c>
      <c r="X225">
        <v>4</v>
      </c>
      <c r="Y225" s="1">
        <v>511.36</v>
      </c>
      <c r="Z225" s="54">
        <v>32.408000000000001</v>
      </c>
      <c r="AA225" s="23">
        <v>45558</v>
      </c>
      <c r="AB225" s="46">
        <v>0.95460648148148153</v>
      </c>
      <c r="AC225">
        <v>0</v>
      </c>
      <c r="AD225">
        <v>0</v>
      </c>
      <c r="AE225">
        <v>0</v>
      </c>
      <c r="AF225" s="57">
        <f t="shared" si="279"/>
        <v>32.333800000000004</v>
      </c>
      <c r="AI225" s="23" t="s">
        <v>154</v>
      </c>
      <c r="AJ225" s="46">
        <v>1</v>
      </c>
      <c r="AK225" t="s">
        <v>7</v>
      </c>
      <c r="AL225">
        <v>29184</v>
      </c>
      <c r="AM225">
        <v>256</v>
      </c>
      <c r="AN225" s="41">
        <v>1</v>
      </c>
      <c r="AO225">
        <v>4</v>
      </c>
      <c r="AP225" s="1">
        <v>392.11</v>
      </c>
      <c r="AQ225" s="54">
        <v>42.264000000000003</v>
      </c>
      <c r="AR225" s="23">
        <v>45558</v>
      </c>
      <c r="AS225" s="46">
        <v>0.85204861111111108</v>
      </c>
      <c r="AT225">
        <v>0</v>
      </c>
      <c r="AU225">
        <v>0</v>
      </c>
      <c r="AV225">
        <v>0</v>
      </c>
      <c r="AW225" s="57">
        <f t="shared" ref="AW225:AW228" si="315">AW224</f>
        <v>41.564</v>
      </c>
      <c r="AZ225" t="s">
        <v>154</v>
      </c>
      <c r="BA225">
        <v>1</v>
      </c>
      <c r="BB225" t="s">
        <v>7</v>
      </c>
      <c r="BC225">
        <v>29184</v>
      </c>
      <c r="BD225">
        <v>256</v>
      </c>
      <c r="BE225">
        <v>1</v>
      </c>
      <c r="BF225">
        <v>4</v>
      </c>
      <c r="BG225" s="1">
        <v>429.97</v>
      </c>
      <c r="BH225" s="54">
        <v>38.542000000000002</v>
      </c>
      <c r="BI225" s="23">
        <v>45558</v>
      </c>
      <c r="BJ225" s="46">
        <v>0.9006481481481482</v>
      </c>
      <c r="BK225">
        <v>0</v>
      </c>
      <c r="BL225">
        <v>0</v>
      </c>
      <c r="BM225">
        <v>0</v>
      </c>
      <c r="BN225" s="57">
        <f t="shared" ref="BN225:BN228" si="316">BN224</f>
        <v>38.783799999999999</v>
      </c>
    </row>
    <row r="226" spans="1:66">
      <c r="A226" t="s">
        <v>103</v>
      </c>
      <c r="B226">
        <v>2</v>
      </c>
      <c r="C226" t="s">
        <v>7</v>
      </c>
      <c r="D226">
        <v>29184</v>
      </c>
      <c r="E226">
        <v>256</v>
      </c>
      <c r="F226">
        <v>1</v>
      </c>
      <c r="G226" s="41">
        <v>4</v>
      </c>
      <c r="H226" s="1">
        <v>507.64</v>
      </c>
      <c r="I226" s="54">
        <v>32.645000000000003</v>
      </c>
      <c r="J226" s="23">
        <v>45559</v>
      </c>
      <c r="K226" s="46">
        <v>0.29679398148148151</v>
      </c>
      <c r="L226">
        <v>0</v>
      </c>
      <c r="M226">
        <v>0</v>
      </c>
      <c r="N226">
        <v>0</v>
      </c>
      <c r="O226" s="57">
        <f t="shared" si="286"/>
        <v>32.614199999999997</v>
      </c>
      <c r="R226" t="s">
        <v>103</v>
      </c>
      <c r="S226">
        <v>2</v>
      </c>
      <c r="T226" t="s">
        <v>7</v>
      </c>
      <c r="U226">
        <v>29184</v>
      </c>
      <c r="V226">
        <v>256</v>
      </c>
      <c r="W226" s="58">
        <v>1</v>
      </c>
      <c r="X226">
        <v>4</v>
      </c>
      <c r="Y226" s="1">
        <v>515.88</v>
      </c>
      <c r="Z226" s="54">
        <v>32.124000000000002</v>
      </c>
      <c r="AA226" s="23">
        <v>45559</v>
      </c>
      <c r="AB226" s="46">
        <v>0.29767361111111112</v>
      </c>
      <c r="AC226">
        <v>0</v>
      </c>
      <c r="AD226">
        <v>0</v>
      </c>
      <c r="AE226">
        <v>0</v>
      </c>
      <c r="AF226" s="57">
        <f t="shared" si="279"/>
        <v>32.333800000000004</v>
      </c>
      <c r="AI226" s="23" t="s">
        <v>154</v>
      </c>
      <c r="AJ226" s="46">
        <v>2</v>
      </c>
      <c r="AK226" t="s">
        <v>7</v>
      </c>
      <c r="AL226">
        <v>29184</v>
      </c>
      <c r="AM226">
        <v>256</v>
      </c>
      <c r="AN226" s="41">
        <v>1</v>
      </c>
      <c r="AO226">
        <v>4</v>
      </c>
      <c r="AP226" s="1">
        <v>406.48</v>
      </c>
      <c r="AQ226" s="54">
        <v>40.770000000000003</v>
      </c>
      <c r="AR226" s="23">
        <v>45559</v>
      </c>
      <c r="AS226" s="46">
        <v>0.14099537037037038</v>
      </c>
      <c r="AT226">
        <v>0</v>
      </c>
      <c r="AU226">
        <v>0</v>
      </c>
      <c r="AV226">
        <v>0</v>
      </c>
      <c r="AW226" s="57">
        <f t="shared" si="315"/>
        <v>41.564</v>
      </c>
      <c r="AZ226" t="s">
        <v>154</v>
      </c>
      <c r="BA226">
        <v>2</v>
      </c>
      <c r="BB226" t="s">
        <v>7</v>
      </c>
      <c r="BC226">
        <v>29184</v>
      </c>
      <c r="BD226">
        <v>256</v>
      </c>
      <c r="BE226">
        <v>1</v>
      </c>
      <c r="BF226">
        <v>4</v>
      </c>
      <c r="BG226" s="1">
        <v>423.27</v>
      </c>
      <c r="BH226" s="54">
        <v>39.152000000000001</v>
      </c>
      <c r="BI226" s="23">
        <v>45559</v>
      </c>
      <c r="BJ226" s="46">
        <v>0.20921296296296296</v>
      </c>
      <c r="BK226">
        <v>0</v>
      </c>
      <c r="BL226">
        <v>0</v>
      </c>
      <c r="BM226">
        <v>0</v>
      </c>
      <c r="BN226" s="57">
        <f t="shared" si="316"/>
        <v>38.783799999999999</v>
      </c>
    </row>
    <row r="227" spans="1:66">
      <c r="A227" t="s">
        <v>103</v>
      </c>
      <c r="B227">
        <v>3</v>
      </c>
      <c r="C227" t="s">
        <v>7</v>
      </c>
      <c r="D227">
        <v>29184</v>
      </c>
      <c r="E227">
        <v>256</v>
      </c>
      <c r="F227">
        <v>1</v>
      </c>
      <c r="G227" s="41">
        <v>4</v>
      </c>
      <c r="H227" s="1">
        <v>507.8</v>
      </c>
      <c r="I227" s="54">
        <v>32.634999999999998</v>
      </c>
      <c r="J227" s="23">
        <v>45559</v>
      </c>
      <c r="K227" s="46">
        <v>0.63912037037037039</v>
      </c>
      <c r="L227">
        <v>0</v>
      </c>
      <c r="M227">
        <v>0</v>
      </c>
      <c r="N227">
        <v>0</v>
      </c>
      <c r="O227" s="57">
        <f t="shared" si="286"/>
        <v>32.614199999999997</v>
      </c>
      <c r="R227" t="s">
        <v>103</v>
      </c>
      <c r="S227">
        <v>3</v>
      </c>
      <c r="T227" t="s">
        <v>7</v>
      </c>
      <c r="U227">
        <v>29184</v>
      </c>
      <c r="V227">
        <v>256</v>
      </c>
      <c r="W227" s="58">
        <v>1</v>
      </c>
      <c r="X227">
        <v>4</v>
      </c>
      <c r="Y227" s="1">
        <v>510.62</v>
      </c>
      <c r="Z227" s="54">
        <v>32.454999999999998</v>
      </c>
      <c r="AA227" s="23">
        <v>45559</v>
      </c>
      <c r="AB227" s="46">
        <v>0.64090277777777782</v>
      </c>
      <c r="AC227">
        <v>0</v>
      </c>
      <c r="AD227">
        <v>0</v>
      </c>
      <c r="AE227">
        <v>0</v>
      </c>
      <c r="AF227" s="57">
        <f t="shared" si="279"/>
        <v>32.333800000000004</v>
      </c>
      <c r="AI227" s="23" t="s">
        <v>154</v>
      </c>
      <c r="AJ227" s="46">
        <v>3</v>
      </c>
      <c r="AK227" t="s">
        <v>7</v>
      </c>
      <c r="AL227">
        <v>29184</v>
      </c>
      <c r="AM227">
        <v>256</v>
      </c>
      <c r="AN227" s="41">
        <v>1</v>
      </c>
      <c r="AO227">
        <v>4</v>
      </c>
      <c r="AP227" s="1">
        <v>398.5</v>
      </c>
      <c r="AQ227" s="54">
        <v>41.585999999999999</v>
      </c>
      <c r="AR227" s="23">
        <v>45559</v>
      </c>
      <c r="AS227" s="46">
        <v>0.4302199074074074</v>
      </c>
      <c r="AT227">
        <v>0</v>
      </c>
      <c r="AU227">
        <v>0</v>
      </c>
      <c r="AV227">
        <v>0</v>
      </c>
      <c r="AW227" s="57">
        <f t="shared" si="315"/>
        <v>41.564</v>
      </c>
      <c r="AZ227" t="s">
        <v>154</v>
      </c>
      <c r="BA227">
        <v>3</v>
      </c>
      <c r="BB227" t="s">
        <v>7</v>
      </c>
      <c r="BC227">
        <v>29184</v>
      </c>
      <c r="BD227">
        <v>256</v>
      </c>
      <c r="BE227">
        <v>1</v>
      </c>
      <c r="BF227">
        <v>4</v>
      </c>
      <c r="BG227" s="1">
        <v>428.41</v>
      </c>
      <c r="BH227" s="54">
        <v>38.683</v>
      </c>
      <c r="BI227" s="23">
        <v>45559</v>
      </c>
      <c r="BJ227" s="46">
        <v>0.5176736111111111</v>
      </c>
      <c r="BK227">
        <v>0</v>
      </c>
      <c r="BL227">
        <v>0</v>
      </c>
      <c r="BM227">
        <v>0</v>
      </c>
      <c r="BN227" s="57">
        <f t="shared" si="316"/>
        <v>38.783799999999999</v>
      </c>
    </row>
    <row r="228" spans="1:66">
      <c r="A228" t="s">
        <v>103</v>
      </c>
      <c r="B228">
        <v>4</v>
      </c>
      <c r="C228" t="s">
        <v>7</v>
      </c>
      <c r="D228">
        <v>29184</v>
      </c>
      <c r="E228">
        <v>256</v>
      </c>
      <c r="F228">
        <v>1</v>
      </c>
      <c r="G228" s="41">
        <v>4</v>
      </c>
      <c r="H228" s="1">
        <v>507.11</v>
      </c>
      <c r="I228" s="54">
        <v>32.68</v>
      </c>
      <c r="J228" s="23">
        <v>45559</v>
      </c>
      <c r="K228" s="46">
        <v>0.98101851851851851</v>
      </c>
      <c r="L228">
        <v>0</v>
      </c>
      <c r="M228">
        <v>0</v>
      </c>
      <c r="N228">
        <v>0</v>
      </c>
      <c r="O228" s="57">
        <f t="shared" si="286"/>
        <v>32.614199999999997</v>
      </c>
      <c r="R228" t="s">
        <v>103</v>
      </c>
      <c r="S228">
        <v>4</v>
      </c>
      <c r="T228" t="s">
        <v>7</v>
      </c>
      <c r="U228">
        <v>29184</v>
      </c>
      <c r="V228">
        <v>256</v>
      </c>
      <c r="W228" s="58">
        <v>1</v>
      </c>
      <c r="X228">
        <v>4</v>
      </c>
      <c r="Y228" s="1">
        <v>510.87</v>
      </c>
      <c r="Z228" s="54">
        <v>32.439</v>
      </c>
      <c r="AA228" s="23">
        <v>45559</v>
      </c>
      <c r="AB228" s="46">
        <v>0.98348379629629634</v>
      </c>
      <c r="AC228">
        <v>0</v>
      </c>
      <c r="AD228">
        <v>0</v>
      </c>
      <c r="AE228">
        <v>0</v>
      </c>
      <c r="AF228" s="57">
        <f t="shared" si="279"/>
        <v>32.333800000000004</v>
      </c>
      <c r="AI228" s="23" t="s">
        <v>154</v>
      </c>
      <c r="AJ228" s="46">
        <v>4</v>
      </c>
      <c r="AK228" t="s">
        <v>7</v>
      </c>
      <c r="AL228">
        <v>29184</v>
      </c>
      <c r="AM228">
        <v>256</v>
      </c>
      <c r="AN228" s="41">
        <v>1</v>
      </c>
      <c r="AO228">
        <v>4</v>
      </c>
      <c r="AP228" s="1">
        <v>403.44</v>
      </c>
      <c r="AQ228" s="54">
        <v>41.076999999999998</v>
      </c>
      <c r="AR228" s="23">
        <v>45559</v>
      </c>
      <c r="AS228" s="46">
        <v>0.72017361111111111</v>
      </c>
      <c r="AT228">
        <v>0</v>
      </c>
      <c r="AU228">
        <v>0</v>
      </c>
      <c r="AV228">
        <v>0</v>
      </c>
      <c r="AW228" s="57">
        <f t="shared" si="315"/>
        <v>41.564</v>
      </c>
      <c r="AZ228" t="s">
        <v>154</v>
      </c>
      <c r="BA228">
        <v>4</v>
      </c>
      <c r="BB228" t="s">
        <v>7</v>
      </c>
      <c r="BC228">
        <v>29184</v>
      </c>
      <c r="BD228">
        <v>256</v>
      </c>
      <c r="BE228">
        <v>1</v>
      </c>
      <c r="BF228">
        <v>4</v>
      </c>
      <c r="BG228" s="1">
        <v>425.59</v>
      </c>
      <c r="BH228" s="54">
        <v>38.939</v>
      </c>
      <c r="BI228" s="23">
        <v>45559</v>
      </c>
      <c r="BJ228" s="46">
        <v>0.82603009259259264</v>
      </c>
      <c r="BK228">
        <v>0</v>
      </c>
      <c r="BL228">
        <v>0</v>
      </c>
      <c r="BM228">
        <v>0</v>
      </c>
      <c r="BN228" s="57">
        <f t="shared" si="316"/>
        <v>38.783799999999999</v>
      </c>
    </row>
    <row r="229" spans="1:66">
      <c r="A229" t="s">
        <v>103</v>
      </c>
      <c r="B229">
        <v>0</v>
      </c>
      <c r="C229" t="s">
        <v>7</v>
      </c>
      <c r="D229">
        <v>26112</v>
      </c>
      <c r="E229">
        <v>256</v>
      </c>
      <c r="F229">
        <v>2</v>
      </c>
      <c r="G229" s="41">
        <v>2</v>
      </c>
      <c r="H229" s="1">
        <v>345.26</v>
      </c>
      <c r="I229" s="54">
        <v>34.381999999999998</v>
      </c>
      <c r="J229" s="23">
        <v>45558</v>
      </c>
      <c r="K229" s="46">
        <v>0.37142361111111111</v>
      </c>
      <c r="L229">
        <v>0</v>
      </c>
      <c r="M229">
        <v>0</v>
      </c>
      <c r="N229">
        <v>0</v>
      </c>
      <c r="O229" s="57">
        <f t="shared" ref="O229" si="317">AVERAGE(I229:I233)</f>
        <v>34.282799999999995</v>
      </c>
      <c r="R229" t="s">
        <v>103</v>
      </c>
      <c r="S229">
        <v>0</v>
      </c>
      <c r="T229" t="s">
        <v>7</v>
      </c>
      <c r="U229">
        <v>26112</v>
      </c>
      <c r="V229">
        <v>256</v>
      </c>
      <c r="W229" s="41">
        <v>2</v>
      </c>
      <c r="X229">
        <v>2</v>
      </c>
      <c r="Y229" s="1">
        <v>347.94</v>
      </c>
      <c r="Z229" s="54">
        <v>34.116</v>
      </c>
      <c r="AA229" s="23">
        <v>45558</v>
      </c>
      <c r="AB229" s="46">
        <v>0.37001157407407409</v>
      </c>
      <c r="AC229">
        <v>0</v>
      </c>
      <c r="AD229">
        <v>0</v>
      </c>
      <c r="AE229">
        <v>0</v>
      </c>
      <c r="AF229" s="57">
        <f t="shared" ref="AF229" si="318">AVERAGE(Z229:Z233)</f>
        <v>33.998000000000005</v>
      </c>
      <c r="AI229" s="23" t="s">
        <v>154</v>
      </c>
      <c r="AJ229" s="46">
        <v>0</v>
      </c>
      <c r="AK229" t="s">
        <v>7</v>
      </c>
      <c r="AL229">
        <v>26112</v>
      </c>
      <c r="AM229">
        <v>256</v>
      </c>
      <c r="AN229" s="41">
        <v>2</v>
      </c>
      <c r="AO229">
        <v>2</v>
      </c>
      <c r="AP229" s="1">
        <v>294.76</v>
      </c>
      <c r="AQ229" s="54">
        <v>40.271999999999998</v>
      </c>
      <c r="AR229" s="23">
        <v>45558</v>
      </c>
      <c r="AS229" s="46">
        <v>0.3556597222222222</v>
      </c>
      <c r="AT229">
        <v>0</v>
      </c>
      <c r="AU229">
        <v>0</v>
      </c>
      <c r="AV229">
        <v>0</v>
      </c>
      <c r="AW229" s="57">
        <f t="shared" ref="AW229" si="319">AVERAGE(AQ229:AQ233)</f>
        <v>39.7318</v>
      </c>
      <c r="AZ229" t="s">
        <v>154</v>
      </c>
      <c r="BA229">
        <v>0</v>
      </c>
      <c r="BB229" t="s">
        <v>7</v>
      </c>
      <c r="BC229">
        <v>26112</v>
      </c>
      <c r="BD229">
        <v>256</v>
      </c>
      <c r="BE229">
        <v>2</v>
      </c>
      <c r="BF229">
        <v>2</v>
      </c>
      <c r="BG229" s="1">
        <v>355.24</v>
      </c>
      <c r="BH229" s="54">
        <v>33.414999999999999</v>
      </c>
      <c r="BI229" s="23">
        <v>45558</v>
      </c>
      <c r="BJ229" s="46">
        <v>0.36369212962962966</v>
      </c>
      <c r="BK229">
        <v>0</v>
      </c>
      <c r="BL229">
        <v>0</v>
      </c>
      <c r="BM229">
        <v>0</v>
      </c>
      <c r="BN229" s="57">
        <f t="shared" ref="BN229" si="320">AVERAGE(BH229:BH233)</f>
        <v>33.476999999999997</v>
      </c>
    </row>
    <row r="230" spans="1:66">
      <c r="A230" t="s">
        <v>103</v>
      </c>
      <c r="B230">
        <v>1</v>
      </c>
      <c r="C230" t="s">
        <v>7</v>
      </c>
      <c r="D230">
        <v>26112</v>
      </c>
      <c r="E230">
        <v>256</v>
      </c>
      <c r="F230">
        <v>2</v>
      </c>
      <c r="G230" s="41">
        <v>2</v>
      </c>
      <c r="H230" s="1">
        <v>346.09</v>
      </c>
      <c r="I230" s="54">
        <v>34.298000000000002</v>
      </c>
      <c r="J230" s="23">
        <v>45558</v>
      </c>
      <c r="K230" s="46">
        <v>0.71354166666666663</v>
      </c>
      <c r="L230">
        <v>0</v>
      </c>
      <c r="M230">
        <v>0</v>
      </c>
      <c r="N230">
        <v>0</v>
      </c>
      <c r="O230" s="57">
        <f t="shared" ref="O230" si="321">O229</f>
        <v>34.282799999999995</v>
      </c>
      <c r="R230" t="s">
        <v>103</v>
      </c>
      <c r="S230">
        <v>1</v>
      </c>
      <c r="T230" t="s">
        <v>7</v>
      </c>
      <c r="U230">
        <v>26112</v>
      </c>
      <c r="V230">
        <v>256</v>
      </c>
      <c r="W230" s="41">
        <v>2</v>
      </c>
      <c r="X230">
        <v>2</v>
      </c>
      <c r="Y230" s="1">
        <v>350</v>
      </c>
      <c r="Z230" s="54">
        <v>33.915999999999997</v>
      </c>
      <c r="AA230" s="23">
        <v>45558</v>
      </c>
      <c r="AB230" s="46">
        <v>0.71312500000000001</v>
      </c>
      <c r="AC230">
        <v>0</v>
      </c>
      <c r="AD230">
        <v>0</v>
      </c>
      <c r="AE230">
        <v>0</v>
      </c>
      <c r="AF230" s="57">
        <f t="shared" si="279"/>
        <v>33.998000000000005</v>
      </c>
      <c r="AI230" s="23" t="s">
        <v>154</v>
      </c>
      <c r="AJ230" s="46">
        <v>1</v>
      </c>
      <c r="AK230" t="s">
        <v>7</v>
      </c>
      <c r="AL230">
        <v>26112</v>
      </c>
      <c r="AM230">
        <v>256</v>
      </c>
      <c r="AN230" s="41">
        <v>2</v>
      </c>
      <c r="AO230">
        <v>2</v>
      </c>
      <c r="AP230" s="1">
        <v>310.86</v>
      </c>
      <c r="AQ230" s="54">
        <v>38.186</v>
      </c>
      <c r="AR230" s="23">
        <v>45558</v>
      </c>
      <c r="AS230" s="46">
        <v>0.64820601851851856</v>
      </c>
      <c r="AT230">
        <v>0</v>
      </c>
      <c r="AU230">
        <v>0</v>
      </c>
      <c r="AV230">
        <v>0</v>
      </c>
      <c r="AW230" s="57">
        <f t="shared" ref="AW230:AW233" si="322">AW229</f>
        <v>39.7318</v>
      </c>
      <c r="AZ230" t="s">
        <v>154</v>
      </c>
      <c r="BA230">
        <v>1</v>
      </c>
      <c r="BB230" t="s">
        <v>7</v>
      </c>
      <c r="BC230">
        <v>26112</v>
      </c>
      <c r="BD230">
        <v>256</v>
      </c>
      <c r="BE230">
        <v>2</v>
      </c>
      <c r="BF230">
        <v>2</v>
      </c>
      <c r="BG230" s="1">
        <v>356</v>
      </c>
      <c r="BH230" s="54">
        <v>33.344000000000001</v>
      </c>
      <c r="BI230" s="23">
        <v>45558</v>
      </c>
      <c r="BJ230" s="46">
        <v>0.68447916666666664</v>
      </c>
      <c r="BK230">
        <v>0</v>
      </c>
      <c r="BL230">
        <v>0</v>
      </c>
      <c r="BM230">
        <v>0</v>
      </c>
      <c r="BN230" s="57">
        <f t="shared" ref="BN230:BN233" si="323">BN229</f>
        <v>33.476999999999997</v>
      </c>
    </row>
    <row r="231" spans="1:66">
      <c r="A231" t="s">
        <v>103</v>
      </c>
      <c r="B231">
        <v>2</v>
      </c>
      <c r="C231" t="s">
        <v>7</v>
      </c>
      <c r="D231">
        <v>26112</v>
      </c>
      <c r="E231">
        <v>256</v>
      </c>
      <c r="F231">
        <v>2</v>
      </c>
      <c r="G231" s="41">
        <v>2</v>
      </c>
      <c r="H231" s="1">
        <v>346.42</v>
      </c>
      <c r="I231" s="54">
        <v>34.265999999999998</v>
      </c>
      <c r="J231" s="23">
        <v>45559</v>
      </c>
      <c r="K231" s="46">
        <v>5.5717592592592589E-2</v>
      </c>
      <c r="L231">
        <v>0</v>
      </c>
      <c r="M231">
        <v>0</v>
      </c>
      <c r="N231">
        <v>0</v>
      </c>
      <c r="O231" s="57">
        <f t="shared" si="286"/>
        <v>34.282799999999995</v>
      </c>
      <c r="R231" t="s">
        <v>103</v>
      </c>
      <c r="S231">
        <v>2</v>
      </c>
      <c r="T231" t="s">
        <v>7</v>
      </c>
      <c r="U231">
        <v>26112</v>
      </c>
      <c r="V231">
        <v>256</v>
      </c>
      <c r="W231" s="58">
        <v>2</v>
      </c>
      <c r="X231">
        <v>2</v>
      </c>
      <c r="Y231" s="1">
        <v>349.23</v>
      </c>
      <c r="Z231" s="54">
        <v>33.99</v>
      </c>
      <c r="AA231" s="23">
        <v>45559</v>
      </c>
      <c r="AB231" s="46">
        <v>5.6215277777777781E-2</v>
      </c>
      <c r="AC231">
        <v>0</v>
      </c>
      <c r="AD231">
        <v>0</v>
      </c>
      <c r="AE231">
        <v>0</v>
      </c>
      <c r="AF231" s="57">
        <f t="shared" si="279"/>
        <v>33.998000000000005</v>
      </c>
      <c r="AI231" s="23" t="s">
        <v>154</v>
      </c>
      <c r="AJ231" s="46">
        <v>2</v>
      </c>
      <c r="AK231" t="s">
        <v>7</v>
      </c>
      <c r="AL231">
        <v>26112</v>
      </c>
      <c r="AM231">
        <v>256</v>
      </c>
      <c r="AN231" s="41">
        <v>2</v>
      </c>
      <c r="AO231">
        <v>2</v>
      </c>
      <c r="AP231" s="1">
        <v>294.64</v>
      </c>
      <c r="AQ231" s="54">
        <v>40.287999999999997</v>
      </c>
      <c r="AR231" s="23">
        <v>45558</v>
      </c>
      <c r="AS231" s="46">
        <v>0.93731481481481482</v>
      </c>
      <c r="AT231">
        <v>0</v>
      </c>
      <c r="AU231">
        <v>0</v>
      </c>
      <c r="AV231">
        <v>0</v>
      </c>
      <c r="AW231" s="57">
        <f t="shared" si="322"/>
        <v>39.7318</v>
      </c>
      <c r="AZ231" t="s">
        <v>154</v>
      </c>
      <c r="BA231">
        <v>2</v>
      </c>
      <c r="BB231" t="s">
        <v>7</v>
      </c>
      <c r="BC231">
        <v>26112</v>
      </c>
      <c r="BD231">
        <v>256</v>
      </c>
      <c r="BE231">
        <v>2</v>
      </c>
      <c r="BF231">
        <v>2</v>
      </c>
      <c r="BG231" s="1">
        <v>357.99</v>
      </c>
      <c r="BH231" s="54">
        <v>33.158000000000001</v>
      </c>
      <c r="BI231" s="23">
        <v>45558</v>
      </c>
      <c r="BJ231" s="46">
        <v>0.99311342592592589</v>
      </c>
      <c r="BK231">
        <v>0</v>
      </c>
      <c r="BL231">
        <v>0</v>
      </c>
      <c r="BM231">
        <v>0</v>
      </c>
      <c r="BN231" s="57">
        <f t="shared" si="323"/>
        <v>33.476999999999997</v>
      </c>
    </row>
    <row r="232" spans="1:66">
      <c r="A232" t="s">
        <v>103</v>
      </c>
      <c r="B232">
        <v>3</v>
      </c>
      <c r="C232" t="s">
        <v>7</v>
      </c>
      <c r="D232">
        <v>26112</v>
      </c>
      <c r="E232">
        <v>256</v>
      </c>
      <c r="F232">
        <v>2</v>
      </c>
      <c r="G232" s="41">
        <v>2</v>
      </c>
      <c r="H232" s="1">
        <v>346.85</v>
      </c>
      <c r="I232" s="54">
        <v>34.222999999999999</v>
      </c>
      <c r="J232" s="23">
        <v>45559</v>
      </c>
      <c r="K232" s="46">
        <v>0.39812500000000001</v>
      </c>
      <c r="L232">
        <v>0</v>
      </c>
      <c r="M232">
        <v>0</v>
      </c>
      <c r="N232">
        <v>0</v>
      </c>
      <c r="O232" s="57">
        <f t="shared" si="286"/>
        <v>34.282799999999995</v>
      </c>
      <c r="R232" t="s">
        <v>103</v>
      </c>
      <c r="S232">
        <v>3</v>
      </c>
      <c r="T232" t="s">
        <v>7</v>
      </c>
      <c r="U232">
        <v>26112</v>
      </c>
      <c r="V232">
        <v>256</v>
      </c>
      <c r="W232" s="58">
        <v>2</v>
      </c>
      <c r="X232">
        <v>2</v>
      </c>
      <c r="Y232" s="1">
        <v>351.37</v>
      </c>
      <c r="Z232" s="54">
        <v>33.783000000000001</v>
      </c>
      <c r="AA232" s="23">
        <v>45559</v>
      </c>
      <c r="AB232" s="46">
        <v>0.39935185185185185</v>
      </c>
      <c r="AC232">
        <v>0</v>
      </c>
      <c r="AD232">
        <v>0</v>
      </c>
      <c r="AE232">
        <v>0</v>
      </c>
      <c r="AF232" s="57">
        <f t="shared" si="279"/>
        <v>33.998000000000005</v>
      </c>
      <c r="AI232" s="23" t="s">
        <v>154</v>
      </c>
      <c r="AJ232" s="46">
        <v>3</v>
      </c>
      <c r="AK232" t="s">
        <v>7</v>
      </c>
      <c r="AL232">
        <v>26112</v>
      </c>
      <c r="AM232">
        <v>256</v>
      </c>
      <c r="AN232" s="41">
        <v>2</v>
      </c>
      <c r="AO232">
        <v>2</v>
      </c>
      <c r="AP232" s="1">
        <v>300.41000000000003</v>
      </c>
      <c r="AQ232" s="54">
        <v>39.515000000000001</v>
      </c>
      <c r="AR232" s="23">
        <v>45559</v>
      </c>
      <c r="AS232" s="46">
        <v>0.22633101851851853</v>
      </c>
      <c r="AT232">
        <v>0</v>
      </c>
      <c r="AU232">
        <v>0</v>
      </c>
      <c r="AV232">
        <v>0</v>
      </c>
      <c r="AW232" s="57">
        <f t="shared" si="322"/>
        <v>39.7318</v>
      </c>
      <c r="AZ232" t="s">
        <v>154</v>
      </c>
      <c r="BA232">
        <v>3</v>
      </c>
      <c r="BB232" t="s">
        <v>7</v>
      </c>
      <c r="BC232">
        <v>26112</v>
      </c>
      <c r="BD232">
        <v>256</v>
      </c>
      <c r="BE232">
        <v>2</v>
      </c>
      <c r="BF232">
        <v>2</v>
      </c>
      <c r="BG232" s="1">
        <v>353.29</v>
      </c>
      <c r="BH232" s="54">
        <v>33.6</v>
      </c>
      <c r="BI232" s="23">
        <v>45559</v>
      </c>
      <c r="BJ232" s="46">
        <v>0.30166666666666669</v>
      </c>
      <c r="BK232">
        <v>0</v>
      </c>
      <c r="BL232">
        <v>0</v>
      </c>
      <c r="BM232">
        <v>0</v>
      </c>
      <c r="BN232" s="57">
        <f t="shared" si="323"/>
        <v>33.476999999999997</v>
      </c>
    </row>
    <row r="233" spans="1:66">
      <c r="A233" t="s">
        <v>103</v>
      </c>
      <c r="B233">
        <v>4</v>
      </c>
      <c r="C233" t="s">
        <v>7</v>
      </c>
      <c r="D233">
        <v>26112</v>
      </c>
      <c r="E233">
        <v>256</v>
      </c>
      <c r="F233">
        <v>2</v>
      </c>
      <c r="G233" s="41">
        <v>2</v>
      </c>
      <c r="H233" s="1">
        <v>346.63</v>
      </c>
      <c r="I233" s="54">
        <v>34.244999999999997</v>
      </c>
      <c r="J233" s="23">
        <v>45559</v>
      </c>
      <c r="K233" s="46">
        <v>0.7403819444444445</v>
      </c>
      <c r="L233">
        <v>0</v>
      </c>
      <c r="M233">
        <v>0</v>
      </c>
      <c r="N233">
        <v>0</v>
      </c>
      <c r="O233" s="57">
        <f t="shared" si="286"/>
        <v>34.282799999999995</v>
      </c>
      <c r="R233" t="s">
        <v>103</v>
      </c>
      <c r="S233">
        <v>4</v>
      </c>
      <c r="T233" t="s">
        <v>7</v>
      </c>
      <c r="U233">
        <v>26112</v>
      </c>
      <c r="V233">
        <v>256</v>
      </c>
      <c r="W233" s="58">
        <v>2</v>
      </c>
      <c r="X233">
        <v>2</v>
      </c>
      <c r="Y233" s="1">
        <v>347.24</v>
      </c>
      <c r="Z233" s="54">
        <v>34.185000000000002</v>
      </c>
      <c r="AA233" s="23">
        <v>45559</v>
      </c>
      <c r="AB233" s="46">
        <v>0.74238425925925922</v>
      </c>
      <c r="AC233">
        <v>0</v>
      </c>
      <c r="AD233">
        <v>0</v>
      </c>
      <c r="AE233">
        <v>0</v>
      </c>
      <c r="AF233" s="57">
        <f t="shared" si="279"/>
        <v>33.998000000000005</v>
      </c>
      <c r="AI233" s="23" t="s">
        <v>154</v>
      </c>
      <c r="AJ233" s="46">
        <v>4</v>
      </c>
      <c r="AK233" t="s">
        <v>7</v>
      </c>
      <c r="AL233">
        <v>26112</v>
      </c>
      <c r="AM233">
        <v>256</v>
      </c>
      <c r="AN233" s="41">
        <v>2</v>
      </c>
      <c r="AO233">
        <v>2</v>
      </c>
      <c r="AP233" s="1">
        <v>293.83999999999997</v>
      </c>
      <c r="AQ233" s="54">
        <v>40.398000000000003</v>
      </c>
      <c r="AR233" s="23">
        <v>45559</v>
      </c>
      <c r="AS233" s="46">
        <v>0.51559027777777777</v>
      </c>
      <c r="AT233">
        <v>0</v>
      </c>
      <c r="AU233">
        <v>0</v>
      </c>
      <c r="AV233">
        <v>0</v>
      </c>
      <c r="AW233" s="57">
        <f t="shared" si="322"/>
        <v>39.7318</v>
      </c>
      <c r="AZ233" t="s">
        <v>154</v>
      </c>
      <c r="BA233">
        <v>4</v>
      </c>
      <c r="BB233" t="s">
        <v>7</v>
      </c>
      <c r="BC233">
        <v>26112</v>
      </c>
      <c r="BD233">
        <v>256</v>
      </c>
      <c r="BE233">
        <v>2</v>
      </c>
      <c r="BF233">
        <v>2</v>
      </c>
      <c r="BG233" s="1">
        <v>350.49</v>
      </c>
      <c r="BH233" s="54">
        <v>33.868000000000002</v>
      </c>
      <c r="BI233" s="23">
        <v>45559</v>
      </c>
      <c r="BJ233" s="46">
        <v>0.61009259259259263</v>
      </c>
      <c r="BK233">
        <v>0</v>
      </c>
      <c r="BL233">
        <v>0</v>
      </c>
      <c r="BM233">
        <v>0</v>
      </c>
      <c r="BN233" s="57">
        <f t="shared" si="323"/>
        <v>33.476999999999997</v>
      </c>
    </row>
    <row r="234" spans="1:66">
      <c r="A234" t="s">
        <v>103</v>
      </c>
      <c r="B234">
        <v>0</v>
      </c>
      <c r="C234" t="s">
        <v>7</v>
      </c>
      <c r="D234">
        <v>27648</v>
      </c>
      <c r="E234">
        <v>256</v>
      </c>
      <c r="F234">
        <v>2</v>
      </c>
      <c r="G234" s="41">
        <v>2</v>
      </c>
      <c r="H234" s="1">
        <v>411.67</v>
      </c>
      <c r="I234" s="54">
        <v>34.228000000000002</v>
      </c>
      <c r="J234" s="23">
        <v>45558</v>
      </c>
      <c r="K234" s="46">
        <v>0.48528935185185185</v>
      </c>
      <c r="L234">
        <v>0</v>
      </c>
      <c r="M234">
        <v>0</v>
      </c>
      <c r="N234">
        <v>0</v>
      </c>
      <c r="O234" s="57">
        <f t="shared" ref="O234" si="324">AVERAGE(I234:I238)</f>
        <v>34.221600000000002</v>
      </c>
      <c r="R234" t="s">
        <v>103</v>
      </c>
      <c r="S234">
        <v>0</v>
      </c>
      <c r="T234" t="s">
        <v>7</v>
      </c>
      <c r="U234">
        <v>27648</v>
      </c>
      <c r="V234">
        <v>256</v>
      </c>
      <c r="W234" s="41">
        <v>2</v>
      </c>
      <c r="X234">
        <v>2</v>
      </c>
      <c r="Y234" s="1">
        <v>415.23</v>
      </c>
      <c r="Z234" s="54">
        <v>33.935000000000002</v>
      </c>
      <c r="AA234" s="23">
        <v>45558</v>
      </c>
      <c r="AB234" s="46">
        <v>0.48413194444444446</v>
      </c>
      <c r="AC234">
        <v>0</v>
      </c>
      <c r="AD234">
        <v>0</v>
      </c>
      <c r="AE234">
        <v>0</v>
      </c>
      <c r="AF234" s="57">
        <f t="shared" ref="AF234" si="325">AVERAGE(Z234:Z238)</f>
        <v>33.884</v>
      </c>
      <c r="AI234" s="23" t="s">
        <v>154</v>
      </c>
      <c r="AJ234" s="46">
        <v>0</v>
      </c>
      <c r="AK234" t="s">
        <v>7</v>
      </c>
      <c r="AL234">
        <v>27648</v>
      </c>
      <c r="AM234">
        <v>256</v>
      </c>
      <c r="AN234" s="41">
        <v>2</v>
      </c>
      <c r="AO234">
        <v>2</v>
      </c>
      <c r="AP234" s="1">
        <v>348.93</v>
      </c>
      <c r="AQ234" s="54">
        <v>40.381999999999998</v>
      </c>
      <c r="AR234" s="23">
        <v>45558</v>
      </c>
      <c r="AS234" s="46">
        <v>0.45094907407407409</v>
      </c>
      <c r="AT234">
        <v>0</v>
      </c>
      <c r="AU234">
        <v>0</v>
      </c>
      <c r="AV234">
        <v>0</v>
      </c>
      <c r="AW234" s="57">
        <f t="shared" ref="AW234" si="326">AVERAGE(AQ234:AQ238)</f>
        <v>40.196199999999997</v>
      </c>
      <c r="AZ234" t="s">
        <v>154</v>
      </c>
      <c r="BA234">
        <v>0</v>
      </c>
      <c r="BB234" t="s">
        <v>7</v>
      </c>
      <c r="BC234">
        <v>27648</v>
      </c>
      <c r="BD234">
        <v>256</v>
      </c>
      <c r="BE234">
        <v>2</v>
      </c>
      <c r="BF234">
        <v>2</v>
      </c>
      <c r="BG234" s="1">
        <v>417.57</v>
      </c>
      <c r="BH234" s="54">
        <v>33.744999999999997</v>
      </c>
      <c r="BI234" s="23">
        <v>45558</v>
      </c>
      <c r="BJ234" s="46">
        <v>0.46565972222222224</v>
      </c>
      <c r="BK234">
        <v>0</v>
      </c>
      <c r="BL234">
        <v>0</v>
      </c>
      <c r="BM234">
        <v>0</v>
      </c>
      <c r="BN234" s="57">
        <f t="shared" ref="BN234" si="327">AVERAGE(BH234:BH238)</f>
        <v>34.0304</v>
      </c>
    </row>
    <row r="235" spans="1:66">
      <c r="A235" t="s">
        <v>103</v>
      </c>
      <c r="B235">
        <v>1</v>
      </c>
      <c r="C235" t="s">
        <v>7</v>
      </c>
      <c r="D235">
        <v>27648</v>
      </c>
      <c r="E235">
        <v>256</v>
      </c>
      <c r="F235">
        <v>2</v>
      </c>
      <c r="G235" s="41">
        <v>2</v>
      </c>
      <c r="H235" s="1">
        <v>412.27</v>
      </c>
      <c r="I235" s="54">
        <v>34.179000000000002</v>
      </c>
      <c r="J235" s="23">
        <v>45558</v>
      </c>
      <c r="K235" s="46">
        <v>0.8275231481481482</v>
      </c>
      <c r="L235">
        <v>0</v>
      </c>
      <c r="M235">
        <v>0</v>
      </c>
      <c r="N235">
        <v>0</v>
      </c>
      <c r="O235" s="57">
        <f t="shared" ref="O235" si="328">O234</f>
        <v>34.221600000000002</v>
      </c>
      <c r="R235" t="s">
        <v>103</v>
      </c>
      <c r="S235">
        <v>1</v>
      </c>
      <c r="T235" t="s">
        <v>7</v>
      </c>
      <c r="U235">
        <v>27648</v>
      </c>
      <c r="V235">
        <v>256</v>
      </c>
      <c r="W235" s="58">
        <v>2</v>
      </c>
      <c r="X235">
        <v>2</v>
      </c>
      <c r="Y235" s="1">
        <v>417.16</v>
      </c>
      <c r="Z235" s="54">
        <v>33.777999999999999</v>
      </c>
      <c r="AA235" s="23">
        <v>45558</v>
      </c>
      <c r="AB235" s="46">
        <v>0.82725694444444442</v>
      </c>
      <c r="AC235">
        <v>0</v>
      </c>
      <c r="AD235">
        <v>0</v>
      </c>
      <c r="AE235">
        <v>0</v>
      </c>
      <c r="AF235" s="57">
        <f t="shared" si="279"/>
        <v>33.884</v>
      </c>
      <c r="AI235" s="23" t="s">
        <v>154</v>
      </c>
      <c r="AJ235" s="46">
        <v>1</v>
      </c>
      <c r="AK235" t="s">
        <v>7</v>
      </c>
      <c r="AL235">
        <v>27648</v>
      </c>
      <c r="AM235">
        <v>256</v>
      </c>
      <c r="AN235" s="41">
        <v>2</v>
      </c>
      <c r="AO235">
        <v>2</v>
      </c>
      <c r="AP235" s="1">
        <v>345.67</v>
      </c>
      <c r="AQ235" s="54">
        <v>40.762999999999998</v>
      </c>
      <c r="AR235" s="23">
        <v>45558</v>
      </c>
      <c r="AS235" s="46">
        <v>0.74375000000000002</v>
      </c>
      <c r="AT235">
        <v>0</v>
      </c>
      <c r="AU235">
        <v>0</v>
      </c>
      <c r="AV235">
        <v>0</v>
      </c>
      <c r="AW235" s="57">
        <f t="shared" ref="AW235:AW238" si="329">AW234</f>
        <v>40.196199999999997</v>
      </c>
      <c r="AZ235" t="s">
        <v>154</v>
      </c>
      <c r="BA235">
        <v>1</v>
      </c>
      <c r="BB235" t="s">
        <v>7</v>
      </c>
      <c r="BC235">
        <v>27648</v>
      </c>
      <c r="BD235">
        <v>256</v>
      </c>
      <c r="BE235">
        <v>2</v>
      </c>
      <c r="BF235">
        <v>2</v>
      </c>
      <c r="BG235" s="1">
        <v>421.9</v>
      </c>
      <c r="BH235" s="54">
        <v>33.398000000000003</v>
      </c>
      <c r="BI235" s="23">
        <v>45558</v>
      </c>
      <c r="BJ235" s="46">
        <v>0.78650462962962964</v>
      </c>
      <c r="BK235">
        <v>0</v>
      </c>
      <c r="BL235">
        <v>0</v>
      </c>
      <c r="BM235">
        <v>0</v>
      </c>
      <c r="BN235" s="57">
        <f t="shared" ref="BN235:BN238" si="330">BN234</f>
        <v>34.0304</v>
      </c>
    </row>
    <row r="236" spans="1:66">
      <c r="A236" t="s">
        <v>103</v>
      </c>
      <c r="B236">
        <v>2</v>
      </c>
      <c r="C236" t="s">
        <v>7</v>
      </c>
      <c r="D236">
        <v>27648</v>
      </c>
      <c r="E236">
        <v>256</v>
      </c>
      <c r="F236">
        <v>2</v>
      </c>
      <c r="G236" s="41">
        <v>2</v>
      </c>
      <c r="H236" s="1">
        <v>411.86</v>
      </c>
      <c r="I236" s="54">
        <v>34.213000000000001</v>
      </c>
      <c r="J236" s="23">
        <v>45559</v>
      </c>
      <c r="K236" s="46">
        <v>0.1696412037037037</v>
      </c>
      <c r="L236">
        <v>0</v>
      </c>
      <c r="M236">
        <v>0</v>
      </c>
      <c r="N236">
        <v>0</v>
      </c>
      <c r="O236" s="57">
        <f t="shared" si="286"/>
        <v>34.221600000000002</v>
      </c>
      <c r="R236" t="s">
        <v>103</v>
      </c>
      <c r="S236">
        <v>2</v>
      </c>
      <c r="T236" t="s">
        <v>7</v>
      </c>
      <c r="U236">
        <v>27648</v>
      </c>
      <c r="V236">
        <v>256</v>
      </c>
      <c r="W236" s="58">
        <v>2</v>
      </c>
      <c r="X236">
        <v>2</v>
      </c>
      <c r="Y236" s="1">
        <v>416.59</v>
      </c>
      <c r="Z236" s="54">
        <v>33.823999999999998</v>
      </c>
      <c r="AA236" s="23">
        <v>45559</v>
      </c>
      <c r="AB236" s="46">
        <v>0.17028935185185184</v>
      </c>
      <c r="AC236">
        <v>0</v>
      </c>
      <c r="AD236">
        <v>0</v>
      </c>
      <c r="AE236">
        <v>0</v>
      </c>
      <c r="AF236" s="57">
        <f t="shared" si="279"/>
        <v>33.884</v>
      </c>
      <c r="AI236" s="23" t="s">
        <v>154</v>
      </c>
      <c r="AJ236" s="46">
        <v>2</v>
      </c>
      <c r="AK236" t="s">
        <v>7</v>
      </c>
      <c r="AL236">
        <v>27648</v>
      </c>
      <c r="AM236">
        <v>256</v>
      </c>
      <c r="AN236" s="41">
        <v>2</v>
      </c>
      <c r="AO236">
        <v>2</v>
      </c>
      <c r="AP236" s="1">
        <v>353.65</v>
      </c>
      <c r="AQ236" s="54">
        <v>39.844000000000001</v>
      </c>
      <c r="AR236" s="23">
        <v>45559</v>
      </c>
      <c r="AS236" s="46">
        <v>3.2743055555555553E-2</v>
      </c>
      <c r="AT236">
        <v>0</v>
      </c>
      <c r="AU236">
        <v>0</v>
      </c>
      <c r="AV236">
        <v>0</v>
      </c>
      <c r="AW236" s="57">
        <f t="shared" si="329"/>
        <v>40.196199999999997</v>
      </c>
      <c r="AZ236" t="s">
        <v>154</v>
      </c>
      <c r="BA236">
        <v>2</v>
      </c>
      <c r="BB236" t="s">
        <v>7</v>
      </c>
      <c r="BC236">
        <v>27648</v>
      </c>
      <c r="BD236">
        <v>256</v>
      </c>
      <c r="BE236">
        <v>2</v>
      </c>
      <c r="BF236">
        <v>2</v>
      </c>
      <c r="BG236" s="1">
        <v>412.3</v>
      </c>
      <c r="BH236" s="54">
        <v>34.176000000000002</v>
      </c>
      <c r="BI236" s="23">
        <v>45559</v>
      </c>
      <c r="BJ236" s="46">
        <v>9.5162037037037031E-2</v>
      </c>
      <c r="BK236">
        <v>0</v>
      </c>
      <c r="BL236">
        <v>0</v>
      </c>
      <c r="BM236">
        <v>0</v>
      </c>
      <c r="BN236" s="57">
        <f t="shared" si="330"/>
        <v>34.0304</v>
      </c>
    </row>
    <row r="237" spans="1:66">
      <c r="A237" t="s">
        <v>103</v>
      </c>
      <c r="B237">
        <v>3</v>
      </c>
      <c r="C237" t="s">
        <v>7</v>
      </c>
      <c r="D237">
        <v>27648</v>
      </c>
      <c r="E237">
        <v>256</v>
      </c>
      <c r="F237">
        <v>2</v>
      </c>
      <c r="G237" s="41">
        <v>2</v>
      </c>
      <c r="H237" s="1">
        <v>412.77</v>
      </c>
      <c r="I237" s="54">
        <v>34.137</v>
      </c>
      <c r="J237" s="23">
        <v>45559</v>
      </c>
      <c r="K237" s="46">
        <v>0.51197916666666665</v>
      </c>
      <c r="L237">
        <v>0</v>
      </c>
      <c r="M237">
        <v>0</v>
      </c>
      <c r="N237">
        <v>0</v>
      </c>
      <c r="O237" s="57">
        <f t="shared" si="286"/>
        <v>34.221600000000002</v>
      </c>
      <c r="R237" t="s">
        <v>103</v>
      </c>
      <c r="S237">
        <v>3</v>
      </c>
      <c r="T237" t="s">
        <v>7</v>
      </c>
      <c r="U237">
        <v>27648</v>
      </c>
      <c r="V237">
        <v>256</v>
      </c>
      <c r="W237" s="58">
        <v>2</v>
      </c>
      <c r="X237">
        <v>2</v>
      </c>
      <c r="Y237" s="1">
        <v>418.24</v>
      </c>
      <c r="Z237" s="54">
        <v>33.691000000000003</v>
      </c>
      <c r="AA237" s="23">
        <v>45559</v>
      </c>
      <c r="AB237" s="46">
        <v>0.51348379629629626</v>
      </c>
      <c r="AC237">
        <v>0</v>
      </c>
      <c r="AD237">
        <v>0</v>
      </c>
      <c r="AE237">
        <v>0</v>
      </c>
      <c r="AF237" s="57">
        <f t="shared" si="279"/>
        <v>33.884</v>
      </c>
      <c r="AI237" s="23" t="s">
        <v>154</v>
      </c>
      <c r="AJ237" s="46">
        <v>3</v>
      </c>
      <c r="AK237" t="s">
        <v>7</v>
      </c>
      <c r="AL237">
        <v>27648</v>
      </c>
      <c r="AM237">
        <v>256</v>
      </c>
      <c r="AN237" s="41">
        <v>2</v>
      </c>
      <c r="AO237">
        <v>2</v>
      </c>
      <c r="AP237" s="1">
        <v>346.92</v>
      </c>
      <c r="AQ237" s="54">
        <v>40.616999999999997</v>
      </c>
      <c r="AR237" s="23">
        <v>45559</v>
      </c>
      <c r="AS237" s="46">
        <v>0.32179398148148147</v>
      </c>
      <c r="AT237">
        <v>0</v>
      </c>
      <c r="AU237">
        <v>0</v>
      </c>
      <c r="AV237">
        <v>0</v>
      </c>
      <c r="AW237" s="57">
        <f t="shared" si="329"/>
        <v>40.196199999999997</v>
      </c>
      <c r="AZ237" t="s">
        <v>154</v>
      </c>
      <c r="BA237">
        <v>3</v>
      </c>
      <c r="BB237" t="s">
        <v>7</v>
      </c>
      <c r="BC237">
        <v>27648</v>
      </c>
      <c r="BD237">
        <v>256</v>
      </c>
      <c r="BE237">
        <v>2</v>
      </c>
      <c r="BF237">
        <v>2</v>
      </c>
      <c r="BG237" s="1">
        <v>410.28</v>
      </c>
      <c r="BH237" s="54">
        <v>34.344000000000001</v>
      </c>
      <c r="BI237" s="23">
        <v>45559</v>
      </c>
      <c r="BJ237" s="46">
        <v>0.4035185185185185</v>
      </c>
      <c r="BK237">
        <v>0</v>
      </c>
      <c r="BL237">
        <v>0</v>
      </c>
      <c r="BM237">
        <v>0</v>
      </c>
      <c r="BN237" s="57">
        <f t="shared" si="330"/>
        <v>34.0304</v>
      </c>
    </row>
    <row r="238" spans="1:66">
      <c r="A238" t="s">
        <v>103</v>
      </c>
      <c r="B238">
        <v>4</v>
      </c>
      <c r="C238" t="s">
        <v>7</v>
      </c>
      <c r="D238">
        <v>27648</v>
      </c>
      <c r="E238">
        <v>256</v>
      </c>
      <c r="F238">
        <v>2</v>
      </c>
      <c r="G238" s="41">
        <v>2</v>
      </c>
      <c r="H238" s="1">
        <v>410.2</v>
      </c>
      <c r="I238" s="54">
        <v>34.350999999999999</v>
      </c>
      <c r="J238" s="23">
        <v>45559</v>
      </c>
      <c r="K238" s="46">
        <v>0.85422453703703705</v>
      </c>
      <c r="L238">
        <v>0</v>
      </c>
      <c r="M238">
        <v>0</v>
      </c>
      <c r="N238">
        <v>0</v>
      </c>
      <c r="O238" s="57">
        <f t="shared" si="286"/>
        <v>34.221600000000002</v>
      </c>
      <c r="R238" t="s">
        <v>103</v>
      </c>
      <c r="S238">
        <v>4</v>
      </c>
      <c r="T238" t="s">
        <v>7</v>
      </c>
      <c r="U238">
        <v>27648</v>
      </c>
      <c r="V238">
        <v>256</v>
      </c>
      <c r="W238" s="58">
        <v>2</v>
      </c>
      <c r="X238">
        <v>2</v>
      </c>
      <c r="Y238" s="1">
        <v>412.11</v>
      </c>
      <c r="Z238" s="54">
        <v>34.192</v>
      </c>
      <c r="AA238" s="23">
        <v>45559</v>
      </c>
      <c r="AB238" s="46">
        <v>0.85636574074074079</v>
      </c>
      <c r="AC238">
        <v>0</v>
      </c>
      <c r="AD238">
        <v>0</v>
      </c>
      <c r="AE238">
        <v>0</v>
      </c>
      <c r="AF238" s="57">
        <f t="shared" si="279"/>
        <v>33.884</v>
      </c>
      <c r="AI238" s="23" t="s">
        <v>154</v>
      </c>
      <c r="AJ238" s="46">
        <v>4</v>
      </c>
      <c r="AK238" t="s">
        <v>7</v>
      </c>
      <c r="AL238">
        <v>27648</v>
      </c>
      <c r="AM238">
        <v>256</v>
      </c>
      <c r="AN238" s="41">
        <v>2</v>
      </c>
      <c r="AO238">
        <v>2</v>
      </c>
      <c r="AP238" s="1">
        <v>357.86</v>
      </c>
      <c r="AQ238" s="54">
        <v>39.375</v>
      </c>
      <c r="AR238" s="23">
        <v>45559</v>
      </c>
      <c r="AS238" s="46">
        <v>0.61150462962962959</v>
      </c>
      <c r="AT238">
        <v>0</v>
      </c>
      <c r="AU238">
        <v>0</v>
      </c>
      <c r="AV238">
        <v>0</v>
      </c>
      <c r="AW238" s="57">
        <f t="shared" si="329"/>
        <v>40.196199999999997</v>
      </c>
      <c r="AZ238" t="s">
        <v>154</v>
      </c>
      <c r="BA238">
        <v>4</v>
      </c>
      <c r="BB238" t="s">
        <v>7</v>
      </c>
      <c r="BC238">
        <v>27648</v>
      </c>
      <c r="BD238">
        <v>256</v>
      </c>
      <c r="BE238">
        <v>2</v>
      </c>
      <c r="BF238">
        <v>2</v>
      </c>
      <c r="BG238" s="1">
        <v>408.56</v>
      </c>
      <c r="BH238" s="54">
        <v>34.488999999999997</v>
      </c>
      <c r="BI238" s="23">
        <v>45559</v>
      </c>
      <c r="BJ238" s="46">
        <v>0.71196759259259257</v>
      </c>
      <c r="BK238">
        <v>0</v>
      </c>
      <c r="BL238">
        <v>0</v>
      </c>
      <c r="BM238">
        <v>0</v>
      </c>
      <c r="BN238" s="57">
        <f t="shared" si="330"/>
        <v>34.0304</v>
      </c>
    </row>
    <row r="239" spans="1:66">
      <c r="A239" t="s">
        <v>103</v>
      </c>
      <c r="B239">
        <v>0</v>
      </c>
      <c r="C239" t="s">
        <v>7</v>
      </c>
      <c r="D239">
        <v>29184</v>
      </c>
      <c r="E239">
        <v>256</v>
      </c>
      <c r="F239">
        <v>2</v>
      </c>
      <c r="G239" s="41">
        <v>2</v>
      </c>
      <c r="H239" s="1">
        <v>491.92</v>
      </c>
      <c r="I239" s="54">
        <v>33.689</v>
      </c>
      <c r="J239" s="23">
        <v>45558</v>
      </c>
      <c r="K239" s="46">
        <v>0.61883101851851852</v>
      </c>
      <c r="L239">
        <v>0</v>
      </c>
      <c r="M239">
        <v>0</v>
      </c>
      <c r="N239">
        <v>0</v>
      </c>
      <c r="O239" s="57">
        <f t="shared" ref="O239" si="331">AVERAGE(I239:I243)</f>
        <v>33.758600000000001</v>
      </c>
      <c r="R239" t="s">
        <v>103</v>
      </c>
      <c r="S239">
        <v>0</v>
      </c>
      <c r="T239" t="s">
        <v>7</v>
      </c>
      <c r="U239">
        <v>29184</v>
      </c>
      <c r="V239">
        <v>256</v>
      </c>
      <c r="W239" s="41">
        <v>2</v>
      </c>
      <c r="X239">
        <v>2</v>
      </c>
      <c r="Y239" s="1">
        <v>494.65</v>
      </c>
      <c r="Z239" s="54">
        <v>33.502000000000002</v>
      </c>
      <c r="AA239" s="23">
        <v>45558</v>
      </c>
      <c r="AB239" s="46">
        <v>0.61804398148148143</v>
      </c>
      <c r="AC239">
        <v>0</v>
      </c>
      <c r="AD239">
        <v>0</v>
      </c>
      <c r="AE239">
        <v>0</v>
      </c>
      <c r="AF239" s="57">
        <f t="shared" ref="AF239" si="332">AVERAGE(Z239:Z243)</f>
        <v>33.521799999999999</v>
      </c>
      <c r="AI239" s="23" t="s">
        <v>154</v>
      </c>
      <c r="AJ239" s="46">
        <v>0</v>
      </c>
      <c r="AK239" t="s">
        <v>7</v>
      </c>
      <c r="AL239">
        <v>29184</v>
      </c>
      <c r="AM239">
        <v>256</v>
      </c>
      <c r="AN239" s="41">
        <v>2</v>
      </c>
      <c r="AO239">
        <v>2</v>
      </c>
      <c r="AP239" s="1">
        <v>420.18</v>
      </c>
      <c r="AQ239" s="54">
        <v>39.44</v>
      </c>
      <c r="AR239" s="23">
        <v>45558</v>
      </c>
      <c r="AS239" s="46">
        <v>0.59092592592592597</v>
      </c>
      <c r="AT239">
        <v>0</v>
      </c>
      <c r="AU239">
        <v>0</v>
      </c>
      <c r="AV239">
        <v>0</v>
      </c>
      <c r="AW239" s="57">
        <f t="shared" ref="AW239" si="333">AVERAGE(AQ239:AQ243)</f>
        <v>39.465800000000002</v>
      </c>
      <c r="AZ239" t="s">
        <v>154</v>
      </c>
      <c r="BA239">
        <v>0</v>
      </c>
      <c r="BB239" t="s">
        <v>7</v>
      </c>
      <c r="BC239">
        <v>29184</v>
      </c>
      <c r="BD239">
        <v>256</v>
      </c>
      <c r="BE239">
        <v>2</v>
      </c>
      <c r="BF239">
        <v>2</v>
      </c>
      <c r="BG239" s="1">
        <v>486.66</v>
      </c>
      <c r="BH239" s="54">
        <v>34.052999999999997</v>
      </c>
      <c r="BI239" s="23">
        <v>45558</v>
      </c>
      <c r="BJ239" s="46">
        <v>0.59773148148148147</v>
      </c>
      <c r="BK239">
        <v>0</v>
      </c>
      <c r="BL239">
        <v>0</v>
      </c>
      <c r="BM239">
        <v>0</v>
      </c>
      <c r="BN239" s="57">
        <f t="shared" ref="BN239" si="334">AVERAGE(BH239:BH243)</f>
        <v>34.342199999999998</v>
      </c>
    </row>
    <row r="240" spans="1:66">
      <c r="A240" t="s">
        <v>103</v>
      </c>
      <c r="B240">
        <v>1</v>
      </c>
      <c r="C240" t="s">
        <v>7</v>
      </c>
      <c r="D240">
        <v>29184</v>
      </c>
      <c r="E240">
        <v>256</v>
      </c>
      <c r="F240">
        <v>2</v>
      </c>
      <c r="G240" s="41">
        <v>2</v>
      </c>
      <c r="H240" s="1">
        <v>490.96</v>
      </c>
      <c r="I240" s="54">
        <v>33.755000000000003</v>
      </c>
      <c r="J240" s="23">
        <v>45558</v>
      </c>
      <c r="K240" s="46">
        <v>0.96103009259259264</v>
      </c>
      <c r="L240">
        <v>0</v>
      </c>
      <c r="M240">
        <v>0</v>
      </c>
      <c r="N240">
        <v>0</v>
      </c>
      <c r="O240" s="57">
        <f t="shared" ref="O240" si="335">O239</f>
        <v>33.758600000000001</v>
      </c>
      <c r="R240" t="s">
        <v>103</v>
      </c>
      <c r="S240">
        <v>1</v>
      </c>
      <c r="T240" t="s">
        <v>7</v>
      </c>
      <c r="U240">
        <v>29184</v>
      </c>
      <c r="V240">
        <v>256</v>
      </c>
      <c r="W240" s="58">
        <v>2</v>
      </c>
      <c r="X240">
        <v>2</v>
      </c>
      <c r="Y240" s="1">
        <v>493.98</v>
      </c>
      <c r="Z240" s="54">
        <v>33.548000000000002</v>
      </c>
      <c r="AA240" s="23">
        <v>45558</v>
      </c>
      <c r="AB240" s="46">
        <v>0.96112268518518518</v>
      </c>
      <c r="AC240">
        <v>0</v>
      </c>
      <c r="AD240">
        <v>0</v>
      </c>
      <c r="AE240">
        <v>0</v>
      </c>
      <c r="AF240" s="57">
        <f t="shared" si="279"/>
        <v>33.521799999999999</v>
      </c>
      <c r="AI240" s="23" t="s">
        <v>154</v>
      </c>
      <c r="AJ240" s="46">
        <v>1</v>
      </c>
      <c r="AK240" t="s">
        <v>7</v>
      </c>
      <c r="AL240">
        <v>29184</v>
      </c>
      <c r="AM240">
        <v>256</v>
      </c>
      <c r="AN240" s="41">
        <v>2</v>
      </c>
      <c r="AO240">
        <v>2</v>
      </c>
      <c r="AP240" s="1">
        <v>424.06</v>
      </c>
      <c r="AQ240" s="54">
        <v>39.079000000000001</v>
      </c>
      <c r="AR240" s="23">
        <v>45558</v>
      </c>
      <c r="AS240" s="46">
        <v>0.85722222222222222</v>
      </c>
      <c r="AT240">
        <v>0</v>
      </c>
      <c r="AU240">
        <v>0</v>
      </c>
      <c r="AV240">
        <v>0</v>
      </c>
      <c r="AW240" s="57">
        <f t="shared" ref="AW240:AW243" si="336">AW239</f>
        <v>39.465800000000002</v>
      </c>
      <c r="AZ240" t="s">
        <v>154</v>
      </c>
      <c r="BA240">
        <v>1</v>
      </c>
      <c r="BB240" t="s">
        <v>7</v>
      </c>
      <c r="BC240">
        <v>29184</v>
      </c>
      <c r="BD240">
        <v>256</v>
      </c>
      <c r="BE240">
        <v>2</v>
      </c>
      <c r="BF240">
        <v>2</v>
      </c>
      <c r="BG240" s="1">
        <v>480.14</v>
      </c>
      <c r="BH240" s="54">
        <v>34.515000000000001</v>
      </c>
      <c r="BI240" s="23">
        <v>45558</v>
      </c>
      <c r="BJ240" s="46">
        <v>0.90645833333333337</v>
      </c>
      <c r="BK240">
        <v>0</v>
      </c>
      <c r="BL240">
        <v>0</v>
      </c>
      <c r="BM240">
        <v>0</v>
      </c>
      <c r="BN240" s="57">
        <f t="shared" ref="BN240:BN243" si="337">BN239</f>
        <v>34.342199999999998</v>
      </c>
    </row>
    <row r="241" spans="1:66">
      <c r="A241" t="s">
        <v>103</v>
      </c>
      <c r="B241">
        <v>2</v>
      </c>
      <c r="C241" t="s">
        <v>7</v>
      </c>
      <c r="D241">
        <v>29184</v>
      </c>
      <c r="E241">
        <v>256</v>
      </c>
      <c r="F241">
        <v>2</v>
      </c>
      <c r="G241" s="41">
        <v>2</v>
      </c>
      <c r="H241" s="1">
        <v>491.76</v>
      </c>
      <c r="I241" s="54">
        <v>33.698999999999998</v>
      </c>
      <c r="J241" s="23">
        <v>45559</v>
      </c>
      <c r="K241" s="46">
        <v>0.30328703703703702</v>
      </c>
      <c r="L241">
        <v>0</v>
      </c>
      <c r="M241">
        <v>0</v>
      </c>
      <c r="N241">
        <v>0</v>
      </c>
      <c r="O241" s="57">
        <f t="shared" si="286"/>
        <v>33.758600000000001</v>
      </c>
      <c r="R241" t="s">
        <v>103</v>
      </c>
      <c r="S241">
        <v>2</v>
      </c>
      <c r="T241" t="s">
        <v>7</v>
      </c>
      <c r="U241">
        <v>29184</v>
      </c>
      <c r="V241">
        <v>256</v>
      </c>
      <c r="W241" s="58">
        <v>2</v>
      </c>
      <c r="X241">
        <v>2</v>
      </c>
      <c r="Y241" s="1">
        <v>496.3</v>
      </c>
      <c r="Z241" s="54">
        <v>33.390999999999998</v>
      </c>
      <c r="AA241" s="23">
        <v>45559</v>
      </c>
      <c r="AB241" s="46">
        <v>0.30422453703703706</v>
      </c>
      <c r="AC241">
        <v>0</v>
      </c>
      <c r="AD241">
        <v>0</v>
      </c>
      <c r="AE241">
        <v>0</v>
      </c>
      <c r="AF241" s="57">
        <f t="shared" si="279"/>
        <v>33.521799999999999</v>
      </c>
      <c r="AI241" s="23" t="s">
        <v>154</v>
      </c>
      <c r="AJ241" s="46">
        <v>2</v>
      </c>
      <c r="AK241" t="s">
        <v>7</v>
      </c>
      <c r="AL241">
        <v>29184</v>
      </c>
      <c r="AM241">
        <v>256</v>
      </c>
      <c r="AN241" s="41">
        <v>2</v>
      </c>
      <c r="AO241">
        <v>2</v>
      </c>
      <c r="AP241" s="1">
        <v>418.33</v>
      </c>
      <c r="AQ241" s="54">
        <v>39.615000000000002</v>
      </c>
      <c r="AR241" s="23">
        <v>45559</v>
      </c>
      <c r="AS241" s="46">
        <v>0.14608796296296298</v>
      </c>
      <c r="AT241">
        <v>0</v>
      </c>
      <c r="AU241">
        <v>0</v>
      </c>
      <c r="AV241">
        <v>0</v>
      </c>
      <c r="AW241" s="57">
        <f t="shared" si="336"/>
        <v>39.465800000000002</v>
      </c>
      <c r="AZ241" t="s">
        <v>154</v>
      </c>
      <c r="BA241">
        <v>2</v>
      </c>
      <c r="BB241" t="s">
        <v>7</v>
      </c>
      <c r="BC241">
        <v>29184</v>
      </c>
      <c r="BD241">
        <v>256</v>
      </c>
      <c r="BE241">
        <v>2</v>
      </c>
      <c r="BF241">
        <v>2</v>
      </c>
      <c r="BG241" s="1">
        <v>481.32</v>
      </c>
      <c r="BH241" s="54">
        <v>34.43</v>
      </c>
      <c r="BI241" s="23">
        <v>45559</v>
      </c>
      <c r="BJ241" s="46">
        <v>0.21502314814814816</v>
      </c>
      <c r="BK241">
        <v>0</v>
      </c>
      <c r="BL241">
        <v>0</v>
      </c>
      <c r="BM241">
        <v>0</v>
      </c>
      <c r="BN241" s="57">
        <f t="shared" si="337"/>
        <v>34.342199999999998</v>
      </c>
    </row>
    <row r="242" spans="1:66">
      <c r="A242" t="s">
        <v>103</v>
      </c>
      <c r="B242">
        <v>3</v>
      </c>
      <c r="C242" t="s">
        <v>7</v>
      </c>
      <c r="D242">
        <v>29184</v>
      </c>
      <c r="E242">
        <v>256</v>
      </c>
      <c r="F242">
        <v>2</v>
      </c>
      <c r="G242" s="41">
        <v>2</v>
      </c>
      <c r="H242" s="1">
        <v>490.6</v>
      </c>
      <c r="I242" s="54">
        <v>33.779000000000003</v>
      </c>
      <c r="J242" s="23">
        <v>45559</v>
      </c>
      <c r="K242" s="46">
        <v>0.64561342592592597</v>
      </c>
      <c r="L242">
        <v>0</v>
      </c>
      <c r="M242">
        <v>0</v>
      </c>
      <c r="N242">
        <v>0</v>
      </c>
      <c r="O242" s="57">
        <f t="shared" si="286"/>
        <v>33.758600000000001</v>
      </c>
      <c r="R242" t="s">
        <v>103</v>
      </c>
      <c r="S242">
        <v>3</v>
      </c>
      <c r="T242" t="s">
        <v>7</v>
      </c>
      <c r="U242">
        <v>29184</v>
      </c>
      <c r="V242">
        <v>256</v>
      </c>
      <c r="W242" s="58">
        <v>2</v>
      </c>
      <c r="X242">
        <v>2</v>
      </c>
      <c r="Y242" s="1">
        <v>496.13</v>
      </c>
      <c r="Z242" s="54">
        <v>33.402999999999999</v>
      </c>
      <c r="AA242" s="23">
        <v>45559</v>
      </c>
      <c r="AB242" s="46">
        <v>0.6474537037037037</v>
      </c>
      <c r="AC242">
        <v>0</v>
      </c>
      <c r="AD242">
        <v>0</v>
      </c>
      <c r="AE242">
        <v>0</v>
      </c>
      <c r="AF242" s="57">
        <f t="shared" si="279"/>
        <v>33.521799999999999</v>
      </c>
      <c r="AI242" s="23" t="s">
        <v>154</v>
      </c>
      <c r="AJ242" s="46">
        <v>3</v>
      </c>
      <c r="AK242" t="s">
        <v>7</v>
      </c>
      <c r="AL242">
        <v>29184</v>
      </c>
      <c r="AM242">
        <v>256</v>
      </c>
      <c r="AN242" s="41">
        <v>2</v>
      </c>
      <c r="AO242">
        <v>2</v>
      </c>
      <c r="AP242" s="1">
        <v>424.85</v>
      </c>
      <c r="AQ242" s="54">
        <v>39.006999999999998</v>
      </c>
      <c r="AR242" s="23">
        <v>45559</v>
      </c>
      <c r="AS242" s="46">
        <v>0.43539351851851854</v>
      </c>
      <c r="AT242">
        <v>0</v>
      </c>
      <c r="AU242">
        <v>0</v>
      </c>
      <c r="AV242">
        <v>0</v>
      </c>
      <c r="AW242" s="57">
        <f t="shared" si="336"/>
        <v>39.465800000000002</v>
      </c>
      <c r="AZ242" t="s">
        <v>154</v>
      </c>
      <c r="BA242">
        <v>3</v>
      </c>
      <c r="BB242" t="s">
        <v>7</v>
      </c>
      <c r="BC242">
        <v>29184</v>
      </c>
      <c r="BD242">
        <v>256</v>
      </c>
      <c r="BE242">
        <v>2</v>
      </c>
      <c r="BF242">
        <v>2</v>
      </c>
      <c r="BG242" s="1">
        <v>482.63</v>
      </c>
      <c r="BH242" s="54">
        <v>34.337000000000003</v>
      </c>
      <c r="BI242" s="23">
        <v>45559</v>
      </c>
      <c r="BJ242" s="46">
        <v>0.52350694444444446</v>
      </c>
      <c r="BK242">
        <v>0</v>
      </c>
      <c r="BL242">
        <v>0</v>
      </c>
      <c r="BM242">
        <v>0</v>
      </c>
      <c r="BN242" s="57">
        <f t="shared" si="337"/>
        <v>34.342199999999998</v>
      </c>
    </row>
    <row r="243" spans="1:66">
      <c r="A243" t="s">
        <v>103</v>
      </c>
      <c r="B243">
        <v>4</v>
      </c>
      <c r="C243" t="s">
        <v>7</v>
      </c>
      <c r="D243">
        <v>29184</v>
      </c>
      <c r="E243">
        <v>256</v>
      </c>
      <c r="F243">
        <v>2</v>
      </c>
      <c r="G243" s="41">
        <v>2</v>
      </c>
      <c r="H243" s="1">
        <v>489.27</v>
      </c>
      <c r="I243" s="54">
        <v>33.871000000000002</v>
      </c>
      <c r="J243" s="23">
        <v>45559</v>
      </c>
      <c r="K243" s="46">
        <v>0.98748842592592589</v>
      </c>
      <c r="L243">
        <v>0</v>
      </c>
      <c r="M243">
        <v>0</v>
      </c>
      <c r="N243">
        <v>0</v>
      </c>
      <c r="O243" s="57">
        <f t="shared" si="286"/>
        <v>33.758600000000001</v>
      </c>
      <c r="R243" t="s">
        <v>103</v>
      </c>
      <c r="S243">
        <v>4</v>
      </c>
      <c r="T243" t="s">
        <v>7</v>
      </c>
      <c r="U243">
        <v>29184</v>
      </c>
      <c r="V243">
        <v>256</v>
      </c>
      <c r="W243" s="58">
        <v>2</v>
      </c>
      <c r="X243">
        <v>2</v>
      </c>
      <c r="Y243" s="1">
        <v>490.81</v>
      </c>
      <c r="Z243" s="54">
        <v>33.765000000000001</v>
      </c>
      <c r="AA243" s="23">
        <v>45559</v>
      </c>
      <c r="AB243" s="46">
        <v>0.98996527777777776</v>
      </c>
      <c r="AC243">
        <v>0</v>
      </c>
      <c r="AD243">
        <v>0</v>
      </c>
      <c r="AE243">
        <v>0</v>
      </c>
      <c r="AF243" s="57">
        <f t="shared" si="279"/>
        <v>33.521799999999999</v>
      </c>
      <c r="AI243" s="23" t="s">
        <v>154</v>
      </c>
      <c r="AJ243" s="46">
        <v>4</v>
      </c>
      <c r="AK243" t="s">
        <v>7</v>
      </c>
      <c r="AL243">
        <v>29184</v>
      </c>
      <c r="AM243">
        <v>256</v>
      </c>
      <c r="AN243" s="41">
        <v>2</v>
      </c>
      <c r="AO243">
        <v>2</v>
      </c>
      <c r="AP243" s="1">
        <v>412.36</v>
      </c>
      <c r="AQ243" s="54">
        <v>40.188000000000002</v>
      </c>
      <c r="AR243" s="23">
        <v>45559</v>
      </c>
      <c r="AS243" s="46">
        <v>0.72520833333333334</v>
      </c>
      <c r="AT243">
        <v>0</v>
      </c>
      <c r="AU243">
        <v>0</v>
      </c>
      <c r="AV243">
        <v>0</v>
      </c>
      <c r="AW243" s="57">
        <f t="shared" si="336"/>
        <v>39.465800000000002</v>
      </c>
      <c r="AZ243" t="s">
        <v>154</v>
      </c>
      <c r="BA243">
        <v>4</v>
      </c>
      <c r="BB243" t="s">
        <v>7</v>
      </c>
      <c r="BC243">
        <v>29184</v>
      </c>
      <c r="BD243">
        <v>256</v>
      </c>
      <c r="BE243">
        <v>2</v>
      </c>
      <c r="BF243">
        <v>2</v>
      </c>
      <c r="BG243" s="1">
        <v>482.09</v>
      </c>
      <c r="BH243" s="54">
        <v>34.375999999999998</v>
      </c>
      <c r="BI243" s="23">
        <v>45559</v>
      </c>
      <c r="BJ243" s="46">
        <v>0.83185185185185184</v>
      </c>
      <c r="BK243">
        <v>0</v>
      </c>
      <c r="BL243">
        <v>0</v>
      </c>
      <c r="BM243">
        <v>0</v>
      </c>
      <c r="BN243" s="57">
        <f t="shared" si="337"/>
        <v>34.342199999999998</v>
      </c>
    </row>
    <row r="244" spans="1:66">
      <c r="O244" s="55">
        <f>AVERAGE(O4:O243)</f>
        <v>28.71429583333332</v>
      </c>
      <c r="W244" s="58"/>
      <c r="AF244" s="55">
        <f>AVERAGE(AF4:AF243)</f>
        <v>28.544070833333329</v>
      </c>
      <c r="AW244" s="55">
        <f>AVERAGE(AW4:AW243)</f>
        <v>33.365304166666654</v>
      </c>
      <c r="BN244" s="55">
        <f>AVERAGE(BN4:BN243)</f>
        <v>30.096045833333289</v>
      </c>
    </row>
    <row r="245" spans="1:66">
      <c r="W245" s="58"/>
    </row>
    <row r="246" spans="1:66">
      <c r="W246" s="58"/>
    </row>
    <row r="247" spans="1:66">
      <c r="W247" s="58"/>
    </row>
    <row r="248" spans="1:66">
      <c r="W248" s="58"/>
    </row>
    <row r="249" spans="1:66">
      <c r="W249" s="58"/>
    </row>
    <row r="250" spans="1:66">
      <c r="W250" s="58"/>
    </row>
    <row r="251" spans="1:66">
      <c r="W251" s="58"/>
    </row>
    <row r="252" spans="1:66">
      <c r="W252" s="58"/>
    </row>
    <row r="253" spans="1:66">
      <c r="W253" s="58"/>
    </row>
    <row r="254" spans="1:66">
      <c r="W254" s="58"/>
    </row>
    <row r="255" spans="1:66">
      <c r="W255" s="58"/>
    </row>
    <row r="256" spans="1:66">
      <c r="W256" s="58"/>
    </row>
    <row r="257" spans="23:23">
      <c r="W257" s="58"/>
    </row>
    <row r="258" spans="23:23">
      <c r="W258" s="58"/>
    </row>
    <row r="259" spans="23:23">
      <c r="W259" s="58"/>
    </row>
    <row r="260" spans="23:23">
      <c r="W260" s="58"/>
    </row>
    <row r="261" spans="23:23">
      <c r="W261" s="58"/>
    </row>
    <row r="262" spans="23:23">
      <c r="W262" s="58"/>
    </row>
    <row r="263" spans="23:23">
      <c r="W263" s="58"/>
    </row>
    <row r="264" spans="23:23">
      <c r="W264" s="58"/>
    </row>
    <row r="265" spans="23:23">
      <c r="W265" s="58"/>
    </row>
    <row r="266" spans="23:23">
      <c r="W266" s="58"/>
    </row>
    <row r="267" spans="23:23">
      <c r="W267" s="58"/>
    </row>
    <row r="268" spans="23:23">
      <c r="W268" s="58"/>
    </row>
    <row r="269" spans="23:23">
      <c r="W269" s="58"/>
    </row>
    <row r="270" spans="23:23">
      <c r="W270" s="58"/>
    </row>
    <row r="271" spans="23:23">
      <c r="W271" s="58"/>
    </row>
    <row r="272" spans="23:23">
      <c r="W272" s="58"/>
    </row>
    <row r="273" spans="23:23">
      <c r="W273" s="58"/>
    </row>
    <row r="274" spans="23:23">
      <c r="W274" s="58"/>
    </row>
    <row r="275" spans="23:23">
      <c r="W275" s="58"/>
    </row>
    <row r="276" spans="23:23">
      <c r="W276" s="58"/>
    </row>
    <row r="277" spans="23:23">
      <c r="W277" s="58"/>
    </row>
    <row r="278" spans="23:23">
      <c r="W278" s="58"/>
    </row>
    <row r="279" spans="23:23">
      <c r="W279" s="58"/>
    </row>
    <row r="280" spans="23:23">
      <c r="W280" s="58"/>
    </row>
    <row r="281" spans="23:23">
      <c r="W281" s="58"/>
    </row>
    <row r="282" spans="23:23">
      <c r="W282" s="58"/>
    </row>
    <row r="283" spans="23:23">
      <c r="W283" s="58"/>
    </row>
    <row r="284" spans="23:23">
      <c r="W284" s="58"/>
    </row>
    <row r="285" spans="23:23">
      <c r="W285" s="58"/>
    </row>
    <row r="286" spans="23:23">
      <c r="W286" s="58"/>
    </row>
    <row r="287" spans="23:23">
      <c r="W287" s="58"/>
    </row>
    <row r="288" spans="23:23">
      <c r="W288" s="58"/>
    </row>
    <row r="289" spans="23:23">
      <c r="W289" s="58"/>
    </row>
    <row r="290" spans="23:23">
      <c r="W290" s="58"/>
    </row>
    <row r="291" spans="23:23">
      <c r="W291" s="58"/>
    </row>
    <row r="292" spans="23:23">
      <c r="W292" s="58"/>
    </row>
  </sheetData>
  <sortState xmlns:xlrd2="http://schemas.microsoft.com/office/spreadsheetml/2017/richdata2" ref="A4:N243">
    <sortCondition ref="E4:E243"/>
    <sortCondition ref="F4:F243"/>
    <sortCondition ref="D4:D243"/>
    <sortCondition ref="B4:B243"/>
  </sortState>
  <mergeCells count="20">
    <mergeCell ref="AB1:AE1"/>
    <mergeCell ref="AF1:AF3"/>
    <mergeCell ref="AI1:AM1"/>
    <mergeCell ref="AC2:AE2"/>
    <mergeCell ref="AI2:AK2"/>
    <mergeCell ref="A1:E1"/>
    <mergeCell ref="K1:N1"/>
    <mergeCell ref="O1:O3"/>
    <mergeCell ref="R1:V1"/>
    <mergeCell ref="A2:C2"/>
    <mergeCell ref="L2:N2"/>
    <mergeCell ref="R2:T2"/>
    <mergeCell ref="AS1:AV1"/>
    <mergeCell ref="AW1:AW3"/>
    <mergeCell ref="AZ1:BD1"/>
    <mergeCell ref="BJ1:BM1"/>
    <mergeCell ref="BN1:BN3"/>
    <mergeCell ref="AT2:AV2"/>
    <mergeCell ref="AZ2:BB2"/>
    <mergeCell ref="BK2:BM2"/>
  </mergeCells>
  <conditionalFormatting sqref="O1:O1048576 AF1:AF1048576 AW1:AW1048576 BN1:BN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1916-1151-496B-8E19-7EF8B0C8C637}">
  <dimension ref="A1:DE801"/>
  <sheetViews>
    <sheetView zoomScale="85" zoomScaleNormal="85" workbookViewId="0">
      <selection activeCell="AG25" sqref="AG25"/>
    </sheetView>
  </sheetViews>
  <sheetFormatPr defaultColWidth="8.85546875" defaultRowHeight="15"/>
  <cols>
    <col min="1" max="1" width="15.7109375" bestFit="1" customWidth="1"/>
    <col min="6" max="6" width="9.7109375" bestFit="1" customWidth="1"/>
    <col min="9" max="9" width="9.140625" style="20"/>
    <col min="24" max="24" width="9.140625" style="20"/>
    <col min="31" max="31" width="9.7109375" bestFit="1" customWidth="1"/>
    <col min="34" max="34" width="9.140625" style="20"/>
    <col min="58" max="58" width="9.140625" style="1"/>
    <col min="82" max="82" width="9.140625" style="1"/>
  </cols>
  <sheetData>
    <row r="1" spans="1:109">
      <c r="A1" s="80" t="s">
        <v>74</v>
      </c>
      <c r="B1" s="80"/>
      <c r="C1" s="80"/>
      <c r="D1" s="80"/>
      <c r="E1" s="80"/>
      <c r="F1" s="26">
        <f>MAX(X:X)</f>
        <v>131.19400000000002</v>
      </c>
      <c r="G1" s="40">
        <f>INDEX(D:D,MATCH(MAX($X:$X),$X:$X,0))</f>
        <v>52000</v>
      </c>
      <c r="H1" s="40">
        <f t="shared" ref="H1:J1" si="0">INDEX(E:E,MATCH(MAX($X:$X),$X:$X,0))</f>
        <v>160</v>
      </c>
      <c r="I1" s="40">
        <f t="shared" si="0"/>
        <v>2</v>
      </c>
      <c r="J1" s="40">
        <f t="shared" si="0"/>
        <v>8</v>
      </c>
      <c r="K1" s="28"/>
      <c r="L1" s="83" t="s">
        <v>75</v>
      </c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5" t="s">
        <v>81</v>
      </c>
      <c r="Z1" s="80" t="s">
        <v>74</v>
      </c>
      <c r="AA1" s="80"/>
      <c r="AB1" s="80"/>
      <c r="AC1" s="80"/>
      <c r="AD1" s="80"/>
      <c r="AE1" s="26">
        <f>MAX(AW:AW)</f>
        <v>150.334</v>
      </c>
      <c r="AF1" s="40">
        <f>INDEX(AC:AC,MATCH(MAX($AW:$AW),$AW:$AW,0))</f>
        <v>51968</v>
      </c>
      <c r="AG1" s="40">
        <f>INDEX(AD:AD,MATCH(MAX($AW:$AW),$AW:$AW,0))</f>
        <v>224</v>
      </c>
      <c r="AH1" s="40">
        <f>INDEX(AE:AE,MATCH(MAX($AW:$AW),$AW:$AW,0))</f>
        <v>2</v>
      </c>
      <c r="AI1" s="40">
        <f>INDEX(AF:AF,MATCH(MAX($AW:$AW),$AW:$AW,0))</f>
        <v>8</v>
      </c>
      <c r="AJ1" s="28"/>
      <c r="AK1" s="83" t="s">
        <v>82</v>
      </c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4" t="s">
        <v>81</v>
      </c>
    </row>
    <row r="2" spans="1:109">
      <c r="A2" s="74" t="s">
        <v>77</v>
      </c>
      <c r="B2" s="74"/>
      <c r="C2" s="74"/>
      <c r="D2" s="29">
        <f>MAX(I4:I835)</f>
        <v>131.99</v>
      </c>
      <c r="E2" s="30"/>
      <c r="F2" s="30"/>
      <c r="G2" s="30"/>
      <c r="H2" s="31"/>
      <c r="I2" s="32"/>
      <c r="J2" s="30"/>
      <c r="K2" s="28"/>
      <c r="L2" s="75" t="s">
        <v>138</v>
      </c>
      <c r="M2" s="75"/>
      <c r="N2" s="75"/>
      <c r="O2" s="75" t="s">
        <v>139</v>
      </c>
      <c r="P2" s="75"/>
      <c r="Q2" s="75"/>
      <c r="R2" s="75" t="s">
        <v>140</v>
      </c>
      <c r="S2" s="75"/>
      <c r="T2" s="75"/>
      <c r="U2" s="75" t="s">
        <v>141</v>
      </c>
      <c r="V2" s="75"/>
      <c r="W2" s="75"/>
      <c r="X2" s="85"/>
      <c r="Z2" s="74" t="s">
        <v>77</v>
      </c>
      <c r="AA2" s="74"/>
      <c r="AB2" s="74"/>
      <c r="AC2" s="29">
        <f>MAX(AH4:AH827)</f>
        <v>150.52000000000001</v>
      </c>
      <c r="AD2" s="30"/>
      <c r="AE2" s="30"/>
      <c r="AF2" s="30"/>
      <c r="AG2" s="31"/>
      <c r="AH2" s="32"/>
      <c r="AI2" s="30"/>
      <c r="AJ2" s="28"/>
      <c r="AK2" s="75" t="s">
        <v>138</v>
      </c>
      <c r="AL2" s="75"/>
      <c r="AM2" s="75"/>
      <c r="AN2" s="75" t="s">
        <v>139</v>
      </c>
      <c r="AO2" s="75"/>
      <c r="AP2" s="75"/>
      <c r="AQ2" s="75" t="s">
        <v>140</v>
      </c>
      <c r="AR2" s="75"/>
      <c r="AS2" s="75"/>
      <c r="AT2" s="75" t="s">
        <v>141</v>
      </c>
      <c r="AU2" s="75"/>
      <c r="AV2" s="75"/>
      <c r="AW2" s="84"/>
      <c r="AY2" s="88" t="s">
        <v>163</v>
      </c>
      <c r="AZ2" s="88"/>
      <c r="BA2" s="88"/>
      <c r="BB2" s="88"/>
      <c r="BC2" s="88"/>
      <c r="BD2" s="88"/>
      <c r="BE2" s="88"/>
      <c r="BF2" s="88"/>
      <c r="BG2" s="88"/>
      <c r="BH2" s="88"/>
      <c r="BI2" s="88"/>
      <c r="BK2" s="88" t="s">
        <v>163</v>
      </c>
      <c r="BL2" s="88"/>
      <c r="BM2" s="88"/>
      <c r="BN2" s="88"/>
      <c r="BO2" s="88"/>
      <c r="BP2" s="88"/>
      <c r="BQ2" s="88"/>
      <c r="BR2" s="88"/>
      <c r="BS2" s="88"/>
      <c r="BT2" s="88"/>
      <c r="BU2" s="88"/>
      <c r="CI2" s="88" t="s">
        <v>166</v>
      </c>
      <c r="CJ2" s="88"/>
      <c r="CK2" s="88"/>
      <c r="CL2" s="88"/>
      <c r="CM2" s="88"/>
      <c r="CN2" s="88"/>
      <c r="CO2" s="88"/>
      <c r="CP2" s="88"/>
      <c r="CQ2" s="88"/>
      <c r="CR2" s="88"/>
      <c r="CS2" s="88"/>
      <c r="CU2" s="88" t="s">
        <v>163</v>
      </c>
      <c r="CV2" s="88"/>
      <c r="CW2" s="88"/>
      <c r="CX2" s="88"/>
      <c r="CY2" s="88"/>
      <c r="CZ2" s="88"/>
      <c r="DA2" s="88"/>
      <c r="DB2" s="88"/>
      <c r="DC2" s="88"/>
      <c r="DD2" s="88"/>
      <c r="DE2" s="88"/>
    </row>
    <row r="3" spans="1:109">
      <c r="A3" s="35" t="s">
        <v>78</v>
      </c>
      <c r="B3" s="35" t="s">
        <v>79</v>
      </c>
      <c r="C3" s="35"/>
      <c r="D3" s="35" t="s">
        <v>1</v>
      </c>
      <c r="E3" s="35" t="s">
        <v>2</v>
      </c>
      <c r="F3" s="35" t="s">
        <v>3</v>
      </c>
      <c r="G3" s="35" t="s">
        <v>4</v>
      </c>
      <c r="H3" s="36" t="s">
        <v>5</v>
      </c>
      <c r="I3" s="37" t="s">
        <v>6</v>
      </c>
      <c r="J3" s="38" t="s">
        <v>80</v>
      </c>
      <c r="K3" s="39" t="s">
        <v>5</v>
      </c>
      <c r="L3" s="33" t="s">
        <v>135</v>
      </c>
      <c r="M3" s="33" t="s">
        <v>136</v>
      </c>
      <c r="N3" s="33" t="s">
        <v>137</v>
      </c>
      <c r="O3" s="33" t="s">
        <v>135</v>
      </c>
      <c r="P3" s="33" t="s">
        <v>136</v>
      </c>
      <c r="Q3" s="33" t="s">
        <v>137</v>
      </c>
      <c r="R3" s="33" t="s">
        <v>135</v>
      </c>
      <c r="S3" s="33" t="s">
        <v>136</v>
      </c>
      <c r="T3" s="33" t="s">
        <v>137</v>
      </c>
      <c r="U3" s="33" t="s">
        <v>135</v>
      </c>
      <c r="V3" s="33" t="s">
        <v>136</v>
      </c>
      <c r="W3" s="33" t="s">
        <v>137</v>
      </c>
      <c r="X3" s="86"/>
      <c r="Z3" s="35" t="s">
        <v>78</v>
      </c>
      <c r="AA3" s="35" t="s">
        <v>79</v>
      </c>
      <c r="AB3" s="35"/>
      <c r="AC3" s="35" t="s">
        <v>1</v>
      </c>
      <c r="AD3" s="35" t="s">
        <v>2</v>
      </c>
      <c r="AE3" s="35" t="s">
        <v>3</v>
      </c>
      <c r="AF3" s="35" t="s">
        <v>4</v>
      </c>
      <c r="AG3" s="36" t="s">
        <v>5</v>
      </c>
      <c r="AH3" s="37" t="s">
        <v>6</v>
      </c>
      <c r="AI3" s="38" t="s">
        <v>80</v>
      </c>
      <c r="AJ3" s="39" t="s">
        <v>5</v>
      </c>
      <c r="AK3" s="33" t="s">
        <v>135</v>
      </c>
      <c r="AL3" s="33" t="s">
        <v>136</v>
      </c>
      <c r="AM3" s="33" t="s">
        <v>137</v>
      </c>
      <c r="AN3" s="33" t="s">
        <v>135</v>
      </c>
      <c r="AO3" s="33" t="s">
        <v>136</v>
      </c>
      <c r="AP3" s="33" t="s">
        <v>137</v>
      </c>
      <c r="AQ3" s="33" t="s">
        <v>135</v>
      </c>
      <c r="AR3" s="33" t="s">
        <v>136</v>
      </c>
      <c r="AS3" s="33" t="s">
        <v>137</v>
      </c>
      <c r="AT3" s="33" t="s">
        <v>135</v>
      </c>
      <c r="AU3" s="33" t="s">
        <v>136</v>
      </c>
      <c r="AV3" s="33" t="s">
        <v>137</v>
      </c>
      <c r="AW3" s="84"/>
      <c r="AY3" s="87" t="s">
        <v>112</v>
      </c>
      <c r="AZ3" s="88"/>
      <c r="BA3" s="88"/>
      <c r="BB3" s="88"/>
      <c r="BC3" s="88"/>
      <c r="BD3" s="88"/>
      <c r="BE3" s="88"/>
      <c r="BF3" s="88"/>
      <c r="BG3" s="88"/>
      <c r="BH3" s="88"/>
      <c r="BI3" s="88"/>
      <c r="BJ3" t="s">
        <v>168</v>
      </c>
      <c r="BK3" s="87" t="s">
        <v>162</v>
      </c>
      <c r="BL3" s="88"/>
      <c r="BM3" s="88"/>
      <c r="BN3" s="88"/>
      <c r="BO3" s="88"/>
      <c r="BP3" s="88"/>
      <c r="BQ3" s="88"/>
      <c r="BR3" s="88"/>
      <c r="BS3" s="88"/>
      <c r="BT3" s="88"/>
      <c r="BU3" s="88"/>
      <c r="BW3" s="88" t="s">
        <v>164</v>
      </c>
      <c r="BX3" s="88"/>
      <c r="BY3" s="88"/>
      <c r="BZ3" s="88"/>
      <c r="CA3" s="88"/>
      <c r="CB3" s="88"/>
      <c r="CC3" s="88"/>
      <c r="CD3" s="88"/>
      <c r="CE3" s="88"/>
      <c r="CF3" s="88"/>
      <c r="CG3" s="88"/>
      <c r="CI3" s="87" t="s">
        <v>165</v>
      </c>
      <c r="CJ3" s="88"/>
      <c r="CK3" s="88"/>
      <c r="CL3" s="88"/>
      <c r="CM3" s="88"/>
      <c r="CN3" s="88"/>
      <c r="CO3" s="88"/>
      <c r="CP3" s="88"/>
      <c r="CQ3" s="88"/>
      <c r="CR3" s="88"/>
      <c r="CS3" s="88"/>
      <c r="CU3" s="87" t="s">
        <v>167</v>
      </c>
      <c r="CV3" s="88"/>
      <c r="CW3" s="88"/>
      <c r="CX3" s="88"/>
      <c r="CY3" s="88"/>
      <c r="CZ3" s="88"/>
      <c r="DA3" s="88"/>
      <c r="DB3" s="88"/>
      <c r="DC3" s="88"/>
      <c r="DD3" s="88"/>
      <c r="DE3" s="88"/>
    </row>
    <row r="4" spans="1:109">
      <c r="A4" t="s">
        <v>103</v>
      </c>
      <c r="B4">
        <v>0</v>
      </c>
      <c r="C4" t="s">
        <v>7</v>
      </c>
      <c r="D4">
        <v>52000</v>
      </c>
      <c r="E4">
        <v>32</v>
      </c>
      <c r="F4">
        <v>1</v>
      </c>
      <c r="G4">
        <v>16</v>
      </c>
      <c r="H4" s="1">
        <v>1977.13</v>
      </c>
      <c r="I4" s="54">
        <v>47.414000000000001</v>
      </c>
      <c r="J4" s="23">
        <v>45546</v>
      </c>
      <c r="K4" s="46">
        <v>0.32593749999999999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 s="51">
        <f>AVERAGE(I4:I8)</f>
        <v>47.204799999999999</v>
      </c>
      <c r="Z4" t="s">
        <v>154</v>
      </c>
      <c r="AA4">
        <v>0</v>
      </c>
      <c r="AB4" t="s">
        <v>7</v>
      </c>
      <c r="AC4">
        <v>52000</v>
      </c>
      <c r="AD4">
        <v>32</v>
      </c>
      <c r="AE4">
        <v>1</v>
      </c>
      <c r="AF4">
        <v>16</v>
      </c>
      <c r="AG4">
        <v>1848.8</v>
      </c>
      <c r="AH4" s="20">
        <v>50.704999999999998</v>
      </c>
      <c r="AI4" s="23">
        <v>45553</v>
      </c>
      <c r="AJ4" s="46">
        <v>0.40809027777777779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 s="51">
        <f>AVERAGE(AH4:AH8)</f>
        <v>50.691400000000002</v>
      </c>
      <c r="AY4">
        <v>0</v>
      </c>
      <c r="AZ4" t="s">
        <v>7</v>
      </c>
      <c r="BA4">
        <v>51968</v>
      </c>
      <c r="BB4">
        <v>224</v>
      </c>
      <c r="BC4">
        <v>2</v>
      </c>
      <c r="BD4">
        <v>8</v>
      </c>
      <c r="BE4">
        <v>628.86</v>
      </c>
      <c r="BF4" s="1">
        <v>148.79</v>
      </c>
      <c r="BG4" s="23">
        <v>45562</v>
      </c>
      <c r="BH4" s="46">
        <v>0.38954861111111111</v>
      </c>
      <c r="BI4" s="51">
        <f>AVERAGE(BF4:BF8)</f>
        <v>148.28</v>
      </c>
      <c r="BJ4" t="e">
        <f>100-(BI4/#REF!*100)</f>
        <v>#REF!</v>
      </c>
      <c r="BK4">
        <v>0</v>
      </c>
      <c r="BL4" t="s">
        <v>7</v>
      </c>
      <c r="BM4">
        <v>51968</v>
      </c>
      <c r="BN4">
        <v>224</v>
      </c>
      <c r="BO4">
        <v>2</v>
      </c>
      <c r="BP4">
        <v>8</v>
      </c>
      <c r="BQ4">
        <v>627.04999999999995</v>
      </c>
      <c r="BR4" s="49">
        <v>149.22</v>
      </c>
      <c r="BS4" s="23">
        <v>45562</v>
      </c>
      <c r="BT4" s="46">
        <v>0.92719907407407409</v>
      </c>
      <c r="BU4" s="51">
        <f>AVERAGE(BR4:BR8)</f>
        <v>149.68599999999998</v>
      </c>
      <c r="BV4" t="e">
        <f>100-(BU4/#REF!*100)</f>
        <v>#REF!</v>
      </c>
      <c r="BW4">
        <v>0</v>
      </c>
      <c r="BX4" t="s">
        <v>7</v>
      </c>
      <c r="BY4">
        <v>51968</v>
      </c>
      <c r="BZ4">
        <v>224</v>
      </c>
      <c r="CA4">
        <v>2</v>
      </c>
      <c r="CB4">
        <v>8</v>
      </c>
      <c r="CC4">
        <v>625.4</v>
      </c>
      <c r="CD4" s="60">
        <v>149.62</v>
      </c>
      <c r="CE4" s="23">
        <v>45564</v>
      </c>
      <c r="CF4" s="46">
        <v>0.91937500000000005</v>
      </c>
      <c r="CG4" s="51">
        <f>AVERAGE(CD4:CD8)</f>
        <v>149.19</v>
      </c>
      <c r="CH4" t="e">
        <f>100-(CG4/#REF!*100)</f>
        <v>#REF!</v>
      </c>
      <c r="CI4">
        <v>0</v>
      </c>
      <c r="CJ4" t="s">
        <v>7</v>
      </c>
      <c r="CK4">
        <v>51968</v>
      </c>
      <c r="CL4">
        <v>224</v>
      </c>
      <c r="CM4">
        <v>2</v>
      </c>
      <c r="CN4">
        <v>8</v>
      </c>
      <c r="CO4">
        <v>623.04999999999995</v>
      </c>
      <c r="CP4" s="1">
        <v>150.18</v>
      </c>
      <c r="CQ4" s="23">
        <v>45565</v>
      </c>
      <c r="CR4" s="46">
        <v>0.54003472222222226</v>
      </c>
      <c r="CS4" s="51">
        <f>AVERAGE(CP4:CP8)</f>
        <v>149.76599999999999</v>
      </c>
      <c r="CT4" t="e">
        <f>100-(CS4/#REF!*100)</f>
        <v>#REF!</v>
      </c>
    </row>
    <row r="5" spans="1:109">
      <c r="A5" t="s">
        <v>103</v>
      </c>
      <c r="B5">
        <v>1</v>
      </c>
      <c r="C5" t="s">
        <v>7</v>
      </c>
      <c r="D5">
        <v>52000</v>
      </c>
      <c r="E5">
        <v>32</v>
      </c>
      <c r="F5">
        <v>1</v>
      </c>
      <c r="G5">
        <v>16</v>
      </c>
      <c r="H5">
        <v>1974.38</v>
      </c>
      <c r="I5" s="54">
        <v>47.48</v>
      </c>
      <c r="J5" s="23">
        <v>45547</v>
      </c>
      <c r="K5" s="46">
        <v>0.4180787037037037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s="20">
        <f>X4</f>
        <v>47.204799999999999</v>
      </c>
      <c r="Z5" t="s">
        <v>154</v>
      </c>
      <c r="AA5">
        <v>1</v>
      </c>
      <c r="AB5" t="s">
        <v>7</v>
      </c>
      <c r="AC5">
        <v>52000</v>
      </c>
      <c r="AD5">
        <v>32</v>
      </c>
      <c r="AE5">
        <v>1</v>
      </c>
      <c r="AF5">
        <v>16</v>
      </c>
      <c r="AG5">
        <v>1849.78</v>
      </c>
      <c r="AH5" s="20">
        <v>50.677999999999997</v>
      </c>
      <c r="AI5" s="23">
        <v>45554</v>
      </c>
      <c r="AJ5" s="46">
        <v>0.35972222222222222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 s="20">
        <f>AW4</f>
        <v>50.691400000000002</v>
      </c>
      <c r="AY5">
        <v>1</v>
      </c>
      <c r="AZ5" t="s">
        <v>7</v>
      </c>
      <c r="BA5">
        <v>51968</v>
      </c>
      <c r="BB5">
        <v>224</v>
      </c>
      <c r="BC5">
        <v>2</v>
      </c>
      <c r="BD5">
        <v>8</v>
      </c>
      <c r="BE5">
        <v>632.91999999999996</v>
      </c>
      <c r="BF5" s="1">
        <v>147.84</v>
      </c>
      <c r="BG5" s="23">
        <v>45562</v>
      </c>
      <c r="BH5" s="46">
        <v>0.47685185185185186</v>
      </c>
      <c r="BI5" s="20">
        <f>BI4</f>
        <v>148.28</v>
      </c>
      <c r="BJ5" t="e">
        <f>BJ4</f>
        <v>#REF!</v>
      </c>
      <c r="BK5">
        <v>1</v>
      </c>
      <c r="BL5" t="s">
        <v>7</v>
      </c>
      <c r="BM5">
        <v>51968</v>
      </c>
      <c r="BN5">
        <v>224</v>
      </c>
      <c r="BO5">
        <v>2</v>
      </c>
      <c r="BP5">
        <v>8</v>
      </c>
      <c r="BQ5">
        <v>626.66999999999996</v>
      </c>
      <c r="BR5" s="49">
        <v>149.31</v>
      </c>
      <c r="BS5" s="23">
        <v>45563</v>
      </c>
      <c r="BT5" s="46">
        <v>9.2129629629629627E-3</v>
      </c>
      <c r="BU5" s="20">
        <f>BU4</f>
        <v>149.68599999999998</v>
      </c>
      <c r="BV5" t="e">
        <f>BV4</f>
        <v>#REF!</v>
      </c>
      <c r="BW5">
        <v>1</v>
      </c>
      <c r="BX5" t="s">
        <v>7</v>
      </c>
      <c r="BY5">
        <v>51968</v>
      </c>
      <c r="BZ5">
        <v>224</v>
      </c>
      <c r="CA5">
        <v>2</v>
      </c>
      <c r="CB5">
        <v>8</v>
      </c>
      <c r="CC5">
        <v>630.70000000000005</v>
      </c>
      <c r="CD5" s="60">
        <v>148.36000000000001</v>
      </c>
      <c r="CE5" s="23">
        <v>45565</v>
      </c>
      <c r="CF5" s="46">
        <v>6.2847222222222219E-3</v>
      </c>
      <c r="CG5" s="20">
        <f>CG4</f>
        <v>149.19</v>
      </c>
      <c r="CH5" t="e">
        <f>CH4</f>
        <v>#REF!</v>
      </c>
      <c r="CI5">
        <v>1</v>
      </c>
      <c r="CJ5" t="s">
        <v>7</v>
      </c>
      <c r="CK5">
        <v>51968</v>
      </c>
      <c r="CL5">
        <v>224</v>
      </c>
      <c r="CM5">
        <v>2</v>
      </c>
      <c r="CN5">
        <v>8</v>
      </c>
      <c r="CO5">
        <v>624.83000000000004</v>
      </c>
      <c r="CP5" s="1">
        <v>149.75</v>
      </c>
      <c r="CQ5" s="23">
        <v>45565</v>
      </c>
      <c r="CR5" s="46">
        <v>0.62203703703703705</v>
      </c>
      <c r="CS5" s="20">
        <f>CS4</f>
        <v>149.76599999999999</v>
      </c>
      <c r="CT5" t="e">
        <f>CT4</f>
        <v>#REF!</v>
      </c>
    </row>
    <row r="6" spans="1:109">
      <c r="A6" t="s">
        <v>103</v>
      </c>
      <c r="B6">
        <v>2</v>
      </c>
      <c r="C6" t="s">
        <v>7</v>
      </c>
      <c r="D6">
        <v>52000</v>
      </c>
      <c r="E6">
        <v>32</v>
      </c>
      <c r="F6">
        <v>1</v>
      </c>
      <c r="G6">
        <v>16</v>
      </c>
      <c r="H6">
        <v>1993.1</v>
      </c>
      <c r="I6" s="54">
        <v>47.033999999999999</v>
      </c>
      <c r="J6" s="23">
        <v>45548</v>
      </c>
      <c r="K6" s="46">
        <v>0.51013888888888892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s="20">
        <f>X5</f>
        <v>47.204799999999999</v>
      </c>
      <c r="Z6" t="s">
        <v>154</v>
      </c>
      <c r="AA6">
        <v>2</v>
      </c>
      <c r="AB6" t="s">
        <v>7</v>
      </c>
      <c r="AC6">
        <v>52000</v>
      </c>
      <c r="AD6">
        <v>32</v>
      </c>
      <c r="AE6">
        <v>1</v>
      </c>
      <c r="AF6">
        <v>16</v>
      </c>
      <c r="AG6">
        <v>1852.85</v>
      </c>
      <c r="AH6" s="20">
        <v>50.594000000000001</v>
      </c>
      <c r="AI6" s="23">
        <v>45555</v>
      </c>
      <c r="AJ6" s="46">
        <v>0.31217592592592591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 s="20">
        <f>AW5</f>
        <v>50.691400000000002</v>
      </c>
      <c r="AY6">
        <v>2</v>
      </c>
      <c r="AZ6" t="s">
        <v>7</v>
      </c>
      <c r="BA6">
        <v>51968</v>
      </c>
      <c r="BB6">
        <v>224</v>
      </c>
      <c r="BC6">
        <v>2</v>
      </c>
      <c r="BD6">
        <v>8</v>
      </c>
      <c r="BE6">
        <v>630.61</v>
      </c>
      <c r="BF6" s="1">
        <v>148.38</v>
      </c>
      <c r="BG6" s="23">
        <v>45562</v>
      </c>
      <c r="BH6" s="46">
        <v>0.56450231481481483</v>
      </c>
      <c r="BI6" s="20">
        <f>BI5</f>
        <v>148.28</v>
      </c>
      <c r="BJ6" t="e">
        <f t="shared" ref="BJ6:BJ8" si="1">BJ5</f>
        <v>#REF!</v>
      </c>
      <c r="BK6">
        <v>2</v>
      </c>
      <c r="BL6" t="s">
        <v>7</v>
      </c>
      <c r="BM6">
        <v>51968</v>
      </c>
      <c r="BN6">
        <v>224</v>
      </c>
      <c r="BO6">
        <v>2</v>
      </c>
      <c r="BP6">
        <v>8</v>
      </c>
      <c r="BQ6">
        <v>624.49</v>
      </c>
      <c r="BR6" s="49">
        <v>149.83000000000001</v>
      </c>
      <c r="BS6" s="23">
        <v>45563</v>
      </c>
      <c r="BT6" s="46">
        <v>9.1064814814814821E-2</v>
      </c>
      <c r="BU6" s="20">
        <f>BU5</f>
        <v>149.68599999999998</v>
      </c>
      <c r="BV6" t="e">
        <f t="shared" ref="BV6:BV8" si="2">BV5</f>
        <v>#REF!</v>
      </c>
      <c r="BW6">
        <v>2</v>
      </c>
      <c r="BX6" t="s">
        <v>7</v>
      </c>
      <c r="BY6">
        <v>51968</v>
      </c>
      <c r="BZ6">
        <v>224</v>
      </c>
      <c r="CA6">
        <v>2</v>
      </c>
      <c r="CB6">
        <v>8</v>
      </c>
      <c r="CC6">
        <v>626.28</v>
      </c>
      <c r="CD6" s="60">
        <v>149.41</v>
      </c>
      <c r="CE6" s="23">
        <v>45565</v>
      </c>
      <c r="CF6" s="46">
        <v>9.3402777777777779E-2</v>
      </c>
      <c r="CG6" s="20">
        <f>CG5</f>
        <v>149.19</v>
      </c>
      <c r="CH6" t="e">
        <f t="shared" ref="CH6:CH8" si="3">CH5</f>
        <v>#REF!</v>
      </c>
      <c r="CI6">
        <v>2</v>
      </c>
      <c r="CJ6" t="s">
        <v>7</v>
      </c>
      <c r="CK6">
        <v>51968</v>
      </c>
      <c r="CL6">
        <v>224</v>
      </c>
      <c r="CM6">
        <v>2</v>
      </c>
      <c r="CN6">
        <v>8</v>
      </c>
      <c r="CO6">
        <v>627.41</v>
      </c>
      <c r="CP6" s="1">
        <v>149.13999999999999</v>
      </c>
      <c r="CQ6" s="23">
        <v>45565</v>
      </c>
      <c r="CR6" s="46">
        <v>0.70403935185185185</v>
      </c>
      <c r="CS6" s="20">
        <f>CS5</f>
        <v>149.76599999999999</v>
      </c>
      <c r="CT6" t="e">
        <f t="shared" ref="CT6:CT8" si="4">CT5</f>
        <v>#REF!</v>
      </c>
    </row>
    <row r="7" spans="1:109">
      <c r="A7" t="s">
        <v>103</v>
      </c>
      <c r="B7">
        <v>3</v>
      </c>
      <c r="C7" t="s">
        <v>7</v>
      </c>
      <c r="D7">
        <v>52000</v>
      </c>
      <c r="E7">
        <v>32</v>
      </c>
      <c r="F7">
        <v>1</v>
      </c>
      <c r="G7">
        <v>16</v>
      </c>
      <c r="H7">
        <v>1993.11</v>
      </c>
      <c r="I7" s="54">
        <v>47.033000000000001</v>
      </c>
      <c r="J7" s="23">
        <v>45549</v>
      </c>
      <c r="K7" s="46">
        <v>0.59947916666666667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s="20">
        <f>X6</f>
        <v>47.204799999999999</v>
      </c>
      <c r="Z7" t="s">
        <v>154</v>
      </c>
      <c r="AA7">
        <v>3</v>
      </c>
      <c r="AB7" t="s">
        <v>7</v>
      </c>
      <c r="AC7">
        <v>52000</v>
      </c>
      <c r="AD7">
        <v>32</v>
      </c>
      <c r="AE7">
        <v>1</v>
      </c>
      <c r="AF7">
        <v>16</v>
      </c>
      <c r="AG7">
        <v>1849.43</v>
      </c>
      <c r="AH7" s="20">
        <v>50.686999999999998</v>
      </c>
      <c r="AI7" s="23">
        <v>45556</v>
      </c>
      <c r="AJ7" s="46">
        <v>0.26502314814814815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 s="20">
        <f>AW6</f>
        <v>50.691400000000002</v>
      </c>
      <c r="AY7">
        <v>3</v>
      </c>
      <c r="AZ7" t="s">
        <v>7</v>
      </c>
      <c r="BA7">
        <v>51968</v>
      </c>
      <c r="BB7">
        <v>224</v>
      </c>
      <c r="BC7">
        <v>2</v>
      </c>
      <c r="BD7">
        <v>8</v>
      </c>
      <c r="BE7">
        <v>630.24</v>
      </c>
      <c r="BF7" s="1">
        <v>148.47</v>
      </c>
      <c r="BG7" s="23">
        <v>45562</v>
      </c>
      <c r="BH7" s="46">
        <v>0.65201388888888889</v>
      </c>
      <c r="BI7" s="20">
        <f>BI6</f>
        <v>148.28</v>
      </c>
      <c r="BJ7" t="e">
        <f t="shared" si="1"/>
        <v>#REF!</v>
      </c>
      <c r="BK7">
        <v>3</v>
      </c>
      <c r="BL7" t="s">
        <v>7</v>
      </c>
      <c r="BM7">
        <v>51968</v>
      </c>
      <c r="BN7">
        <v>224</v>
      </c>
      <c r="BO7">
        <v>2</v>
      </c>
      <c r="BP7">
        <v>8</v>
      </c>
      <c r="BQ7">
        <v>623.16</v>
      </c>
      <c r="BR7" s="49">
        <v>150.15</v>
      </c>
      <c r="BS7" s="23">
        <v>45563</v>
      </c>
      <c r="BT7" s="46">
        <v>0.17280092592592591</v>
      </c>
      <c r="BU7" s="20">
        <f>BU6</f>
        <v>149.68599999999998</v>
      </c>
      <c r="BV7" t="e">
        <f t="shared" si="2"/>
        <v>#REF!</v>
      </c>
      <c r="BW7">
        <v>3</v>
      </c>
      <c r="BX7" t="s">
        <v>7</v>
      </c>
      <c r="BY7">
        <v>51968</v>
      </c>
      <c r="BZ7">
        <v>224</v>
      </c>
      <c r="CA7">
        <v>2</v>
      </c>
      <c r="CB7">
        <v>8</v>
      </c>
      <c r="CC7">
        <v>626.58000000000004</v>
      </c>
      <c r="CD7" s="60">
        <v>149.33000000000001</v>
      </c>
      <c r="CE7" s="23">
        <v>45565</v>
      </c>
      <c r="CF7" s="46">
        <v>0.18023148148148149</v>
      </c>
      <c r="CG7" s="20">
        <f>CG6</f>
        <v>149.19</v>
      </c>
      <c r="CH7" t="e">
        <f t="shared" si="3"/>
        <v>#REF!</v>
      </c>
      <c r="CI7">
        <v>3</v>
      </c>
      <c r="CJ7" t="s">
        <v>7</v>
      </c>
      <c r="CK7">
        <v>51968</v>
      </c>
      <c r="CL7">
        <v>224</v>
      </c>
      <c r="CM7">
        <v>2</v>
      </c>
      <c r="CN7">
        <v>8</v>
      </c>
      <c r="CO7">
        <v>624.55999999999995</v>
      </c>
      <c r="CP7" s="1">
        <v>149.82</v>
      </c>
      <c r="CQ7" s="23">
        <v>45565</v>
      </c>
      <c r="CR7" s="46">
        <v>0.78635416666666669</v>
      </c>
      <c r="CS7" s="20">
        <f>CS6</f>
        <v>149.76599999999999</v>
      </c>
      <c r="CT7" t="e">
        <f t="shared" si="4"/>
        <v>#REF!</v>
      </c>
    </row>
    <row r="8" spans="1:109">
      <c r="A8" t="s">
        <v>103</v>
      </c>
      <c r="B8">
        <v>4</v>
      </c>
      <c r="C8" t="s">
        <v>7</v>
      </c>
      <c r="D8">
        <v>52000</v>
      </c>
      <c r="E8">
        <v>32</v>
      </c>
      <c r="F8">
        <v>1</v>
      </c>
      <c r="G8">
        <v>16</v>
      </c>
      <c r="H8">
        <v>1991.85</v>
      </c>
      <c r="I8" s="54">
        <v>47.063000000000002</v>
      </c>
      <c r="J8" s="23">
        <v>45550</v>
      </c>
      <c r="K8" s="46">
        <v>0.68874999999999997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s="20">
        <f>X7</f>
        <v>47.204799999999999</v>
      </c>
      <c r="Z8" t="s">
        <v>154</v>
      </c>
      <c r="AA8">
        <v>4</v>
      </c>
      <c r="AB8" t="s">
        <v>7</v>
      </c>
      <c r="AC8">
        <v>52000</v>
      </c>
      <c r="AD8">
        <v>32</v>
      </c>
      <c r="AE8">
        <v>1</v>
      </c>
      <c r="AF8">
        <v>16</v>
      </c>
      <c r="AG8">
        <v>1845.58</v>
      </c>
      <c r="AH8" s="20">
        <v>50.792999999999999</v>
      </c>
      <c r="AI8" s="23">
        <v>45557</v>
      </c>
      <c r="AJ8" s="46">
        <v>0.21819444444444444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 s="20">
        <f>AW7</f>
        <v>50.691400000000002</v>
      </c>
      <c r="AY8">
        <v>4</v>
      </c>
      <c r="AZ8" t="s">
        <v>7</v>
      </c>
      <c r="BA8">
        <v>51968</v>
      </c>
      <c r="BB8">
        <v>224</v>
      </c>
      <c r="BC8">
        <v>2</v>
      </c>
      <c r="BD8">
        <v>8</v>
      </c>
      <c r="BE8">
        <v>632.58000000000004</v>
      </c>
      <c r="BF8" s="1">
        <v>147.91999999999999</v>
      </c>
      <c r="BG8" s="23">
        <v>45562</v>
      </c>
      <c r="BH8" s="46">
        <v>0.73944444444444446</v>
      </c>
      <c r="BI8" s="20">
        <f>BI7</f>
        <v>148.28</v>
      </c>
      <c r="BJ8" t="e">
        <f t="shared" si="1"/>
        <v>#REF!</v>
      </c>
      <c r="BK8">
        <v>4</v>
      </c>
      <c r="BL8" t="s">
        <v>7</v>
      </c>
      <c r="BM8">
        <v>51968</v>
      </c>
      <c r="BN8">
        <v>224</v>
      </c>
      <c r="BO8">
        <v>2</v>
      </c>
      <c r="BP8">
        <v>8</v>
      </c>
      <c r="BQ8">
        <v>624.13</v>
      </c>
      <c r="BR8" s="49">
        <v>149.91999999999999</v>
      </c>
      <c r="BS8" s="23">
        <v>45563</v>
      </c>
      <c r="BT8" s="46">
        <v>0.25471064814814814</v>
      </c>
      <c r="BU8" s="20">
        <f>BU7</f>
        <v>149.68599999999998</v>
      </c>
      <c r="BV8" t="e">
        <f t="shared" si="2"/>
        <v>#REF!</v>
      </c>
      <c r="BW8">
        <v>4</v>
      </c>
      <c r="BX8" t="s">
        <v>7</v>
      </c>
      <c r="BY8">
        <v>51968</v>
      </c>
      <c r="BZ8">
        <v>224</v>
      </c>
      <c r="CA8">
        <v>2</v>
      </c>
      <c r="CB8">
        <v>8</v>
      </c>
      <c r="CC8">
        <v>627.02</v>
      </c>
      <c r="CD8" s="60">
        <v>149.22999999999999</v>
      </c>
      <c r="CE8" s="23">
        <v>45565</v>
      </c>
      <c r="CF8" s="46">
        <v>0.26716435185185183</v>
      </c>
      <c r="CG8" s="20">
        <f>CG7</f>
        <v>149.19</v>
      </c>
      <c r="CH8" t="e">
        <f t="shared" si="3"/>
        <v>#REF!</v>
      </c>
      <c r="CI8">
        <v>4</v>
      </c>
      <c r="CJ8" t="s">
        <v>7</v>
      </c>
      <c r="CK8">
        <v>51968</v>
      </c>
      <c r="CL8">
        <v>224</v>
      </c>
      <c r="CM8">
        <v>2</v>
      </c>
      <c r="CN8">
        <v>8</v>
      </c>
      <c r="CO8">
        <v>624.05999999999995</v>
      </c>
      <c r="CP8" s="1">
        <v>149.94</v>
      </c>
      <c r="CQ8" s="23">
        <v>45565</v>
      </c>
      <c r="CR8" s="46">
        <v>0.86848379629629635</v>
      </c>
      <c r="CS8" s="20">
        <f>CS7</f>
        <v>149.76599999999999</v>
      </c>
      <c r="CT8" t="e">
        <f t="shared" si="4"/>
        <v>#REF!</v>
      </c>
    </row>
    <row r="9" spans="1:109">
      <c r="A9" t="s">
        <v>103</v>
      </c>
      <c r="B9">
        <v>0</v>
      </c>
      <c r="C9" t="s">
        <v>7</v>
      </c>
      <c r="D9">
        <v>55200</v>
      </c>
      <c r="E9">
        <v>32</v>
      </c>
      <c r="F9">
        <v>1</v>
      </c>
      <c r="G9">
        <v>16</v>
      </c>
      <c r="H9">
        <v>2523.3200000000002</v>
      </c>
      <c r="I9" s="54">
        <v>44.44</v>
      </c>
      <c r="J9" s="23">
        <v>45546</v>
      </c>
      <c r="K9" s="46">
        <v>0.62935185185185183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s="51">
        <f>AVERAGE(I9:I13)</f>
        <v>44.359000000000002</v>
      </c>
      <c r="Z9" t="s">
        <v>154</v>
      </c>
      <c r="AA9">
        <v>0</v>
      </c>
      <c r="AB9" t="s">
        <v>7</v>
      </c>
      <c r="AC9">
        <v>55200</v>
      </c>
      <c r="AD9">
        <v>32</v>
      </c>
      <c r="AE9">
        <v>1</v>
      </c>
      <c r="AF9">
        <v>16</v>
      </c>
      <c r="AG9">
        <v>2415.8000000000002</v>
      </c>
      <c r="AH9" s="20">
        <v>46.417999999999999</v>
      </c>
      <c r="AI9" s="23">
        <v>45553</v>
      </c>
      <c r="AJ9" s="46">
        <v>0.67644675925925923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 s="51">
        <f>AVERAGE(AH9:AH13)</f>
        <v>46.394199999999998</v>
      </c>
      <c r="AY9">
        <v>0</v>
      </c>
      <c r="AZ9" t="s">
        <v>7</v>
      </c>
      <c r="BA9">
        <v>58368</v>
      </c>
      <c r="BB9">
        <v>192</v>
      </c>
      <c r="BC9">
        <v>2</v>
      </c>
      <c r="BD9">
        <v>8</v>
      </c>
      <c r="BE9">
        <v>897.67</v>
      </c>
      <c r="BF9" s="1">
        <v>147.68</v>
      </c>
      <c r="BG9" s="23">
        <v>45562</v>
      </c>
      <c r="BH9" s="46">
        <v>0.43796296296296294</v>
      </c>
      <c r="BI9" s="51">
        <f>AVERAGE(BF9:BF13)</f>
        <v>147.50399999999999</v>
      </c>
      <c r="BJ9" t="e">
        <f>100-(BI9/#REF!*100)</f>
        <v>#REF!</v>
      </c>
      <c r="BK9">
        <v>0</v>
      </c>
      <c r="BL9" t="s">
        <v>7</v>
      </c>
      <c r="BM9">
        <v>58368</v>
      </c>
      <c r="BN9">
        <v>192</v>
      </c>
      <c r="BO9">
        <v>2</v>
      </c>
      <c r="BP9">
        <v>8</v>
      </c>
      <c r="BQ9">
        <v>888.58</v>
      </c>
      <c r="BR9" s="49">
        <v>149.19</v>
      </c>
      <c r="BS9" s="23">
        <v>45562</v>
      </c>
      <c r="BT9" s="46">
        <v>0.97278935185185189</v>
      </c>
      <c r="BU9" s="51">
        <f>AVERAGE(BR9:BR13)</f>
        <v>149.18799999999999</v>
      </c>
      <c r="BV9" t="e">
        <f>100-(BU9/#REF!*100)</f>
        <v>#REF!</v>
      </c>
      <c r="BW9">
        <v>0</v>
      </c>
      <c r="BX9" t="s">
        <v>7</v>
      </c>
      <c r="BY9">
        <v>58368</v>
      </c>
      <c r="BZ9">
        <v>192</v>
      </c>
      <c r="CA9">
        <v>2</v>
      </c>
      <c r="CB9">
        <v>8</v>
      </c>
      <c r="CC9">
        <v>891.68</v>
      </c>
      <c r="CD9" s="60">
        <v>148.68</v>
      </c>
      <c r="CE9" s="23">
        <v>45564</v>
      </c>
      <c r="CF9" s="46">
        <v>0.96769675925925924</v>
      </c>
      <c r="CG9" s="51">
        <f>AVERAGE(CD9:CD13)</f>
        <v>148.74799999999999</v>
      </c>
      <c r="CH9" t="e">
        <f>100-(CG9/#REF!*100)</f>
        <v>#REF!</v>
      </c>
      <c r="CI9">
        <v>0</v>
      </c>
      <c r="CJ9" t="s">
        <v>7</v>
      </c>
      <c r="CK9">
        <v>58368</v>
      </c>
      <c r="CL9">
        <v>192</v>
      </c>
      <c r="CM9">
        <v>2</v>
      </c>
      <c r="CN9">
        <v>8</v>
      </c>
      <c r="CO9">
        <v>887.43</v>
      </c>
      <c r="CP9" s="1">
        <v>149.38999999999999</v>
      </c>
      <c r="CQ9" s="23">
        <v>45565</v>
      </c>
      <c r="CR9" s="46">
        <v>0.58559027777777772</v>
      </c>
      <c r="CS9" s="51">
        <f>AVERAGE(CP9:CP13)</f>
        <v>148.92000000000002</v>
      </c>
      <c r="CT9" t="e">
        <f>100-(CS9/#REF!*100)</f>
        <v>#REF!</v>
      </c>
    </row>
    <row r="10" spans="1:109">
      <c r="A10" t="s">
        <v>103</v>
      </c>
      <c r="B10">
        <v>1</v>
      </c>
      <c r="C10" t="s">
        <v>7</v>
      </c>
      <c r="D10">
        <v>55200</v>
      </c>
      <c r="E10">
        <v>32</v>
      </c>
      <c r="F10">
        <v>1</v>
      </c>
      <c r="G10">
        <v>16</v>
      </c>
      <c r="H10">
        <v>2534.87</v>
      </c>
      <c r="I10" s="54">
        <v>44.237000000000002</v>
      </c>
      <c r="J10" s="23">
        <v>45547</v>
      </c>
      <c r="K10" s="46">
        <v>0.72163194444444445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s="20">
        <f>X9</f>
        <v>44.359000000000002</v>
      </c>
      <c r="Z10" t="s">
        <v>154</v>
      </c>
      <c r="AA10">
        <v>1</v>
      </c>
      <c r="AB10" t="s">
        <v>7</v>
      </c>
      <c r="AC10">
        <v>55200</v>
      </c>
      <c r="AD10">
        <v>32</v>
      </c>
      <c r="AE10">
        <v>1</v>
      </c>
      <c r="AF10">
        <v>16</v>
      </c>
      <c r="AG10">
        <v>2425.6</v>
      </c>
      <c r="AH10" s="20">
        <v>46.23</v>
      </c>
      <c r="AI10" s="23">
        <v>45554</v>
      </c>
      <c r="AJ10" s="46">
        <v>0.62825231481481481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 s="20">
        <f>AW9</f>
        <v>46.394199999999998</v>
      </c>
      <c r="AY10">
        <v>1</v>
      </c>
      <c r="AZ10" t="s">
        <v>7</v>
      </c>
      <c r="BA10">
        <v>58368</v>
      </c>
      <c r="BB10">
        <v>192</v>
      </c>
      <c r="BC10">
        <v>2</v>
      </c>
      <c r="BD10">
        <v>8</v>
      </c>
      <c r="BE10">
        <v>902.73</v>
      </c>
      <c r="BF10" s="1">
        <v>146.86000000000001</v>
      </c>
      <c r="BG10" s="23">
        <v>45562</v>
      </c>
      <c r="BH10" s="46">
        <v>0.52556712962962959</v>
      </c>
      <c r="BI10" s="20">
        <f>BI9</f>
        <v>147.50399999999999</v>
      </c>
      <c r="BJ10" t="e">
        <f>BJ9</f>
        <v>#REF!</v>
      </c>
      <c r="BK10">
        <v>1</v>
      </c>
      <c r="BL10" t="s">
        <v>7</v>
      </c>
      <c r="BM10">
        <v>58368</v>
      </c>
      <c r="BN10">
        <v>192</v>
      </c>
      <c r="BO10">
        <v>2</v>
      </c>
      <c r="BP10">
        <v>8</v>
      </c>
      <c r="BQ10">
        <v>888.59</v>
      </c>
      <c r="BR10" s="49">
        <v>149.19</v>
      </c>
      <c r="BS10" s="23">
        <v>45563</v>
      </c>
      <c r="BT10" s="46">
        <v>5.4652777777777779E-2</v>
      </c>
      <c r="BU10" s="20">
        <f>BU9</f>
        <v>149.18799999999999</v>
      </c>
      <c r="BV10" t="e">
        <f>BV9</f>
        <v>#REF!</v>
      </c>
      <c r="BW10">
        <v>1</v>
      </c>
      <c r="BX10" t="s">
        <v>7</v>
      </c>
      <c r="BY10">
        <v>58368</v>
      </c>
      <c r="BZ10">
        <v>192</v>
      </c>
      <c r="CA10">
        <v>2</v>
      </c>
      <c r="CB10">
        <v>8</v>
      </c>
      <c r="CC10">
        <v>888.35</v>
      </c>
      <c r="CD10" s="60">
        <v>149.22999999999999</v>
      </c>
      <c r="CE10" s="23">
        <v>45565</v>
      </c>
      <c r="CF10" s="46">
        <v>5.4571759259259257E-2</v>
      </c>
      <c r="CG10" s="20">
        <f>CG9</f>
        <v>148.74799999999999</v>
      </c>
      <c r="CH10" t="e">
        <f>CH9</f>
        <v>#REF!</v>
      </c>
      <c r="CI10">
        <v>1</v>
      </c>
      <c r="CJ10" t="s">
        <v>7</v>
      </c>
      <c r="CK10">
        <v>58368</v>
      </c>
      <c r="CL10">
        <v>192</v>
      </c>
      <c r="CM10">
        <v>2</v>
      </c>
      <c r="CN10">
        <v>8</v>
      </c>
      <c r="CO10">
        <v>887.41</v>
      </c>
      <c r="CP10" s="1">
        <v>149.38999999999999</v>
      </c>
      <c r="CQ10" s="23">
        <v>45565</v>
      </c>
      <c r="CR10" s="46">
        <v>0.66754629629629625</v>
      </c>
      <c r="CS10" s="20">
        <f>CS9</f>
        <v>148.92000000000002</v>
      </c>
      <c r="CT10" t="e">
        <f>CT9</f>
        <v>#REF!</v>
      </c>
    </row>
    <row r="11" spans="1:109">
      <c r="A11" t="s">
        <v>103</v>
      </c>
      <c r="B11">
        <v>2</v>
      </c>
      <c r="C11" t="s">
        <v>7</v>
      </c>
      <c r="D11">
        <v>55200</v>
      </c>
      <c r="E11">
        <v>32</v>
      </c>
      <c r="F11">
        <v>1</v>
      </c>
      <c r="G11">
        <v>16</v>
      </c>
      <c r="H11">
        <v>2524.2199999999998</v>
      </c>
      <c r="I11" s="54">
        <v>44.423999999999999</v>
      </c>
      <c r="J11" s="23">
        <v>45548</v>
      </c>
      <c r="K11" s="46">
        <v>0.81266203703703699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s="20">
        <f>X10</f>
        <v>44.359000000000002</v>
      </c>
      <c r="Z11" t="s">
        <v>154</v>
      </c>
      <c r="AA11">
        <v>2</v>
      </c>
      <c r="AB11" t="s">
        <v>7</v>
      </c>
      <c r="AC11">
        <v>55200</v>
      </c>
      <c r="AD11">
        <v>32</v>
      </c>
      <c r="AE11">
        <v>1</v>
      </c>
      <c r="AF11">
        <v>16</v>
      </c>
      <c r="AG11">
        <v>2411.69</v>
      </c>
      <c r="AH11" s="20">
        <v>46.497</v>
      </c>
      <c r="AI11" s="23">
        <v>45555</v>
      </c>
      <c r="AJ11" s="46">
        <v>0.58045138888888892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 s="20">
        <f>AW10</f>
        <v>46.394199999999998</v>
      </c>
      <c r="AY11">
        <v>2</v>
      </c>
      <c r="AZ11" t="s">
        <v>7</v>
      </c>
      <c r="BA11">
        <v>58368</v>
      </c>
      <c r="BB11">
        <v>192</v>
      </c>
      <c r="BC11">
        <v>2</v>
      </c>
      <c r="BD11">
        <v>8</v>
      </c>
      <c r="BE11">
        <v>901.26</v>
      </c>
      <c r="BF11" s="1">
        <v>147.1</v>
      </c>
      <c r="BG11" s="23">
        <v>45562</v>
      </c>
      <c r="BH11" s="46">
        <v>0.61291666666666667</v>
      </c>
      <c r="BI11" s="20">
        <f>BI10</f>
        <v>147.50399999999999</v>
      </c>
      <c r="BJ11" t="e">
        <f t="shared" ref="BJ11:BJ13" si="5">BJ10</f>
        <v>#REF!</v>
      </c>
      <c r="BK11">
        <v>2</v>
      </c>
      <c r="BL11" t="s">
        <v>7</v>
      </c>
      <c r="BM11">
        <v>58368</v>
      </c>
      <c r="BN11">
        <v>192</v>
      </c>
      <c r="BO11">
        <v>2</v>
      </c>
      <c r="BP11">
        <v>8</v>
      </c>
      <c r="BQ11">
        <v>890.18</v>
      </c>
      <c r="BR11" s="49">
        <v>148.93</v>
      </c>
      <c r="BS11" s="23">
        <v>45563</v>
      </c>
      <c r="BT11" s="46">
        <v>0.13644675925925925</v>
      </c>
      <c r="BU11" s="20">
        <f>BU10</f>
        <v>149.18799999999999</v>
      </c>
      <c r="BV11" t="e">
        <f t="shared" ref="BV11:BV13" si="6">BV10</f>
        <v>#REF!</v>
      </c>
      <c r="BW11">
        <v>2</v>
      </c>
      <c r="BX11" t="s">
        <v>7</v>
      </c>
      <c r="BY11">
        <v>58368</v>
      </c>
      <c r="BZ11">
        <v>192</v>
      </c>
      <c r="CA11">
        <v>2</v>
      </c>
      <c r="CB11">
        <v>8</v>
      </c>
      <c r="CC11">
        <v>890.85</v>
      </c>
      <c r="CD11" s="60">
        <v>148.81</v>
      </c>
      <c r="CE11" s="23">
        <v>45565</v>
      </c>
      <c r="CF11" s="46">
        <v>0.14171296296296296</v>
      </c>
      <c r="CG11" s="20">
        <f>CG10</f>
        <v>148.74799999999999</v>
      </c>
      <c r="CH11" t="e">
        <f t="shared" ref="CH11:CH13" si="7">CH10</f>
        <v>#REF!</v>
      </c>
      <c r="CI11">
        <v>2</v>
      </c>
      <c r="CJ11" t="s">
        <v>7</v>
      </c>
      <c r="CK11">
        <v>58368</v>
      </c>
      <c r="CL11">
        <v>192</v>
      </c>
      <c r="CM11">
        <v>2</v>
      </c>
      <c r="CN11">
        <v>8</v>
      </c>
      <c r="CO11">
        <v>892.28</v>
      </c>
      <c r="CP11" s="1">
        <v>148.58000000000001</v>
      </c>
      <c r="CQ11" s="23">
        <v>45565</v>
      </c>
      <c r="CR11" s="46">
        <v>0.74959490740740742</v>
      </c>
      <c r="CS11" s="20">
        <f>CS10</f>
        <v>148.92000000000002</v>
      </c>
      <c r="CT11" t="e">
        <f t="shared" ref="CT11:CT13" si="8">CT10</f>
        <v>#REF!</v>
      </c>
    </row>
    <row r="12" spans="1:109">
      <c r="A12" t="s">
        <v>103</v>
      </c>
      <c r="B12">
        <v>3</v>
      </c>
      <c r="C12" t="s">
        <v>7</v>
      </c>
      <c r="D12">
        <v>55200</v>
      </c>
      <c r="E12">
        <v>32</v>
      </c>
      <c r="F12">
        <v>1</v>
      </c>
      <c r="G12">
        <v>16</v>
      </c>
      <c r="H12" s="1">
        <v>2530.19</v>
      </c>
      <c r="I12" s="54">
        <v>44.319000000000003</v>
      </c>
      <c r="J12" s="23">
        <v>45549</v>
      </c>
      <c r="K12" s="46">
        <v>0.9017708333333333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s="20">
        <f>X11</f>
        <v>44.359000000000002</v>
      </c>
      <c r="Z12" t="s">
        <v>154</v>
      </c>
      <c r="AA12">
        <v>3</v>
      </c>
      <c r="AB12" t="s">
        <v>7</v>
      </c>
      <c r="AC12">
        <v>55200</v>
      </c>
      <c r="AD12">
        <v>32</v>
      </c>
      <c r="AE12">
        <v>1</v>
      </c>
      <c r="AF12">
        <v>16</v>
      </c>
      <c r="AG12">
        <v>2424.6999999999998</v>
      </c>
      <c r="AH12" s="20">
        <v>46.247</v>
      </c>
      <c r="AI12" s="23">
        <v>45556</v>
      </c>
      <c r="AJ12" s="46">
        <v>0.53348379629629628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 s="20">
        <f>AW11</f>
        <v>46.394199999999998</v>
      </c>
      <c r="AY12">
        <v>3</v>
      </c>
      <c r="AZ12" t="s">
        <v>7</v>
      </c>
      <c r="BA12">
        <v>58368</v>
      </c>
      <c r="BB12">
        <v>192</v>
      </c>
      <c r="BC12">
        <v>2</v>
      </c>
      <c r="BD12">
        <v>8</v>
      </c>
      <c r="BE12">
        <v>898.05</v>
      </c>
      <c r="BF12" s="1">
        <v>147.62</v>
      </c>
      <c r="BG12" s="23">
        <v>45562</v>
      </c>
      <c r="BH12" s="46">
        <v>0.70053240740740741</v>
      </c>
      <c r="BI12" s="20">
        <f>BI11</f>
        <v>147.50399999999999</v>
      </c>
      <c r="BJ12" t="e">
        <f t="shared" si="5"/>
        <v>#REF!</v>
      </c>
      <c r="BK12">
        <v>3</v>
      </c>
      <c r="BL12" t="s">
        <v>7</v>
      </c>
      <c r="BM12">
        <v>58368</v>
      </c>
      <c r="BN12">
        <v>192</v>
      </c>
      <c r="BO12">
        <v>2</v>
      </c>
      <c r="BP12">
        <v>8</v>
      </c>
      <c r="BQ12">
        <v>889.19</v>
      </c>
      <c r="BR12" s="49">
        <v>149.09</v>
      </c>
      <c r="BS12" s="23">
        <v>45563</v>
      </c>
      <c r="BT12" s="46">
        <v>0.21819444444444444</v>
      </c>
      <c r="BU12" s="20">
        <f>BU11</f>
        <v>149.18799999999999</v>
      </c>
      <c r="BV12" t="e">
        <f t="shared" si="6"/>
        <v>#REF!</v>
      </c>
      <c r="BW12">
        <v>3</v>
      </c>
      <c r="BX12" t="s">
        <v>7</v>
      </c>
      <c r="BY12">
        <v>58368</v>
      </c>
      <c r="BZ12">
        <v>192</v>
      </c>
      <c r="CA12">
        <v>2</v>
      </c>
      <c r="CB12">
        <v>8</v>
      </c>
      <c r="CC12">
        <v>889.62</v>
      </c>
      <c r="CD12" s="60">
        <v>149.02000000000001</v>
      </c>
      <c r="CE12" s="23">
        <v>45565</v>
      </c>
      <c r="CF12" s="46">
        <v>0.22868055555555555</v>
      </c>
      <c r="CG12" s="20">
        <f>CG11</f>
        <v>148.74799999999999</v>
      </c>
      <c r="CH12" t="e">
        <f t="shared" si="7"/>
        <v>#REF!</v>
      </c>
      <c r="CI12">
        <v>3</v>
      </c>
      <c r="CJ12" t="s">
        <v>7</v>
      </c>
      <c r="CK12">
        <v>58368</v>
      </c>
      <c r="CL12">
        <v>192</v>
      </c>
      <c r="CM12">
        <v>2</v>
      </c>
      <c r="CN12">
        <v>8</v>
      </c>
      <c r="CO12">
        <v>889.73</v>
      </c>
      <c r="CP12" s="1">
        <v>149</v>
      </c>
      <c r="CQ12" s="23">
        <v>45565</v>
      </c>
      <c r="CR12" s="46">
        <v>0.83203703703703702</v>
      </c>
      <c r="CS12" s="20">
        <f>CS11</f>
        <v>148.92000000000002</v>
      </c>
      <c r="CT12" t="e">
        <f t="shared" si="8"/>
        <v>#REF!</v>
      </c>
    </row>
    <row r="13" spans="1:109">
      <c r="A13" t="s">
        <v>103</v>
      </c>
      <c r="B13">
        <v>4</v>
      </c>
      <c r="C13" t="s">
        <v>7</v>
      </c>
      <c r="D13">
        <v>55200</v>
      </c>
      <c r="E13">
        <v>32</v>
      </c>
      <c r="F13">
        <v>1</v>
      </c>
      <c r="G13">
        <v>16</v>
      </c>
      <c r="H13">
        <v>2527.0100000000002</v>
      </c>
      <c r="I13" s="54">
        <v>44.375</v>
      </c>
      <c r="J13" s="23">
        <v>45550</v>
      </c>
      <c r="K13" s="46">
        <v>0.99101851851851852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s="20">
        <f>X12</f>
        <v>44.359000000000002</v>
      </c>
      <c r="Z13" t="s">
        <v>154</v>
      </c>
      <c r="AA13">
        <v>4</v>
      </c>
      <c r="AB13" t="s">
        <v>7</v>
      </c>
      <c r="AC13">
        <v>55200</v>
      </c>
      <c r="AD13">
        <v>32</v>
      </c>
      <c r="AE13">
        <v>1</v>
      </c>
      <c r="AF13">
        <v>16</v>
      </c>
      <c r="AG13">
        <v>2407.4299999999998</v>
      </c>
      <c r="AH13" s="20">
        <v>46.579000000000001</v>
      </c>
      <c r="AI13" s="23">
        <v>45557</v>
      </c>
      <c r="AJ13" s="46">
        <v>0.48622685185185183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 s="20">
        <f>AW12</f>
        <v>46.394199999999998</v>
      </c>
      <c r="AY13">
        <v>4</v>
      </c>
      <c r="AZ13" t="s">
        <v>7</v>
      </c>
      <c r="BA13">
        <v>58368</v>
      </c>
      <c r="BB13">
        <v>192</v>
      </c>
      <c r="BC13">
        <v>2</v>
      </c>
      <c r="BD13">
        <v>8</v>
      </c>
      <c r="BE13">
        <v>894.15</v>
      </c>
      <c r="BF13" s="1">
        <v>148.26</v>
      </c>
      <c r="BG13" s="23">
        <v>45562</v>
      </c>
      <c r="BH13" s="46">
        <v>0.78788194444444448</v>
      </c>
      <c r="BI13" s="20">
        <f>BI12</f>
        <v>147.50399999999999</v>
      </c>
      <c r="BJ13" t="e">
        <f t="shared" si="5"/>
        <v>#REF!</v>
      </c>
      <c r="BK13">
        <v>4</v>
      </c>
      <c r="BL13" t="s">
        <v>7</v>
      </c>
      <c r="BM13">
        <v>58368</v>
      </c>
      <c r="BN13">
        <v>192</v>
      </c>
      <c r="BO13">
        <v>2</v>
      </c>
      <c r="BP13">
        <v>8</v>
      </c>
      <c r="BQ13">
        <v>886.5</v>
      </c>
      <c r="BR13" s="49">
        <v>149.54</v>
      </c>
      <c r="BS13" s="23">
        <v>45563</v>
      </c>
      <c r="BT13" s="46">
        <v>0.30006944444444444</v>
      </c>
      <c r="BU13" s="20">
        <f>BU12</f>
        <v>149.18799999999999</v>
      </c>
      <c r="BV13" t="e">
        <f t="shared" si="6"/>
        <v>#REF!</v>
      </c>
      <c r="BW13">
        <v>4</v>
      </c>
      <c r="BX13" t="s">
        <v>7</v>
      </c>
      <c r="BY13">
        <v>58368</v>
      </c>
      <c r="BZ13">
        <v>192</v>
      </c>
      <c r="CA13">
        <v>2</v>
      </c>
      <c r="CB13">
        <v>8</v>
      </c>
      <c r="CC13">
        <v>895.76</v>
      </c>
      <c r="CD13" s="60">
        <v>148</v>
      </c>
      <c r="CE13" s="23">
        <v>45565</v>
      </c>
      <c r="CF13" s="46">
        <v>0.31532407407407409</v>
      </c>
      <c r="CG13" s="20">
        <f>CG12</f>
        <v>148.74799999999999</v>
      </c>
      <c r="CH13" t="e">
        <f t="shared" si="7"/>
        <v>#REF!</v>
      </c>
      <c r="CI13">
        <v>4</v>
      </c>
      <c r="CJ13" t="s">
        <v>7</v>
      </c>
      <c r="CK13">
        <v>58368</v>
      </c>
      <c r="CL13">
        <v>192</v>
      </c>
      <c r="CM13">
        <v>2</v>
      </c>
      <c r="CN13">
        <v>8</v>
      </c>
      <c r="CO13">
        <v>894.3</v>
      </c>
      <c r="CP13" s="1">
        <v>148.24</v>
      </c>
      <c r="CQ13" s="23">
        <v>45565</v>
      </c>
      <c r="CR13" s="46">
        <v>0.91405092592592596</v>
      </c>
      <c r="CS13" s="20">
        <f>CS12</f>
        <v>148.92000000000002</v>
      </c>
      <c r="CT13" t="e">
        <f t="shared" si="8"/>
        <v>#REF!</v>
      </c>
    </row>
    <row r="14" spans="1:109">
      <c r="A14" t="s">
        <v>103</v>
      </c>
      <c r="B14">
        <v>0</v>
      </c>
      <c r="C14" t="s">
        <v>7</v>
      </c>
      <c r="D14">
        <v>58400</v>
      </c>
      <c r="E14">
        <v>32</v>
      </c>
      <c r="F14">
        <v>1</v>
      </c>
      <c r="G14">
        <v>16</v>
      </c>
      <c r="H14">
        <v>2981.7</v>
      </c>
      <c r="I14" s="54">
        <v>44.534999999999997</v>
      </c>
      <c r="J14" s="23">
        <v>45547</v>
      </c>
      <c r="K14" s="46">
        <v>2.3958333333333331E-3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s="51">
        <f t="shared" ref="X14" si="9">AVERAGE(I14:I18)</f>
        <v>44.629199999999997</v>
      </c>
      <c r="Z14" t="s">
        <v>154</v>
      </c>
      <c r="AA14">
        <v>0</v>
      </c>
      <c r="AB14" t="s">
        <v>7</v>
      </c>
      <c r="AC14">
        <v>58400</v>
      </c>
      <c r="AD14">
        <v>32</v>
      </c>
      <c r="AE14">
        <v>1</v>
      </c>
      <c r="AF14">
        <v>16</v>
      </c>
      <c r="AG14">
        <v>2671.78</v>
      </c>
      <c r="AH14" s="20">
        <v>49.701000000000001</v>
      </c>
      <c r="AI14" s="23">
        <v>45553</v>
      </c>
      <c r="AJ14" s="46">
        <v>0.99685185185185188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 s="51">
        <f t="shared" ref="AW14" si="10">AVERAGE(AH14:AH18)</f>
        <v>49.457599999999999</v>
      </c>
      <c r="AY14">
        <v>0</v>
      </c>
      <c r="AZ14" t="s">
        <v>7</v>
      </c>
      <c r="BA14">
        <v>55104</v>
      </c>
      <c r="BB14">
        <v>224</v>
      </c>
      <c r="BC14">
        <v>2</v>
      </c>
      <c r="BD14">
        <v>8</v>
      </c>
      <c r="BE14">
        <v>758.3</v>
      </c>
      <c r="BF14" s="1">
        <v>147.11000000000001</v>
      </c>
      <c r="BG14" s="23">
        <v>45562</v>
      </c>
      <c r="BH14" s="46">
        <v>0.41707175925925927</v>
      </c>
      <c r="BI14" s="51">
        <f>AVERAGE(BF14:BF18)</f>
        <v>147.03400000000002</v>
      </c>
      <c r="BJ14" t="e">
        <f>100-(BI14/#REF!*100)</f>
        <v>#REF!</v>
      </c>
      <c r="BK14">
        <v>0</v>
      </c>
      <c r="BL14" t="s">
        <v>7</v>
      </c>
      <c r="BM14">
        <v>55296</v>
      </c>
      <c r="BN14">
        <v>256</v>
      </c>
      <c r="BO14">
        <v>2</v>
      </c>
      <c r="BP14">
        <v>8</v>
      </c>
      <c r="BQ14">
        <v>767.98</v>
      </c>
      <c r="BR14" s="49">
        <v>146.78</v>
      </c>
      <c r="BS14" s="23">
        <v>45562</v>
      </c>
      <c r="BT14" s="46">
        <v>0.9622222222222222</v>
      </c>
      <c r="BU14" s="51">
        <f>AVERAGE(BR14:BR18)</f>
        <v>148.39000000000001</v>
      </c>
      <c r="BV14" t="e">
        <f>100-(BU14/#REF!*100)</f>
        <v>#REF!</v>
      </c>
      <c r="BW14">
        <v>0</v>
      </c>
      <c r="BX14" t="s">
        <v>7</v>
      </c>
      <c r="BY14">
        <v>58464</v>
      </c>
      <c r="BZ14">
        <v>224</v>
      </c>
      <c r="CA14">
        <v>2</v>
      </c>
      <c r="CB14">
        <v>8</v>
      </c>
      <c r="CC14">
        <v>897.16</v>
      </c>
      <c r="CD14" s="60">
        <v>148.5</v>
      </c>
      <c r="CE14" s="23">
        <v>45564</v>
      </c>
      <c r="CF14" s="46">
        <v>0.97894675925925922</v>
      </c>
      <c r="CG14" s="51">
        <f>AVERAGE(CD14:CD18)</f>
        <v>147.66800000000001</v>
      </c>
      <c r="CH14" t="e">
        <f>100-(CG14/#REF!*100)</f>
        <v>#REF!</v>
      </c>
      <c r="CI14">
        <v>0</v>
      </c>
      <c r="CJ14" t="s">
        <v>7</v>
      </c>
      <c r="CK14">
        <v>55104</v>
      </c>
      <c r="CL14">
        <v>224</v>
      </c>
      <c r="CM14">
        <v>2</v>
      </c>
      <c r="CN14">
        <v>8</v>
      </c>
      <c r="CO14">
        <v>749.63</v>
      </c>
      <c r="CP14" s="1">
        <v>148.81</v>
      </c>
      <c r="CQ14" s="23">
        <v>45565</v>
      </c>
      <c r="CR14" s="46">
        <v>0.56587962962962968</v>
      </c>
      <c r="CS14" s="51">
        <f>AVERAGE(CP14:CP18)</f>
        <v>148.31400000000002</v>
      </c>
      <c r="CT14" t="e">
        <f>100-(CS14/#REF!*100)</f>
        <v>#REF!</v>
      </c>
    </row>
    <row r="15" spans="1:109">
      <c r="A15" t="s">
        <v>103</v>
      </c>
      <c r="B15">
        <v>1</v>
      </c>
      <c r="C15" t="s">
        <v>7</v>
      </c>
      <c r="D15">
        <v>58400</v>
      </c>
      <c r="E15">
        <v>32</v>
      </c>
      <c r="F15">
        <v>1</v>
      </c>
      <c r="G15">
        <v>16</v>
      </c>
      <c r="H15" s="1">
        <v>2978.45</v>
      </c>
      <c r="I15" s="54">
        <v>44.582999999999998</v>
      </c>
      <c r="J15" s="23">
        <v>45548</v>
      </c>
      <c r="K15" s="46">
        <v>9.5023148148148148E-2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s="20">
        <f t="shared" ref="X15:X18" si="11">X14</f>
        <v>44.629199999999997</v>
      </c>
      <c r="Z15" t="s">
        <v>154</v>
      </c>
      <c r="AA15">
        <v>1</v>
      </c>
      <c r="AB15" t="s">
        <v>7</v>
      </c>
      <c r="AC15">
        <v>58400</v>
      </c>
      <c r="AD15">
        <v>32</v>
      </c>
      <c r="AE15">
        <v>1</v>
      </c>
      <c r="AF15">
        <v>16</v>
      </c>
      <c r="AG15">
        <v>2680.9</v>
      </c>
      <c r="AH15" s="20">
        <v>49.531999999999996</v>
      </c>
      <c r="AI15" s="23">
        <v>45554</v>
      </c>
      <c r="AJ15" s="46">
        <v>0.94908564814814811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 s="20">
        <f t="shared" ref="AW15:AW18" si="12">AW14</f>
        <v>49.457599999999999</v>
      </c>
      <c r="AY15">
        <v>1</v>
      </c>
      <c r="AZ15" t="s">
        <v>7</v>
      </c>
      <c r="BA15">
        <v>55104</v>
      </c>
      <c r="BB15">
        <v>224</v>
      </c>
      <c r="BC15">
        <v>2</v>
      </c>
      <c r="BD15">
        <v>8</v>
      </c>
      <c r="BE15">
        <v>766.27</v>
      </c>
      <c r="BF15" s="1">
        <v>145.58000000000001</v>
      </c>
      <c r="BG15" s="23">
        <v>45562</v>
      </c>
      <c r="BH15" s="46">
        <v>0.50444444444444447</v>
      </c>
      <c r="BI15" s="20">
        <f>BI14</f>
        <v>147.03400000000002</v>
      </c>
      <c r="BJ15" t="e">
        <f t="shared" ref="BJ15:BJ48" si="13">BJ14</f>
        <v>#REF!</v>
      </c>
      <c r="BK15">
        <v>1</v>
      </c>
      <c r="BL15" t="s">
        <v>7</v>
      </c>
      <c r="BM15">
        <v>55296</v>
      </c>
      <c r="BN15">
        <v>256</v>
      </c>
      <c r="BO15">
        <v>2</v>
      </c>
      <c r="BP15">
        <v>8</v>
      </c>
      <c r="BQ15">
        <v>758.83</v>
      </c>
      <c r="BR15" s="49">
        <v>148.55000000000001</v>
      </c>
      <c r="BS15" s="23">
        <v>45563</v>
      </c>
      <c r="BT15" s="46">
        <v>4.4085648148148152E-2</v>
      </c>
      <c r="BU15" s="20">
        <f>BU14</f>
        <v>148.39000000000001</v>
      </c>
      <c r="BV15" t="e">
        <f t="shared" ref="BV15:BV48" si="14">BV14</f>
        <v>#REF!</v>
      </c>
      <c r="BW15">
        <v>1</v>
      </c>
      <c r="BX15" t="s">
        <v>7</v>
      </c>
      <c r="BY15">
        <v>58464</v>
      </c>
      <c r="BZ15">
        <v>224</v>
      </c>
      <c r="CA15">
        <v>2</v>
      </c>
      <c r="CB15">
        <v>8</v>
      </c>
      <c r="CC15">
        <v>909.79</v>
      </c>
      <c r="CD15" s="60">
        <v>146.44</v>
      </c>
      <c r="CE15" s="23">
        <v>45565</v>
      </c>
      <c r="CF15" s="46">
        <v>6.5960648148148143E-2</v>
      </c>
      <c r="CG15" s="20">
        <f>CG14</f>
        <v>147.66800000000001</v>
      </c>
      <c r="CH15" t="e">
        <f t="shared" ref="CH15:CH48" si="15">CH14</f>
        <v>#REF!</v>
      </c>
      <c r="CI15">
        <v>1</v>
      </c>
      <c r="CJ15" t="s">
        <v>7</v>
      </c>
      <c r="CK15">
        <v>55104</v>
      </c>
      <c r="CL15">
        <v>224</v>
      </c>
      <c r="CM15">
        <v>2</v>
      </c>
      <c r="CN15">
        <v>8</v>
      </c>
      <c r="CO15">
        <v>752.53</v>
      </c>
      <c r="CP15" s="1">
        <v>148.24</v>
      </c>
      <c r="CQ15" s="23">
        <v>45565</v>
      </c>
      <c r="CR15" s="46">
        <v>0.647974537037037</v>
      </c>
      <c r="CS15" s="20">
        <f>CS14</f>
        <v>148.31400000000002</v>
      </c>
      <c r="CT15" t="e">
        <f t="shared" ref="CT15:CT48" si="16">CT14</f>
        <v>#REF!</v>
      </c>
    </row>
    <row r="16" spans="1:109">
      <c r="A16" t="s">
        <v>103</v>
      </c>
      <c r="B16">
        <v>2</v>
      </c>
      <c r="C16" t="s">
        <v>7</v>
      </c>
      <c r="D16">
        <v>58400</v>
      </c>
      <c r="E16">
        <v>32</v>
      </c>
      <c r="F16">
        <v>1</v>
      </c>
      <c r="G16">
        <v>16</v>
      </c>
      <c r="H16">
        <v>2971.83</v>
      </c>
      <c r="I16" s="54">
        <v>44.683</v>
      </c>
      <c r="J16" s="23">
        <v>45549</v>
      </c>
      <c r="K16" s="46">
        <v>0.18482638888888889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s="20">
        <f t="shared" si="11"/>
        <v>44.629199999999997</v>
      </c>
      <c r="Z16" t="s">
        <v>154</v>
      </c>
      <c r="AA16">
        <v>2</v>
      </c>
      <c r="AB16" t="s">
        <v>7</v>
      </c>
      <c r="AC16">
        <v>58400</v>
      </c>
      <c r="AD16">
        <v>32</v>
      </c>
      <c r="AE16">
        <v>1</v>
      </c>
      <c r="AF16">
        <v>16</v>
      </c>
      <c r="AG16">
        <v>2689.98</v>
      </c>
      <c r="AH16" s="20">
        <v>49.363999999999997</v>
      </c>
      <c r="AI16" s="23">
        <v>45555</v>
      </c>
      <c r="AJ16" s="46">
        <v>0.90145833333333336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 s="20">
        <f t="shared" si="12"/>
        <v>49.457599999999999</v>
      </c>
      <c r="AY16">
        <v>2</v>
      </c>
      <c r="AZ16" t="s">
        <v>7</v>
      </c>
      <c r="BA16">
        <v>55104</v>
      </c>
      <c r="BB16">
        <v>224</v>
      </c>
      <c r="BC16">
        <v>2</v>
      </c>
      <c r="BD16">
        <v>8</v>
      </c>
      <c r="BE16">
        <v>754.59</v>
      </c>
      <c r="BF16" s="1">
        <v>147.83000000000001</v>
      </c>
      <c r="BG16" s="23">
        <v>45562</v>
      </c>
      <c r="BH16" s="46">
        <v>0.59201388888888884</v>
      </c>
      <c r="BI16" s="20">
        <f>BI15</f>
        <v>147.03400000000002</v>
      </c>
      <c r="BJ16" t="e">
        <f t="shared" si="13"/>
        <v>#REF!</v>
      </c>
      <c r="BK16">
        <v>2</v>
      </c>
      <c r="BL16" t="s">
        <v>7</v>
      </c>
      <c r="BM16">
        <v>55296</v>
      </c>
      <c r="BN16">
        <v>256</v>
      </c>
      <c r="BO16">
        <v>2</v>
      </c>
      <c r="BP16">
        <v>8</v>
      </c>
      <c r="BQ16">
        <v>756.79</v>
      </c>
      <c r="BR16" s="49">
        <v>148.94999999999999</v>
      </c>
      <c r="BS16" s="23">
        <v>45563</v>
      </c>
      <c r="BT16" s="46">
        <v>0.12585648148148149</v>
      </c>
      <c r="BU16" s="20">
        <f>BU15</f>
        <v>148.39000000000001</v>
      </c>
      <c r="BV16" t="e">
        <f t="shared" si="14"/>
        <v>#REF!</v>
      </c>
      <c r="BW16">
        <v>2</v>
      </c>
      <c r="BX16" t="s">
        <v>7</v>
      </c>
      <c r="BY16">
        <v>58464</v>
      </c>
      <c r="BZ16">
        <v>224</v>
      </c>
      <c r="CA16">
        <v>2</v>
      </c>
      <c r="CB16">
        <v>8</v>
      </c>
      <c r="CC16">
        <v>898.14</v>
      </c>
      <c r="CD16" s="60">
        <v>148.34</v>
      </c>
      <c r="CE16" s="23">
        <v>45565</v>
      </c>
      <c r="CF16" s="46">
        <v>0.15297453703703703</v>
      </c>
      <c r="CG16" s="20">
        <f>CG15</f>
        <v>147.66800000000001</v>
      </c>
      <c r="CH16" t="e">
        <f t="shared" si="15"/>
        <v>#REF!</v>
      </c>
      <c r="CI16">
        <v>2</v>
      </c>
      <c r="CJ16" t="s">
        <v>7</v>
      </c>
      <c r="CK16">
        <v>55104</v>
      </c>
      <c r="CL16">
        <v>224</v>
      </c>
      <c r="CM16">
        <v>2</v>
      </c>
      <c r="CN16">
        <v>8</v>
      </c>
      <c r="CO16">
        <v>754.15</v>
      </c>
      <c r="CP16" s="1">
        <v>147.91999999999999</v>
      </c>
      <c r="CQ16" s="23">
        <v>45565</v>
      </c>
      <c r="CR16" s="46">
        <v>0.7298958333333333</v>
      </c>
      <c r="CS16" s="20">
        <f>CS15</f>
        <v>148.31400000000002</v>
      </c>
      <c r="CT16" t="e">
        <f t="shared" si="16"/>
        <v>#REF!</v>
      </c>
    </row>
    <row r="17" spans="1:98">
      <c r="A17" t="s">
        <v>103</v>
      </c>
      <c r="B17">
        <v>3</v>
      </c>
      <c r="C17" t="s">
        <v>7</v>
      </c>
      <c r="D17">
        <v>58400</v>
      </c>
      <c r="E17">
        <v>32</v>
      </c>
      <c r="F17">
        <v>1</v>
      </c>
      <c r="G17">
        <v>16</v>
      </c>
      <c r="H17">
        <v>2962.94</v>
      </c>
      <c r="I17" s="54">
        <v>44.817</v>
      </c>
      <c r="J17" s="23">
        <v>45550</v>
      </c>
      <c r="K17" s="46">
        <v>0.27416666666666667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s="20">
        <f t="shared" si="11"/>
        <v>44.629199999999997</v>
      </c>
      <c r="Z17" t="s">
        <v>154</v>
      </c>
      <c r="AA17">
        <v>3</v>
      </c>
      <c r="AB17" t="s">
        <v>7</v>
      </c>
      <c r="AC17">
        <v>58400</v>
      </c>
      <c r="AD17">
        <v>32</v>
      </c>
      <c r="AE17">
        <v>1</v>
      </c>
      <c r="AF17">
        <v>16</v>
      </c>
      <c r="AG17">
        <v>2697.97</v>
      </c>
      <c r="AH17" s="20">
        <v>49.218000000000004</v>
      </c>
      <c r="AI17" s="23">
        <v>45556</v>
      </c>
      <c r="AJ17" s="46">
        <v>0.8548958333333333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 s="20">
        <f t="shared" si="12"/>
        <v>49.457599999999999</v>
      </c>
      <c r="AY17">
        <v>3</v>
      </c>
      <c r="AZ17" t="s">
        <v>7</v>
      </c>
      <c r="BA17">
        <v>55104</v>
      </c>
      <c r="BB17">
        <v>224</v>
      </c>
      <c r="BC17">
        <v>2</v>
      </c>
      <c r="BD17">
        <v>8</v>
      </c>
      <c r="BE17">
        <v>756.82</v>
      </c>
      <c r="BF17" s="1">
        <v>147.4</v>
      </c>
      <c r="BG17" s="23">
        <v>45562</v>
      </c>
      <c r="BH17" s="46">
        <v>0.67961805555555554</v>
      </c>
      <c r="BI17" s="20">
        <f>BI16</f>
        <v>147.03400000000002</v>
      </c>
      <c r="BJ17" t="e">
        <f t="shared" si="13"/>
        <v>#REF!</v>
      </c>
      <c r="BK17">
        <v>3</v>
      </c>
      <c r="BL17" t="s">
        <v>7</v>
      </c>
      <c r="BM17">
        <v>55296</v>
      </c>
      <c r="BN17">
        <v>256</v>
      </c>
      <c r="BO17">
        <v>2</v>
      </c>
      <c r="BP17">
        <v>8</v>
      </c>
      <c r="BQ17">
        <v>756.96</v>
      </c>
      <c r="BR17" s="49">
        <v>148.91</v>
      </c>
      <c r="BS17" s="23">
        <v>45563</v>
      </c>
      <c r="BT17" s="46">
        <v>0.20761574074074074</v>
      </c>
      <c r="BU17" s="20">
        <f>BU16</f>
        <v>148.39000000000001</v>
      </c>
      <c r="BV17" t="e">
        <f t="shared" si="14"/>
        <v>#REF!</v>
      </c>
      <c r="BW17">
        <v>3</v>
      </c>
      <c r="BX17" t="s">
        <v>7</v>
      </c>
      <c r="BY17">
        <v>58464</v>
      </c>
      <c r="BZ17">
        <v>224</v>
      </c>
      <c r="CA17">
        <v>2</v>
      </c>
      <c r="CB17">
        <v>8</v>
      </c>
      <c r="CC17">
        <v>899.71</v>
      </c>
      <c r="CD17" s="60">
        <v>148.08000000000001</v>
      </c>
      <c r="CE17" s="23">
        <v>45565</v>
      </c>
      <c r="CF17" s="46">
        <v>0.2399537037037037</v>
      </c>
      <c r="CG17" s="20">
        <f>CG16</f>
        <v>147.66800000000001</v>
      </c>
      <c r="CH17" t="e">
        <f t="shared" si="15"/>
        <v>#REF!</v>
      </c>
      <c r="CI17">
        <v>3</v>
      </c>
      <c r="CJ17" t="s">
        <v>7</v>
      </c>
      <c r="CK17">
        <v>55104</v>
      </c>
      <c r="CL17">
        <v>224</v>
      </c>
      <c r="CM17">
        <v>2</v>
      </c>
      <c r="CN17">
        <v>8</v>
      </c>
      <c r="CO17">
        <v>751.37</v>
      </c>
      <c r="CP17" s="1">
        <v>148.46</v>
      </c>
      <c r="CQ17" s="23">
        <v>45565</v>
      </c>
      <c r="CR17" s="46">
        <v>0.81237268518518524</v>
      </c>
      <c r="CS17" s="20">
        <f>CS16</f>
        <v>148.31400000000002</v>
      </c>
      <c r="CT17" t="e">
        <f t="shared" si="16"/>
        <v>#REF!</v>
      </c>
    </row>
    <row r="18" spans="1:98">
      <c r="A18" t="s">
        <v>103</v>
      </c>
      <c r="B18">
        <v>4</v>
      </c>
      <c r="C18" t="s">
        <v>7</v>
      </c>
      <c r="D18">
        <v>58400</v>
      </c>
      <c r="E18">
        <v>32</v>
      </c>
      <c r="F18">
        <v>1</v>
      </c>
      <c r="G18">
        <v>16</v>
      </c>
      <c r="H18">
        <v>2982.13</v>
      </c>
      <c r="I18" s="54">
        <v>44.527999999999999</v>
      </c>
      <c r="J18" s="23">
        <v>45551</v>
      </c>
      <c r="K18" s="46">
        <v>0.36256944444444444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s="20">
        <f t="shared" si="11"/>
        <v>44.629199999999997</v>
      </c>
      <c r="Z18" t="s">
        <v>154</v>
      </c>
      <c r="AA18">
        <v>4</v>
      </c>
      <c r="AB18" t="s">
        <v>7</v>
      </c>
      <c r="AC18">
        <v>58400</v>
      </c>
      <c r="AD18">
        <v>32</v>
      </c>
      <c r="AE18">
        <v>1</v>
      </c>
      <c r="AF18">
        <v>16</v>
      </c>
      <c r="AG18">
        <v>2684.06</v>
      </c>
      <c r="AH18" s="20">
        <v>49.472999999999999</v>
      </c>
      <c r="AI18" s="23">
        <v>45557</v>
      </c>
      <c r="AJ18" s="46">
        <v>0.80696759259259254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 s="20">
        <f t="shared" si="12"/>
        <v>49.457599999999999</v>
      </c>
      <c r="AY18">
        <v>4</v>
      </c>
      <c r="AZ18" t="s">
        <v>7</v>
      </c>
      <c r="BA18">
        <v>55104</v>
      </c>
      <c r="BB18">
        <v>224</v>
      </c>
      <c r="BC18">
        <v>2</v>
      </c>
      <c r="BD18">
        <v>8</v>
      </c>
      <c r="BE18">
        <v>757.55</v>
      </c>
      <c r="BF18" s="1">
        <v>147.25</v>
      </c>
      <c r="BG18" s="23">
        <v>45562</v>
      </c>
      <c r="BH18" s="46">
        <v>0.76693287037037039</v>
      </c>
      <c r="BI18" s="20">
        <f>BI17</f>
        <v>147.03400000000002</v>
      </c>
      <c r="BJ18" t="e">
        <f t="shared" si="13"/>
        <v>#REF!</v>
      </c>
      <c r="BK18">
        <v>4</v>
      </c>
      <c r="BL18" t="s">
        <v>7</v>
      </c>
      <c r="BM18">
        <v>55296</v>
      </c>
      <c r="BN18">
        <v>256</v>
      </c>
      <c r="BO18">
        <v>2</v>
      </c>
      <c r="BP18">
        <v>8</v>
      </c>
      <c r="BQ18">
        <v>757.73</v>
      </c>
      <c r="BR18" s="49">
        <v>148.76</v>
      </c>
      <c r="BS18" s="23">
        <v>45563</v>
      </c>
      <c r="BT18" s="46">
        <v>0.28952546296296294</v>
      </c>
      <c r="BU18" s="20">
        <f>BU17</f>
        <v>148.39000000000001</v>
      </c>
      <c r="BV18" t="e">
        <f t="shared" si="14"/>
        <v>#REF!</v>
      </c>
      <c r="BW18">
        <v>4</v>
      </c>
      <c r="BX18" t="s">
        <v>7</v>
      </c>
      <c r="BY18">
        <v>58464</v>
      </c>
      <c r="BZ18">
        <v>224</v>
      </c>
      <c r="CA18">
        <v>2</v>
      </c>
      <c r="CB18">
        <v>8</v>
      </c>
      <c r="CC18">
        <v>906.41</v>
      </c>
      <c r="CD18" s="60">
        <v>146.97999999999999</v>
      </c>
      <c r="CE18" s="23">
        <v>45565</v>
      </c>
      <c r="CF18" s="46">
        <v>0.32667824074074076</v>
      </c>
      <c r="CG18" s="20">
        <f>CG17</f>
        <v>147.66800000000001</v>
      </c>
      <c r="CH18" t="e">
        <f t="shared" si="15"/>
        <v>#REF!</v>
      </c>
      <c r="CI18">
        <v>4</v>
      </c>
      <c r="CJ18" t="s">
        <v>7</v>
      </c>
      <c r="CK18">
        <v>55104</v>
      </c>
      <c r="CL18">
        <v>224</v>
      </c>
      <c r="CM18">
        <v>2</v>
      </c>
      <c r="CN18">
        <v>8</v>
      </c>
      <c r="CO18">
        <v>753.03</v>
      </c>
      <c r="CP18" s="1">
        <v>148.13999999999999</v>
      </c>
      <c r="CQ18" s="23">
        <v>45565</v>
      </c>
      <c r="CR18" s="46">
        <v>0.89437500000000003</v>
      </c>
      <c r="CS18" s="20">
        <f>CS17</f>
        <v>148.31400000000002</v>
      </c>
      <c r="CT18" t="e">
        <f t="shared" si="16"/>
        <v>#REF!</v>
      </c>
    </row>
    <row r="19" spans="1:98">
      <c r="A19" t="s">
        <v>103</v>
      </c>
      <c r="B19">
        <v>0</v>
      </c>
      <c r="C19" t="s">
        <v>7</v>
      </c>
      <c r="D19">
        <v>52000</v>
      </c>
      <c r="E19">
        <v>32</v>
      </c>
      <c r="F19">
        <v>2</v>
      </c>
      <c r="G19">
        <v>8</v>
      </c>
      <c r="H19">
        <v>1952.26</v>
      </c>
      <c r="I19" s="54">
        <v>48.018000000000001</v>
      </c>
      <c r="J19" s="23">
        <v>45546</v>
      </c>
      <c r="K19" s="46">
        <v>0.34921296296296295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s="51">
        <f t="shared" ref="X19" si="17">AVERAGE(I19:I23)</f>
        <v>48.067800000000005</v>
      </c>
      <c r="Z19" t="s">
        <v>154</v>
      </c>
      <c r="AA19">
        <v>0</v>
      </c>
      <c r="AB19" t="s">
        <v>7</v>
      </c>
      <c r="AC19">
        <v>52000</v>
      </c>
      <c r="AD19">
        <v>32</v>
      </c>
      <c r="AE19">
        <v>2</v>
      </c>
      <c r="AF19">
        <v>8</v>
      </c>
      <c r="AG19">
        <v>1963.54</v>
      </c>
      <c r="AH19" s="20">
        <v>47.741999999999997</v>
      </c>
      <c r="AI19" s="23">
        <v>45553</v>
      </c>
      <c r="AJ19" s="46">
        <v>0.43105324074074075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 s="51">
        <f t="shared" ref="AW19" si="18">AVERAGE(AH19:AH23)</f>
        <v>47.740399999999994</v>
      </c>
      <c r="AY19">
        <v>0</v>
      </c>
      <c r="AZ19" t="s">
        <v>7</v>
      </c>
      <c r="BA19">
        <v>58464</v>
      </c>
      <c r="BB19">
        <v>224</v>
      </c>
      <c r="BC19">
        <v>2</v>
      </c>
      <c r="BD19">
        <v>8</v>
      </c>
      <c r="BE19">
        <v>908.45</v>
      </c>
      <c r="BF19" s="1">
        <v>146.65</v>
      </c>
      <c r="BG19" s="23">
        <v>45562</v>
      </c>
      <c r="BH19" s="46">
        <v>0.44935185185185184</v>
      </c>
      <c r="BI19" s="51">
        <f>AVERAGE(BF19:BF23)</f>
        <v>146.39800000000002</v>
      </c>
      <c r="BJ19" t="e">
        <f>100-(BI19/#REF!*100)</f>
        <v>#REF!</v>
      </c>
      <c r="BK19">
        <v>0</v>
      </c>
      <c r="BL19" t="s">
        <v>7</v>
      </c>
      <c r="BM19">
        <v>58368</v>
      </c>
      <c r="BN19">
        <v>256</v>
      </c>
      <c r="BO19">
        <v>2</v>
      </c>
      <c r="BP19">
        <v>8</v>
      </c>
      <c r="BQ19">
        <v>892.08</v>
      </c>
      <c r="BR19" s="49">
        <v>148.61000000000001</v>
      </c>
      <c r="BS19" s="23">
        <v>45562</v>
      </c>
      <c r="BT19" s="46">
        <v>0.99410879629629634</v>
      </c>
      <c r="BU19" s="51">
        <f>AVERAGE(BR19:BR23)</f>
        <v>148.35400000000001</v>
      </c>
      <c r="BV19" t="e">
        <f>100-(BU19/#REF!*100)</f>
        <v>#REF!</v>
      </c>
      <c r="BW19">
        <v>0</v>
      </c>
      <c r="BX19" t="s">
        <v>7</v>
      </c>
      <c r="BY19">
        <v>55104</v>
      </c>
      <c r="BZ19">
        <v>224</v>
      </c>
      <c r="CA19">
        <v>2</v>
      </c>
      <c r="CB19">
        <v>8</v>
      </c>
      <c r="CC19">
        <v>757.94</v>
      </c>
      <c r="CD19" s="60">
        <v>147.18</v>
      </c>
      <c r="CE19" s="23">
        <v>45564</v>
      </c>
      <c r="CF19" s="46">
        <v>0.94687500000000002</v>
      </c>
      <c r="CG19" s="51">
        <f>AVERAGE(CD19:CD23)</f>
        <v>147.45999999999998</v>
      </c>
      <c r="CH19" t="e">
        <f>100-(CG19/#REF!*100)</f>
        <v>#REF!</v>
      </c>
      <c r="CI19">
        <v>0</v>
      </c>
      <c r="CJ19" t="s">
        <v>7</v>
      </c>
      <c r="CK19">
        <v>55296</v>
      </c>
      <c r="CL19">
        <v>256</v>
      </c>
      <c r="CM19">
        <v>2</v>
      </c>
      <c r="CN19">
        <v>8</v>
      </c>
      <c r="CO19">
        <v>767.25</v>
      </c>
      <c r="CP19" s="1">
        <v>146.91999999999999</v>
      </c>
      <c r="CQ19" s="23">
        <v>45565</v>
      </c>
      <c r="CR19" s="46">
        <v>0.57502314814814814</v>
      </c>
      <c r="CS19" s="51">
        <f>AVERAGE(CP19:CP23)</f>
        <v>148.208</v>
      </c>
      <c r="CT19" t="e">
        <f>100-(CS19/#REF!*100)</f>
        <v>#REF!</v>
      </c>
    </row>
    <row r="20" spans="1:98">
      <c r="A20" t="s">
        <v>103</v>
      </c>
      <c r="B20">
        <v>1</v>
      </c>
      <c r="C20" t="s">
        <v>7</v>
      </c>
      <c r="D20">
        <v>52000</v>
      </c>
      <c r="E20">
        <v>32</v>
      </c>
      <c r="F20">
        <v>2</v>
      </c>
      <c r="G20">
        <v>8</v>
      </c>
      <c r="H20">
        <v>1947.34</v>
      </c>
      <c r="I20" s="54">
        <v>48.139000000000003</v>
      </c>
      <c r="J20" s="23">
        <v>45547</v>
      </c>
      <c r="K20" s="46">
        <v>0.4412962962962963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s="20">
        <f t="shared" ref="X20:X23" si="19">X19</f>
        <v>48.067800000000005</v>
      </c>
      <c r="Z20" t="s">
        <v>154</v>
      </c>
      <c r="AA20">
        <v>1</v>
      </c>
      <c r="AB20" t="s">
        <v>7</v>
      </c>
      <c r="AC20">
        <v>52000</v>
      </c>
      <c r="AD20">
        <v>32</v>
      </c>
      <c r="AE20">
        <v>2</v>
      </c>
      <c r="AF20">
        <v>8</v>
      </c>
      <c r="AG20">
        <v>1968.65</v>
      </c>
      <c r="AH20" s="20">
        <v>47.618000000000002</v>
      </c>
      <c r="AI20" s="23">
        <v>45554</v>
      </c>
      <c r="AJ20" s="46">
        <v>0.38274305555555554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 s="20">
        <f t="shared" ref="AW20:AW23" si="20">AW19</f>
        <v>47.740399999999994</v>
      </c>
      <c r="AY20">
        <v>1</v>
      </c>
      <c r="AZ20" t="s">
        <v>7</v>
      </c>
      <c r="BA20">
        <v>58464</v>
      </c>
      <c r="BB20">
        <v>224</v>
      </c>
      <c r="BC20">
        <v>2</v>
      </c>
      <c r="BD20">
        <v>8</v>
      </c>
      <c r="BE20">
        <v>912.2</v>
      </c>
      <c r="BF20" s="1">
        <v>146.05000000000001</v>
      </c>
      <c r="BG20" s="23">
        <v>45562</v>
      </c>
      <c r="BH20" s="46">
        <v>0.53697916666666667</v>
      </c>
      <c r="BI20" s="20">
        <f>BI19</f>
        <v>146.39800000000002</v>
      </c>
      <c r="BJ20" t="e">
        <f t="shared" ref="BJ20" si="21">BJ19</f>
        <v>#REF!</v>
      </c>
      <c r="BK20">
        <v>1</v>
      </c>
      <c r="BL20" t="s">
        <v>7</v>
      </c>
      <c r="BM20">
        <v>58368</v>
      </c>
      <c r="BN20">
        <v>256</v>
      </c>
      <c r="BO20">
        <v>2</v>
      </c>
      <c r="BP20">
        <v>8</v>
      </c>
      <c r="BQ20">
        <v>893.64</v>
      </c>
      <c r="BR20" s="49">
        <v>148.35</v>
      </c>
      <c r="BS20" s="23">
        <v>45563</v>
      </c>
      <c r="BT20" s="46">
        <v>7.5983796296296299E-2</v>
      </c>
      <c r="BU20" s="20">
        <f>BU19</f>
        <v>148.35400000000001</v>
      </c>
      <c r="BV20" t="e">
        <f t="shared" ref="BV20" si="22">BV19</f>
        <v>#REF!</v>
      </c>
      <c r="BW20">
        <v>1</v>
      </c>
      <c r="BX20" t="s">
        <v>7</v>
      </c>
      <c r="BY20">
        <v>55104</v>
      </c>
      <c r="BZ20">
        <v>224</v>
      </c>
      <c r="CA20">
        <v>2</v>
      </c>
      <c r="CB20">
        <v>8</v>
      </c>
      <c r="CC20">
        <v>755.33</v>
      </c>
      <c r="CD20" s="60">
        <v>147.69</v>
      </c>
      <c r="CE20" s="23">
        <v>45565</v>
      </c>
      <c r="CF20" s="46">
        <v>3.380787037037037E-2</v>
      </c>
      <c r="CG20" s="20">
        <f>CG19</f>
        <v>147.45999999999998</v>
      </c>
      <c r="CH20" t="e">
        <f t="shared" ref="CH20" si="23">CH19</f>
        <v>#REF!</v>
      </c>
      <c r="CI20">
        <v>1</v>
      </c>
      <c r="CJ20" t="s">
        <v>7</v>
      </c>
      <c r="CK20">
        <v>55296</v>
      </c>
      <c r="CL20">
        <v>256</v>
      </c>
      <c r="CM20">
        <v>2</v>
      </c>
      <c r="CN20">
        <v>8</v>
      </c>
      <c r="CO20">
        <v>755.87</v>
      </c>
      <c r="CP20" s="1">
        <v>149.13</v>
      </c>
      <c r="CQ20" s="23">
        <v>45565</v>
      </c>
      <c r="CR20" s="46">
        <v>0.65697916666666667</v>
      </c>
      <c r="CS20" s="20">
        <f>CS19</f>
        <v>148.208</v>
      </c>
      <c r="CT20" t="e">
        <f t="shared" ref="CT20" si="24">CT19</f>
        <v>#REF!</v>
      </c>
    </row>
    <row r="21" spans="1:98">
      <c r="A21" t="s">
        <v>103</v>
      </c>
      <c r="B21">
        <v>2</v>
      </c>
      <c r="C21" t="s">
        <v>7</v>
      </c>
      <c r="D21">
        <v>52000</v>
      </c>
      <c r="E21">
        <v>32</v>
      </c>
      <c r="F21">
        <v>2</v>
      </c>
      <c r="G21">
        <v>8</v>
      </c>
      <c r="H21" s="1">
        <v>1949.09</v>
      </c>
      <c r="I21" s="54">
        <v>48.095999999999997</v>
      </c>
      <c r="J21" s="23">
        <v>45548</v>
      </c>
      <c r="K21" s="46">
        <v>0.53337962962962959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s="20">
        <f t="shared" si="19"/>
        <v>48.067800000000005</v>
      </c>
      <c r="Z21" t="s">
        <v>154</v>
      </c>
      <c r="AA21">
        <v>2</v>
      </c>
      <c r="AB21" t="s">
        <v>7</v>
      </c>
      <c r="AC21">
        <v>52000</v>
      </c>
      <c r="AD21">
        <v>32</v>
      </c>
      <c r="AE21">
        <v>2</v>
      </c>
      <c r="AF21">
        <v>8</v>
      </c>
      <c r="AG21">
        <v>1962.14</v>
      </c>
      <c r="AH21" s="20">
        <v>47.776000000000003</v>
      </c>
      <c r="AI21" s="23">
        <v>45555</v>
      </c>
      <c r="AJ21" s="46">
        <v>0.33512731481481484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 s="20">
        <f t="shared" si="20"/>
        <v>47.740399999999994</v>
      </c>
      <c r="AY21">
        <v>2</v>
      </c>
      <c r="AZ21" t="s">
        <v>7</v>
      </c>
      <c r="BA21">
        <v>58464</v>
      </c>
      <c r="BB21">
        <v>224</v>
      </c>
      <c r="BC21">
        <v>2</v>
      </c>
      <c r="BD21">
        <v>8</v>
      </c>
      <c r="BE21">
        <v>913.35</v>
      </c>
      <c r="BF21" s="1">
        <v>145.87</v>
      </c>
      <c r="BG21" s="23">
        <v>45562</v>
      </c>
      <c r="BH21" s="46">
        <v>0.62435185185185182</v>
      </c>
      <c r="BI21" s="20">
        <f>BI20</f>
        <v>146.39800000000002</v>
      </c>
      <c r="BJ21" t="e">
        <f t="shared" si="13"/>
        <v>#REF!</v>
      </c>
      <c r="BK21">
        <v>2</v>
      </c>
      <c r="BL21" t="s">
        <v>7</v>
      </c>
      <c r="BM21">
        <v>58368</v>
      </c>
      <c r="BN21">
        <v>256</v>
      </c>
      <c r="BO21">
        <v>2</v>
      </c>
      <c r="BP21">
        <v>8</v>
      </c>
      <c r="BQ21">
        <v>890.09</v>
      </c>
      <c r="BR21" s="49">
        <v>148.94</v>
      </c>
      <c r="BS21" s="23">
        <v>45563</v>
      </c>
      <c r="BT21" s="46">
        <v>0.15774305555555557</v>
      </c>
      <c r="BU21" s="20">
        <f>BU20</f>
        <v>148.35400000000001</v>
      </c>
      <c r="BV21" t="e">
        <f t="shared" si="14"/>
        <v>#REF!</v>
      </c>
      <c r="BW21">
        <v>2</v>
      </c>
      <c r="BX21" t="s">
        <v>7</v>
      </c>
      <c r="BY21">
        <v>55104</v>
      </c>
      <c r="BZ21">
        <v>224</v>
      </c>
      <c r="CA21">
        <v>2</v>
      </c>
      <c r="CB21">
        <v>8</v>
      </c>
      <c r="CC21">
        <v>759.83</v>
      </c>
      <c r="CD21" s="60">
        <v>146.81</v>
      </c>
      <c r="CE21" s="23">
        <v>45565</v>
      </c>
      <c r="CF21" s="46">
        <v>0.12087962962962963</v>
      </c>
      <c r="CG21" s="20">
        <f>CG20</f>
        <v>147.45999999999998</v>
      </c>
      <c r="CH21" t="e">
        <f t="shared" si="15"/>
        <v>#REF!</v>
      </c>
      <c r="CI21">
        <v>2</v>
      </c>
      <c r="CJ21" t="s">
        <v>7</v>
      </c>
      <c r="CK21">
        <v>55296</v>
      </c>
      <c r="CL21">
        <v>256</v>
      </c>
      <c r="CM21">
        <v>2</v>
      </c>
      <c r="CN21">
        <v>8</v>
      </c>
      <c r="CO21">
        <v>761.1</v>
      </c>
      <c r="CP21" s="1">
        <v>148.1</v>
      </c>
      <c r="CQ21" s="23">
        <v>45565</v>
      </c>
      <c r="CR21" s="46">
        <v>0.73896990740740742</v>
      </c>
      <c r="CS21" s="20">
        <f>CS20</f>
        <v>148.208</v>
      </c>
      <c r="CT21" t="e">
        <f t="shared" si="16"/>
        <v>#REF!</v>
      </c>
    </row>
    <row r="22" spans="1:98">
      <c r="A22" t="s">
        <v>103</v>
      </c>
      <c r="B22">
        <v>3</v>
      </c>
      <c r="C22" t="s">
        <v>7</v>
      </c>
      <c r="D22">
        <v>52000</v>
      </c>
      <c r="E22">
        <v>32</v>
      </c>
      <c r="F22">
        <v>2</v>
      </c>
      <c r="G22">
        <v>8</v>
      </c>
      <c r="H22">
        <v>1951.65</v>
      </c>
      <c r="I22" s="54">
        <v>48.031999999999996</v>
      </c>
      <c r="J22" s="23">
        <v>45549</v>
      </c>
      <c r="K22" s="46">
        <v>0.62274305555555554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s="20">
        <f t="shared" si="19"/>
        <v>48.067800000000005</v>
      </c>
      <c r="Z22" t="s">
        <v>154</v>
      </c>
      <c r="AA22">
        <v>3</v>
      </c>
      <c r="AB22" t="s">
        <v>7</v>
      </c>
      <c r="AC22">
        <v>52000</v>
      </c>
      <c r="AD22">
        <v>32</v>
      </c>
      <c r="AE22">
        <v>2</v>
      </c>
      <c r="AF22">
        <v>8</v>
      </c>
      <c r="AG22">
        <v>1961.63</v>
      </c>
      <c r="AH22" s="20">
        <v>47.787999999999997</v>
      </c>
      <c r="AI22" s="23">
        <v>45556</v>
      </c>
      <c r="AJ22" s="46">
        <v>0.28796296296296298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 s="20">
        <f t="shared" si="20"/>
        <v>47.740399999999994</v>
      </c>
      <c r="AY22">
        <v>3</v>
      </c>
      <c r="AZ22" t="s">
        <v>7</v>
      </c>
      <c r="BA22">
        <v>58464</v>
      </c>
      <c r="BB22">
        <v>224</v>
      </c>
      <c r="BC22">
        <v>2</v>
      </c>
      <c r="BD22">
        <v>8</v>
      </c>
      <c r="BE22">
        <v>908.08</v>
      </c>
      <c r="BF22" s="1">
        <v>146.71</v>
      </c>
      <c r="BG22" s="23">
        <v>45562</v>
      </c>
      <c r="BH22" s="46">
        <v>0.71190972222222226</v>
      </c>
      <c r="BI22" s="20">
        <f>BI21</f>
        <v>146.39800000000002</v>
      </c>
      <c r="BJ22" t="e">
        <f t="shared" si="13"/>
        <v>#REF!</v>
      </c>
      <c r="BK22">
        <v>3</v>
      </c>
      <c r="BL22" t="s">
        <v>7</v>
      </c>
      <c r="BM22">
        <v>58368</v>
      </c>
      <c r="BN22">
        <v>256</v>
      </c>
      <c r="BO22">
        <v>2</v>
      </c>
      <c r="BP22">
        <v>8</v>
      </c>
      <c r="BQ22">
        <v>896.3</v>
      </c>
      <c r="BR22" s="49">
        <v>147.91</v>
      </c>
      <c r="BS22" s="23">
        <v>45563</v>
      </c>
      <c r="BT22" s="46">
        <v>0.2396412037037037</v>
      </c>
      <c r="BU22" s="20">
        <f>BU21</f>
        <v>148.35400000000001</v>
      </c>
      <c r="BV22" t="e">
        <f t="shared" si="14"/>
        <v>#REF!</v>
      </c>
      <c r="BW22">
        <v>3</v>
      </c>
      <c r="BX22" t="s">
        <v>7</v>
      </c>
      <c r="BY22">
        <v>55104</v>
      </c>
      <c r="BZ22">
        <v>224</v>
      </c>
      <c r="CA22">
        <v>2</v>
      </c>
      <c r="CB22">
        <v>8</v>
      </c>
      <c r="CC22">
        <v>759.14</v>
      </c>
      <c r="CD22" s="60">
        <v>146.94999999999999</v>
      </c>
      <c r="CE22" s="23">
        <v>45565</v>
      </c>
      <c r="CF22" s="46">
        <v>0.20762731481481481</v>
      </c>
      <c r="CG22" s="20">
        <f>CG21</f>
        <v>147.45999999999998</v>
      </c>
      <c r="CH22" t="e">
        <f t="shared" si="15"/>
        <v>#REF!</v>
      </c>
      <c r="CI22">
        <v>3</v>
      </c>
      <c r="CJ22" t="s">
        <v>7</v>
      </c>
      <c r="CK22">
        <v>55296</v>
      </c>
      <c r="CL22">
        <v>256</v>
      </c>
      <c r="CM22">
        <v>2</v>
      </c>
      <c r="CN22">
        <v>8</v>
      </c>
      <c r="CO22">
        <v>761.27</v>
      </c>
      <c r="CP22" s="1">
        <v>148.07</v>
      </c>
      <c r="CQ22" s="23">
        <v>45565</v>
      </c>
      <c r="CR22" s="46">
        <v>0.82144675925925925</v>
      </c>
      <c r="CS22" s="20">
        <f>CS21</f>
        <v>148.208</v>
      </c>
      <c r="CT22" t="e">
        <f t="shared" si="16"/>
        <v>#REF!</v>
      </c>
    </row>
    <row r="23" spans="1:98">
      <c r="A23" t="s">
        <v>103</v>
      </c>
      <c r="B23">
        <v>4</v>
      </c>
      <c r="C23" t="s">
        <v>7</v>
      </c>
      <c r="D23">
        <v>52000</v>
      </c>
      <c r="E23">
        <v>32</v>
      </c>
      <c r="F23">
        <v>2</v>
      </c>
      <c r="G23">
        <v>8</v>
      </c>
      <c r="H23">
        <v>1950.77</v>
      </c>
      <c r="I23" s="54">
        <v>48.054000000000002</v>
      </c>
      <c r="J23" s="23">
        <v>45550</v>
      </c>
      <c r="K23" s="46">
        <v>0.71201388888888884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s="20">
        <f t="shared" si="19"/>
        <v>48.067800000000005</v>
      </c>
      <c r="Z23" t="s">
        <v>154</v>
      </c>
      <c r="AA23">
        <v>4</v>
      </c>
      <c r="AB23" t="s">
        <v>7</v>
      </c>
      <c r="AC23">
        <v>52000</v>
      </c>
      <c r="AD23">
        <v>32</v>
      </c>
      <c r="AE23">
        <v>2</v>
      </c>
      <c r="AF23">
        <v>8</v>
      </c>
      <c r="AG23">
        <v>1962.07</v>
      </c>
      <c r="AH23" s="20">
        <v>47.777999999999999</v>
      </c>
      <c r="AI23" s="23">
        <v>45557</v>
      </c>
      <c r="AJ23" s="46">
        <v>0.24114583333333334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 s="20">
        <f t="shared" si="20"/>
        <v>47.740399999999994</v>
      </c>
      <c r="AY23">
        <v>4</v>
      </c>
      <c r="AZ23" t="s">
        <v>7</v>
      </c>
      <c r="BA23">
        <v>58464</v>
      </c>
      <c r="BB23">
        <v>224</v>
      </c>
      <c r="BC23">
        <v>2</v>
      </c>
      <c r="BD23">
        <v>8</v>
      </c>
      <c r="BE23">
        <v>908.09</v>
      </c>
      <c r="BF23" s="1">
        <v>146.71</v>
      </c>
      <c r="BG23" s="23">
        <v>45562</v>
      </c>
      <c r="BH23" s="46">
        <v>0.79925925925925922</v>
      </c>
      <c r="BI23" s="20">
        <f>BI22</f>
        <v>146.39800000000002</v>
      </c>
      <c r="BJ23" t="e">
        <f t="shared" si="13"/>
        <v>#REF!</v>
      </c>
      <c r="BK23">
        <v>4</v>
      </c>
      <c r="BL23" t="s">
        <v>7</v>
      </c>
      <c r="BM23">
        <v>58368</v>
      </c>
      <c r="BN23">
        <v>256</v>
      </c>
      <c r="BO23">
        <v>2</v>
      </c>
      <c r="BP23">
        <v>8</v>
      </c>
      <c r="BQ23">
        <v>896.01</v>
      </c>
      <c r="BR23" s="49">
        <v>147.96</v>
      </c>
      <c r="BS23" s="23">
        <v>45563</v>
      </c>
      <c r="BT23" s="46">
        <v>0.32144675925925925</v>
      </c>
      <c r="BU23" s="20">
        <f>BU22</f>
        <v>148.35400000000001</v>
      </c>
      <c r="BV23" t="e">
        <f t="shared" si="14"/>
        <v>#REF!</v>
      </c>
      <c r="BW23">
        <v>4</v>
      </c>
      <c r="BX23" t="s">
        <v>7</v>
      </c>
      <c r="BY23">
        <v>55104</v>
      </c>
      <c r="BZ23">
        <v>224</v>
      </c>
      <c r="CA23">
        <v>2</v>
      </c>
      <c r="CB23">
        <v>8</v>
      </c>
      <c r="CC23">
        <v>750.31</v>
      </c>
      <c r="CD23" s="60">
        <v>148.66999999999999</v>
      </c>
      <c r="CE23" s="23">
        <v>45565</v>
      </c>
      <c r="CF23" s="46">
        <v>0.29451388888888891</v>
      </c>
      <c r="CG23" s="20">
        <f>CG22</f>
        <v>147.45999999999998</v>
      </c>
      <c r="CH23" t="e">
        <f t="shared" si="15"/>
        <v>#REF!</v>
      </c>
      <c r="CI23">
        <v>4</v>
      </c>
      <c r="CJ23" t="s">
        <v>7</v>
      </c>
      <c r="CK23">
        <v>55296</v>
      </c>
      <c r="CL23">
        <v>256</v>
      </c>
      <c r="CM23">
        <v>2</v>
      </c>
      <c r="CN23">
        <v>8</v>
      </c>
      <c r="CO23">
        <v>757.43</v>
      </c>
      <c r="CP23" s="1">
        <v>148.82</v>
      </c>
      <c r="CQ23" s="23">
        <v>45565</v>
      </c>
      <c r="CR23" s="46">
        <v>0.90340277777777778</v>
      </c>
      <c r="CS23" s="20">
        <f>CS22</f>
        <v>148.208</v>
      </c>
      <c r="CT23" t="e">
        <f t="shared" si="16"/>
        <v>#REF!</v>
      </c>
    </row>
    <row r="24" spans="1:98">
      <c r="A24" t="s">
        <v>103</v>
      </c>
      <c r="B24">
        <v>0</v>
      </c>
      <c r="C24" t="s">
        <v>7</v>
      </c>
      <c r="D24">
        <v>55200</v>
      </c>
      <c r="E24">
        <v>32</v>
      </c>
      <c r="F24">
        <v>2</v>
      </c>
      <c r="G24">
        <v>8</v>
      </c>
      <c r="H24" s="1">
        <v>2387.38</v>
      </c>
      <c r="I24" s="54">
        <v>46.97</v>
      </c>
      <c r="J24" s="23">
        <v>45546</v>
      </c>
      <c r="K24" s="46">
        <v>0.65774305555555557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s="51">
        <f t="shared" ref="X24" si="25">AVERAGE(I24:I28)</f>
        <v>47.016200000000005</v>
      </c>
      <c r="Z24" t="s">
        <v>154</v>
      </c>
      <c r="AA24">
        <v>0</v>
      </c>
      <c r="AB24" t="s">
        <v>7</v>
      </c>
      <c r="AC24">
        <v>55200</v>
      </c>
      <c r="AD24">
        <v>32</v>
      </c>
      <c r="AE24">
        <v>2</v>
      </c>
      <c r="AF24">
        <v>8</v>
      </c>
      <c r="AG24">
        <v>2364.08</v>
      </c>
      <c r="AH24" s="20">
        <v>47.433</v>
      </c>
      <c r="AI24" s="23">
        <v>45553</v>
      </c>
      <c r="AJ24" s="46">
        <v>0.70408564814814811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 s="51">
        <f t="shared" ref="AW24" si="26">AVERAGE(AH24:AH28)</f>
        <v>47.497599999999998</v>
      </c>
      <c r="AY24">
        <v>0</v>
      </c>
      <c r="AZ24" t="s">
        <v>7</v>
      </c>
      <c r="BA24">
        <v>55296</v>
      </c>
      <c r="BB24">
        <v>256</v>
      </c>
      <c r="BC24">
        <v>2</v>
      </c>
      <c r="BD24">
        <v>8</v>
      </c>
      <c r="BE24">
        <v>768</v>
      </c>
      <c r="BF24" s="1">
        <v>146.77000000000001</v>
      </c>
      <c r="BG24" s="23">
        <v>45562</v>
      </c>
      <c r="BH24" s="46">
        <v>0.42672453703703705</v>
      </c>
      <c r="BI24" s="51">
        <f>AVERAGE(BF24:BF28)</f>
        <v>146.024</v>
      </c>
      <c r="BJ24" t="e">
        <f>100-(BI24/#REF!*100)</f>
        <v>#REF!</v>
      </c>
      <c r="BK24">
        <v>0</v>
      </c>
      <c r="BL24" t="s">
        <v>7</v>
      </c>
      <c r="BM24">
        <v>55104</v>
      </c>
      <c r="BN24">
        <v>224</v>
      </c>
      <c r="BO24">
        <v>2</v>
      </c>
      <c r="BP24">
        <v>8</v>
      </c>
      <c r="BQ24">
        <v>757.32</v>
      </c>
      <c r="BR24" s="49">
        <v>147.30000000000001</v>
      </c>
      <c r="BS24" s="23">
        <v>45562</v>
      </c>
      <c r="BT24" s="46">
        <v>0.95307870370370373</v>
      </c>
      <c r="BU24" s="51">
        <f>AVERAGE(BR24:BR28)</f>
        <v>148</v>
      </c>
      <c r="BV24" t="e">
        <f>100-(BU24/#REF!*100)</f>
        <v>#REF!</v>
      </c>
      <c r="BW24">
        <v>0</v>
      </c>
      <c r="BX24" t="s">
        <v>7</v>
      </c>
      <c r="BY24">
        <v>58368</v>
      </c>
      <c r="BZ24">
        <v>256</v>
      </c>
      <c r="CA24">
        <v>2</v>
      </c>
      <c r="CB24">
        <v>8</v>
      </c>
      <c r="CC24">
        <v>899.81</v>
      </c>
      <c r="CD24" s="60">
        <v>147.33000000000001</v>
      </c>
      <c r="CE24" s="23">
        <v>45564</v>
      </c>
      <c r="CF24" s="46">
        <v>0.9902199074074074</v>
      </c>
      <c r="CG24" s="51">
        <f>AVERAGE(CD24:CD28)</f>
        <v>147.37799999999999</v>
      </c>
      <c r="CH24" t="e">
        <f>100-(CG24/#REF!*100)</f>
        <v>#REF!</v>
      </c>
      <c r="CI24">
        <v>0</v>
      </c>
      <c r="CJ24" t="s">
        <v>7</v>
      </c>
      <c r="CK24">
        <v>58464</v>
      </c>
      <c r="CL24">
        <v>224</v>
      </c>
      <c r="CM24">
        <v>2</v>
      </c>
      <c r="CN24">
        <v>8</v>
      </c>
      <c r="CO24">
        <v>899.05</v>
      </c>
      <c r="CP24" s="1">
        <v>148.19</v>
      </c>
      <c r="CQ24" s="23">
        <v>45565</v>
      </c>
      <c r="CR24" s="46">
        <v>0.59629629629629632</v>
      </c>
      <c r="CS24" s="51">
        <f>AVERAGE(CP24:CP28)</f>
        <v>147.92400000000001</v>
      </c>
      <c r="CT24" t="e">
        <f>100-(CS24/#REF!*100)</f>
        <v>#REF!</v>
      </c>
    </row>
    <row r="25" spans="1:98">
      <c r="A25" t="s">
        <v>103</v>
      </c>
      <c r="B25">
        <v>1</v>
      </c>
      <c r="C25" t="s">
        <v>7</v>
      </c>
      <c r="D25">
        <v>55200</v>
      </c>
      <c r="E25">
        <v>32</v>
      </c>
      <c r="F25">
        <v>2</v>
      </c>
      <c r="G25">
        <v>8</v>
      </c>
      <c r="H25">
        <v>2377.5500000000002</v>
      </c>
      <c r="I25" s="54">
        <v>47.164000000000001</v>
      </c>
      <c r="J25" s="23">
        <v>45547</v>
      </c>
      <c r="K25" s="46">
        <v>0.74991898148148151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s="20">
        <f t="shared" ref="X25:X28" si="27">X24</f>
        <v>47.016200000000005</v>
      </c>
      <c r="Z25" t="s">
        <v>154</v>
      </c>
      <c r="AA25">
        <v>1</v>
      </c>
      <c r="AB25" t="s">
        <v>7</v>
      </c>
      <c r="AC25">
        <v>55200</v>
      </c>
      <c r="AD25">
        <v>32</v>
      </c>
      <c r="AE25">
        <v>2</v>
      </c>
      <c r="AF25">
        <v>8</v>
      </c>
      <c r="AG25">
        <v>2358.62</v>
      </c>
      <c r="AH25" s="20">
        <v>47.542999999999999</v>
      </c>
      <c r="AI25" s="23">
        <v>45554</v>
      </c>
      <c r="AJ25" s="46">
        <v>0.65581018518518519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 s="20">
        <f t="shared" ref="AW25:AW28" si="28">AW24</f>
        <v>47.497599999999998</v>
      </c>
      <c r="AY25">
        <v>1</v>
      </c>
      <c r="AZ25" t="s">
        <v>7</v>
      </c>
      <c r="BA25">
        <v>55296</v>
      </c>
      <c r="BB25">
        <v>256</v>
      </c>
      <c r="BC25">
        <v>2</v>
      </c>
      <c r="BD25">
        <v>8</v>
      </c>
      <c r="BE25">
        <v>781.8</v>
      </c>
      <c r="BF25" s="1">
        <v>144.18</v>
      </c>
      <c r="BG25" s="23">
        <v>45562</v>
      </c>
      <c r="BH25" s="46">
        <v>0.5142592592592593</v>
      </c>
      <c r="BI25" s="20">
        <f>BI24</f>
        <v>146.024</v>
      </c>
      <c r="BJ25" t="e">
        <f t="shared" ref="BJ25" si="29">BJ24</f>
        <v>#REF!</v>
      </c>
      <c r="BK25">
        <v>1</v>
      </c>
      <c r="BL25" t="s">
        <v>7</v>
      </c>
      <c r="BM25">
        <v>55104</v>
      </c>
      <c r="BN25">
        <v>224</v>
      </c>
      <c r="BO25">
        <v>2</v>
      </c>
      <c r="BP25">
        <v>8</v>
      </c>
      <c r="BQ25">
        <v>751.69</v>
      </c>
      <c r="BR25" s="49">
        <v>148.4</v>
      </c>
      <c r="BS25" s="23">
        <v>45563</v>
      </c>
      <c r="BT25" s="46">
        <v>3.5046296296296298E-2</v>
      </c>
      <c r="BU25" s="20">
        <f>BU24</f>
        <v>148</v>
      </c>
      <c r="BV25" t="e">
        <f t="shared" ref="BV25" si="30">BV24</f>
        <v>#REF!</v>
      </c>
      <c r="BW25">
        <v>1</v>
      </c>
      <c r="BX25" t="s">
        <v>7</v>
      </c>
      <c r="BY25">
        <v>58368</v>
      </c>
      <c r="BZ25">
        <v>256</v>
      </c>
      <c r="CA25">
        <v>2</v>
      </c>
      <c r="CB25">
        <v>8</v>
      </c>
      <c r="CC25">
        <v>911.1</v>
      </c>
      <c r="CD25" s="60">
        <v>145.51</v>
      </c>
      <c r="CE25" s="23">
        <v>45565</v>
      </c>
      <c r="CF25" s="46">
        <v>7.7372685185185183E-2</v>
      </c>
      <c r="CG25" s="20">
        <f>CG24</f>
        <v>147.37799999999999</v>
      </c>
      <c r="CH25" t="e">
        <f t="shared" ref="CH25" si="31">CH24</f>
        <v>#REF!</v>
      </c>
      <c r="CI25">
        <v>1</v>
      </c>
      <c r="CJ25" t="s">
        <v>7</v>
      </c>
      <c r="CK25">
        <v>58464</v>
      </c>
      <c r="CL25">
        <v>224</v>
      </c>
      <c r="CM25">
        <v>2</v>
      </c>
      <c r="CN25">
        <v>8</v>
      </c>
      <c r="CO25">
        <v>902.57</v>
      </c>
      <c r="CP25" s="1">
        <v>147.61000000000001</v>
      </c>
      <c r="CQ25" s="23">
        <v>45565</v>
      </c>
      <c r="CR25" s="46">
        <v>0.67829861111111112</v>
      </c>
      <c r="CS25" s="20">
        <f>CS24</f>
        <v>147.92400000000001</v>
      </c>
      <c r="CT25" t="e">
        <f t="shared" ref="CT25" si="32">CT24</f>
        <v>#REF!</v>
      </c>
    </row>
    <row r="26" spans="1:98">
      <c r="A26" t="s">
        <v>103</v>
      </c>
      <c r="B26">
        <v>2</v>
      </c>
      <c r="C26" t="s">
        <v>7</v>
      </c>
      <c r="D26">
        <v>55200</v>
      </c>
      <c r="E26">
        <v>32</v>
      </c>
      <c r="F26">
        <v>2</v>
      </c>
      <c r="G26">
        <v>8</v>
      </c>
      <c r="H26">
        <v>2386.94</v>
      </c>
      <c r="I26" s="54">
        <v>46.978999999999999</v>
      </c>
      <c r="J26" s="23">
        <v>45548</v>
      </c>
      <c r="K26" s="46">
        <v>0.84105324074074073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s="20">
        <f t="shared" si="27"/>
        <v>47.016200000000005</v>
      </c>
      <c r="Z26" t="s">
        <v>154</v>
      </c>
      <c r="AA26">
        <v>2</v>
      </c>
      <c r="AB26" t="s">
        <v>7</v>
      </c>
      <c r="AC26">
        <v>55200</v>
      </c>
      <c r="AD26">
        <v>32</v>
      </c>
      <c r="AE26">
        <v>2</v>
      </c>
      <c r="AF26">
        <v>8</v>
      </c>
      <c r="AG26">
        <v>2361.87</v>
      </c>
      <c r="AH26" s="20">
        <v>47.476999999999997</v>
      </c>
      <c r="AI26" s="23">
        <v>45555</v>
      </c>
      <c r="AJ26" s="46">
        <v>0.60805555555555557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 s="20">
        <f t="shared" si="28"/>
        <v>47.497599999999998</v>
      </c>
      <c r="AY26">
        <v>2</v>
      </c>
      <c r="AZ26" t="s">
        <v>7</v>
      </c>
      <c r="BA26">
        <v>55296</v>
      </c>
      <c r="BB26">
        <v>256</v>
      </c>
      <c r="BC26">
        <v>2</v>
      </c>
      <c r="BD26">
        <v>8</v>
      </c>
      <c r="BE26">
        <v>765.05</v>
      </c>
      <c r="BF26" s="1">
        <v>147.34</v>
      </c>
      <c r="BG26" s="23">
        <v>45562</v>
      </c>
      <c r="BH26" s="46">
        <v>0.60163194444444446</v>
      </c>
      <c r="BI26" s="20">
        <f>BI25</f>
        <v>146.024</v>
      </c>
      <c r="BJ26" t="e">
        <f t="shared" si="13"/>
        <v>#REF!</v>
      </c>
      <c r="BK26">
        <v>2</v>
      </c>
      <c r="BL26" t="s">
        <v>7</v>
      </c>
      <c r="BM26">
        <v>55104</v>
      </c>
      <c r="BN26">
        <v>224</v>
      </c>
      <c r="BO26">
        <v>2</v>
      </c>
      <c r="BP26">
        <v>8</v>
      </c>
      <c r="BQ26">
        <v>754.17</v>
      </c>
      <c r="BR26" s="49">
        <v>147.91</v>
      </c>
      <c r="BS26" s="23">
        <v>45563</v>
      </c>
      <c r="BT26" s="46">
        <v>0.11684027777777778</v>
      </c>
      <c r="BU26" s="20">
        <f>BU25</f>
        <v>148</v>
      </c>
      <c r="BV26" t="e">
        <f t="shared" si="14"/>
        <v>#REF!</v>
      </c>
      <c r="BW26">
        <v>2</v>
      </c>
      <c r="BX26" t="s">
        <v>7</v>
      </c>
      <c r="BY26">
        <v>58368</v>
      </c>
      <c r="BZ26">
        <v>256</v>
      </c>
      <c r="CA26">
        <v>2</v>
      </c>
      <c r="CB26">
        <v>8</v>
      </c>
      <c r="CC26">
        <v>895.62</v>
      </c>
      <c r="CD26" s="60">
        <v>148.02000000000001</v>
      </c>
      <c r="CE26" s="23">
        <v>45565</v>
      </c>
      <c r="CF26" s="46">
        <v>0.16420138888888888</v>
      </c>
      <c r="CG26" s="20">
        <f>CG25</f>
        <v>147.37799999999999</v>
      </c>
      <c r="CH26" t="e">
        <f t="shared" si="15"/>
        <v>#REF!</v>
      </c>
      <c r="CI26">
        <v>2</v>
      </c>
      <c r="CJ26" t="s">
        <v>7</v>
      </c>
      <c r="CK26">
        <v>58464</v>
      </c>
      <c r="CL26">
        <v>224</v>
      </c>
      <c r="CM26">
        <v>2</v>
      </c>
      <c r="CN26">
        <v>8</v>
      </c>
      <c r="CO26">
        <v>896.77</v>
      </c>
      <c r="CP26" s="1">
        <v>148.56</v>
      </c>
      <c r="CQ26" s="23">
        <v>45565</v>
      </c>
      <c r="CR26" s="46">
        <v>0.76027777777777783</v>
      </c>
      <c r="CS26" s="20">
        <f>CS25</f>
        <v>147.92400000000001</v>
      </c>
      <c r="CT26" t="e">
        <f t="shared" si="16"/>
        <v>#REF!</v>
      </c>
    </row>
    <row r="27" spans="1:98">
      <c r="A27" t="s">
        <v>103</v>
      </c>
      <c r="B27">
        <v>3</v>
      </c>
      <c r="C27" t="s">
        <v>7</v>
      </c>
      <c r="D27">
        <v>55200</v>
      </c>
      <c r="E27">
        <v>32</v>
      </c>
      <c r="F27">
        <v>2</v>
      </c>
      <c r="G27">
        <v>8</v>
      </c>
      <c r="H27">
        <v>2384.84</v>
      </c>
      <c r="I27" s="54">
        <v>47.02</v>
      </c>
      <c r="J27" s="23">
        <v>45549</v>
      </c>
      <c r="K27" s="46">
        <v>0.93013888888888885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s="20">
        <f t="shared" si="27"/>
        <v>47.016200000000005</v>
      </c>
      <c r="Z27" t="s">
        <v>154</v>
      </c>
      <c r="AA27">
        <v>3</v>
      </c>
      <c r="AB27" t="s">
        <v>7</v>
      </c>
      <c r="AC27">
        <v>55200</v>
      </c>
      <c r="AD27">
        <v>32</v>
      </c>
      <c r="AE27">
        <v>2</v>
      </c>
      <c r="AF27">
        <v>8</v>
      </c>
      <c r="AG27">
        <v>2359.81</v>
      </c>
      <c r="AH27" s="20">
        <v>47.518999999999998</v>
      </c>
      <c r="AI27" s="23">
        <v>45556</v>
      </c>
      <c r="AJ27" s="46">
        <v>0.56106481481481485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 s="20">
        <f t="shared" si="28"/>
        <v>47.497599999999998</v>
      </c>
      <c r="AY27">
        <v>3</v>
      </c>
      <c r="AZ27" t="s">
        <v>7</v>
      </c>
      <c r="BA27">
        <v>55296</v>
      </c>
      <c r="BB27">
        <v>256</v>
      </c>
      <c r="BC27">
        <v>2</v>
      </c>
      <c r="BD27">
        <v>8</v>
      </c>
      <c r="BE27">
        <v>769.7</v>
      </c>
      <c r="BF27" s="1">
        <v>146.44999999999999</v>
      </c>
      <c r="BG27" s="23">
        <v>45562</v>
      </c>
      <c r="BH27" s="46">
        <v>0.68929398148148147</v>
      </c>
      <c r="BI27" s="20">
        <f>BI26</f>
        <v>146.024</v>
      </c>
      <c r="BJ27" t="e">
        <f t="shared" si="13"/>
        <v>#REF!</v>
      </c>
      <c r="BK27">
        <v>3</v>
      </c>
      <c r="BL27" t="s">
        <v>7</v>
      </c>
      <c r="BM27">
        <v>55104</v>
      </c>
      <c r="BN27">
        <v>224</v>
      </c>
      <c r="BO27">
        <v>2</v>
      </c>
      <c r="BP27">
        <v>8</v>
      </c>
      <c r="BQ27">
        <v>754.86</v>
      </c>
      <c r="BR27" s="49">
        <v>147.78</v>
      </c>
      <c r="BS27" s="23">
        <v>45563</v>
      </c>
      <c r="BT27" s="46">
        <v>0.19859953703703703</v>
      </c>
      <c r="BU27" s="20">
        <f>BU26</f>
        <v>148</v>
      </c>
      <c r="BV27" t="e">
        <f t="shared" si="14"/>
        <v>#REF!</v>
      </c>
      <c r="BW27">
        <v>3</v>
      </c>
      <c r="BX27" t="s">
        <v>7</v>
      </c>
      <c r="BY27">
        <v>58368</v>
      </c>
      <c r="BZ27">
        <v>256</v>
      </c>
      <c r="CA27">
        <v>2</v>
      </c>
      <c r="CB27">
        <v>8</v>
      </c>
      <c r="CC27">
        <v>893.21</v>
      </c>
      <c r="CD27" s="60">
        <v>148.41999999999999</v>
      </c>
      <c r="CE27" s="23">
        <v>45565</v>
      </c>
      <c r="CF27" s="46">
        <v>0.25115740740740738</v>
      </c>
      <c r="CG27" s="20">
        <f>CG26</f>
        <v>147.37799999999999</v>
      </c>
      <c r="CH27" t="e">
        <f t="shared" si="15"/>
        <v>#REF!</v>
      </c>
      <c r="CI27">
        <v>3</v>
      </c>
      <c r="CJ27" t="s">
        <v>7</v>
      </c>
      <c r="CK27">
        <v>58464</v>
      </c>
      <c r="CL27">
        <v>224</v>
      </c>
      <c r="CM27">
        <v>2</v>
      </c>
      <c r="CN27">
        <v>8</v>
      </c>
      <c r="CO27">
        <v>901.49</v>
      </c>
      <c r="CP27" s="1">
        <v>147.79</v>
      </c>
      <c r="CQ27" s="23">
        <v>45565</v>
      </c>
      <c r="CR27" s="46">
        <v>0.84277777777777774</v>
      </c>
      <c r="CS27" s="20">
        <f>CS26</f>
        <v>147.92400000000001</v>
      </c>
      <c r="CT27" t="e">
        <f t="shared" si="16"/>
        <v>#REF!</v>
      </c>
    </row>
    <row r="28" spans="1:98">
      <c r="A28" t="s">
        <v>103</v>
      </c>
      <c r="B28">
        <v>4</v>
      </c>
      <c r="C28" t="s">
        <v>7</v>
      </c>
      <c r="D28">
        <v>55200</v>
      </c>
      <c r="E28">
        <v>32</v>
      </c>
      <c r="F28">
        <v>2</v>
      </c>
      <c r="G28">
        <v>8</v>
      </c>
      <c r="H28">
        <v>2388.52</v>
      </c>
      <c r="I28" s="54">
        <v>46.948</v>
      </c>
      <c r="J28" s="23">
        <v>45551</v>
      </c>
      <c r="K28" s="46">
        <v>1.9432870370370371E-2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s="20">
        <f t="shared" si="27"/>
        <v>47.016200000000005</v>
      </c>
      <c r="Z28" t="s">
        <v>154</v>
      </c>
      <c r="AA28">
        <v>4</v>
      </c>
      <c r="AB28" t="s">
        <v>7</v>
      </c>
      <c r="AC28">
        <v>55200</v>
      </c>
      <c r="AD28">
        <v>32</v>
      </c>
      <c r="AE28">
        <v>2</v>
      </c>
      <c r="AF28">
        <v>8</v>
      </c>
      <c r="AG28">
        <v>2359.94</v>
      </c>
      <c r="AH28" s="20">
        <v>47.515999999999998</v>
      </c>
      <c r="AI28" s="23">
        <v>45557</v>
      </c>
      <c r="AJ28" s="46">
        <v>0.51380787037037035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 s="20">
        <f t="shared" si="28"/>
        <v>47.497599999999998</v>
      </c>
      <c r="AY28">
        <v>4</v>
      </c>
      <c r="AZ28" t="s">
        <v>7</v>
      </c>
      <c r="BA28">
        <v>55296</v>
      </c>
      <c r="BB28">
        <v>256</v>
      </c>
      <c r="BC28">
        <v>2</v>
      </c>
      <c r="BD28">
        <v>8</v>
      </c>
      <c r="BE28">
        <v>775.37</v>
      </c>
      <c r="BF28" s="1">
        <v>145.38</v>
      </c>
      <c r="BG28" s="23">
        <v>45562</v>
      </c>
      <c r="BH28" s="46">
        <v>0.77667824074074077</v>
      </c>
      <c r="BI28" s="20">
        <f>BI27</f>
        <v>146.024</v>
      </c>
      <c r="BJ28" t="e">
        <f t="shared" si="13"/>
        <v>#REF!</v>
      </c>
      <c r="BK28">
        <v>4</v>
      </c>
      <c r="BL28" t="s">
        <v>7</v>
      </c>
      <c r="BM28">
        <v>55104</v>
      </c>
      <c r="BN28">
        <v>224</v>
      </c>
      <c r="BO28">
        <v>2</v>
      </c>
      <c r="BP28">
        <v>8</v>
      </c>
      <c r="BQ28">
        <v>750.62</v>
      </c>
      <c r="BR28" s="49">
        <v>148.61000000000001</v>
      </c>
      <c r="BS28" s="23">
        <v>45563</v>
      </c>
      <c r="BT28" s="46">
        <v>0.2804976851851852</v>
      </c>
      <c r="BU28" s="20">
        <f>BU27</f>
        <v>148</v>
      </c>
      <c r="BV28" t="e">
        <f t="shared" si="14"/>
        <v>#REF!</v>
      </c>
      <c r="BW28">
        <v>4</v>
      </c>
      <c r="BX28" t="s">
        <v>7</v>
      </c>
      <c r="BY28">
        <v>58368</v>
      </c>
      <c r="BZ28">
        <v>256</v>
      </c>
      <c r="CA28">
        <v>2</v>
      </c>
      <c r="CB28">
        <v>8</v>
      </c>
      <c r="CC28">
        <v>898.12</v>
      </c>
      <c r="CD28" s="60">
        <v>147.61000000000001</v>
      </c>
      <c r="CE28" s="23">
        <v>45565</v>
      </c>
      <c r="CF28" s="46">
        <v>0.33793981481481483</v>
      </c>
      <c r="CG28" s="20">
        <f>CG27</f>
        <v>147.37799999999999</v>
      </c>
      <c r="CH28" t="e">
        <f t="shared" si="15"/>
        <v>#REF!</v>
      </c>
      <c r="CI28">
        <v>4</v>
      </c>
      <c r="CJ28" t="s">
        <v>7</v>
      </c>
      <c r="CK28">
        <v>58464</v>
      </c>
      <c r="CL28">
        <v>224</v>
      </c>
      <c r="CM28">
        <v>2</v>
      </c>
      <c r="CN28">
        <v>8</v>
      </c>
      <c r="CO28">
        <v>903.4</v>
      </c>
      <c r="CP28" s="1">
        <v>147.47</v>
      </c>
      <c r="CQ28" s="23">
        <v>45565</v>
      </c>
      <c r="CR28" s="46">
        <v>0.92480324074074072</v>
      </c>
      <c r="CS28" s="20">
        <f>CS27</f>
        <v>147.92400000000001</v>
      </c>
      <c r="CT28" t="e">
        <f t="shared" si="16"/>
        <v>#REF!</v>
      </c>
    </row>
    <row r="29" spans="1:98">
      <c r="A29" t="s">
        <v>103</v>
      </c>
      <c r="B29">
        <v>0</v>
      </c>
      <c r="C29" t="s">
        <v>7</v>
      </c>
      <c r="D29">
        <v>58400</v>
      </c>
      <c r="E29">
        <v>32</v>
      </c>
      <c r="F29">
        <v>2</v>
      </c>
      <c r="G29">
        <v>8</v>
      </c>
      <c r="H29">
        <v>2829.01</v>
      </c>
      <c r="I29" s="54">
        <v>46.939</v>
      </c>
      <c r="J29" s="23">
        <v>45547</v>
      </c>
      <c r="K29" s="46">
        <v>3.5995370370370372E-2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s="51">
        <f t="shared" ref="X29" si="33">AVERAGE(I29:I33)</f>
        <v>47.021799999999999</v>
      </c>
      <c r="Z29" t="s">
        <v>154</v>
      </c>
      <c r="AA29">
        <v>0</v>
      </c>
      <c r="AB29" t="s">
        <v>7</v>
      </c>
      <c r="AC29">
        <v>58400</v>
      </c>
      <c r="AD29">
        <v>32</v>
      </c>
      <c r="AE29">
        <v>2</v>
      </c>
      <c r="AF29">
        <v>8</v>
      </c>
      <c r="AG29">
        <v>2810.88</v>
      </c>
      <c r="AH29" s="20">
        <v>47.241</v>
      </c>
      <c r="AI29" s="23">
        <v>45554</v>
      </c>
      <c r="AJ29" s="46">
        <v>2.9687499999999999E-2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 s="51">
        <f t="shared" ref="AW29" si="34">AVERAGE(AH29:AH33)</f>
        <v>47.271999999999998</v>
      </c>
      <c r="AY29">
        <v>0</v>
      </c>
      <c r="AZ29" t="s">
        <v>7</v>
      </c>
      <c r="BA29">
        <v>52032</v>
      </c>
      <c r="BB29">
        <v>192</v>
      </c>
      <c r="BC29">
        <v>2</v>
      </c>
      <c r="BD29">
        <v>8</v>
      </c>
      <c r="BE29">
        <v>641.41</v>
      </c>
      <c r="BF29" s="1">
        <v>146.41999999999999</v>
      </c>
      <c r="BG29" s="23">
        <v>45562</v>
      </c>
      <c r="BH29" s="46">
        <v>0.3815972222222222</v>
      </c>
      <c r="BI29" s="51">
        <f>AVERAGE(BF29:BF33)</f>
        <v>145.80199999999999</v>
      </c>
      <c r="BJ29" t="e">
        <f>100-(BI29/#REF!*100)</f>
        <v>#REF!</v>
      </c>
      <c r="BK29">
        <v>0</v>
      </c>
      <c r="BL29" t="s">
        <v>7</v>
      </c>
      <c r="BM29">
        <v>58464</v>
      </c>
      <c r="BN29">
        <v>224</v>
      </c>
      <c r="BO29">
        <v>2</v>
      </c>
      <c r="BP29">
        <v>8</v>
      </c>
      <c r="BQ29">
        <v>899.54</v>
      </c>
      <c r="BR29" s="49">
        <v>148.11000000000001</v>
      </c>
      <c r="BS29" s="23">
        <v>45562</v>
      </c>
      <c r="BT29" s="46">
        <v>0.98349537037037038</v>
      </c>
      <c r="BU29" s="51">
        <f>AVERAGE(BR29:BR33)</f>
        <v>147.84800000000001</v>
      </c>
      <c r="BV29" t="e">
        <f>100-(BU29/#REF!*100)</f>
        <v>#REF!</v>
      </c>
      <c r="BW29">
        <v>0</v>
      </c>
      <c r="BX29" t="s">
        <v>7</v>
      </c>
      <c r="BY29">
        <v>52032</v>
      </c>
      <c r="BZ29">
        <v>192</v>
      </c>
      <c r="CA29">
        <v>2</v>
      </c>
      <c r="CB29">
        <v>8</v>
      </c>
      <c r="CC29">
        <v>640.20000000000005</v>
      </c>
      <c r="CD29" s="60">
        <v>146.69999999999999</v>
      </c>
      <c r="CE29" s="23">
        <v>45564</v>
      </c>
      <c r="CF29" s="46">
        <v>0.91145833333333337</v>
      </c>
      <c r="CG29" s="51">
        <f>AVERAGE(CD29:CD33)</f>
        <v>146.80199999999999</v>
      </c>
      <c r="CH29" t="e">
        <f>100-(CG29/#REF!*100)</f>
        <v>#REF!</v>
      </c>
      <c r="CI29">
        <v>0</v>
      </c>
      <c r="CJ29" t="s">
        <v>7</v>
      </c>
      <c r="CK29">
        <v>58368</v>
      </c>
      <c r="CL29">
        <v>256</v>
      </c>
      <c r="CM29">
        <v>2</v>
      </c>
      <c r="CN29">
        <v>8</v>
      </c>
      <c r="CO29">
        <v>893.6</v>
      </c>
      <c r="CP29" s="1">
        <v>148.36000000000001</v>
      </c>
      <c r="CQ29" s="23">
        <v>45565</v>
      </c>
      <c r="CR29" s="46">
        <v>0.6069444444444444</v>
      </c>
      <c r="CS29" s="51">
        <f>AVERAGE(CP29:CP33)</f>
        <v>147.60000000000002</v>
      </c>
      <c r="CT29" t="e">
        <f>100-(CS29/#REF!*100)</f>
        <v>#REF!</v>
      </c>
    </row>
    <row r="30" spans="1:98">
      <c r="A30" t="s">
        <v>103</v>
      </c>
      <c r="B30">
        <v>1</v>
      </c>
      <c r="C30" t="s">
        <v>7</v>
      </c>
      <c r="D30">
        <v>58400</v>
      </c>
      <c r="E30">
        <v>32</v>
      </c>
      <c r="F30">
        <v>2</v>
      </c>
      <c r="G30">
        <v>8</v>
      </c>
      <c r="H30">
        <v>2817.99</v>
      </c>
      <c r="I30" s="54">
        <v>47.122</v>
      </c>
      <c r="J30" s="23">
        <v>45548</v>
      </c>
      <c r="K30" s="46">
        <v>0.12849537037037037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s="20">
        <f t="shared" ref="X30:X33" si="35">X29</f>
        <v>47.021799999999999</v>
      </c>
      <c r="Z30" t="s">
        <v>154</v>
      </c>
      <c r="AA30">
        <v>1</v>
      </c>
      <c r="AB30" t="s">
        <v>7</v>
      </c>
      <c r="AC30">
        <v>58400</v>
      </c>
      <c r="AD30">
        <v>32</v>
      </c>
      <c r="AE30">
        <v>2</v>
      </c>
      <c r="AF30">
        <v>8</v>
      </c>
      <c r="AG30">
        <v>2804.34</v>
      </c>
      <c r="AH30" s="20">
        <v>47.350999999999999</v>
      </c>
      <c r="AI30" s="23">
        <v>45554</v>
      </c>
      <c r="AJ30" s="46">
        <v>0.98184027777777783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 s="20">
        <f t="shared" ref="AW30:AW33" si="36">AW29</f>
        <v>47.271999999999998</v>
      </c>
      <c r="AY30">
        <v>1</v>
      </c>
      <c r="AZ30" t="s">
        <v>7</v>
      </c>
      <c r="BA30">
        <v>52032</v>
      </c>
      <c r="BB30">
        <v>192</v>
      </c>
      <c r="BC30">
        <v>2</v>
      </c>
      <c r="BD30">
        <v>8</v>
      </c>
      <c r="BE30">
        <v>645.89</v>
      </c>
      <c r="BF30" s="1">
        <v>145.41</v>
      </c>
      <c r="BG30" s="23">
        <v>45562</v>
      </c>
      <c r="BH30" s="46">
        <v>0.46885416666666668</v>
      </c>
      <c r="BI30" s="20">
        <f>BI29</f>
        <v>145.80199999999999</v>
      </c>
      <c r="BJ30" t="e">
        <f t="shared" ref="BJ30" si="37">BJ29</f>
        <v>#REF!</v>
      </c>
      <c r="BK30">
        <v>1</v>
      </c>
      <c r="BL30" t="s">
        <v>7</v>
      </c>
      <c r="BM30">
        <v>58464</v>
      </c>
      <c r="BN30">
        <v>224</v>
      </c>
      <c r="BO30">
        <v>2</v>
      </c>
      <c r="BP30">
        <v>8</v>
      </c>
      <c r="BQ30">
        <v>899.28</v>
      </c>
      <c r="BR30" s="49">
        <v>148.15</v>
      </c>
      <c r="BS30" s="23">
        <v>45563</v>
      </c>
      <c r="BT30" s="46">
        <v>6.5347222222222223E-2</v>
      </c>
      <c r="BU30" s="20">
        <f>BU29</f>
        <v>147.84800000000001</v>
      </c>
      <c r="BV30" t="e">
        <f t="shared" ref="BV30" si="38">BV29</f>
        <v>#REF!</v>
      </c>
      <c r="BW30">
        <v>1</v>
      </c>
      <c r="BX30" t="s">
        <v>7</v>
      </c>
      <c r="BY30">
        <v>52032</v>
      </c>
      <c r="BZ30">
        <v>192</v>
      </c>
      <c r="CA30">
        <v>2</v>
      </c>
      <c r="CB30">
        <v>8</v>
      </c>
      <c r="CC30">
        <v>639.20000000000005</v>
      </c>
      <c r="CD30" s="60">
        <v>146.93</v>
      </c>
      <c r="CE30" s="23">
        <v>45564</v>
      </c>
      <c r="CF30" s="46">
        <v>0.99831018518518522</v>
      </c>
      <c r="CG30" s="20">
        <f>CG29</f>
        <v>146.80199999999999</v>
      </c>
      <c r="CH30" t="e">
        <f t="shared" ref="CH30" si="39">CH29</f>
        <v>#REF!</v>
      </c>
      <c r="CI30">
        <v>1</v>
      </c>
      <c r="CJ30" t="s">
        <v>7</v>
      </c>
      <c r="CK30">
        <v>58368</v>
      </c>
      <c r="CL30">
        <v>256</v>
      </c>
      <c r="CM30">
        <v>2</v>
      </c>
      <c r="CN30">
        <v>8</v>
      </c>
      <c r="CO30">
        <v>890.95</v>
      </c>
      <c r="CP30" s="1">
        <v>148.80000000000001</v>
      </c>
      <c r="CQ30" s="23">
        <v>45565</v>
      </c>
      <c r="CR30" s="46">
        <v>0.68891203703703707</v>
      </c>
      <c r="CS30" s="20">
        <f>CS29</f>
        <v>147.60000000000002</v>
      </c>
      <c r="CT30" t="e">
        <f t="shared" ref="CT30" si="40">CT29</f>
        <v>#REF!</v>
      </c>
    </row>
    <row r="31" spans="1:98">
      <c r="A31" t="s">
        <v>103</v>
      </c>
      <c r="B31">
        <v>2</v>
      </c>
      <c r="C31" t="s">
        <v>7</v>
      </c>
      <c r="D31">
        <v>58400</v>
      </c>
      <c r="E31">
        <v>32</v>
      </c>
      <c r="F31">
        <v>2</v>
      </c>
      <c r="G31">
        <v>8</v>
      </c>
      <c r="H31">
        <v>2831.09</v>
      </c>
      <c r="I31" s="54">
        <v>46.904000000000003</v>
      </c>
      <c r="J31" s="23">
        <v>45549</v>
      </c>
      <c r="K31" s="46">
        <v>0.21844907407407407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s="20">
        <f t="shared" si="35"/>
        <v>47.021799999999999</v>
      </c>
      <c r="Z31" t="s">
        <v>154</v>
      </c>
      <c r="AA31">
        <v>2</v>
      </c>
      <c r="AB31" t="s">
        <v>7</v>
      </c>
      <c r="AC31">
        <v>58400</v>
      </c>
      <c r="AD31">
        <v>32</v>
      </c>
      <c r="AE31">
        <v>2</v>
      </c>
      <c r="AF31">
        <v>8</v>
      </c>
      <c r="AG31">
        <v>2810.28</v>
      </c>
      <c r="AH31" s="20">
        <v>47.250999999999998</v>
      </c>
      <c r="AI31" s="23">
        <v>45555</v>
      </c>
      <c r="AJ31" s="46">
        <v>0.93428240740740742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 s="20">
        <f t="shared" si="36"/>
        <v>47.271999999999998</v>
      </c>
      <c r="AY31">
        <v>2</v>
      </c>
      <c r="AZ31" t="s">
        <v>7</v>
      </c>
      <c r="BA31">
        <v>52032</v>
      </c>
      <c r="BB31">
        <v>192</v>
      </c>
      <c r="BC31">
        <v>2</v>
      </c>
      <c r="BD31">
        <v>8</v>
      </c>
      <c r="BE31">
        <v>644.97</v>
      </c>
      <c r="BF31" s="1">
        <v>145.61000000000001</v>
      </c>
      <c r="BG31" s="23">
        <v>45562</v>
      </c>
      <c r="BH31" s="46">
        <v>0.55652777777777773</v>
      </c>
      <c r="BI31" s="20">
        <f>BI30</f>
        <v>145.80199999999999</v>
      </c>
      <c r="BJ31" t="e">
        <f t="shared" si="13"/>
        <v>#REF!</v>
      </c>
      <c r="BK31">
        <v>2</v>
      </c>
      <c r="BL31" t="s">
        <v>7</v>
      </c>
      <c r="BM31">
        <v>58464</v>
      </c>
      <c r="BN31">
        <v>224</v>
      </c>
      <c r="BO31">
        <v>2</v>
      </c>
      <c r="BP31">
        <v>8</v>
      </c>
      <c r="BQ31">
        <v>899.73</v>
      </c>
      <c r="BR31" s="49">
        <v>148.07</v>
      </c>
      <c r="BS31" s="23">
        <v>45563</v>
      </c>
      <c r="BT31" s="46">
        <v>0.14715277777777777</v>
      </c>
      <c r="BU31" s="20">
        <f>BU30</f>
        <v>147.84800000000001</v>
      </c>
      <c r="BV31" t="e">
        <f t="shared" si="14"/>
        <v>#REF!</v>
      </c>
      <c r="BW31">
        <v>2</v>
      </c>
      <c r="BX31" t="s">
        <v>7</v>
      </c>
      <c r="BY31">
        <v>52032</v>
      </c>
      <c r="BZ31">
        <v>192</v>
      </c>
      <c r="CA31">
        <v>2</v>
      </c>
      <c r="CB31">
        <v>8</v>
      </c>
      <c r="CC31">
        <v>640.89</v>
      </c>
      <c r="CD31" s="60">
        <v>146.54</v>
      </c>
      <c r="CE31" s="23">
        <v>45565</v>
      </c>
      <c r="CF31" s="46">
        <v>8.5474537037037043E-2</v>
      </c>
      <c r="CG31" s="20">
        <f>CG30</f>
        <v>146.80199999999999</v>
      </c>
      <c r="CH31" t="e">
        <f t="shared" si="15"/>
        <v>#REF!</v>
      </c>
      <c r="CI31">
        <v>2</v>
      </c>
      <c r="CJ31" t="s">
        <v>7</v>
      </c>
      <c r="CK31">
        <v>58368</v>
      </c>
      <c r="CL31">
        <v>256</v>
      </c>
      <c r="CM31">
        <v>2</v>
      </c>
      <c r="CN31">
        <v>8</v>
      </c>
      <c r="CO31">
        <v>920.53</v>
      </c>
      <c r="CP31" s="1">
        <v>144.02000000000001</v>
      </c>
      <c r="CQ31" s="23">
        <v>45565</v>
      </c>
      <c r="CR31" s="46">
        <v>0.77123842592592595</v>
      </c>
      <c r="CS31" s="20">
        <f>CS30</f>
        <v>147.60000000000002</v>
      </c>
      <c r="CT31" t="e">
        <f t="shared" si="16"/>
        <v>#REF!</v>
      </c>
    </row>
    <row r="32" spans="1:98">
      <c r="A32" t="s">
        <v>103</v>
      </c>
      <c r="B32">
        <v>3</v>
      </c>
      <c r="C32" t="s">
        <v>7</v>
      </c>
      <c r="D32">
        <v>58400</v>
      </c>
      <c r="E32">
        <v>32</v>
      </c>
      <c r="F32">
        <v>2</v>
      </c>
      <c r="G32">
        <v>8</v>
      </c>
      <c r="H32" s="1">
        <v>2823.62</v>
      </c>
      <c r="I32" s="54">
        <v>47.027999999999999</v>
      </c>
      <c r="J32" s="23">
        <v>45550</v>
      </c>
      <c r="K32" s="46">
        <v>0.30769675925925927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s="20">
        <f t="shared" si="35"/>
        <v>47.021799999999999</v>
      </c>
      <c r="Z32" t="s">
        <v>154</v>
      </c>
      <c r="AA32">
        <v>3</v>
      </c>
      <c r="AB32" t="s">
        <v>7</v>
      </c>
      <c r="AC32">
        <v>58400</v>
      </c>
      <c r="AD32">
        <v>32</v>
      </c>
      <c r="AE32">
        <v>2</v>
      </c>
      <c r="AF32">
        <v>8</v>
      </c>
      <c r="AG32">
        <v>2809.56</v>
      </c>
      <c r="AH32" s="20">
        <v>47.262999999999998</v>
      </c>
      <c r="AI32" s="23">
        <v>45556</v>
      </c>
      <c r="AJ32" s="46">
        <v>0.88771990740740736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 s="20">
        <f t="shared" si="36"/>
        <v>47.271999999999998</v>
      </c>
      <c r="AY32">
        <v>3</v>
      </c>
      <c r="AZ32" t="s">
        <v>7</v>
      </c>
      <c r="BA32">
        <v>52032</v>
      </c>
      <c r="BB32">
        <v>192</v>
      </c>
      <c r="BC32">
        <v>2</v>
      </c>
      <c r="BD32">
        <v>8</v>
      </c>
      <c r="BE32">
        <v>646.35</v>
      </c>
      <c r="BF32" s="1">
        <v>145.30000000000001</v>
      </c>
      <c r="BG32" s="23">
        <v>45562</v>
      </c>
      <c r="BH32" s="46">
        <v>0.6440393518518519</v>
      </c>
      <c r="BI32" s="20">
        <f>BI31</f>
        <v>145.80199999999999</v>
      </c>
      <c r="BJ32" t="e">
        <f t="shared" si="13"/>
        <v>#REF!</v>
      </c>
      <c r="BK32">
        <v>3</v>
      </c>
      <c r="BL32" t="s">
        <v>7</v>
      </c>
      <c r="BM32">
        <v>58464</v>
      </c>
      <c r="BN32">
        <v>224</v>
      </c>
      <c r="BO32">
        <v>2</v>
      </c>
      <c r="BP32">
        <v>8</v>
      </c>
      <c r="BQ32">
        <v>907.27</v>
      </c>
      <c r="BR32" s="49">
        <v>146.84</v>
      </c>
      <c r="BS32" s="23">
        <v>45563</v>
      </c>
      <c r="BT32" s="46">
        <v>0.22898148148148148</v>
      </c>
      <c r="BU32" s="20">
        <f>BU31</f>
        <v>147.84800000000001</v>
      </c>
      <c r="BV32" t="e">
        <f t="shared" si="14"/>
        <v>#REF!</v>
      </c>
      <c r="BW32">
        <v>3</v>
      </c>
      <c r="BX32" t="s">
        <v>7</v>
      </c>
      <c r="BY32">
        <v>52032</v>
      </c>
      <c r="BZ32">
        <v>192</v>
      </c>
      <c r="CA32">
        <v>2</v>
      </c>
      <c r="CB32">
        <v>8</v>
      </c>
      <c r="CC32">
        <v>639.98</v>
      </c>
      <c r="CD32" s="60">
        <v>146.75</v>
      </c>
      <c r="CE32" s="23">
        <v>45565</v>
      </c>
      <c r="CF32" s="46">
        <v>0.17229166666666668</v>
      </c>
      <c r="CG32" s="20">
        <f>CG31</f>
        <v>146.80199999999999</v>
      </c>
      <c r="CH32" t="e">
        <f t="shared" si="15"/>
        <v>#REF!</v>
      </c>
      <c r="CI32">
        <v>3</v>
      </c>
      <c r="CJ32" t="s">
        <v>7</v>
      </c>
      <c r="CK32">
        <v>58368</v>
      </c>
      <c r="CL32">
        <v>256</v>
      </c>
      <c r="CM32">
        <v>2</v>
      </c>
      <c r="CN32">
        <v>8</v>
      </c>
      <c r="CO32">
        <v>892.18</v>
      </c>
      <c r="CP32" s="1">
        <v>148.59</v>
      </c>
      <c r="CQ32" s="23">
        <v>45565</v>
      </c>
      <c r="CR32" s="46">
        <v>0.85340277777777773</v>
      </c>
      <c r="CS32" s="20">
        <f>CS31</f>
        <v>147.60000000000002</v>
      </c>
      <c r="CT32" t="e">
        <f t="shared" si="16"/>
        <v>#REF!</v>
      </c>
    </row>
    <row r="33" spans="1:98">
      <c r="A33" t="s">
        <v>103</v>
      </c>
      <c r="B33">
        <v>4</v>
      </c>
      <c r="C33" t="s">
        <v>7</v>
      </c>
      <c r="D33">
        <v>58400</v>
      </c>
      <c r="E33">
        <v>32</v>
      </c>
      <c r="F33">
        <v>2</v>
      </c>
      <c r="G33">
        <v>8</v>
      </c>
      <c r="H33">
        <v>2818.33</v>
      </c>
      <c r="I33" s="54">
        <v>47.116</v>
      </c>
      <c r="J33" s="23">
        <v>45551</v>
      </c>
      <c r="K33" s="46">
        <v>0.39604166666666668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s="20">
        <f t="shared" si="35"/>
        <v>47.021799999999999</v>
      </c>
      <c r="Z33" t="s">
        <v>154</v>
      </c>
      <c r="AA33">
        <v>4</v>
      </c>
      <c r="AB33" t="s">
        <v>7</v>
      </c>
      <c r="AC33">
        <v>58400</v>
      </c>
      <c r="AD33">
        <v>32</v>
      </c>
      <c r="AE33">
        <v>2</v>
      </c>
      <c r="AF33">
        <v>8</v>
      </c>
      <c r="AG33">
        <v>2810.14</v>
      </c>
      <c r="AH33" s="20">
        <v>47.253999999999998</v>
      </c>
      <c r="AI33" s="23">
        <v>45557</v>
      </c>
      <c r="AJ33" s="46">
        <v>0.83979166666666671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 s="20">
        <f t="shared" si="36"/>
        <v>47.271999999999998</v>
      </c>
      <c r="AY33">
        <v>4</v>
      </c>
      <c r="AZ33" t="s">
        <v>7</v>
      </c>
      <c r="BA33">
        <v>52032</v>
      </c>
      <c r="BB33">
        <v>192</v>
      </c>
      <c r="BC33">
        <v>2</v>
      </c>
      <c r="BD33">
        <v>8</v>
      </c>
      <c r="BE33">
        <v>642.05999999999995</v>
      </c>
      <c r="BF33" s="1">
        <v>146.27000000000001</v>
      </c>
      <c r="BG33" s="23">
        <v>45562</v>
      </c>
      <c r="BH33" s="46">
        <v>0.73143518518518513</v>
      </c>
      <c r="BI33" s="20">
        <f>BI32</f>
        <v>145.80199999999999</v>
      </c>
      <c r="BJ33" t="e">
        <f t="shared" si="13"/>
        <v>#REF!</v>
      </c>
      <c r="BK33">
        <v>4</v>
      </c>
      <c r="BL33" t="s">
        <v>7</v>
      </c>
      <c r="BM33">
        <v>58464</v>
      </c>
      <c r="BN33">
        <v>224</v>
      </c>
      <c r="BO33">
        <v>2</v>
      </c>
      <c r="BP33">
        <v>8</v>
      </c>
      <c r="BQ33">
        <v>899.74</v>
      </c>
      <c r="BR33" s="49">
        <v>148.07</v>
      </c>
      <c r="BS33" s="23">
        <v>45563</v>
      </c>
      <c r="BT33" s="46">
        <v>0.31077546296296299</v>
      </c>
      <c r="BU33" s="20">
        <f>BU32</f>
        <v>147.84800000000001</v>
      </c>
      <c r="BV33" t="e">
        <f t="shared" si="14"/>
        <v>#REF!</v>
      </c>
      <c r="BW33">
        <v>4</v>
      </c>
      <c r="BX33" t="s">
        <v>7</v>
      </c>
      <c r="BY33">
        <v>52032</v>
      </c>
      <c r="BZ33">
        <v>192</v>
      </c>
      <c r="CA33">
        <v>2</v>
      </c>
      <c r="CB33">
        <v>8</v>
      </c>
      <c r="CC33">
        <v>638.47</v>
      </c>
      <c r="CD33" s="60">
        <v>147.09</v>
      </c>
      <c r="CE33" s="23">
        <v>45565</v>
      </c>
      <c r="CF33" s="46">
        <v>0.25922453703703702</v>
      </c>
      <c r="CG33" s="20">
        <f>CG32</f>
        <v>146.80199999999999</v>
      </c>
      <c r="CH33" t="e">
        <f t="shared" si="15"/>
        <v>#REF!</v>
      </c>
      <c r="CI33">
        <v>4</v>
      </c>
      <c r="CJ33" t="s">
        <v>7</v>
      </c>
      <c r="CK33">
        <v>58368</v>
      </c>
      <c r="CL33">
        <v>256</v>
      </c>
      <c r="CM33">
        <v>2</v>
      </c>
      <c r="CN33">
        <v>8</v>
      </c>
      <c r="CO33">
        <v>894.36</v>
      </c>
      <c r="CP33" s="1">
        <v>148.22999999999999</v>
      </c>
      <c r="CQ33" s="23">
        <v>45565</v>
      </c>
      <c r="CR33" s="46">
        <v>0.9354513888888889</v>
      </c>
      <c r="CS33" s="20">
        <f>CS32</f>
        <v>147.60000000000002</v>
      </c>
      <c r="CT33" t="e">
        <f t="shared" si="16"/>
        <v>#REF!</v>
      </c>
    </row>
    <row r="34" spans="1:98">
      <c r="A34" t="s">
        <v>103</v>
      </c>
      <c r="B34">
        <v>0</v>
      </c>
      <c r="C34" t="s">
        <v>7</v>
      </c>
      <c r="D34">
        <v>52000</v>
      </c>
      <c r="E34">
        <v>32</v>
      </c>
      <c r="F34">
        <v>4</v>
      </c>
      <c r="G34">
        <v>4</v>
      </c>
      <c r="H34">
        <v>2046.92</v>
      </c>
      <c r="I34" s="54">
        <v>45.796999999999997</v>
      </c>
      <c r="J34" s="23">
        <v>45546</v>
      </c>
      <c r="K34" s="46">
        <v>0.37358796296296298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s="51">
        <f t="shared" ref="X34" si="41">AVERAGE(I34:I38)</f>
        <v>45.805799999999991</v>
      </c>
      <c r="Z34" t="s">
        <v>154</v>
      </c>
      <c r="AA34">
        <v>0</v>
      </c>
      <c r="AB34" t="s">
        <v>7</v>
      </c>
      <c r="AC34">
        <v>52000</v>
      </c>
      <c r="AD34">
        <v>32</v>
      </c>
      <c r="AE34">
        <v>4</v>
      </c>
      <c r="AF34">
        <v>4</v>
      </c>
      <c r="AG34">
        <v>2133.38</v>
      </c>
      <c r="AH34" s="20">
        <v>43.941000000000003</v>
      </c>
      <c r="AI34" s="23">
        <v>45553</v>
      </c>
      <c r="AJ34" s="46">
        <v>0.45597222222222222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 s="51">
        <f t="shared" ref="AW34" si="42">AVERAGE(AH34:AH38)</f>
        <v>43.922000000000004</v>
      </c>
      <c r="AY34">
        <v>0</v>
      </c>
      <c r="AZ34" t="s">
        <v>7</v>
      </c>
      <c r="BA34">
        <v>58368</v>
      </c>
      <c r="BB34">
        <v>256</v>
      </c>
      <c r="BC34">
        <v>2</v>
      </c>
      <c r="BD34">
        <v>8</v>
      </c>
      <c r="BE34">
        <v>905.13</v>
      </c>
      <c r="BF34" s="1">
        <v>146.47</v>
      </c>
      <c r="BG34" s="23">
        <v>45562</v>
      </c>
      <c r="BH34" s="46">
        <v>0.46069444444444446</v>
      </c>
      <c r="BI34" s="51">
        <f>AVERAGE(BF34:BF38)</f>
        <v>145.72399999999999</v>
      </c>
      <c r="BJ34" t="e">
        <f>100-(BI34/#REF!*100)</f>
        <v>#REF!</v>
      </c>
      <c r="BK34">
        <v>0</v>
      </c>
      <c r="BL34" t="s">
        <v>7</v>
      </c>
      <c r="BM34">
        <v>52032</v>
      </c>
      <c r="BN34">
        <v>192</v>
      </c>
      <c r="BO34">
        <v>2</v>
      </c>
      <c r="BP34">
        <v>8</v>
      </c>
      <c r="BQ34">
        <v>640.21</v>
      </c>
      <c r="BR34" s="49">
        <v>146.69999999999999</v>
      </c>
      <c r="BS34" s="23">
        <v>45562</v>
      </c>
      <c r="BT34" s="46">
        <v>0.91971064814814818</v>
      </c>
      <c r="BU34" s="51">
        <f>AVERAGE(BR34:BR38)</f>
        <v>147.05199999999999</v>
      </c>
      <c r="BV34" t="e">
        <f>100-(BU34/#REF!*100)</f>
        <v>#REF!</v>
      </c>
      <c r="BW34">
        <v>0</v>
      </c>
      <c r="BX34" t="s">
        <v>7</v>
      </c>
      <c r="BY34">
        <v>55296</v>
      </c>
      <c r="BZ34">
        <v>256</v>
      </c>
      <c r="CA34">
        <v>2</v>
      </c>
      <c r="CB34">
        <v>8</v>
      </c>
      <c r="CC34">
        <v>768.26</v>
      </c>
      <c r="CD34" s="60">
        <v>146.72</v>
      </c>
      <c r="CE34" s="23">
        <v>45564</v>
      </c>
      <c r="CF34" s="46">
        <v>0.95652777777777775</v>
      </c>
      <c r="CG34" s="51">
        <f>AVERAGE(CD34:CD38)</f>
        <v>146.172</v>
      </c>
      <c r="CH34" t="e">
        <f>100-(CG34/#REF!*100)</f>
        <v>#REF!</v>
      </c>
      <c r="CI34">
        <v>0</v>
      </c>
      <c r="CJ34" t="s">
        <v>7</v>
      </c>
      <c r="CK34">
        <v>52032</v>
      </c>
      <c r="CL34">
        <v>192</v>
      </c>
      <c r="CM34">
        <v>2</v>
      </c>
      <c r="CN34">
        <v>8</v>
      </c>
      <c r="CO34">
        <v>637.66999999999996</v>
      </c>
      <c r="CP34" s="1">
        <v>147.28</v>
      </c>
      <c r="CQ34" s="23">
        <v>45565</v>
      </c>
      <c r="CR34" s="46">
        <v>0.53259259259259262</v>
      </c>
      <c r="CS34" s="51">
        <f>AVERAGE(CP34:CP38)</f>
        <v>146.928</v>
      </c>
      <c r="CT34" t="e">
        <f>100-(CS34/#REF!*100)</f>
        <v>#REF!</v>
      </c>
    </row>
    <row r="35" spans="1:98">
      <c r="A35" t="s">
        <v>103</v>
      </c>
      <c r="B35">
        <v>1</v>
      </c>
      <c r="C35" t="s">
        <v>7</v>
      </c>
      <c r="D35">
        <v>52000</v>
      </c>
      <c r="E35">
        <v>32</v>
      </c>
      <c r="F35">
        <v>4</v>
      </c>
      <c r="G35">
        <v>4</v>
      </c>
      <c r="H35">
        <v>2044.8</v>
      </c>
      <c r="I35" s="54">
        <v>45.844999999999999</v>
      </c>
      <c r="J35" s="23">
        <v>45547</v>
      </c>
      <c r="K35" s="46">
        <v>0.46564814814814814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s="20">
        <f t="shared" ref="X35:X38" si="43">X34</f>
        <v>45.805799999999991</v>
      </c>
      <c r="Z35" t="s">
        <v>154</v>
      </c>
      <c r="AA35">
        <v>1</v>
      </c>
      <c r="AB35" t="s">
        <v>7</v>
      </c>
      <c r="AC35">
        <v>52000</v>
      </c>
      <c r="AD35">
        <v>32</v>
      </c>
      <c r="AE35">
        <v>4</v>
      </c>
      <c r="AF35">
        <v>4</v>
      </c>
      <c r="AG35">
        <v>2134.41</v>
      </c>
      <c r="AH35" s="20">
        <v>43.92</v>
      </c>
      <c r="AI35" s="23">
        <v>45554</v>
      </c>
      <c r="AJ35" s="46">
        <v>0.40767361111111111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 s="20">
        <f t="shared" ref="AW35:AW38" si="44">AW34</f>
        <v>43.922000000000004</v>
      </c>
      <c r="AY35">
        <v>1</v>
      </c>
      <c r="AZ35" t="s">
        <v>7</v>
      </c>
      <c r="BA35">
        <v>58368</v>
      </c>
      <c r="BB35">
        <v>256</v>
      </c>
      <c r="BC35">
        <v>2</v>
      </c>
      <c r="BD35">
        <v>8</v>
      </c>
      <c r="BE35">
        <v>909.91</v>
      </c>
      <c r="BF35" s="1">
        <v>145.69999999999999</v>
      </c>
      <c r="BG35" s="23">
        <v>45562</v>
      </c>
      <c r="BH35" s="46">
        <v>0.54837962962962961</v>
      </c>
      <c r="BI35" s="20">
        <f>BI34</f>
        <v>145.72399999999999</v>
      </c>
      <c r="BJ35" t="e">
        <f t="shared" ref="BJ35" si="45">BJ34</f>
        <v>#REF!</v>
      </c>
      <c r="BK35">
        <v>1</v>
      </c>
      <c r="BL35" t="s">
        <v>7</v>
      </c>
      <c r="BM35">
        <v>52032</v>
      </c>
      <c r="BN35">
        <v>192</v>
      </c>
      <c r="BO35">
        <v>2</v>
      </c>
      <c r="BP35">
        <v>8</v>
      </c>
      <c r="BQ35">
        <v>638.82000000000005</v>
      </c>
      <c r="BR35" s="49">
        <v>147.01</v>
      </c>
      <c r="BS35" s="23">
        <v>45563</v>
      </c>
      <c r="BT35" s="46">
        <v>1.736111111111111E-3</v>
      </c>
      <c r="BU35" s="20">
        <f>BU34</f>
        <v>147.05199999999999</v>
      </c>
      <c r="BV35" t="e">
        <f t="shared" ref="BV35" si="46">BV34</f>
        <v>#REF!</v>
      </c>
      <c r="BW35">
        <v>1</v>
      </c>
      <c r="BX35" t="s">
        <v>7</v>
      </c>
      <c r="BY35">
        <v>55296</v>
      </c>
      <c r="BZ35">
        <v>256</v>
      </c>
      <c r="CA35">
        <v>2</v>
      </c>
      <c r="CB35">
        <v>8</v>
      </c>
      <c r="CC35">
        <v>765.41</v>
      </c>
      <c r="CD35" s="60">
        <v>147.27000000000001</v>
      </c>
      <c r="CE35" s="23">
        <v>45565</v>
      </c>
      <c r="CF35" s="46">
        <v>4.3437499999999997E-2</v>
      </c>
      <c r="CG35" s="20">
        <f>CG34</f>
        <v>146.172</v>
      </c>
      <c r="CH35" t="e">
        <f t="shared" ref="CH35" si="47">CH34</f>
        <v>#REF!</v>
      </c>
      <c r="CI35">
        <v>1</v>
      </c>
      <c r="CJ35" t="s">
        <v>7</v>
      </c>
      <c r="CK35">
        <v>52032</v>
      </c>
      <c r="CL35">
        <v>192</v>
      </c>
      <c r="CM35">
        <v>2</v>
      </c>
      <c r="CN35">
        <v>8</v>
      </c>
      <c r="CO35">
        <v>639.05999999999995</v>
      </c>
      <c r="CP35" s="1">
        <v>146.96</v>
      </c>
      <c r="CQ35" s="23">
        <v>45565</v>
      </c>
      <c r="CR35" s="46">
        <v>0.61457175925925922</v>
      </c>
      <c r="CS35" s="20">
        <f>CS34</f>
        <v>146.928</v>
      </c>
      <c r="CT35" t="e">
        <f t="shared" ref="CT35" si="48">CT34</f>
        <v>#REF!</v>
      </c>
    </row>
    <row r="36" spans="1:98">
      <c r="A36" t="s">
        <v>103</v>
      </c>
      <c r="B36">
        <v>2</v>
      </c>
      <c r="C36" t="s">
        <v>7</v>
      </c>
      <c r="D36">
        <v>52000</v>
      </c>
      <c r="E36">
        <v>32</v>
      </c>
      <c r="F36">
        <v>4</v>
      </c>
      <c r="G36">
        <v>4</v>
      </c>
      <c r="H36">
        <v>2046.72</v>
      </c>
      <c r="I36" s="54">
        <v>45.801000000000002</v>
      </c>
      <c r="J36" s="23">
        <v>45548</v>
      </c>
      <c r="K36" s="46">
        <v>0.55775462962962963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20">
        <f t="shared" si="43"/>
        <v>45.805799999999991</v>
      </c>
      <c r="Z36" t="s">
        <v>154</v>
      </c>
      <c r="AA36">
        <v>2</v>
      </c>
      <c r="AB36" t="s">
        <v>7</v>
      </c>
      <c r="AC36">
        <v>52000</v>
      </c>
      <c r="AD36">
        <v>32</v>
      </c>
      <c r="AE36">
        <v>4</v>
      </c>
      <c r="AF36">
        <v>4</v>
      </c>
      <c r="AG36">
        <v>2129.0500000000002</v>
      </c>
      <c r="AH36" s="20">
        <v>44.03</v>
      </c>
      <c r="AI36" s="23">
        <v>45555</v>
      </c>
      <c r="AJ36" s="46">
        <v>0.36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 s="20">
        <f t="shared" si="44"/>
        <v>43.922000000000004</v>
      </c>
      <c r="AY36">
        <v>2</v>
      </c>
      <c r="AZ36" t="s">
        <v>7</v>
      </c>
      <c r="BA36">
        <v>58368</v>
      </c>
      <c r="BB36">
        <v>256</v>
      </c>
      <c r="BC36">
        <v>2</v>
      </c>
      <c r="BD36">
        <v>8</v>
      </c>
      <c r="BE36">
        <v>921.24</v>
      </c>
      <c r="BF36" s="1">
        <v>143.91</v>
      </c>
      <c r="BG36" s="23">
        <v>45562</v>
      </c>
      <c r="BH36" s="46">
        <v>0.63587962962962963</v>
      </c>
      <c r="BI36" s="20">
        <f>BI35</f>
        <v>145.72399999999999</v>
      </c>
      <c r="BJ36" t="e">
        <f t="shared" si="13"/>
        <v>#REF!</v>
      </c>
      <c r="BK36">
        <v>2</v>
      </c>
      <c r="BL36" t="s">
        <v>7</v>
      </c>
      <c r="BM36">
        <v>52032</v>
      </c>
      <c r="BN36">
        <v>192</v>
      </c>
      <c r="BO36">
        <v>2</v>
      </c>
      <c r="BP36">
        <v>8</v>
      </c>
      <c r="BQ36">
        <v>638.73</v>
      </c>
      <c r="BR36" s="49">
        <v>147.04</v>
      </c>
      <c r="BS36" s="23">
        <v>45563</v>
      </c>
      <c r="BT36" s="46">
        <v>8.3611111111111108E-2</v>
      </c>
      <c r="BU36" s="20">
        <f>BU35</f>
        <v>147.05199999999999</v>
      </c>
      <c r="BV36" t="e">
        <f t="shared" si="14"/>
        <v>#REF!</v>
      </c>
      <c r="BW36">
        <v>2</v>
      </c>
      <c r="BX36" t="s">
        <v>7</v>
      </c>
      <c r="BY36">
        <v>55296</v>
      </c>
      <c r="BZ36">
        <v>256</v>
      </c>
      <c r="CA36">
        <v>2</v>
      </c>
      <c r="CB36">
        <v>8</v>
      </c>
      <c r="CC36">
        <v>769.7</v>
      </c>
      <c r="CD36" s="60">
        <v>146.44999999999999</v>
      </c>
      <c r="CE36" s="23">
        <v>45565</v>
      </c>
      <c r="CF36" s="46">
        <v>0.13055555555555556</v>
      </c>
      <c r="CG36" s="20">
        <f>CG35</f>
        <v>146.172</v>
      </c>
      <c r="CH36" t="e">
        <f t="shared" si="15"/>
        <v>#REF!</v>
      </c>
      <c r="CI36">
        <v>2</v>
      </c>
      <c r="CJ36" t="s">
        <v>7</v>
      </c>
      <c r="CK36">
        <v>52032</v>
      </c>
      <c r="CL36">
        <v>192</v>
      </c>
      <c r="CM36">
        <v>2</v>
      </c>
      <c r="CN36">
        <v>8</v>
      </c>
      <c r="CO36">
        <v>639.03</v>
      </c>
      <c r="CP36" s="1">
        <v>146.97</v>
      </c>
      <c r="CQ36" s="23">
        <v>45565</v>
      </c>
      <c r="CR36" s="46">
        <v>0.6965393518518519</v>
      </c>
      <c r="CS36" s="20">
        <f>CS35</f>
        <v>146.928</v>
      </c>
      <c r="CT36" t="e">
        <f t="shared" si="16"/>
        <v>#REF!</v>
      </c>
    </row>
    <row r="37" spans="1:98">
      <c r="A37" t="s">
        <v>103</v>
      </c>
      <c r="B37">
        <v>3</v>
      </c>
      <c r="C37" t="s">
        <v>7</v>
      </c>
      <c r="D37">
        <v>52000</v>
      </c>
      <c r="E37">
        <v>32</v>
      </c>
      <c r="F37">
        <v>4</v>
      </c>
      <c r="G37">
        <v>4</v>
      </c>
      <c r="H37">
        <v>2049.12</v>
      </c>
      <c r="I37" s="54">
        <v>45.747999999999998</v>
      </c>
      <c r="J37" s="23">
        <v>45549</v>
      </c>
      <c r="K37" s="46">
        <v>0.64714120370370365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s="20">
        <f t="shared" si="43"/>
        <v>45.805799999999991</v>
      </c>
      <c r="Z37" t="s">
        <v>154</v>
      </c>
      <c r="AA37">
        <v>3</v>
      </c>
      <c r="AB37" t="s">
        <v>7</v>
      </c>
      <c r="AC37">
        <v>52000</v>
      </c>
      <c r="AD37">
        <v>32</v>
      </c>
      <c r="AE37">
        <v>4</v>
      </c>
      <c r="AF37">
        <v>4</v>
      </c>
      <c r="AG37">
        <v>2140.23</v>
      </c>
      <c r="AH37" s="20">
        <v>43.8</v>
      </c>
      <c r="AI37" s="23">
        <v>45556</v>
      </c>
      <c r="AJ37" s="46">
        <v>0.31296296296296294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 s="20">
        <f t="shared" si="44"/>
        <v>43.922000000000004</v>
      </c>
      <c r="AY37">
        <v>3</v>
      </c>
      <c r="AZ37" t="s">
        <v>7</v>
      </c>
      <c r="BA37">
        <v>58368</v>
      </c>
      <c r="BB37">
        <v>256</v>
      </c>
      <c r="BC37">
        <v>2</v>
      </c>
      <c r="BD37">
        <v>8</v>
      </c>
      <c r="BE37">
        <v>911.31</v>
      </c>
      <c r="BF37" s="1">
        <v>145.47</v>
      </c>
      <c r="BG37" s="23">
        <v>45562</v>
      </c>
      <c r="BH37" s="46">
        <v>0.72332175925925923</v>
      </c>
      <c r="BI37" s="20">
        <f>BI36</f>
        <v>145.72399999999999</v>
      </c>
      <c r="BJ37" t="e">
        <f t="shared" si="13"/>
        <v>#REF!</v>
      </c>
      <c r="BK37">
        <v>3</v>
      </c>
      <c r="BL37" t="s">
        <v>7</v>
      </c>
      <c r="BM37">
        <v>52032</v>
      </c>
      <c r="BN37">
        <v>192</v>
      </c>
      <c r="BO37">
        <v>2</v>
      </c>
      <c r="BP37">
        <v>8</v>
      </c>
      <c r="BQ37">
        <v>638.02</v>
      </c>
      <c r="BR37" s="49">
        <v>147.19999999999999</v>
      </c>
      <c r="BS37" s="23">
        <v>45563</v>
      </c>
      <c r="BT37" s="46">
        <v>0.1653587962962963</v>
      </c>
      <c r="BU37" s="20">
        <f>BU36</f>
        <v>147.05199999999999</v>
      </c>
      <c r="BV37" t="e">
        <f t="shared" si="14"/>
        <v>#REF!</v>
      </c>
      <c r="BW37">
        <v>3</v>
      </c>
      <c r="BX37" t="s">
        <v>7</v>
      </c>
      <c r="BY37">
        <v>55296</v>
      </c>
      <c r="BZ37">
        <v>256</v>
      </c>
      <c r="CA37">
        <v>2</v>
      </c>
      <c r="CB37">
        <v>8</v>
      </c>
      <c r="CC37">
        <v>789.53</v>
      </c>
      <c r="CD37" s="60">
        <v>142.77000000000001</v>
      </c>
      <c r="CE37" s="23">
        <v>45565</v>
      </c>
      <c r="CF37" s="46">
        <v>0.21753472222222223</v>
      </c>
      <c r="CG37" s="20">
        <f>CG36</f>
        <v>146.172</v>
      </c>
      <c r="CH37" t="e">
        <f t="shared" si="15"/>
        <v>#REF!</v>
      </c>
      <c r="CI37">
        <v>3</v>
      </c>
      <c r="CJ37" t="s">
        <v>7</v>
      </c>
      <c r="CK37">
        <v>52032</v>
      </c>
      <c r="CL37">
        <v>192</v>
      </c>
      <c r="CM37">
        <v>2</v>
      </c>
      <c r="CN37">
        <v>8</v>
      </c>
      <c r="CO37">
        <v>641.57000000000005</v>
      </c>
      <c r="CP37" s="1">
        <v>146.38999999999999</v>
      </c>
      <c r="CQ37" s="23">
        <v>45565</v>
      </c>
      <c r="CR37" s="46">
        <v>0.778900462962963</v>
      </c>
      <c r="CS37" s="20">
        <f>CS36</f>
        <v>146.928</v>
      </c>
      <c r="CT37" t="e">
        <f t="shared" si="16"/>
        <v>#REF!</v>
      </c>
    </row>
    <row r="38" spans="1:98">
      <c r="A38" t="s">
        <v>103</v>
      </c>
      <c r="B38">
        <v>4</v>
      </c>
      <c r="C38" t="s">
        <v>7</v>
      </c>
      <c r="D38">
        <v>52000</v>
      </c>
      <c r="E38">
        <v>32</v>
      </c>
      <c r="F38">
        <v>4</v>
      </c>
      <c r="G38">
        <v>4</v>
      </c>
      <c r="H38" s="1">
        <v>2045.1</v>
      </c>
      <c r="I38" s="54">
        <v>45.838000000000001</v>
      </c>
      <c r="J38" s="23">
        <v>45550</v>
      </c>
      <c r="K38" s="46">
        <v>0.73636574074074079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20">
        <f t="shared" si="43"/>
        <v>45.805799999999991</v>
      </c>
      <c r="Z38" t="s">
        <v>154</v>
      </c>
      <c r="AA38">
        <v>4</v>
      </c>
      <c r="AB38" t="s">
        <v>7</v>
      </c>
      <c r="AC38">
        <v>52000</v>
      </c>
      <c r="AD38">
        <v>32</v>
      </c>
      <c r="AE38">
        <v>4</v>
      </c>
      <c r="AF38">
        <v>4</v>
      </c>
      <c r="AG38">
        <v>2134.4499999999998</v>
      </c>
      <c r="AH38" s="20">
        <v>43.918999999999997</v>
      </c>
      <c r="AI38" s="23">
        <v>45557</v>
      </c>
      <c r="AJ38" s="46">
        <v>0.2660763888888889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 s="20">
        <f t="shared" si="44"/>
        <v>43.922000000000004</v>
      </c>
      <c r="AY38">
        <v>4</v>
      </c>
      <c r="AZ38" t="s">
        <v>7</v>
      </c>
      <c r="BA38">
        <v>58368</v>
      </c>
      <c r="BB38">
        <v>256</v>
      </c>
      <c r="BC38">
        <v>2</v>
      </c>
      <c r="BD38">
        <v>8</v>
      </c>
      <c r="BE38">
        <v>901.41</v>
      </c>
      <c r="BF38" s="1">
        <v>147.07</v>
      </c>
      <c r="BG38" s="23">
        <v>45562</v>
      </c>
      <c r="BH38" s="46">
        <v>0.81055555555555558</v>
      </c>
      <c r="BI38" s="20">
        <f>BI37</f>
        <v>145.72399999999999</v>
      </c>
      <c r="BJ38" t="e">
        <f t="shared" si="13"/>
        <v>#REF!</v>
      </c>
      <c r="BK38">
        <v>4</v>
      </c>
      <c r="BL38" t="s">
        <v>7</v>
      </c>
      <c r="BM38">
        <v>52032</v>
      </c>
      <c r="BN38">
        <v>192</v>
      </c>
      <c r="BO38">
        <v>2</v>
      </c>
      <c r="BP38">
        <v>8</v>
      </c>
      <c r="BQ38">
        <v>637.52</v>
      </c>
      <c r="BR38" s="49">
        <v>147.31</v>
      </c>
      <c r="BS38" s="23">
        <v>45563</v>
      </c>
      <c r="BT38" s="46">
        <v>0.24725694444444443</v>
      </c>
      <c r="BU38" s="20">
        <f>BU37</f>
        <v>147.05199999999999</v>
      </c>
      <c r="BV38" t="e">
        <f t="shared" si="14"/>
        <v>#REF!</v>
      </c>
      <c r="BW38">
        <v>4</v>
      </c>
      <c r="BX38" t="s">
        <v>7</v>
      </c>
      <c r="BY38">
        <v>55296</v>
      </c>
      <c r="BZ38">
        <v>256</v>
      </c>
      <c r="CA38">
        <v>2</v>
      </c>
      <c r="CB38">
        <v>8</v>
      </c>
      <c r="CC38">
        <v>763.46</v>
      </c>
      <c r="CD38" s="60">
        <v>147.65</v>
      </c>
      <c r="CE38" s="23">
        <v>45565</v>
      </c>
      <c r="CF38" s="46">
        <v>0.30410879629629628</v>
      </c>
      <c r="CG38" s="20">
        <f>CG37</f>
        <v>146.172</v>
      </c>
      <c r="CH38" t="e">
        <f t="shared" si="15"/>
        <v>#REF!</v>
      </c>
      <c r="CI38">
        <v>4</v>
      </c>
      <c r="CJ38" t="s">
        <v>7</v>
      </c>
      <c r="CK38">
        <v>52032</v>
      </c>
      <c r="CL38">
        <v>192</v>
      </c>
      <c r="CM38">
        <v>2</v>
      </c>
      <c r="CN38">
        <v>8</v>
      </c>
      <c r="CO38">
        <v>638.72</v>
      </c>
      <c r="CP38" s="1">
        <v>147.04</v>
      </c>
      <c r="CQ38" s="23">
        <v>45565</v>
      </c>
      <c r="CR38" s="46">
        <v>0.86103009259259256</v>
      </c>
      <c r="CS38" s="20">
        <f>CS37</f>
        <v>146.928</v>
      </c>
      <c r="CT38" t="e">
        <f t="shared" si="16"/>
        <v>#REF!</v>
      </c>
    </row>
    <row r="39" spans="1:98">
      <c r="A39" t="s">
        <v>103</v>
      </c>
      <c r="B39">
        <v>0</v>
      </c>
      <c r="C39" t="s">
        <v>7</v>
      </c>
      <c r="D39">
        <v>55200</v>
      </c>
      <c r="E39">
        <v>32</v>
      </c>
      <c r="F39">
        <v>4</v>
      </c>
      <c r="G39">
        <v>4</v>
      </c>
      <c r="H39">
        <v>2440.1999999999998</v>
      </c>
      <c r="I39" s="54">
        <v>45.954000000000001</v>
      </c>
      <c r="J39" s="23">
        <v>45546</v>
      </c>
      <c r="K39" s="46">
        <v>0.68675925925925929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51">
        <f t="shared" ref="X39" si="49">AVERAGE(I39:I43)</f>
        <v>45.969399999999993</v>
      </c>
      <c r="Z39" t="s">
        <v>154</v>
      </c>
      <c r="AA39">
        <v>0</v>
      </c>
      <c r="AB39" t="s">
        <v>7</v>
      </c>
      <c r="AC39">
        <v>55200</v>
      </c>
      <c r="AD39">
        <v>32</v>
      </c>
      <c r="AE39">
        <v>4</v>
      </c>
      <c r="AF39">
        <v>4</v>
      </c>
      <c r="AG39">
        <v>2515.33</v>
      </c>
      <c r="AH39" s="20">
        <v>44.581000000000003</v>
      </c>
      <c r="AI39" s="23">
        <v>45553</v>
      </c>
      <c r="AJ39" s="46">
        <v>0.73344907407407411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 s="51">
        <f t="shared" ref="AW39" si="50">AVERAGE(AH39:AH43)</f>
        <v>44.470800000000004</v>
      </c>
      <c r="AY39">
        <v>0</v>
      </c>
      <c r="AZ39" t="s">
        <v>7</v>
      </c>
      <c r="BA39">
        <v>51968</v>
      </c>
      <c r="BB39">
        <v>256</v>
      </c>
      <c r="BC39">
        <v>2</v>
      </c>
      <c r="BD39">
        <v>8</v>
      </c>
      <c r="BE39">
        <v>646.30999999999995</v>
      </c>
      <c r="BF39" s="1">
        <v>144.78</v>
      </c>
      <c r="BG39" s="23">
        <v>45562</v>
      </c>
      <c r="BH39" s="46">
        <v>0.39771990740740742</v>
      </c>
      <c r="BI39" s="51">
        <f>AVERAGE(BF39:BF43)</f>
        <v>144.744</v>
      </c>
      <c r="BJ39" t="e">
        <f>100-(BI39/#REF!*100)</f>
        <v>#REF!</v>
      </c>
      <c r="BK39">
        <v>0</v>
      </c>
      <c r="BL39" t="s">
        <v>7</v>
      </c>
      <c r="BM39">
        <v>51968</v>
      </c>
      <c r="BN39">
        <v>256</v>
      </c>
      <c r="BO39">
        <v>2</v>
      </c>
      <c r="BP39">
        <v>8</v>
      </c>
      <c r="BQ39">
        <v>640.97</v>
      </c>
      <c r="BR39" s="49">
        <v>145.97999999999999</v>
      </c>
      <c r="BS39" s="23">
        <v>45562</v>
      </c>
      <c r="BT39" s="46">
        <v>0.93484953703703699</v>
      </c>
      <c r="BU39" s="51">
        <f>AVERAGE(BR39:BR43)</f>
        <v>146.46200000000002</v>
      </c>
      <c r="BV39" t="e">
        <f>100-(BU39/#REF!*100)</f>
        <v>#REF!</v>
      </c>
      <c r="BW39">
        <v>0</v>
      </c>
      <c r="BX39" t="s">
        <v>7</v>
      </c>
      <c r="BY39">
        <v>51968</v>
      </c>
      <c r="BZ39">
        <v>256</v>
      </c>
      <c r="CA39">
        <v>2</v>
      </c>
      <c r="CB39">
        <v>8</v>
      </c>
      <c r="CC39">
        <v>646.32000000000005</v>
      </c>
      <c r="CD39" s="60">
        <v>144.77000000000001</v>
      </c>
      <c r="CE39" s="23">
        <v>45564</v>
      </c>
      <c r="CF39" s="46">
        <v>0.92754629629629626</v>
      </c>
      <c r="CG39" s="51">
        <f>AVERAGE(CD39:CD43)</f>
        <v>145.02200000000002</v>
      </c>
      <c r="CH39" t="e">
        <f>100-(CG39/#REF!*100)</f>
        <v>#REF!</v>
      </c>
      <c r="CI39">
        <v>0</v>
      </c>
      <c r="CJ39" t="s">
        <v>7</v>
      </c>
      <c r="CK39">
        <v>55296</v>
      </c>
      <c r="CL39">
        <v>192</v>
      </c>
      <c r="CM39">
        <v>2</v>
      </c>
      <c r="CN39">
        <v>8</v>
      </c>
      <c r="CO39">
        <v>773.58</v>
      </c>
      <c r="CP39" s="1">
        <v>145.72</v>
      </c>
      <c r="CQ39" s="23">
        <v>45565</v>
      </c>
      <c r="CR39" s="46">
        <v>0.55694444444444446</v>
      </c>
      <c r="CS39" s="51">
        <f>AVERAGE(CP39:CP43)</f>
        <v>145.642</v>
      </c>
      <c r="CT39" t="e">
        <f>100-(CS39/#REF!*100)</f>
        <v>#REF!</v>
      </c>
    </row>
    <row r="40" spans="1:98">
      <c r="A40" t="s">
        <v>103</v>
      </c>
      <c r="B40">
        <v>1</v>
      </c>
      <c r="C40" t="s">
        <v>7</v>
      </c>
      <c r="D40">
        <v>55200</v>
      </c>
      <c r="E40">
        <v>32</v>
      </c>
      <c r="F40">
        <v>4</v>
      </c>
      <c r="G40">
        <v>4</v>
      </c>
      <c r="H40">
        <v>2442.0500000000002</v>
      </c>
      <c r="I40" s="54">
        <v>45.918999999999997</v>
      </c>
      <c r="J40" s="23">
        <v>45547</v>
      </c>
      <c r="K40" s="46">
        <v>0.77894675925925927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20">
        <f t="shared" ref="X40:X43" si="51">X39</f>
        <v>45.969399999999993</v>
      </c>
      <c r="Z40" t="s">
        <v>154</v>
      </c>
      <c r="AA40">
        <v>1</v>
      </c>
      <c r="AB40" t="s">
        <v>7</v>
      </c>
      <c r="AC40">
        <v>55200</v>
      </c>
      <c r="AD40">
        <v>32</v>
      </c>
      <c r="AE40">
        <v>4</v>
      </c>
      <c r="AF40">
        <v>4</v>
      </c>
      <c r="AG40">
        <v>2527.61</v>
      </c>
      <c r="AH40" s="20">
        <v>44.363999999999997</v>
      </c>
      <c r="AI40" s="23">
        <v>45554</v>
      </c>
      <c r="AJ40" s="46">
        <v>0.68532407407407403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 s="20">
        <f t="shared" ref="AW40:AW43" si="52">AW39</f>
        <v>44.470800000000004</v>
      </c>
      <c r="AY40">
        <v>1</v>
      </c>
      <c r="AZ40" t="s">
        <v>7</v>
      </c>
      <c r="BA40">
        <v>51968</v>
      </c>
      <c r="BB40">
        <v>256</v>
      </c>
      <c r="BC40">
        <v>2</v>
      </c>
      <c r="BD40">
        <v>8</v>
      </c>
      <c r="BE40">
        <v>642.88</v>
      </c>
      <c r="BF40" s="1">
        <v>145.55000000000001</v>
      </c>
      <c r="BG40" s="23">
        <v>45562</v>
      </c>
      <c r="BH40" s="46">
        <v>0.48498842592592595</v>
      </c>
      <c r="BI40" s="20">
        <f>BI39</f>
        <v>144.744</v>
      </c>
      <c r="BJ40" t="e">
        <f t="shared" ref="BJ40" si="53">BJ39</f>
        <v>#REF!</v>
      </c>
      <c r="BK40">
        <v>1</v>
      </c>
      <c r="BL40" t="s">
        <v>7</v>
      </c>
      <c r="BM40">
        <v>51968</v>
      </c>
      <c r="BN40">
        <v>256</v>
      </c>
      <c r="BO40">
        <v>2</v>
      </c>
      <c r="BP40">
        <v>8</v>
      </c>
      <c r="BQ40">
        <v>642.59</v>
      </c>
      <c r="BR40" s="49">
        <v>145.61000000000001</v>
      </c>
      <c r="BS40" s="23">
        <v>45563</v>
      </c>
      <c r="BT40" s="46">
        <v>1.6886574074074075E-2</v>
      </c>
      <c r="BU40" s="20">
        <f>BU39</f>
        <v>146.46200000000002</v>
      </c>
      <c r="BV40" t="e">
        <f t="shared" ref="BV40" si="54">BV39</f>
        <v>#REF!</v>
      </c>
      <c r="BW40">
        <v>1</v>
      </c>
      <c r="BX40" t="s">
        <v>7</v>
      </c>
      <c r="BY40">
        <v>51968</v>
      </c>
      <c r="BZ40">
        <v>256</v>
      </c>
      <c r="CA40">
        <v>2</v>
      </c>
      <c r="CB40">
        <v>8</v>
      </c>
      <c r="CC40">
        <v>654.37</v>
      </c>
      <c r="CD40" s="60">
        <v>142.99</v>
      </c>
      <c r="CE40" s="23">
        <v>45565</v>
      </c>
      <c r="CF40" s="46">
        <v>1.4548611111111111E-2</v>
      </c>
      <c r="CG40" s="20">
        <f>CG39</f>
        <v>145.02200000000002</v>
      </c>
      <c r="CH40" t="e">
        <f t="shared" ref="CH40" si="55">CH39</f>
        <v>#REF!</v>
      </c>
      <c r="CI40">
        <v>1</v>
      </c>
      <c r="CJ40" t="s">
        <v>7</v>
      </c>
      <c r="CK40">
        <v>55296</v>
      </c>
      <c r="CL40">
        <v>192</v>
      </c>
      <c r="CM40">
        <v>2</v>
      </c>
      <c r="CN40">
        <v>8</v>
      </c>
      <c r="CO40">
        <v>775.39</v>
      </c>
      <c r="CP40" s="1">
        <v>145.37</v>
      </c>
      <c r="CQ40" s="23">
        <v>45565</v>
      </c>
      <c r="CR40" s="46">
        <v>0.63899305555555552</v>
      </c>
      <c r="CS40" s="20">
        <f>CS39</f>
        <v>145.642</v>
      </c>
      <c r="CT40" t="e">
        <f t="shared" ref="CT40" si="56">CT39</f>
        <v>#REF!</v>
      </c>
    </row>
    <row r="41" spans="1:98">
      <c r="A41" t="s">
        <v>103</v>
      </c>
      <c r="B41">
        <v>2</v>
      </c>
      <c r="C41" t="s">
        <v>7</v>
      </c>
      <c r="D41">
        <v>55200</v>
      </c>
      <c r="E41">
        <v>32</v>
      </c>
      <c r="F41">
        <v>4</v>
      </c>
      <c r="G41">
        <v>4</v>
      </c>
      <c r="H41" s="1">
        <v>2436.79</v>
      </c>
      <c r="I41" s="54">
        <v>46.018000000000001</v>
      </c>
      <c r="J41" s="23">
        <v>45548</v>
      </c>
      <c r="K41" s="46">
        <v>0.87002314814814818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20">
        <f t="shared" si="51"/>
        <v>45.969399999999993</v>
      </c>
      <c r="Z41" t="s">
        <v>154</v>
      </c>
      <c r="AA41">
        <v>2</v>
      </c>
      <c r="AB41" t="s">
        <v>7</v>
      </c>
      <c r="AC41">
        <v>55200</v>
      </c>
      <c r="AD41">
        <v>32</v>
      </c>
      <c r="AE41">
        <v>4</v>
      </c>
      <c r="AF41">
        <v>4</v>
      </c>
      <c r="AG41">
        <v>2525.94</v>
      </c>
      <c r="AH41" s="20">
        <v>44.393999999999998</v>
      </c>
      <c r="AI41" s="23">
        <v>45555</v>
      </c>
      <c r="AJ41" s="46">
        <v>0.63754629629629633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 s="20">
        <f t="shared" si="52"/>
        <v>44.470800000000004</v>
      </c>
      <c r="AY41">
        <v>2</v>
      </c>
      <c r="AZ41" t="s">
        <v>7</v>
      </c>
      <c r="BA41">
        <v>51968</v>
      </c>
      <c r="BB41">
        <v>256</v>
      </c>
      <c r="BC41">
        <v>2</v>
      </c>
      <c r="BD41">
        <v>8</v>
      </c>
      <c r="BE41">
        <v>646.78</v>
      </c>
      <c r="BF41" s="1">
        <v>144.66999999999999</v>
      </c>
      <c r="BG41" s="23">
        <v>45562</v>
      </c>
      <c r="BH41" s="46">
        <v>0.57268518518518519</v>
      </c>
      <c r="BI41" s="20">
        <f>BI40</f>
        <v>144.744</v>
      </c>
      <c r="BJ41" t="e">
        <f t="shared" si="13"/>
        <v>#REF!</v>
      </c>
      <c r="BK41">
        <v>2</v>
      </c>
      <c r="BL41" t="s">
        <v>7</v>
      </c>
      <c r="BM41">
        <v>51968</v>
      </c>
      <c r="BN41">
        <v>256</v>
      </c>
      <c r="BO41">
        <v>2</v>
      </c>
      <c r="BP41">
        <v>8</v>
      </c>
      <c r="BQ41">
        <v>636.19000000000005</v>
      </c>
      <c r="BR41" s="49">
        <v>147.08000000000001</v>
      </c>
      <c r="BS41" s="23">
        <v>45563</v>
      </c>
      <c r="BT41" s="46">
        <v>9.8657407407407402E-2</v>
      </c>
      <c r="BU41" s="20">
        <f>BU40</f>
        <v>146.46200000000002</v>
      </c>
      <c r="BV41" t="e">
        <f t="shared" si="14"/>
        <v>#REF!</v>
      </c>
      <c r="BW41">
        <v>2</v>
      </c>
      <c r="BX41" t="s">
        <v>7</v>
      </c>
      <c r="BY41">
        <v>51968</v>
      </c>
      <c r="BZ41">
        <v>256</v>
      </c>
      <c r="CA41">
        <v>2</v>
      </c>
      <c r="CB41">
        <v>8</v>
      </c>
      <c r="CC41">
        <v>638.49</v>
      </c>
      <c r="CD41" s="60">
        <v>146.55000000000001</v>
      </c>
      <c r="CE41" s="23">
        <v>45565</v>
      </c>
      <c r="CF41" s="46">
        <v>0.10148148148148148</v>
      </c>
      <c r="CG41" s="20">
        <f>CG40</f>
        <v>145.02200000000002</v>
      </c>
      <c r="CH41" t="e">
        <f t="shared" si="15"/>
        <v>#REF!</v>
      </c>
      <c r="CI41">
        <v>2</v>
      </c>
      <c r="CJ41" t="s">
        <v>7</v>
      </c>
      <c r="CK41">
        <v>55296</v>
      </c>
      <c r="CL41">
        <v>192</v>
      </c>
      <c r="CM41">
        <v>2</v>
      </c>
      <c r="CN41">
        <v>8</v>
      </c>
      <c r="CO41">
        <v>772.61</v>
      </c>
      <c r="CP41" s="1">
        <v>145.9</v>
      </c>
      <c r="CQ41" s="23">
        <v>45565</v>
      </c>
      <c r="CR41" s="46">
        <v>0.72090277777777778</v>
      </c>
      <c r="CS41" s="20">
        <f>CS40</f>
        <v>145.642</v>
      </c>
      <c r="CT41" t="e">
        <f t="shared" si="16"/>
        <v>#REF!</v>
      </c>
    </row>
    <row r="42" spans="1:98">
      <c r="A42" t="s">
        <v>103</v>
      </c>
      <c r="B42">
        <v>3</v>
      </c>
      <c r="C42" t="s">
        <v>7</v>
      </c>
      <c r="D42">
        <v>55200</v>
      </c>
      <c r="E42">
        <v>32</v>
      </c>
      <c r="F42">
        <v>4</v>
      </c>
      <c r="G42">
        <v>4</v>
      </c>
      <c r="H42">
        <v>2438.3000000000002</v>
      </c>
      <c r="I42" s="54">
        <v>45.988999999999997</v>
      </c>
      <c r="J42" s="23">
        <v>45549</v>
      </c>
      <c r="K42" s="46">
        <v>0.9591319444444445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20">
        <f t="shared" si="51"/>
        <v>45.969399999999993</v>
      </c>
      <c r="Z42" t="s">
        <v>154</v>
      </c>
      <c r="AA42">
        <v>3</v>
      </c>
      <c r="AB42" t="s">
        <v>7</v>
      </c>
      <c r="AC42">
        <v>55200</v>
      </c>
      <c r="AD42">
        <v>32</v>
      </c>
      <c r="AE42">
        <v>4</v>
      </c>
      <c r="AF42">
        <v>4</v>
      </c>
      <c r="AG42">
        <v>2515.7399999999998</v>
      </c>
      <c r="AH42" s="20">
        <v>44.573999999999998</v>
      </c>
      <c r="AI42" s="23">
        <v>45556</v>
      </c>
      <c r="AJ42" s="46">
        <v>0.59043981481481478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 s="20">
        <f t="shared" si="52"/>
        <v>44.470800000000004</v>
      </c>
      <c r="AY42">
        <v>3</v>
      </c>
      <c r="AZ42" t="s">
        <v>7</v>
      </c>
      <c r="BA42">
        <v>51968</v>
      </c>
      <c r="BB42">
        <v>256</v>
      </c>
      <c r="BC42">
        <v>2</v>
      </c>
      <c r="BD42">
        <v>8</v>
      </c>
      <c r="BE42">
        <v>652.22</v>
      </c>
      <c r="BF42" s="1">
        <v>143.46</v>
      </c>
      <c r="BG42" s="23">
        <v>45562</v>
      </c>
      <c r="BH42" s="46">
        <v>0.6602662037037037</v>
      </c>
      <c r="BI42" s="20">
        <f>BI41</f>
        <v>144.744</v>
      </c>
      <c r="BJ42" t="e">
        <f t="shared" si="13"/>
        <v>#REF!</v>
      </c>
      <c r="BK42">
        <v>3</v>
      </c>
      <c r="BL42" t="s">
        <v>7</v>
      </c>
      <c r="BM42">
        <v>51968</v>
      </c>
      <c r="BN42">
        <v>256</v>
      </c>
      <c r="BO42">
        <v>2</v>
      </c>
      <c r="BP42">
        <v>8</v>
      </c>
      <c r="BQ42">
        <v>637.17999999999995</v>
      </c>
      <c r="BR42" s="49">
        <v>146.85</v>
      </c>
      <c r="BS42" s="23">
        <v>45563</v>
      </c>
      <c r="BT42" s="46">
        <v>0.1804050925925926</v>
      </c>
      <c r="BU42" s="20">
        <f>BU41</f>
        <v>146.46200000000002</v>
      </c>
      <c r="BV42" t="e">
        <f t="shared" si="14"/>
        <v>#REF!</v>
      </c>
      <c r="BW42">
        <v>3</v>
      </c>
      <c r="BX42" t="s">
        <v>7</v>
      </c>
      <c r="BY42">
        <v>51968</v>
      </c>
      <c r="BZ42">
        <v>256</v>
      </c>
      <c r="CA42">
        <v>2</v>
      </c>
      <c r="CB42">
        <v>8</v>
      </c>
      <c r="CC42">
        <v>641.48</v>
      </c>
      <c r="CD42" s="60">
        <v>145.86000000000001</v>
      </c>
      <c r="CE42" s="23">
        <v>45565</v>
      </c>
      <c r="CF42" s="46">
        <v>0.18834490740740742</v>
      </c>
      <c r="CG42" s="20">
        <f>CG41</f>
        <v>145.02200000000002</v>
      </c>
      <c r="CH42" t="e">
        <f t="shared" si="15"/>
        <v>#REF!</v>
      </c>
      <c r="CI42">
        <v>3</v>
      </c>
      <c r="CJ42" t="s">
        <v>7</v>
      </c>
      <c r="CK42">
        <v>55296</v>
      </c>
      <c r="CL42">
        <v>192</v>
      </c>
      <c r="CM42">
        <v>2</v>
      </c>
      <c r="CN42">
        <v>8</v>
      </c>
      <c r="CO42">
        <v>773.96</v>
      </c>
      <c r="CP42" s="1">
        <v>145.63999999999999</v>
      </c>
      <c r="CQ42" s="23">
        <v>45565</v>
      </c>
      <c r="CR42" s="46">
        <v>0.80341435185185184</v>
      </c>
      <c r="CS42" s="20">
        <f>CS41</f>
        <v>145.642</v>
      </c>
      <c r="CT42" t="e">
        <f t="shared" si="16"/>
        <v>#REF!</v>
      </c>
    </row>
    <row r="43" spans="1:98">
      <c r="A43" t="s">
        <v>103</v>
      </c>
      <c r="B43">
        <v>4</v>
      </c>
      <c r="C43" t="s">
        <v>7</v>
      </c>
      <c r="D43">
        <v>55200</v>
      </c>
      <c r="E43">
        <v>32</v>
      </c>
      <c r="F43">
        <v>4</v>
      </c>
      <c r="G43">
        <v>4</v>
      </c>
      <c r="H43">
        <v>2439.4699999999998</v>
      </c>
      <c r="I43" s="54">
        <v>45.966999999999999</v>
      </c>
      <c r="J43" s="23">
        <v>45551</v>
      </c>
      <c r="K43" s="46">
        <v>4.8425925925925928E-2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20">
        <f t="shared" si="51"/>
        <v>45.969399999999993</v>
      </c>
      <c r="Z43" t="s">
        <v>154</v>
      </c>
      <c r="AA43">
        <v>4</v>
      </c>
      <c r="AB43" t="s">
        <v>7</v>
      </c>
      <c r="AC43">
        <v>55200</v>
      </c>
      <c r="AD43">
        <v>32</v>
      </c>
      <c r="AE43">
        <v>4</v>
      </c>
      <c r="AF43">
        <v>4</v>
      </c>
      <c r="AG43">
        <v>2523.23</v>
      </c>
      <c r="AH43" s="20">
        <v>44.441000000000003</v>
      </c>
      <c r="AI43" s="23">
        <v>45557</v>
      </c>
      <c r="AJ43" s="46">
        <v>0.54326388888888888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 s="20">
        <f t="shared" si="52"/>
        <v>44.470800000000004</v>
      </c>
      <c r="AY43">
        <v>4</v>
      </c>
      <c r="AZ43" t="s">
        <v>7</v>
      </c>
      <c r="BA43">
        <v>51968</v>
      </c>
      <c r="BB43">
        <v>256</v>
      </c>
      <c r="BC43">
        <v>2</v>
      </c>
      <c r="BD43">
        <v>8</v>
      </c>
      <c r="BE43">
        <v>644.16999999999996</v>
      </c>
      <c r="BF43" s="1">
        <v>145.26</v>
      </c>
      <c r="BG43" s="23">
        <v>45562</v>
      </c>
      <c r="BH43" s="46">
        <v>0.74759259259259259</v>
      </c>
      <c r="BI43" s="20">
        <f>BI42</f>
        <v>144.744</v>
      </c>
      <c r="BJ43" t="e">
        <f t="shared" si="13"/>
        <v>#REF!</v>
      </c>
      <c r="BK43">
        <v>4</v>
      </c>
      <c r="BL43" t="s">
        <v>7</v>
      </c>
      <c r="BM43">
        <v>51968</v>
      </c>
      <c r="BN43">
        <v>256</v>
      </c>
      <c r="BO43">
        <v>2</v>
      </c>
      <c r="BP43">
        <v>8</v>
      </c>
      <c r="BQ43">
        <v>637.41999999999996</v>
      </c>
      <c r="BR43" s="49">
        <v>146.79</v>
      </c>
      <c r="BS43" s="23">
        <v>45563</v>
      </c>
      <c r="BT43" s="46">
        <v>0.26231481481481483</v>
      </c>
      <c r="BU43" s="20">
        <f>BU42</f>
        <v>146.46200000000002</v>
      </c>
      <c r="BV43" t="e">
        <f t="shared" si="14"/>
        <v>#REF!</v>
      </c>
      <c r="BW43">
        <v>4</v>
      </c>
      <c r="BX43" t="s">
        <v>7</v>
      </c>
      <c r="BY43">
        <v>51968</v>
      </c>
      <c r="BZ43">
        <v>256</v>
      </c>
      <c r="CA43">
        <v>2</v>
      </c>
      <c r="CB43">
        <v>8</v>
      </c>
      <c r="CC43">
        <v>645.57000000000005</v>
      </c>
      <c r="CD43" s="60">
        <v>144.94</v>
      </c>
      <c r="CE43" s="23">
        <v>45565</v>
      </c>
      <c r="CF43" s="46">
        <v>0.27533564814814815</v>
      </c>
      <c r="CG43" s="20">
        <f>CG42</f>
        <v>145.02200000000002</v>
      </c>
      <c r="CH43" t="e">
        <f t="shared" si="15"/>
        <v>#REF!</v>
      </c>
      <c r="CI43">
        <v>4</v>
      </c>
      <c r="CJ43" t="s">
        <v>7</v>
      </c>
      <c r="CK43">
        <v>55296</v>
      </c>
      <c r="CL43">
        <v>192</v>
      </c>
      <c r="CM43">
        <v>2</v>
      </c>
      <c r="CN43">
        <v>8</v>
      </c>
      <c r="CO43">
        <v>774.27</v>
      </c>
      <c r="CP43" s="1">
        <v>145.58000000000001</v>
      </c>
      <c r="CQ43" s="23">
        <v>45565</v>
      </c>
      <c r="CR43" s="46">
        <v>0.88539351851851855</v>
      </c>
      <c r="CS43" s="20">
        <f>CS42</f>
        <v>145.642</v>
      </c>
      <c r="CT43" t="e">
        <f t="shared" si="16"/>
        <v>#REF!</v>
      </c>
    </row>
    <row r="44" spans="1:98">
      <c r="A44" t="s">
        <v>103</v>
      </c>
      <c r="B44">
        <v>0</v>
      </c>
      <c r="C44" t="s">
        <v>7</v>
      </c>
      <c r="D44">
        <v>58400</v>
      </c>
      <c r="E44">
        <v>32</v>
      </c>
      <c r="F44">
        <v>4</v>
      </c>
      <c r="G44">
        <v>4</v>
      </c>
      <c r="H44" s="1">
        <v>2956.87</v>
      </c>
      <c r="I44" s="54">
        <v>44.908999999999999</v>
      </c>
      <c r="J44" s="23">
        <v>45547</v>
      </c>
      <c r="K44" s="46">
        <v>7.1064814814814817E-2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51">
        <f t="shared" ref="X44" si="57">AVERAGE(I44:I48)</f>
        <v>44.854800000000004</v>
      </c>
      <c r="Z44" t="s">
        <v>154</v>
      </c>
      <c r="AA44">
        <v>0</v>
      </c>
      <c r="AB44" t="s">
        <v>7</v>
      </c>
      <c r="AC44">
        <v>58400</v>
      </c>
      <c r="AD44">
        <v>32</v>
      </c>
      <c r="AE44">
        <v>4</v>
      </c>
      <c r="AF44">
        <v>4</v>
      </c>
      <c r="AG44">
        <v>3087.57</v>
      </c>
      <c r="AH44" s="20">
        <v>43.008000000000003</v>
      </c>
      <c r="AI44" s="23">
        <v>45554</v>
      </c>
      <c r="AJ44" s="46">
        <v>6.5706018518518525E-2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 s="51">
        <f t="shared" ref="AW44" si="58">AVERAGE(AH44:AH48)</f>
        <v>42.922000000000004</v>
      </c>
      <c r="AY44">
        <v>0</v>
      </c>
      <c r="AZ44" t="s">
        <v>7</v>
      </c>
      <c r="BA44">
        <v>55296</v>
      </c>
      <c r="BB44">
        <v>192</v>
      </c>
      <c r="BC44">
        <v>2</v>
      </c>
      <c r="BD44">
        <v>8</v>
      </c>
      <c r="BE44">
        <v>780.74</v>
      </c>
      <c r="BF44" s="1">
        <v>144.38</v>
      </c>
      <c r="BG44" s="23">
        <v>45562</v>
      </c>
      <c r="BH44" s="46">
        <v>0.40752314814814816</v>
      </c>
      <c r="BI44" s="51">
        <f>AVERAGE(BF44:BF48)</f>
        <v>144.12799999999999</v>
      </c>
      <c r="BJ44" t="e">
        <f>100-(BI44/#REF!*100)</f>
        <v>#REF!</v>
      </c>
      <c r="BK44">
        <v>0</v>
      </c>
      <c r="BL44" t="s">
        <v>7</v>
      </c>
      <c r="BM44">
        <v>55296</v>
      </c>
      <c r="BN44">
        <v>192</v>
      </c>
      <c r="BO44">
        <v>2</v>
      </c>
      <c r="BP44">
        <v>8</v>
      </c>
      <c r="BQ44">
        <v>773.57</v>
      </c>
      <c r="BR44" s="49">
        <v>145.72</v>
      </c>
      <c r="BS44" s="23">
        <v>45562</v>
      </c>
      <c r="BT44" s="46">
        <v>0.94405092592592588</v>
      </c>
      <c r="BU44" s="51">
        <f>AVERAGE(BR44:BR48)</f>
        <v>145.71799999999999</v>
      </c>
      <c r="BV44" t="e">
        <f>100-(BU44/#REF!*100)</f>
        <v>#REF!</v>
      </c>
      <c r="BW44">
        <v>0</v>
      </c>
      <c r="BX44" t="s">
        <v>7</v>
      </c>
      <c r="BY44">
        <v>55296</v>
      </c>
      <c r="BZ44">
        <v>192</v>
      </c>
      <c r="CA44">
        <v>2</v>
      </c>
      <c r="CB44">
        <v>8</v>
      </c>
      <c r="CC44">
        <v>779.07</v>
      </c>
      <c r="CD44" s="60">
        <v>144.69</v>
      </c>
      <c r="CE44" s="23">
        <v>45564</v>
      </c>
      <c r="CF44" s="46">
        <v>0.93733796296296301</v>
      </c>
      <c r="CG44" s="51">
        <f>AVERAGE(CD44:CD48)</f>
        <v>144.94200000000001</v>
      </c>
      <c r="CH44" t="e">
        <f>100-(CG44/#REF!*100)</f>
        <v>#REF!</v>
      </c>
      <c r="CI44">
        <v>0</v>
      </c>
      <c r="CJ44" t="s">
        <v>7</v>
      </c>
      <c r="CK44">
        <v>51968</v>
      </c>
      <c r="CL44">
        <v>256</v>
      </c>
      <c r="CM44">
        <v>2</v>
      </c>
      <c r="CN44">
        <v>8</v>
      </c>
      <c r="CO44">
        <v>643.63</v>
      </c>
      <c r="CP44" s="1">
        <v>145.38</v>
      </c>
      <c r="CQ44" s="23">
        <v>45565</v>
      </c>
      <c r="CR44" s="46">
        <v>0.54771990740740739</v>
      </c>
      <c r="CS44" s="51">
        <f>AVERAGE(CP44:CP48)</f>
        <v>144.898</v>
      </c>
      <c r="CT44" t="e">
        <f>100-(CS44/#REF!*100)</f>
        <v>#REF!</v>
      </c>
    </row>
    <row r="45" spans="1:98">
      <c r="A45" t="s">
        <v>103</v>
      </c>
      <c r="B45">
        <v>1</v>
      </c>
      <c r="C45" t="s">
        <v>7</v>
      </c>
      <c r="D45">
        <v>58400</v>
      </c>
      <c r="E45">
        <v>32</v>
      </c>
      <c r="F45">
        <v>4</v>
      </c>
      <c r="G45">
        <v>4</v>
      </c>
      <c r="H45">
        <v>2960.84</v>
      </c>
      <c r="I45" s="54">
        <v>44.848999999999997</v>
      </c>
      <c r="J45" s="23">
        <v>45548</v>
      </c>
      <c r="K45" s="46">
        <v>0.16361111111111112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20">
        <f t="shared" ref="X45:X48" si="59">X44</f>
        <v>44.854800000000004</v>
      </c>
      <c r="Z45" t="s">
        <v>154</v>
      </c>
      <c r="AA45">
        <v>1</v>
      </c>
      <c r="AB45" t="s">
        <v>7</v>
      </c>
      <c r="AC45">
        <v>58400</v>
      </c>
      <c r="AD45">
        <v>32</v>
      </c>
      <c r="AE45">
        <v>4</v>
      </c>
      <c r="AF45">
        <v>4</v>
      </c>
      <c r="AG45">
        <v>3101.37</v>
      </c>
      <c r="AH45" s="20">
        <v>42.816000000000003</v>
      </c>
      <c r="AI45" s="23">
        <v>45555</v>
      </c>
      <c r="AJ45" s="46">
        <v>1.8020833333333333E-2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 s="20">
        <f t="shared" ref="AW45:AW48" si="60">AW44</f>
        <v>42.922000000000004</v>
      </c>
      <c r="AY45">
        <v>1</v>
      </c>
      <c r="AZ45" t="s">
        <v>7</v>
      </c>
      <c r="BA45">
        <v>55296</v>
      </c>
      <c r="BB45">
        <v>192</v>
      </c>
      <c r="BC45">
        <v>2</v>
      </c>
      <c r="BD45">
        <v>8</v>
      </c>
      <c r="BE45">
        <v>782.16</v>
      </c>
      <c r="BF45" s="1">
        <v>144.12</v>
      </c>
      <c r="BG45" s="23">
        <v>45562</v>
      </c>
      <c r="BH45" s="46">
        <v>0.49481481481481482</v>
      </c>
      <c r="BI45" s="20">
        <f>BI44</f>
        <v>144.12799999999999</v>
      </c>
      <c r="BJ45" t="e">
        <f t="shared" ref="BJ45" si="61">BJ44</f>
        <v>#REF!</v>
      </c>
      <c r="BK45">
        <v>1</v>
      </c>
      <c r="BL45" t="s">
        <v>7</v>
      </c>
      <c r="BM45">
        <v>55296</v>
      </c>
      <c r="BN45">
        <v>192</v>
      </c>
      <c r="BO45">
        <v>2</v>
      </c>
      <c r="BP45">
        <v>8</v>
      </c>
      <c r="BQ45">
        <v>773.02</v>
      </c>
      <c r="BR45" s="49">
        <v>145.82</v>
      </c>
      <c r="BS45" s="23">
        <v>45563</v>
      </c>
      <c r="BT45" s="46">
        <v>2.6087962962962962E-2</v>
      </c>
      <c r="BU45" s="20">
        <f>BU44</f>
        <v>145.71799999999999</v>
      </c>
      <c r="BV45" t="e">
        <f t="shared" ref="BV45" si="62">BV44</f>
        <v>#REF!</v>
      </c>
      <c r="BW45">
        <v>1</v>
      </c>
      <c r="BX45" t="s">
        <v>7</v>
      </c>
      <c r="BY45">
        <v>55296</v>
      </c>
      <c r="BZ45">
        <v>192</v>
      </c>
      <c r="CA45">
        <v>2</v>
      </c>
      <c r="CB45">
        <v>8</v>
      </c>
      <c r="CC45">
        <v>776.51</v>
      </c>
      <c r="CD45" s="60">
        <v>145.16</v>
      </c>
      <c r="CE45" s="23">
        <v>45565</v>
      </c>
      <c r="CF45" s="46">
        <v>2.4305555555555556E-2</v>
      </c>
      <c r="CG45" s="20">
        <f>CG44</f>
        <v>144.94200000000001</v>
      </c>
      <c r="CH45" t="e">
        <f t="shared" ref="CH45" si="63">CH44</f>
        <v>#REF!</v>
      </c>
      <c r="CI45">
        <v>1</v>
      </c>
      <c r="CJ45" t="s">
        <v>7</v>
      </c>
      <c r="CK45">
        <v>51968</v>
      </c>
      <c r="CL45">
        <v>256</v>
      </c>
      <c r="CM45">
        <v>2</v>
      </c>
      <c r="CN45">
        <v>8</v>
      </c>
      <c r="CO45">
        <v>645.84</v>
      </c>
      <c r="CP45" s="1">
        <v>144.88</v>
      </c>
      <c r="CQ45" s="23">
        <v>45565</v>
      </c>
      <c r="CR45" s="46">
        <v>0.62975694444444441</v>
      </c>
      <c r="CS45" s="20">
        <f>CS44</f>
        <v>144.898</v>
      </c>
      <c r="CT45" t="e">
        <f t="shared" ref="CT45" si="64">CT44</f>
        <v>#REF!</v>
      </c>
    </row>
    <row r="46" spans="1:98">
      <c r="A46" t="s">
        <v>103</v>
      </c>
      <c r="B46">
        <v>2</v>
      </c>
      <c r="C46" t="s">
        <v>7</v>
      </c>
      <c r="D46">
        <v>58400</v>
      </c>
      <c r="E46">
        <v>32</v>
      </c>
      <c r="F46">
        <v>4</v>
      </c>
      <c r="G46">
        <v>4</v>
      </c>
      <c r="H46">
        <v>2958.36</v>
      </c>
      <c r="I46" s="54">
        <v>44.886000000000003</v>
      </c>
      <c r="J46" s="23">
        <v>45549</v>
      </c>
      <c r="K46" s="46">
        <v>0.25354166666666667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20">
        <f t="shared" si="59"/>
        <v>44.854800000000004</v>
      </c>
      <c r="Z46" t="s">
        <v>154</v>
      </c>
      <c r="AA46">
        <v>2</v>
      </c>
      <c r="AB46" t="s">
        <v>7</v>
      </c>
      <c r="AC46">
        <v>58400</v>
      </c>
      <c r="AD46">
        <v>32</v>
      </c>
      <c r="AE46">
        <v>4</v>
      </c>
      <c r="AF46">
        <v>4</v>
      </c>
      <c r="AG46">
        <v>3106.2</v>
      </c>
      <c r="AH46" s="20">
        <v>42.75</v>
      </c>
      <c r="AI46" s="23">
        <v>45555</v>
      </c>
      <c r="AJ46" s="46">
        <v>0.97052083333333339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 s="20">
        <f t="shared" si="60"/>
        <v>42.922000000000004</v>
      </c>
      <c r="AY46">
        <v>2</v>
      </c>
      <c r="AZ46" t="s">
        <v>7</v>
      </c>
      <c r="BA46">
        <v>55296</v>
      </c>
      <c r="BB46">
        <v>192</v>
      </c>
      <c r="BC46">
        <v>2</v>
      </c>
      <c r="BD46">
        <v>8</v>
      </c>
      <c r="BE46">
        <v>782.68</v>
      </c>
      <c r="BF46" s="1">
        <v>144.02000000000001</v>
      </c>
      <c r="BG46" s="23">
        <v>45562</v>
      </c>
      <c r="BH46" s="46">
        <v>0.58251157407407406</v>
      </c>
      <c r="BI46" s="20">
        <f>BI45</f>
        <v>144.12799999999999</v>
      </c>
      <c r="BJ46" t="e">
        <f t="shared" si="13"/>
        <v>#REF!</v>
      </c>
      <c r="BK46">
        <v>2</v>
      </c>
      <c r="BL46" t="s">
        <v>7</v>
      </c>
      <c r="BM46">
        <v>55296</v>
      </c>
      <c r="BN46">
        <v>192</v>
      </c>
      <c r="BO46">
        <v>2</v>
      </c>
      <c r="BP46">
        <v>8</v>
      </c>
      <c r="BQ46">
        <v>772.6</v>
      </c>
      <c r="BR46" s="49">
        <v>145.9</v>
      </c>
      <c r="BS46" s="23">
        <v>45563</v>
      </c>
      <c r="BT46" s="46">
        <v>0.1078587962962963</v>
      </c>
      <c r="BU46" s="20">
        <f>BU45</f>
        <v>145.71799999999999</v>
      </c>
      <c r="BV46" t="e">
        <f t="shared" si="14"/>
        <v>#REF!</v>
      </c>
      <c r="BW46">
        <v>2</v>
      </c>
      <c r="BX46" t="s">
        <v>7</v>
      </c>
      <c r="BY46">
        <v>55296</v>
      </c>
      <c r="BZ46">
        <v>192</v>
      </c>
      <c r="CA46">
        <v>2</v>
      </c>
      <c r="CB46">
        <v>8</v>
      </c>
      <c r="CC46">
        <v>784.09</v>
      </c>
      <c r="CD46" s="60">
        <v>143.76</v>
      </c>
      <c r="CE46" s="23">
        <v>45565</v>
      </c>
      <c r="CF46" s="46">
        <v>0.11131944444444444</v>
      </c>
      <c r="CG46" s="20">
        <f>CG45</f>
        <v>144.94200000000001</v>
      </c>
      <c r="CH46" t="e">
        <f t="shared" si="15"/>
        <v>#REF!</v>
      </c>
      <c r="CI46">
        <v>2</v>
      </c>
      <c r="CJ46" t="s">
        <v>7</v>
      </c>
      <c r="CK46">
        <v>51968</v>
      </c>
      <c r="CL46">
        <v>256</v>
      </c>
      <c r="CM46">
        <v>2</v>
      </c>
      <c r="CN46">
        <v>8</v>
      </c>
      <c r="CO46">
        <v>640.85</v>
      </c>
      <c r="CP46" s="1">
        <v>146.01</v>
      </c>
      <c r="CQ46" s="23">
        <v>45565</v>
      </c>
      <c r="CR46" s="46">
        <v>0.71168981481481486</v>
      </c>
      <c r="CS46" s="20">
        <f>CS45</f>
        <v>144.898</v>
      </c>
      <c r="CT46" t="e">
        <f t="shared" si="16"/>
        <v>#REF!</v>
      </c>
    </row>
    <row r="47" spans="1:98">
      <c r="A47" t="s">
        <v>103</v>
      </c>
      <c r="B47">
        <v>3</v>
      </c>
      <c r="C47" t="s">
        <v>7</v>
      </c>
      <c r="D47">
        <v>58400</v>
      </c>
      <c r="E47">
        <v>32</v>
      </c>
      <c r="F47">
        <v>4</v>
      </c>
      <c r="G47">
        <v>4</v>
      </c>
      <c r="H47">
        <v>2962.81</v>
      </c>
      <c r="I47" s="54">
        <v>44.819000000000003</v>
      </c>
      <c r="J47" s="23">
        <v>45550</v>
      </c>
      <c r="K47" s="46">
        <v>0.34284722222222225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20">
        <f t="shared" si="59"/>
        <v>44.854800000000004</v>
      </c>
      <c r="Z47" t="s">
        <v>154</v>
      </c>
      <c r="AA47">
        <v>3</v>
      </c>
      <c r="AB47" t="s">
        <v>7</v>
      </c>
      <c r="AC47">
        <v>58400</v>
      </c>
      <c r="AD47">
        <v>32</v>
      </c>
      <c r="AE47">
        <v>4</v>
      </c>
      <c r="AF47">
        <v>4</v>
      </c>
      <c r="AG47">
        <v>3085.3</v>
      </c>
      <c r="AH47" s="20">
        <v>43.039000000000001</v>
      </c>
      <c r="AI47" s="23">
        <v>45556</v>
      </c>
      <c r="AJ47" s="46">
        <v>0.92371527777777773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 s="20">
        <f t="shared" si="60"/>
        <v>42.922000000000004</v>
      </c>
      <c r="AY47">
        <v>3</v>
      </c>
      <c r="AZ47" t="s">
        <v>7</v>
      </c>
      <c r="BA47">
        <v>55296</v>
      </c>
      <c r="BB47">
        <v>192</v>
      </c>
      <c r="BC47">
        <v>2</v>
      </c>
      <c r="BD47">
        <v>8</v>
      </c>
      <c r="BE47">
        <v>783.41</v>
      </c>
      <c r="BF47" s="1">
        <v>143.88999999999999</v>
      </c>
      <c r="BG47" s="23">
        <v>45562</v>
      </c>
      <c r="BH47" s="46">
        <v>0.67009259259259257</v>
      </c>
      <c r="BI47" s="20">
        <f>BI46</f>
        <v>144.12799999999999</v>
      </c>
      <c r="BJ47" t="e">
        <f t="shared" si="13"/>
        <v>#REF!</v>
      </c>
      <c r="BK47">
        <v>3</v>
      </c>
      <c r="BL47" t="s">
        <v>7</v>
      </c>
      <c r="BM47">
        <v>55296</v>
      </c>
      <c r="BN47">
        <v>192</v>
      </c>
      <c r="BO47">
        <v>2</v>
      </c>
      <c r="BP47">
        <v>8</v>
      </c>
      <c r="BQ47">
        <v>772.65</v>
      </c>
      <c r="BR47" s="49">
        <v>145.88999999999999</v>
      </c>
      <c r="BS47" s="23">
        <v>45563</v>
      </c>
      <c r="BT47" s="46">
        <v>0.18960648148148149</v>
      </c>
      <c r="BU47" s="20">
        <f>BU46</f>
        <v>145.71799999999999</v>
      </c>
      <c r="BV47" t="e">
        <f t="shared" si="14"/>
        <v>#REF!</v>
      </c>
      <c r="BW47">
        <v>3</v>
      </c>
      <c r="BX47" t="s">
        <v>7</v>
      </c>
      <c r="BY47">
        <v>55296</v>
      </c>
      <c r="BZ47">
        <v>192</v>
      </c>
      <c r="CA47">
        <v>2</v>
      </c>
      <c r="CB47">
        <v>8</v>
      </c>
      <c r="CC47">
        <v>774.48</v>
      </c>
      <c r="CD47" s="60">
        <v>145.55000000000001</v>
      </c>
      <c r="CE47" s="23">
        <v>45565</v>
      </c>
      <c r="CF47" s="46">
        <v>0.1980787037037037</v>
      </c>
      <c r="CG47" s="20">
        <f>CG46</f>
        <v>144.94200000000001</v>
      </c>
      <c r="CH47" t="e">
        <f t="shared" si="15"/>
        <v>#REF!</v>
      </c>
      <c r="CI47">
        <v>3</v>
      </c>
      <c r="CJ47" t="s">
        <v>7</v>
      </c>
      <c r="CK47">
        <v>51968</v>
      </c>
      <c r="CL47">
        <v>256</v>
      </c>
      <c r="CM47">
        <v>2</v>
      </c>
      <c r="CN47">
        <v>8</v>
      </c>
      <c r="CO47">
        <v>655.99</v>
      </c>
      <c r="CP47" s="1">
        <v>142.63999999999999</v>
      </c>
      <c r="CQ47" s="23">
        <v>45565</v>
      </c>
      <c r="CR47" s="46">
        <v>0.79418981481481477</v>
      </c>
      <c r="CS47" s="20">
        <f>CS46</f>
        <v>144.898</v>
      </c>
      <c r="CT47" t="e">
        <f t="shared" si="16"/>
        <v>#REF!</v>
      </c>
    </row>
    <row r="48" spans="1:98">
      <c r="A48" t="s">
        <v>103</v>
      </c>
      <c r="B48">
        <v>4</v>
      </c>
      <c r="C48" t="s">
        <v>7</v>
      </c>
      <c r="D48">
        <v>58400</v>
      </c>
      <c r="E48">
        <v>32</v>
      </c>
      <c r="F48">
        <v>4</v>
      </c>
      <c r="G48">
        <v>4</v>
      </c>
      <c r="H48">
        <v>2963.33</v>
      </c>
      <c r="I48" s="54">
        <v>44.811</v>
      </c>
      <c r="J48" s="23">
        <v>45551</v>
      </c>
      <c r="K48" s="46">
        <v>0.43119212962962961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20">
        <f t="shared" si="59"/>
        <v>44.854800000000004</v>
      </c>
      <c r="Z48" t="s">
        <v>154</v>
      </c>
      <c r="AA48">
        <v>4</v>
      </c>
      <c r="AB48" t="s">
        <v>7</v>
      </c>
      <c r="AC48">
        <v>58400</v>
      </c>
      <c r="AD48">
        <v>32</v>
      </c>
      <c r="AE48">
        <v>4</v>
      </c>
      <c r="AF48">
        <v>4</v>
      </c>
      <c r="AG48">
        <v>3088.35</v>
      </c>
      <c r="AH48" s="20">
        <v>42.997</v>
      </c>
      <c r="AI48" s="23">
        <v>45557</v>
      </c>
      <c r="AJ48" s="46">
        <v>0.87582175925925931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 s="20">
        <f t="shared" si="60"/>
        <v>42.922000000000004</v>
      </c>
      <c r="AY48">
        <v>4</v>
      </c>
      <c r="AZ48" t="s">
        <v>7</v>
      </c>
      <c r="BA48">
        <v>55296</v>
      </c>
      <c r="BB48">
        <v>192</v>
      </c>
      <c r="BC48">
        <v>2</v>
      </c>
      <c r="BD48">
        <v>8</v>
      </c>
      <c r="BE48">
        <v>781.54</v>
      </c>
      <c r="BF48" s="1">
        <v>144.22999999999999</v>
      </c>
      <c r="BG48" s="23">
        <v>45562</v>
      </c>
      <c r="BH48" s="46">
        <v>0.75740740740740742</v>
      </c>
      <c r="BI48" s="20">
        <f>BI47</f>
        <v>144.12799999999999</v>
      </c>
      <c r="BJ48" t="e">
        <f t="shared" si="13"/>
        <v>#REF!</v>
      </c>
      <c r="BK48">
        <v>4</v>
      </c>
      <c r="BL48" t="s">
        <v>7</v>
      </c>
      <c r="BM48">
        <v>55296</v>
      </c>
      <c r="BN48">
        <v>192</v>
      </c>
      <c r="BO48">
        <v>2</v>
      </c>
      <c r="BP48">
        <v>8</v>
      </c>
      <c r="BQ48">
        <v>775.98</v>
      </c>
      <c r="BR48" s="49">
        <v>145.26</v>
      </c>
      <c r="BS48" s="23">
        <v>45563</v>
      </c>
      <c r="BT48" s="46">
        <v>0.27155092592592595</v>
      </c>
      <c r="BU48" s="20">
        <f>BU47</f>
        <v>145.71799999999999</v>
      </c>
      <c r="BV48" t="e">
        <f t="shared" si="14"/>
        <v>#REF!</v>
      </c>
      <c r="BW48">
        <v>4</v>
      </c>
      <c r="BX48" t="s">
        <v>7</v>
      </c>
      <c r="BY48">
        <v>55296</v>
      </c>
      <c r="BZ48">
        <v>192</v>
      </c>
      <c r="CA48">
        <v>2</v>
      </c>
      <c r="CB48">
        <v>8</v>
      </c>
      <c r="CC48">
        <v>774.44</v>
      </c>
      <c r="CD48" s="60">
        <v>145.55000000000001</v>
      </c>
      <c r="CE48" s="23">
        <v>45565</v>
      </c>
      <c r="CF48" s="46">
        <v>0.28505787037037039</v>
      </c>
      <c r="CG48" s="20">
        <f>CG47</f>
        <v>144.94200000000001</v>
      </c>
      <c r="CH48" t="e">
        <f t="shared" si="15"/>
        <v>#REF!</v>
      </c>
      <c r="CI48">
        <v>4</v>
      </c>
      <c r="CJ48" t="s">
        <v>7</v>
      </c>
      <c r="CK48">
        <v>51968</v>
      </c>
      <c r="CL48">
        <v>256</v>
      </c>
      <c r="CM48">
        <v>2</v>
      </c>
      <c r="CN48">
        <v>8</v>
      </c>
      <c r="CO48">
        <v>642.76</v>
      </c>
      <c r="CP48" s="1">
        <v>145.58000000000001</v>
      </c>
      <c r="CQ48" s="23">
        <v>45565</v>
      </c>
      <c r="CR48" s="46">
        <v>0.87616898148148148</v>
      </c>
      <c r="CS48" s="20">
        <f>CS47</f>
        <v>144.898</v>
      </c>
      <c r="CT48" t="e">
        <f t="shared" si="16"/>
        <v>#REF!</v>
      </c>
    </row>
    <row r="49" spans="1:98">
      <c r="A49" t="s">
        <v>103</v>
      </c>
      <c r="B49">
        <v>0</v>
      </c>
      <c r="C49" t="s">
        <v>7</v>
      </c>
      <c r="D49">
        <v>51968</v>
      </c>
      <c r="E49">
        <v>64</v>
      </c>
      <c r="F49">
        <v>1</v>
      </c>
      <c r="G49">
        <v>16</v>
      </c>
      <c r="H49">
        <v>1099.77</v>
      </c>
      <c r="I49" s="54">
        <v>85.081000000000003</v>
      </c>
      <c r="J49" s="23">
        <v>45546</v>
      </c>
      <c r="K49" s="46">
        <v>0.38699074074074075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51">
        <f t="shared" ref="X49" si="65">AVERAGE(I49:I53)</f>
        <v>84.938400000000001</v>
      </c>
      <c r="Z49" t="s">
        <v>154</v>
      </c>
      <c r="AA49">
        <v>0</v>
      </c>
      <c r="AB49" t="s">
        <v>7</v>
      </c>
      <c r="AC49">
        <v>51968</v>
      </c>
      <c r="AD49">
        <v>64</v>
      </c>
      <c r="AE49">
        <v>1</v>
      </c>
      <c r="AF49">
        <v>16</v>
      </c>
      <c r="AG49">
        <v>1031.05</v>
      </c>
      <c r="AH49" s="20">
        <v>90.751999999999995</v>
      </c>
      <c r="AI49" s="23">
        <v>45553</v>
      </c>
      <c r="AJ49" s="46">
        <v>0.46815972222222224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 s="51">
        <f t="shared" ref="AW49" si="66">AVERAGE(AH49:AH53)</f>
        <v>90.708999999999989</v>
      </c>
      <c r="BJ49" t="e">
        <f>AVERAGE(BJ4:BJ48)</f>
        <v>#REF!</v>
      </c>
      <c r="BV49" t="e">
        <f>AVERAGE(BV4:BV48)</f>
        <v>#REF!</v>
      </c>
      <c r="CH49" t="e">
        <f>AVERAGE(CH4:CH48)</f>
        <v>#REF!</v>
      </c>
      <c r="CT49" t="e">
        <f>AVERAGE(CT4:CT48)</f>
        <v>#REF!</v>
      </c>
    </row>
    <row r="50" spans="1:98">
      <c r="A50" t="s">
        <v>103</v>
      </c>
      <c r="B50">
        <v>1</v>
      </c>
      <c r="C50" t="s">
        <v>7</v>
      </c>
      <c r="D50">
        <v>51968</v>
      </c>
      <c r="E50">
        <v>64</v>
      </c>
      <c r="F50">
        <v>1</v>
      </c>
      <c r="G50">
        <v>16</v>
      </c>
      <c r="H50" s="1">
        <v>1100.19</v>
      </c>
      <c r="I50" s="54">
        <v>85.049000000000007</v>
      </c>
      <c r="J50" s="23">
        <v>45547</v>
      </c>
      <c r="K50" s="46">
        <v>0.4790625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20">
        <f t="shared" ref="X50:X53" si="67">X49</f>
        <v>84.938400000000001</v>
      </c>
      <c r="Z50" t="s">
        <v>154</v>
      </c>
      <c r="AA50">
        <v>1</v>
      </c>
      <c r="AB50" t="s">
        <v>7</v>
      </c>
      <c r="AC50">
        <v>51968</v>
      </c>
      <c r="AD50">
        <v>64</v>
      </c>
      <c r="AE50">
        <v>1</v>
      </c>
      <c r="AF50">
        <v>16</v>
      </c>
      <c r="AG50">
        <v>1028.98</v>
      </c>
      <c r="AH50" s="20">
        <v>90.933999999999997</v>
      </c>
      <c r="AI50" s="23">
        <v>45554</v>
      </c>
      <c r="AJ50" s="46">
        <v>0.41983796296296294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 s="20">
        <f t="shared" ref="AW50:AW53" si="68">AW49</f>
        <v>90.708999999999989</v>
      </c>
    </row>
    <row r="51" spans="1:98">
      <c r="A51" t="s">
        <v>103</v>
      </c>
      <c r="B51">
        <v>2</v>
      </c>
      <c r="C51" t="s">
        <v>7</v>
      </c>
      <c r="D51">
        <v>51968</v>
      </c>
      <c r="E51">
        <v>64</v>
      </c>
      <c r="F51">
        <v>1</v>
      </c>
      <c r="G51">
        <v>16</v>
      </c>
      <c r="H51">
        <v>1101.9000000000001</v>
      </c>
      <c r="I51" s="54">
        <v>84.917000000000002</v>
      </c>
      <c r="J51" s="23">
        <v>45548</v>
      </c>
      <c r="K51" s="46">
        <v>0.57118055555555558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20">
        <f t="shared" si="67"/>
        <v>84.938400000000001</v>
      </c>
      <c r="Z51" t="s">
        <v>154</v>
      </c>
      <c r="AA51">
        <v>2</v>
      </c>
      <c r="AB51" t="s">
        <v>7</v>
      </c>
      <c r="AC51">
        <v>51968</v>
      </c>
      <c r="AD51">
        <v>64</v>
      </c>
      <c r="AE51">
        <v>1</v>
      </c>
      <c r="AF51">
        <v>16</v>
      </c>
      <c r="AG51">
        <v>1038.31</v>
      </c>
      <c r="AH51" s="20">
        <v>90.117000000000004</v>
      </c>
      <c r="AI51" s="23">
        <v>45555</v>
      </c>
      <c r="AJ51" s="46">
        <v>0.3722685185185185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 s="20">
        <f t="shared" si="68"/>
        <v>90.708999999999989</v>
      </c>
    </row>
    <row r="52" spans="1:98">
      <c r="A52" t="s">
        <v>103</v>
      </c>
      <c r="B52">
        <v>3</v>
      </c>
      <c r="C52" t="s">
        <v>7</v>
      </c>
      <c r="D52">
        <v>51968</v>
      </c>
      <c r="E52">
        <v>64</v>
      </c>
      <c r="F52">
        <v>1</v>
      </c>
      <c r="G52">
        <v>16</v>
      </c>
      <c r="H52">
        <v>1104.93</v>
      </c>
      <c r="I52" s="54">
        <v>84.683999999999997</v>
      </c>
      <c r="J52" s="23">
        <v>45549</v>
      </c>
      <c r="K52" s="46">
        <v>0.66061342592592598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20">
        <f t="shared" si="67"/>
        <v>84.938400000000001</v>
      </c>
      <c r="Z52" t="s">
        <v>154</v>
      </c>
      <c r="AA52">
        <v>3</v>
      </c>
      <c r="AB52" t="s">
        <v>7</v>
      </c>
      <c r="AC52">
        <v>51968</v>
      </c>
      <c r="AD52">
        <v>64</v>
      </c>
      <c r="AE52">
        <v>1</v>
      </c>
      <c r="AF52">
        <v>16</v>
      </c>
      <c r="AG52">
        <v>1028.26</v>
      </c>
      <c r="AH52" s="20">
        <v>90.998000000000005</v>
      </c>
      <c r="AI52" s="23">
        <v>45556</v>
      </c>
      <c r="AJ52" s="46">
        <v>0.32511574074074073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 s="20">
        <f t="shared" si="68"/>
        <v>90.708999999999989</v>
      </c>
    </row>
    <row r="53" spans="1:98">
      <c r="A53" t="s">
        <v>103</v>
      </c>
      <c r="B53">
        <v>4</v>
      </c>
      <c r="C53" t="s">
        <v>7</v>
      </c>
      <c r="D53">
        <v>51968</v>
      </c>
      <c r="E53">
        <v>64</v>
      </c>
      <c r="F53">
        <v>1</v>
      </c>
      <c r="G53">
        <v>16</v>
      </c>
      <c r="H53">
        <v>1101.32</v>
      </c>
      <c r="I53" s="54">
        <v>84.960999999999999</v>
      </c>
      <c r="J53" s="23">
        <v>45550</v>
      </c>
      <c r="K53" s="46">
        <v>0.74979166666666663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20">
        <f t="shared" si="67"/>
        <v>84.938400000000001</v>
      </c>
      <c r="Z53" t="s">
        <v>154</v>
      </c>
      <c r="AA53">
        <v>4</v>
      </c>
      <c r="AB53" t="s">
        <v>7</v>
      </c>
      <c r="AC53">
        <v>51968</v>
      </c>
      <c r="AD53">
        <v>64</v>
      </c>
      <c r="AE53">
        <v>1</v>
      </c>
      <c r="AF53">
        <v>16</v>
      </c>
      <c r="AG53">
        <v>1031.1400000000001</v>
      </c>
      <c r="AH53" s="20">
        <v>90.744</v>
      </c>
      <c r="AI53" s="23">
        <v>45557</v>
      </c>
      <c r="AJ53" s="46">
        <v>0.27826388888888887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 s="20">
        <f t="shared" si="68"/>
        <v>90.708999999999989</v>
      </c>
    </row>
    <row r="54" spans="1:98">
      <c r="A54" t="s">
        <v>103</v>
      </c>
      <c r="B54">
        <v>0</v>
      </c>
      <c r="C54" t="s">
        <v>7</v>
      </c>
      <c r="D54">
        <v>55168</v>
      </c>
      <c r="E54">
        <v>64</v>
      </c>
      <c r="F54">
        <v>1</v>
      </c>
      <c r="G54">
        <v>16</v>
      </c>
      <c r="H54">
        <v>1366.55</v>
      </c>
      <c r="I54" s="54">
        <v>81.915000000000006</v>
      </c>
      <c r="J54" s="23">
        <v>45546</v>
      </c>
      <c r="K54" s="46">
        <v>0.70333333333333337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51">
        <f t="shared" ref="X54" si="69">AVERAGE(I54:I58)</f>
        <v>81.63239999999999</v>
      </c>
      <c r="Z54" t="s">
        <v>154</v>
      </c>
      <c r="AA54">
        <v>0</v>
      </c>
      <c r="AB54" t="s">
        <v>7</v>
      </c>
      <c r="AC54">
        <v>55168</v>
      </c>
      <c r="AD54">
        <v>64</v>
      </c>
      <c r="AE54">
        <v>1</v>
      </c>
      <c r="AF54">
        <v>16</v>
      </c>
      <c r="AG54">
        <v>1306.58</v>
      </c>
      <c r="AH54" s="20">
        <v>85.674999999999997</v>
      </c>
      <c r="AI54" s="23">
        <v>45553</v>
      </c>
      <c r="AJ54" s="46">
        <v>0.74885416666666671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 s="51">
        <f t="shared" ref="AW54" si="70">AVERAGE(AH54:AH58)</f>
        <v>85.496200000000002</v>
      </c>
    </row>
    <row r="55" spans="1:98">
      <c r="A55" t="s">
        <v>103</v>
      </c>
      <c r="B55">
        <v>1</v>
      </c>
      <c r="C55" t="s">
        <v>7</v>
      </c>
      <c r="D55">
        <v>55168</v>
      </c>
      <c r="E55">
        <v>64</v>
      </c>
      <c r="F55">
        <v>1</v>
      </c>
      <c r="G55">
        <v>16</v>
      </c>
      <c r="H55">
        <v>1372.51</v>
      </c>
      <c r="I55" s="54">
        <v>81.558999999999997</v>
      </c>
      <c r="J55" s="23">
        <v>45547</v>
      </c>
      <c r="K55" s="46">
        <v>0.7955902777777778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20">
        <f t="shared" ref="X55:X58" si="71">X54</f>
        <v>81.63239999999999</v>
      </c>
      <c r="Z55" t="s">
        <v>154</v>
      </c>
      <c r="AA55">
        <v>1</v>
      </c>
      <c r="AB55" t="s">
        <v>7</v>
      </c>
      <c r="AC55">
        <v>55168</v>
      </c>
      <c r="AD55">
        <v>64</v>
      </c>
      <c r="AE55">
        <v>1</v>
      </c>
      <c r="AF55">
        <v>16</v>
      </c>
      <c r="AG55">
        <v>1306.18</v>
      </c>
      <c r="AH55" s="20">
        <v>85.700999999999993</v>
      </c>
      <c r="AI55" s="23">
        <v>45554</v>
      </c>
      <c r="AJ55" s="46">
        <v>0.70072916666666663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 s="20">
        <f t="shared" ref="AW55:AW58" si="72">AW54</f>
        <v>85.496200000000002</v>
      </c>
    </row>
    <row r="56" spans="1:98">
      <c r="A56" t="s">
        <v>103</v>
      </c>
      <c r="B56">
        <v>2</v>
      </c>
      <c r="C56" t="s">
        <v>7</v>
      </c>
      <c r="D56">
        <v>55168</v>
      </c>
      <c r="E56">
        <v>64</v>
      </c>
      <c r="F56">
        <v>1</v>
      </c>
      <c r="G56">
        <v>16</v>
      </c>
      <c r="H56">
        <v>1368.35</v>
      </c>
      <c r="I56" s="54">
        <v>81.807000000000002</v>
      </c>
      <c r="J56" s="23">
        <v>45548</v>
      </c>
      <c r="K56" s="46">
        <v>0.88662037037037034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20">
        <f t="shared" si="71"/>
        <v>81.63239999999999</v>
      </c>
      <c r="Z56" t="s">
        <v>154</v>
      </c>
      <c r="AA56">
        <v>2</v>
      </c>
      <c r="AB56" t="s">
        <v>7</v>
      </c>
      <c r="AC56">
        <v>55168</v>
      </c>
      <c r="AD56">
        <v>64</v>
      </c>
      <c r="AE56">
        <v>1</v>
      </c>
      <c r="AF56">
        <v>16</v>
      </c>
      <c r="AG56">
        <v>1307.81</v>
      </c>
      <c r="AH56" s="20">
        <v>85.593999999999994</v>
      </c>
      <c r="AI56" s="23">
        <v>45555</v>
      </c>
      <c r="AJ56" s="46">
        <v>0.65296296296296297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 s="20">
        <f t="shared" si="72"/>
        <v>85.496200000000002</v>
      </c>
    </row>
    <row r="57" spans="1:98">
      <c r="A57" t="s">
        <v>103</v>
      </c>
      <c r="B57">
        <v>3</v>
      </c>
      <c r="C57" t="s">
        <v>7</v>
      </c>
      <c r="D57">
        <v>55168</v>
      </c>
      <c r="E57">
        <v>64</v>
      </c>
      <c r="F57">
        <v>1</v>
      </c>
      <c r="G57">
        <v>16</v>
      </c>
      <c r="H57">
        <v>1377.4</v>
      </c>
      <c r="I57" s="54">
        <v>81.27</v>
      </c>
      <c r="J57" s="23">
        <v>45549</v>
      </c>
      <c r="K57" s="46">
        <v>0.97582175925925929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20">
        <f t="shared" si="71"/>
        <v>81.63239999999999</v>
      </c>
      <c r="Z57" t="s">
        <v>154</v>
      </c>
      <c r="AA57">
        <v>3</v>
      </c>
      <c r="AB57" t="s">
        <v>7</v>
      </c>
      <c r="AC57">
        <v>55168</v>
      </c>
      <c r="AD57">
        <v>64</v>
      </c>
      <c r="AE57">
        <v>1</v>
      </c>
      <c r="AF57">
        <v>16</v>
      </c>
      <c r="AG57">
        <v>1315.98</v>
      </c>
      <c r="AH57" s="20">
        <v>85.061999999999998</v>
      </c>
      <c r="AI57" s="23">
        <v>45556</v>
      </c>
      <c r="AJ57" s="46">
        <v>0.60594907407407406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 s="20">
        <f t="shared" si="72"/>
        <v>85.496200000000002</v>
      </c>
    </row>
    <row r="58" spans="1:98">
      <c r="A58" t="s">
        <v>103</v>
      </c>
      <c r="B58">
        <v>4</v>
      </c>
      <c r="C58" t="s">
        <v>7</v>
      </c>
      <c r="D58">
        <v>55168</v>
      </c>
      <c r="E58">
        <v>64</v>
      </c>
      <c r="F58">
        <v>1</v>
      </c>
      <c r="G58">
        <v>16</v>
      </c>
      <c r="H58" s="1">
        <v>1371.64</v>
      </c>
      <c r="I58" s="54">
        <v>81.611000000000004</v>
      </c>
      <c r="J58" s="23">
        <v>45551</v>
      </c>
      <c r="K58" s="46">
        <v>6.5057870370370377E-2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20">
        <f t="shared" si="71"/>
        <v>81.63239999999999</v>
      </c>
      <c r="Z58" t="s">
        <v>154</v>
      </c>
      <c r="AA58">
        <v>4</v>
      </c>
      <c r="AB58" t="s">
        <v>7</v>
      </c>
      <c r="AC58">
        <v>55168</v>
      </c>
      <c r="AD58">
        <v>64</v>
      </c>
      <c r="AE58">
        <v>1</v>
      </c>
      <c r="AF58">
        <v>16</v>
      </c>
      <c r="AG58">
        <v>1310.04</v>
      </c>
      <c r="AH58" s="20">
        <v>85.448999999999998</v>
      </c>
      <c r="AI58" s="23">
        <v>45557</v>
      </c>
      <c r="AJ58" s="46">
        <v>0.5587037037037037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 s="20">
        <f t="shared" si="72"/>
        <v>85.496200000000002</v>
      </c>
    </row>
    <row r="59" spans="1:98">
      <c r="A59" t="s">
        <v>103</v>
      </c>
      <c r="B59">
        <v>0</v>
      </c>
      <c r="C59" t="s">
        <v>7</v>
      </c>
      <c r="D59">
        <v>58368</v>
      </c>
      <c r="E59">
        <v>64</v>
      </c>
      <c r="F59">
        <v>1</v>
      </c>
      <c r="G59">
        <v>16</v>
      </c>
      <c r="H59">
        <v>1649.59</v>
      </c>
      <c r="I59" s="54">
        <v>80.366</v>
      </c>
      <c r="J59" s="23">
        <v>45547</v>
      </c>
      <c r="K59" s="46">
        <v>9.1006944444444446E-2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51">
        <f t="shared" ref="X59" si="73">AVERAGE(I59:I63)</f>
        <v>80.301600000000008</v>
      </c>
      <c r="Z59" t="s">
        <v>154</v>
      </c>
      <c r="AA59">
        <v>0</v>
      </c>
      <c r="AB59" t="s">
        <v>7</v>
      </c>
      <c r="AC59">
        <v>58368</v>
      </c>
      <c r="AD59">
        <v>64</v>
      </c>
      <c r="AE59">
        <v>1</v>
      </c>
      <c r="AF59">
        <v>16</v>
      </c>
      <c r="AG59">
        <v>1573.58</v>
      </c>
      <c r="AH59" s="20">
        <v>84.248000000000005</v>
      </c>
      <c r="AI59" s="23">
        <v>45554</v>
      </c>
      <c r="AJ59" s="46">
        <v>8.4236111111111109E-2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 s="51">
        <f t="shared" ref="AW59" si="74">AVERAGE(AH59:AH63)</f>
        <v>83.711199999999991</v>
      </c>
    </row>
    <row r="60" spans="1:98">
      <c r="A60" t="s">
        <v>103</v>
      </c>
      <c r="B60">
        <v>1</v>
      </c>
      <c r="C60" t="s">
        <v>7</v>
      </c>
      <c r="D60">
        <v>58368</v>
      </c>
      <c r="E60">
        <v>64</v>
      </c>
      <c r="F60">
        <v>1</v>
      </c>
      <c r="G60">
        <v>16</v>
      </c>
      <c r="H60">
        <v>1649.49</v>
      </c>
      <c r="I60" s="54">
        <v>80.370999999999995</v>
      </c>
      <c r="J60" s="23">
        <v>45548</v>
      </c>
      <c r="K60" s="46">
        <v>0.18354166666666666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20">
        <f t="shared" ref="X60:X63" si="75">X59</f>
        <v>80.301600000000008</v>
      </c>
      <c r="Z60" t="s">
        <v>154</v>
      </c>
      <c r="AA60">
        <v>1</v>
      </c>
      <c r="AB60" t="s">
        <v>7</v>
      </c>
      <c r="AC60">
        <v>58368</v>
      </c>
      <c r="AD60">
        <v>64</v>
      </c>
      <c r="AE60">
        <v>1</v>
      </c>
      <c r="AF60">
        <v>16</v>
      </c>
      <c r="AG60">
        <v>1579.86</v>
      </c>
      <c r="AH60" s="20">
        <v>83.914000000000001</v>
      </c>
      <c r="AI60" s="23">
        <v>45555</v>
      </c>
      <c r="AJ60" s="46">
        <v>3.6608796296296299E-2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 s="20">
        <f t="shared" ref="AW60:AW63" si="76">AW59</f>
        <v>83.711199999999991</v>
      </c>
    </row>
    <row r="61" spans="1:98">
      <c r="A61" t="s">
        <v>103</v>
      </c>
      <c r="B61">
        <v>2</v>
      </c>
      <c r="C61" t="s">
        <v>7</v>
      </c>
      <c r="D61">
        <v>58368</v>
      </c>
      <c r="E61">
        <v>64</v>
      </c>
      <c r="F61">
        <v>1</v>
      </c>
      <c r="G61">
        <v>16</v>
      </c>
      <c r="H61" s="1">
        <v>1649.89</v>
      </c>
      <c r="I61" s="54">
        <v>80.352000000000004</v>
      </c>
      <c r="J61" s="23">
        <v>45549</v>
      </c>
      <c r="K61" s="46">
        <v>0.27348379629629632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20">
        <f t="shared" si="75"/>
        <v>80.301600000000008</v>
      </c>
      <c r="Z61" t="s">
        <v>154</v>
      </c>
      <c r="AA61">
        <v>2</v>
      </c>
      <c r="AB61" t="s">
        <v>7</v>
      </c>
      <c r="AC61">
        <v>58368</v>
      </c>
      <c r="AD61">
        <v>64</v>
      </c>
      <c r="AE61">
        <v>1</v>
      </c>
      <c r="AF61">
        <v>16</v>
      </c>
      <c r="AG61">
        <v>1595.48</v>
      </c>
      <c r="AH61" s="20">
        <v>83.091999999999999</v>
      </c>
      <c r="AI61" s="23">
        <v>45555</v>
      </c>
      <c r="AJ61" s="46">
        <v>0.98929398148148151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 s="20">
        <f t="shared" si="76"/>
        <v>83.711199999999991</v>
      </c>
    </row>
    <row r="62" spans="1:98">
      <c r="A62" t="s">
        <v>103</v>
      </c>
      <c r="B62">
        <v>3</v>
      </c>
      <c r="C62" t="s">
        <v>7</v>
      </c>
      <c r="D62">
        <v>58368</v>
      </c>
      <c r="E62">
        <v>64</v>
      </c>
      <c r="F62">
        <v>1</v>
      </c>
      <c r="G62">
        <v>16</v>
      </c>
      <c r="H62">
        <v>1652.74</v>
      </c>
      <c r="I62" s="54">
        <v>80.212999999999994</v>
      </c>
      <c r="J62" s="23">
        <v>45550</v>
      </c>
      <c r="K62" s="46">
        <v>0.36281249999999998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20">
        <f t="shared" si="75"/>
        <v>80.301600000000008</v>
      </c>
      <c r="Z62" t="s">
        <v>154</v>
      </c>
      <c r="AA62">
        <v>3</v>
      </c>
      <c r="AB62" t="s">
        <v>7</v>
      </c>
      <c r="AC62">
        <v>58368</v>
      </c>
      <c r="AD62">
        <v>64</v>
      </c>
      <c r="AE62">
        <v>1</v>
      </c>
      <c r="AF62">
        <v>16</v>
      </c>
      <c r="AG62">
        <v>1581.67</v>
      </c>
      <c r="AH62" s="20">
        <v>83.817999999999998</v>
      </c>
      <c r="AI62" s="23">
        <v>45556</v>
      </c>
      <c r="AJ62" s="46">
        <v>0.94232638888888887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 s="20">
        <f t="shared" si="76"/>
        <v>83.711199999999991</v>
      </c>
    </row>
    <row r="63" spans="1:98">
      <c r="A63" t="s">
        <v>103</v>
      </c>
      <c r="B63">
        <v>4</v>
      </c>
      <c r="C63" t="s">
        <v>7</v>
      </c>
      <c r="D63">
        <v>58368</v>
      </c>
      <c r="E63">
        <v>64</v>
      </c>
      <c r="F63">
        <v>1</v>
      </c>
      <c r="G63">
        <v>16</v>
      </c>
      <c r="H63">
        <v>1652.88</v>
      </c>
      <c r="I63" s="54">
        <v>80.206000000000003</v>
      </c>
      <c r="J63" s="23">
        <v>45551</v>
      </c>
      <c r="K63" s="46">
        <v>0.45116898148148149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20">
        <f t="shared" si="75"/>
        <v>80.301600000000008</v>
      </c>
      <c r="Z63" t="s">
        <v>154</v>
      </c>
      <c r="AA63">
        <v>4</v>
      </c>
      <c r="AB63" t="s">
        <v>7</v>
      </c>
      <c r="AC63">
        <v>58368</v>
      </c>
      <c r="AD63">
        <v>64</v>
      </c>
      <c r="AE63">
        <v>1</v>
      </c>
      <c r="AF63">
        <v>16</v>
      </c>
      <c r="AG63">
        <v>1587.99</v>
      </c>
      <c r="AH63" s="20">
        <v>83.483999999999995</v>
      </c>
      <c r="AI63" s="23">
        <v>45557</v>
      </c>
      <c r="AJ63" s="46">
        <v>0.89451388888888894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 s="20">
        <f t="shared" si="76"/>
        <v>83.711199999999991</v>
      </c>
    </row>
    <row r="64" spans="1:98">
      <c r="A64" t="s">
        <v>103</v>
      </c>
      <c r="B64">
        <v>0</v>
      </c>
      <c r="C64" t="s">
        <v>7</v>
      </c>
      <c r="D64">
        <v>51968</v>
      </c>
      <c r="E64">
        <v>64</v>
      </c>
      <c r="F64">
        <v>2</v>
      </c>
      <c r="G64">
        <v>8</v>
      </c>
      <c r="H64">
        <v>1039.8499999999999</v>
      </c>
      <c r="I64" s="54">
        <v>89.983999999999995</v>
      </c>
      <c r="J64" s="23">
        <v>45546</v>
      </c>
      <c r="K64" s="46">
        <v>0.39969907407407407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51">
        <f t="shared" ref="X64" si="77">AVERAGE(I64:I68)</f>
        <v>90.080799999999996</v>
      </c>
      <c r="Z64" t="s">
        <v>154</v>
      </c>
      <c r="AA64">
        <v>0</v>
      </c>
      <c r="AB64" t="s">
        <v>7</v>
      </c>
      <c r="AC64">
        <v>51968</v>
      </c>
      <c r="AD64">
        <v>64</v>
      </c>
      <c r="AE64">
        <v>2</v>
      </c>
      <c r="AF64">
        <v>8</v>
      </c>
      <c r="AG64">
        <v>1057.76</v>
      </c>
      <c r="AH64" s="20">
        <v>88.460999999999999</v>
      </c>
      <c r="AI64" s="23">
        <v>45553</v>
      </c>
      <c r="AJ64" s="46">
        <v>0.48063657407407406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 s="51">
        <f t="shared" ref="AW64" si="78">AVERAGE(AH64:AH68)</f>
        <v>88.404399999999995</v>
      </c>
    </row>
    <row r="65" spans="1:49">
      <c r="A65" t="s">
        <v>103</v>
      </c>
      <c r="B65">
        <v>1</v>
      </c>
      <c r="C65" t="s">
        <v>7</v>
      </c>
      <c r="D65">
        <v>51968</v>
      </c>
      <c r="E65">
        <v>64</v>
      </c>
      <c r="F65">
        <v>2</v>
      </c>
      <c r="G65">
        <v>8</v>
      </c>
      <c r="H65">
        <v>1048.54</v>
      </c>
      <c r="I65" s="54">
        <v>89.238</v>
      </c>
      <c r="J65" s="23">
        <v>45547</v>
      </c>
      <c r="K65" s="46">
        <v>0.49187500000000001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20">
        <f t="shared" ref="X65:X68" si="79">X64</f>
        <v>90.080799999999996</v>
      </c>
      <c r="Z65" t="s">
        <v>154</v>
      </c>
      <c r="AA65">
        <v>1</v>
      </c>
      <c r="AB65" t="s">
        <v>7</v>
      </c>
      <c r="AC65">
        <v>51968</v>
      </c>
      <c r="AD65">
        <v>64</v>
      </c>
      <c r="AE65">
        <v>2</v>
      </c>
      <c r="AF65">
        <v>8</v>
      </c>
      <c r="AG65">
        <v>1061.07</v>
      </c>
      <c r="AH65" s="20">
        <v>88.185000000000002</v>
      </c>
      <c r="AI65" s="23">
        <v>45554</v>
      </c>
      <c r="AJ65" s="46">
        <v>0.43234953703703705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 s="20">
        <f t="shared" ref="AW65:AW68" si="80">AW64</f>
        <v>88.404399999999995</v>
      </c>
    </row>
    <row r="66" spans="1:49">
      <c r="A66" t="s">
        <v>103</v>
      </c>
      <c r="B66">
        <v>2</v>
      </c>
      <c r="C66" t="s">
        <v>7</v>
      </c>
      <c r="D66">
        <v>51968</v>
      </c>
      <c r="E66">
        <v>64</v>
      </c>
      <c r="F66">
        <v>2</v>
      </c>
      <c r="G66">
        <v>8</v>
      </c>
      <c r="H66">
        <v>1031.8599999999999</v>
      </c>
      <c r="I66" s="54">
        <v>90.680999999999997</v>
      </c>
      <c r="J66" s="23">
        <v>45548</v>
      </c>
      <c r="K66" s="46">
        <v>0.58379629629629626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20">
        <f t="shared" si="79"/>
        <v>90.080799999999996</v>
      </c>
      <c r="Z66" t="s">
        <v>154</v>
      </c>
      <c r="AA66">
        <v>2</v>
      </c>
      <c r="AB66" t="s">
        <v>7</v>
      </c>
      <c r="AC66">
        <v>51968</v>
      </c>
      <c r="AD66">
        <v>64</v>
      </c>
      <c r="AE66">
        <v>2</v>
      </c>
      <c r="AF66">
        <v>8</v>
      </c>
      <c r="AG66">
        <v>1057.8</v>
      </c>
      <c r="AH66" s="20">
        <v>88.456999999999994</v>
      </c>
      <c r="AI66" s="23">
        <v>45555</v>
      </c>
      <c r="AJ66" s="46">
        <v>0.38474537037037038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 s="20">
        <f t="shared" si="80"/>
        <v>88.404399999999995</v>
      </c>
    </row>
    <row r="67" spans="1:49">
      <c r="A67" t="s">
        <v>103</v>
      </c>
      <c r="B67">
        <v>3</v>
      </c>
      <c r="C67" t="s">
        <v>7</v>
      </c>
      <c r="D67">
        <v>51968</v>
      </c>
      <c r="E67">
        <v>64</v>
      </c>
      <c r="F67">
        <v>2</v>
      </c>
      <c r="G67">
        <v>8</v>
      </c>
      <c r="H67" s="1">
        <v>1033.56</v>
      </c>
      <c r="I67" s="54">
        <v>90.531000000000006</v>
      </c>
      <c r="J67" s="23">
        <v>45549</v>
      </c>
      <c r="K67" s="46">
        <v>0.6732407407407407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20">
        <f t="shared" si="79"/>
        <v>90.080799999999996</v>
      </c>
      <c r="Z67" t="s">
        <v>154</v>
      </c>
      <c r="AA67">
        <v>3</v>
      </c>
      <c r="AB67" t="s">
        <v>7</v>
      </c>
      <c r="AC67">
        <v>51968</v>
      </c>
      <c r="AD67">
        <v>64</v>
      </c>
      <c r="AE67">
        <v>2</v>
      </c>
      <c r="AF67">
        <v>8</v>
      </c>
      <c r="AG67">
        <v>1058.02</v>
      </c>
      <c r="AH67" s="20">
        <v>88.438000000000002</v>
      </c>
      <c r="AI67" s="23">
        <v>45556</v>
      </c>
      <c r="AJ67" s="46">
        <v>0.33760416666666665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 s="20">
        <f t="shared" si="80"/>
        <v>88.404399999999995</v>
      </c>
    </row>
    <row r="68" spans="1:49">
      <c r="A68" t="s">
        <v>103</v>
      </c>
      <c r="B68">
        <v>4</v>
      </c>
      <c r="C68" t="s">
        <v>7</v>
      </c>
      <c r="D68">
        <v>51968</v>
      </c>
      <c r="E68">
        <v>64</v>
      </c>
      <c r="F68">
        <v>2</v>
      </c>
      <c r="G68">
        <v>8</v>
      </c>
      <c r="H68">
        <v>1040.01</v>
      </c>
      <c r="I68" s="54">
        <v>89.97</v>
      </c>
      <c r="J68" s="23">
        <v>45550</v>
      </c>
      <c r="K68" s="46">
        <v>0.76249999999999996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20">
        <f t="shared" si="79"/>
        <v>90.080799999999996</v>
      </c>
      <c r="Z68" t="s">
        <v>154</v>
      </c>
      <c r="AA68">
        <v>4</v>
      </c>
      <c r="AB68" t="s">
        <v>7</v>
      </c>
      <c r="AC68">
        <v>51968</v>
      </c>
      <c r="AD68">
        <v>64</v>
      </c>
      <c r="AE68">
        <v>2</v>
      </c>
      <c r="AF68">
        <v>8</v>
      </c>
      <c r="AG68">
        <v>1057.51</v>
      </c>
      <c r="AH68" s="20">
        <v>88.480999999999995</v>
      </c>
      <c r="AI68" s="23">
        <v>45557</v>
      </c>
      <c r="AJ68" s="46">
        <v>0.29074074074074074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 s="20">
        <f t="shared" si="80"/>
        <v>88.404399999999995</v>
      </c>
    </row>
    <row r="69" spans="1:49">
      <c r="A69" t="s">
        <v>103</v>
      </c>
      <c r="B69">
        <v>0</v>
      </c>
      <c r="C69" t="s">
        <v>7</v>
      </c>
      <c r="D69">
        <v>55168</v>
      </c>
      <c r="E69">
        <v>64</v>
      </c>
      <c r="F69">
        <v>2</v>
      </c>
      <c r="G69">
        <v>8</v>
      </c>
      <c r="H69">
        <v>1288.3599999999999</v>
      </c>
      <c r="I69" s="54">
        <v>86.885999999999996</v>
      </c>
      <c r="J69" s="23">
        <v>45546</v>
      </c>
      <c r="K69" s="46">
        <v>0.71899305555555559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51">
        <f t="shared" ref="X69" si="81">AVERAGE(I69:I73)</f>
        <v>86.747200000000007</v>
      </c>
      <c r="Z69" t="s">
        <v>154</v>
      </c>
      <c r="AA69">
        <v>0</v>
      </c>
      <c r="AB69" t="s">
        <v>7</v>
      </c>
      <c r="AC69">
        <v>55168</v>
      </c>
      <c r="AD69">
        <v>64</v>
      </c>
      <c r="AE69">
        <v>2</v>
      </c>
      <c r="AF69">
        <v>8</v>
      </c>
      <c r="AG69">
        <v>1278.72</v>
      </c>
      <c r="AH69" s="20">
        <v>87.540999999999997</v>
      </c>
      <c r="AI69" s="23">
        <v>45553</v>
      </c>
      <c r="AJ69" s="46">
        <v>0.76391203703703703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 s="51">
        <f t="shared" ref="AW69" si="82">AVERAGE(AH69:AH73)</f>
        <v>87.488599999999991</v>
      </c>
    </row>
    <row r="70" spans="1:49">
      <c r="A70" t="s">
        <v>103</v>
      </c>
      <c r="B70">
        <v>1</v>
      </c>
      <c r="C70" t="s">
        <v>7</v>
      </c>
      <c r="D70">
        <v>55168</v>
      </c>
      <c r="E70">
        <v>64</v>
      </c>
      <c r="F70">
        <v>2</v>
      </c>
      <c r="G70">
        <v>8</v>
      </c>
      <c r="H70" s="1">
        <v>1292.5</v>
      </c>
      <c r="I70" s="54">
        <v>86.608000000000004</v>
      </c>
      <c r="J70" s="23">
        <v>45547</v>
      </c>
      <c r="K70" s="46">
        <v>0.81130787037037033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20">
        <f t="shared" ref="X70:X73" si="83">X69</f>
        <v>86.747200000000007</v>
      </c>
      <c r="Z70" t="s">
        <v>154</v>
      </c>
      <c r="AA70">
        <v>1</v>
      </c>
      <c r="AB70" t="s">
        <v>7</v>
      </c>
      <c r="AC70">
        <v>55168</v>
      </c>
      <c r="AD70">
        <v>64</v>
      </c>
      <c r="AE70">
        <v>2</v>
      </c>
      <c r="AF70">
        <v>8</v>
      </c>
      <c r="AG70">
        <v>1282.3800000000001</v>
      </c>
      <c r="AH70" s="20">
        <v>87.290999999999997</v>
      </c>
      <c r="AI70" s="23">
        <v>45554</v>
      </c>
      <c r="AJ70" s="46">
        <v>0.71583333333333332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 s="20">
        <f t="shared" ref="AW70:AW73" si="84">AW69</f>
        <v>87.488599999999991</v>
      </c>
    </row>
    <row r="71" spans="1:49">
      <c r="A71" t="s">
        <v>103</v>
      </c>
      <c r="B71">
        <v>2</v>
      </c>
      <c r="C71" t="s">
        <v>7</v>
      </c>
      <c r="D71">
        <v>55168</v>
      </c>
      <c r="E71">
        <v>64</v>
      </c>
      <c r="F71">
        <v>2</v>
      </c>
      <c r="G71">
        <v>8</v>
      </c>
      <c r="H71">
        <v>1289.55</v>
      </c>
      <c r="I71" s="54">
        <v>86.805999999999997</v>
      </c>
      <c r="J71" s="23">
        <v>45548</v>
      </c>
      <c r="K71" s="46">
        <v>0.90230324074074075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20">
        <f t="shared" si="83"/>
        <v>86.747200000000007</v>
      </c>
      <c r="Z71" t="s">
        <v>154</v>
      </c>
      <c r="AA71">
        <v>2</v>
      </c>
      <c r="AB71" t="s">
        <v>7</v>
      </c>
      <c r="AC71">
        <v>55168</v>
      </c>
      <c r="AD71">
        <v>64</v>
      </c>
      <c r="AE71">
        <v>2</v>
      </c>
      <c r="AF71">
        <v>8</v>
      </c>
      <c r="AG71">
        <v>1281.03</v>
      </c>
      <c r="AH71" s="20">
        <v>87.382999999999996</v>
      </c>
      <c r="AI71" s="23">
        <v>45555</v>
      </c>
      <c r="AJ71" s="46">
        <v>0.66805555555555551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 s="20">
        <f t="shared" si="84"/>
        <v>87.488599999999991</v>
      </c>
    </row>
    <row r="72" spans="1:49">
      <c r="A72" t="s">
        <v>103</v>
      </c>
      <c r="B72">
        <v>3</v>
      </c>
      <c r="C72" t="s">
        <v>7</v>
      </c>
      <c r="D72">
        <v>55168</v>
      </c>
      <c r="E72">
        <v>64</v>
      </c>
      <c r="F72">
        <v>2</v>
      </c>
      <c r="G72">
        <v>8</v>
      </c>
      <c r="H72">
        <v>1288.0899999999999</v>
      </c>
      <c r="I72" s="54">
        <v>86.905000000000001</v>
      </c>
      <c r="J72" s="23">
        <v>45549</v>
      </c>
      <c r="K72" s="46">
        <v>0.99149305555555556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20">
        <f t="shared" si="83"/>
        <v>86.747200000000007</v>
      </c>
      <c r="Z72" t="s">
        <v>154</v>
      </c>
      <c r="AA72">
        <v>3</v>
      </c>
      <c r="AB72" t="s">
        <v>7</v>
      </c>
      <c r="AC72">
        <v>55168</v>
      </c>
      <c r="AD72">
        <v>64</v>
      </c>
      <c r="AE72">
        <v>2</v>
      </c>
      <c r="AF72">
        <v>8</v>
      </c>
      <c r="AG72">
        <v>1279.44</v>
      </c>
      <c r="AH72" s="20">
        <v>87.492000000000004</v>
      </c>
      <c r="AI72" s="23">
        <v>45556</v>
      </c>
      <c r="AJ72" s="46">
        <v>0.62101851851851853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 s="20">
        <f t="shared" si="84"/>
        <v>87.488599999999991</v>
      </c>
    </row>
    <row r="73" spans="1:49">
      <c r="A73" t="s">
        <v>103</v>
      </c>
      <c r="B73">
        <v>4</v>
      </c>
      <c r="C73" t="s">
        <v>7</v>
      </c>
      <c r="D73">
        <v>55168</v>
      </c>
      <c r="E73">
        <v>64</v>
      </c>
      <c r="F73">
        <v>2</v>
      </c>
      <c r="G73">
        <v>8</v>
      </c>
      <c r="H73">
        <v>1293.6400000000001</v>
      </c>
      <c r="I73" s="54">
        <v>86.531000000000006</v>
      </c>
      <c r="J73" s="23">
        <v>45551</v>
      </c>
      <c r="K73" s="46">
        <v>8.0787037037037032E-2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20">
        <f t="shared" si="83"/>
        <v>86.747200000000007</v>
      </c>
      <c r="Z73" t="s">
        <v>154</v>
      </c>
      <c r="AA73">
        <v>4</v>
      </c>
      <c r="AB73" t="s">
        <v>7</v>
      </c>
      <c r="AC73">
        <v>55168</v>
      </c>
      <c r="AD73">
        <v>64</v>
      </c>
      <c r="AE73">
        <v>2</v>
      </c>
      <c r="AF73">
        <v>8</v>
      </c>
      <c r="AG73">
        <v>1275.8800000000001</v>
      </c>
      <c r="AH73" s="20">
        <v>87.736000000000004</v>
      </c>
      <c r="AI73" s="23">
        <v>45557</v>
      </c>
      <c r="AJ73" s="46">
        <v>0.57373842592592594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 s="20">
        <f t="shared" si="84"/>
        <v>87.488599999999991</v>
      </c>
    </row>
    <row r="74" spans="1:49">
      <c r="A74" t="s">
        <v>103</v>
      </c>
      <c r="B74">
        <v>0</v>
      </c>
      <c r="C74" t="s">
        <v>7</v>
      </c>
      <c r="D74">
        <v>58368</v>
      </c>
      <c r="E74">
        <v>64</v>
      </c>
      <c r="F74">
        <v>2</v>
      </c>
      <c r="G74">
        <v>8</v>
      </c>
      <c r="H74">
        <v>1519.09</v>
      </c>
      <c r="I74" s="54">
        <v>87.27</v>
      </c>
      <c r="J74" s="23">
        <v>45547</v>
      </c>
      <c r="K74" s="46">
        <v>0.10942129629629629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51">
        <f t="shared" ref="X74" si="85">AVERAGE(I74:I78)</f>
        <v>87.531000000000006</v>
      </c>
      <c r="Z74" t="s">
        <v>154</v>
      </c>
      <c r="AA74">
        <v>0</v>
      </c>
      <c r="AB74" t="s">
        <v>7</v>
      </c>
      <c r="AC74">
        <v>58368</v>
      </c>
      <c r="AD74">
        <v>64</v>
      </c>
      <c r="AE74">
        <v>2</v>
      </c>
      <c r="AF74">
        <v>8</v>
      </c>
      <c r="AG74">
        <v>1497.28</v>
      </c>
      <c r="AH74" s="20">
        <v>88.540999999999997</v>
      </c>
      <c r="AI74" s="23">
        <v>45554</v>
      </c>
      <c r="AJ74" s="46">
        <v>0.10186342592592593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 s="51">
        <f t="shared" ref="AW74" si="86">AVERAGE(AH74:AH78)</f>
        <v>87.895399999999995</v>
      </c>
    </row>
    <row r="75" spans="1:49">
      <c r="A75" t="s">
        <v>103</v>
      </c>
      <c r="B75">
        <v>1</v>
      </c>
      <c r="C75" t="s">
        <v>7</v>
      </c>
      <c r="D75">
        <v>58368</v>
      </c>
      <c r="E75">
        <v>64</v>
      </c>
      <c r="F75">
        <v>2</v>
      </c>
      <c r="G75">
        <v>8</v>
      </c>
      <c r="H75">
        <v>1513.3</v>
      </c>
      <c r="I75" s="54">
        <v>87.603999999999999</v>
      </c>
      <c r="J75" s="23">
        <v>45548</v>
      </c>
      <c r="K75" s="46">
        <v>0.20189814814814816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20">
        <f t="shared" ref="X75:X78" si="87">X74</f>
        <v>87.531000000000006</v>
      </c>
      <c r="Z75" t="s">
        <v>154</v>
      </c>
      <c r="AA75">
        <v>1</v>
      </c>
      <c r="AB75" t="s">
        <v>7</v>
      </c>
      <c r="AC75">
        <v>58368</v>
      </c>
      <c r="AD75">
        <v>64</v>
      </c>
      <c r="AE75">
        <v>2</v>
      </c>
      <c r="AF75">
        <v>8</v>
      </c>
      <c r="AG75">
        <v>1515.05</v>
      </c>
      <c r="AH75" s="20">
        <v>87.503</v>
      </c>
      <c r="AI75" s="23">
        <v>45555</v>
      </c>
      <c r="AJ75" s="46">
        <v>5.4444444444444441E-2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 s="20">
        <f t="shared" ref="AW75:AW78" si="88">AW74</f>
        <v>87.895399999999995</v>
      </c>
    </row>
    <row r="76" spans="1:49">
      <c r="A76" t="s">
        <v>103</v>
      </c>
      <c r="B76">
        <v>2</v>
      </c>
      <c r="C76" t="s">
        <v>7</v>
      </c>
      <c r="D76">
        <v>58368</v>
      </c>
      <c r="E76">
        <v>64</v>
      </c>
      <c r="F76">
        <v>2</v>
      </c>
      <c r="G76">
        <v>8</v>
      </c>
      <c r="H76">
        <v>1515.85</v>
      </c>
      <c r="I76" s="54">
        <v>87.456999999999994</v>
      </c>
      <c r="J76" s="23">
        <v>45549</v>
      </c>
      <c r="K76" s="46">
        <v>0.2918634259259259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20">
        <f t="shared" si="87"/>
        <v>87.531000000000006</v>
      </c>
      <c r="Z76" t="s">
        <v>154</v>
      </c>
      <c r="AA76">
        <v>2</v>
      </c>
      <c r="AB76" t="s">
        <v>7</v>
      </c>
      <c r="AC76">
        <v>58368</v>
      </c>
      <c r="AD76">
        <v>64</v>
      </c>
      <c r="AE76">
        <v>2</v>
      </c>
      <c r="AF76">
        <v>8</v>
      </c>
      <c r="AG76">
        <v>1514.85</v>
      </c>
      <c r="AH76" s="20">
        <v>87.513999999999996</v>
      </c>
      <c r="AI76" s="23">
        <v>45556</v>
      </c>
      <c r="AJ76" s="46">
        <v>7.1296296296296299E-3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 s="20">
        <f t="shared" si="88"/>
        <v>87.895399999999995</v>
      </c>
    </row>
    <row r="77" spans="1:49">
      <c r="A77" t="s">
        <v>103</v>
      </c>
      <c r="B77">
        <v>3</v>
      </c>
      <c r="C77" t="s">
        <v>7</v>
      </c>
      <c r="D77">
        <v>58368</v>
      </c>
      <c r="E77">
        <v>64</v>
      </c>
      <c r="F77">
        <v>2</v>
      </c>
      <c r="G77">
        <v>8</v>
      </c>
      <c r="H77">
        <v>1513.79</v>
      </c>
      <c r="I77" s="54">
        <v>87.575999999999993</v>
      </c>
      <c r="J77" s="23">
        <v>45550</v>
      </c>
      <c r="K77" s="46">
        <v>0.38116898148148148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20">
        <f t="shared" si="87"/>
        <v>87.531000000000006</v>
      </c>
      <c r="Z77" t="s">
        <v>154</v>
      </c>
      <c r="AA77">
        <v>3</v>
      </c>
      <c r="AB77" t="s">
        <v>7</v>
      </c>
      <c r="AC77">
        <v>58368</v>
      </c>
      <c r="AD77">
        <v>64</v>
      </c>
      <c r="AE77">
        <v>2</v>
      </c>
      <c r="AF77">
        <v>8</v>
      </c>
      <c r="AG77">
        <v>1504.77</v>
      </c>
      <c r="AH77" s="20">
        <v>88.100999999999999</v>
      </c>
      <c r="AI77" s="23">
        <v>45556</v>
      </c>
      <c r="AJ77" s="46">
        <v>0.96004629629629634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 s="20">
        <f t="shared" si="88"/>
        <v>87.895399999999995</v>
      </c>
    </row>
    <row r="78" spans="1:49">
      <c r="A78" t="s">
        <v>103</v>
      </c>
      <c r="B78">
        <v>4</v>
      </c>
      <c r="C78" t="s">
        <v>7</v>
      </c>
      <c r="D78">
        <v>58368</v>
      </c>
      <c r="E78">
        <v>64</v>
      </c>
      <c r="F78">
        <v>2</v>
      </c>
      <c r="G78">
        <v>8</v>
      </c>
      <c r="H78" s="1">
        <v>1510.83</v>
      </c>
      <c r="I78" s="54">
        <v>87.748000000000005</v>
      </c>
      <c r="J78" s="23">
        <v>45551</v>
      </c>
      <c r="K78" s="46">
        <v>0.46949074074074076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20">
        <f t="shared" si="87"/>
        <v>87.531000000000006</v>
      </c>
      <c r="Z78" t="s">
        <v>154</v>
      </c>
      <c r="AA78">
        <v>4</v>
      </c>
      <c r="AB78" t="s">
        <v>7</v>
      </c>
      <c r="AC78">
        <v>58368</v>
      </c>
      <c r="AD78">
        <v>64</v>
      </c>
      <c r="AE78">
        <v>2</v>
      </c>
      <c r="AF78">
        <v>8</v>
      </c>
      <c r="AG78">
        <v>1509.61</v>
      </c>
      <c r="AH78" s="20">
        <v>87.817999999999998</v>
      </c>
      <c r="AI78" s="23">
        <v>45557</v>
      </c>
      <c r="AJ78" s="46">
        <v>0.91228009259259257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 s="20">
        <f t="shared" si="88"/>
        <v>87.895399999999995</v>
      </c>
    </row>
    <row r="79" spans="1:49">
      <c r="A79" t="s">
        <v>103</v>
      </c>
      <c r="B79">
        <v>0</v>
      </c>
      <c r="C79" t="s">
        <v>7</v>
      </c>
      <c r="D79">
        <v>51968</v>
      </c>
      <c r="E79">
        <v>64</v>
      </c>
      <c r="F79">
        <v>4</v>
      </c>
      <c r="G79">
        <v>4</v>
      </c>
      <c r="H79" s="1">
        <v>1161.8</v>
      </c>
      <c r="I79" s="54">
        <v>80.539000000000001</v>
      </c>
      <c r="J79" s="23">
        <v>45546</v>
      </c>
      <c r="K79" s="46">
        <v>0.41381944444444446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51">
        <f t="shared" ref="X79" si="89">AVERAGE(I79:I83)</f>
        <v>80.292800000000014</v>
      </c>
      <c r="Z79" t="s">
        <v>154</v>
      </c>
      <c r="AA79">
        <v>0</v>
      </c>
      <c r="AB79" t="s">
        <v>7</v>
      </c>
      <c r="AC79">
        <v>51968</v>
      </c>
      <c r="AD79">
        <v>64</v>
      </c>
      <c r="AE79">
        <v>4</v>
      </c>
      <c r="AF79">
        <v>4</v>
      </c>
      <c r="AG79">
        <v>1184.02</v>
      </c>
      <c r="AH79" s="20">
        <v>79.027000000000001</v>
      </c>
      <c r="AI79" s="23">
        <v>45553</v>
      </c>
      <c r="AJ79" s="46">
        <v>0.49457175925925928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 s="51">
        <f t="shared" ref="AW79" si="90">AVERAGE(AH79:AH83)</f>
        <v>78.921400000000006</v>
      </c>
    </row>
    <row r="80" spans="1:49">
      <c r="A80" t="s">
        <v>103</v>
      </c>
      <c r="B80">
        <v>1</v>
      </c>
      <c r="C80" t="s">
        <v>7</v>
      </c>
      <c r="D80">
        <v>51968</v>
      </c>
      <c r="E80">
        <v>64</v>
      </c>
      <c r="F80">
        <v>4</v>
      </c>
      <c r="G80">
        <v>4</v>
      </c>
      <c r="H80">
        <v>1166.1199999999999</v>
      </c>
      <c r="I80" s="54">
        <v>80.239999999999995</v>
      </c>
      <c r="J80" s="23">
        <v>45547</v>
      </c>
      <c r="K80" s="46">
        <v>0.50604166666666661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20">
        <f t="shared" ref="X80:X83" si="91">X79</f>
        <v>80.292800000000014</v>
      </c>
      <c r="Z80" t="s">
        <v>154</v>
      </c>
      <c r="AA80">
        <v>1</v>
      </c>
      <c r="AB80" t="s">
        <v>7</v>
      </c>
      <c r="AC80">
        <v>51968</v>
      </c>
      <c r="AD80">
        <v>64</v>
      </c>
      <c r="AE80">
        <v>4</v>
      </c>
      <c r="AF80">
        <v>4</v>
      </c>
      <c r="AG80">
        <v>1186.1300000000001</v>
      </c>
      <c r="AH80" s="20">
        <v>78.885999999999996</v>
      </c>
      <c r="AI80" s="23">
        <v>45554</v>
      </c>
      <c r="AJ80" s="46">
        <v>0.4463078703703704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 s="20">
        <f t="shared" ref="AW80:AW83" si="92">AW79</f>
        <v>78.921400000000006</v>
      </c>
    </row>
    <row r="81" spans="1:49">
      <c r="A81" t="s">
        <v>103</v>
      </c>
      <c r="B81">
        <v>2</v>
      </c>
      <c r="C81" t="s">
        <v>7</v>
      </c>
      <c r="D81">
        <v>51968</v>
      </c>
      <c r="E81">
        <v>64</v>
      </c>
      <c r="F81">
        <v>4</v>
      </c>
      <c r="G81">
        <v>4</v>
      </c>
      <c r="H81">
        <v>1164.03</v>
      </c>
      <c r="I81" s="54">
        <v>80.384</v>
      </c>
      <c r="J81" s="23">
        <v>45548</v>
      </c>
      <c r="K81" s="46">
        <v>0.59793981481481484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20">
        <f t="shared" si="91"/>
        <v>80.292800000000014</v>
      </c>
      <c r="Z81" t="s">
        <v>154</v>
      </c>
      <c r="AA81">
        <v>2</v>
      </c>
      <c r="AB81" t="s">
        <v>7</v>
      </c>
      <c r="AC81">
        <v>51968</v>
      </c>
      <c r="AD81">
        <v>64</v>
      </c>
      <c r="AE81">
        <v>4</v>
      </c>
      <c r="AF81">
        <v>4</v>
      </c>
      <c r="AG81">
        <v>1185.46</v>
      </c>
      <c r="AH81" s="20">
        <v>78.930999999999997</v>
      </c>
      <c r="AI81" s="23">
        <v>45555</v>
      </c>
      <c r="AJ81" s="46">
        <v>0.39869212962962963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 s="20">
        <f t="shared" si="92"/>
        <v>78.921400000000006</v>
      </c>
    </row>
    <row r="82" spans="1:49">
      <c r="A82" t="s">
        <v>103</v>
      </c>
      <c r="B82">
        <v>3</v>
      </c>
      <c r="C82" t="s">
        <v>7</v>
      </c>
      <c r="D82">
        <v>51968</v>
      </c>
      <c r="E82">
        <v>64</v>
      </c>
      <c r="F82">
        <v>4</v>
      </c>
      <c r="G82">
        <v>4</v>
      </c>
      <c r="H82">
        <v>1166.6099999999999</v>
      </c>
      <c r="I82" s="54">
        <v>80.206000000000003</v>
      </c>
      <c r="J82" s="23">
        <v>45549</v>
      </c>
      <c r="K82" s="46">
        <v>0.68741898148148151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s="20">
        <f t="shared" si="91"/>
        <v>80.292800000000014</v>
      </c>
      <c r="Z82" t="s">
        <v>154</v>
      </c>
      <c r="AA82">
        <v>3</v>
      </c>
      <c r="AB82" t="s">
        <v>7</v>
      </c>
      <c r="AC82">
        <v>51968</v>
      </c>
      <c r="AD82">
        <v>64</v>
      </c>
      <c r="AE82">
        <v>4</v>
      </c>
      <c r="AF82">
        <v>4</v>
      </c>
      <c r="AG82">
        <v>1188.06</v>
      </c>
      <c r="AH82" s="20">
        <v>78.759</v>
      </c>
      <c r="AI82" s="23">
        <v>45556</v>
      </c>
      <c r="AJ82" s="46">
        <v>0.35157407407407409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 s="20">
        <f t="shared" si="92"/>
        <v>78.921400000000006</v>
      </c>
    </row>
    <row r="83" spans="1:49">
      <c r="A83" t="s">
        <v>103</v>
      </c>
      <c r="B83">
        <v>4</v>
      </c>
      <c r="C83" t="s">
        <v>7</v>
      </c>
      <c r="D83">
        <v>51968</v>
      </c>
      <c r="E83">
        <v>64</v>
      </c>
      <c r="F83">
        <v>4</v>
      </c>
      <c r="G83">
        <v>4</v>
      </c>
      <c r="H83">
        <v>1168.24</v>
      </c>
      <c r="I83" s="54">
        <v>80.094999999999999</v>
      </c>
      <c r="J83" s="23">
        <v>45550</v>
      </c>
      <c r="K83" s="46">
        <v>0.77668981481481481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s="20">
        <f t="shared" si="91"/>
        <v>80.292800000000014</v>
      </c>
      <c r="Z83" t="s">
        <v>154</v>
      </c>
      <c r="AA83">
        <v>4</v>
      </c>
      <c r="AB83" t="s">
        <v>7</v>
      </c>
      <c r="AC83">
        <v>51968</v>
      </c>
      <c r="AD83">
        <v>64</v>
      </c>
      <c r="AE83">
        <v>4</v>
      </c>
      <c r="AF83">
        <v>4</v>
      </c>
      <c r="AG83">
        <v>1184.3699999999999</v>
      </c>
      <c r="AH83" s="20">
        <v>79.004000000000005</v>
      </c>
      <c r="AI83" s="23">
        <v>45557</v>
      </c>
      <c r="AJ83" s="46">
        <v>0.30467592592592591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 s="20">
        <f t="shared" si="92"/>
        <v>78.921400000000006</v>
      </c>
    </row>
    <row r="84" spans="1:49">
      <c r="A84" t="s">
        <v>103</v>
      </c>
      <c r="B84">
        <v>0</v>
      </c>
      <c r="C84" t="s">
        <v>7</v>
      </c>
      <c r="D84">
        <v>55168</v>
      </c>
      <c r="E84">
        <v>64</v>
      </c>
      <c r="F84">
        <v>4</v>
      </c>
      <c r="G84">
        <v>4</v>
      </c>
      <c r="H84">
        <v>1382.5</v>
      </c>
      <c r="I84" s="54">
        <v>80.97</v>
      </c>
      <c r="J84" s="23">
        <v>45546</v>
      </c>
      <c r="K84" s="46">
        <v>0.73575231481481485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51">
        <f t="shared" ref="X84" si="93">AVERAGE(I84:I88)</f>
        <v>80.770799999999994</v>
      </c>
      <c r="Z84" t="s">
        <v>154</v>
      </c>
      <c r="AA84">
        <v>0</v>
      </c>
      <c r="AB84" t="s">
        <v>7</v>
      </c>
      <c r="AC84">
        <v>55168</v>
      </c>
      <c r="AD84">
        <v>64</v>
      </c>
      <c r="AE84">
        <v>4</v>
      </c>
      <c r="AF84">
        <v>4</v>
      </c>
      <c r="AG84">
        <v>1388.76</v>
      </c>
      <c r="AH84" s="20">
        <v>80.605000000000004</v>
      </c>
      <c r="AI84" s="23">
        <v>45553</v>
      </c>
      <c r="AJ84" s="46">
        <v>0.78024305555555551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 s="51">
        <f t="shared" ref="AW84" si="94">AVERAGE(AH84:AH88)</f>
        <v>80.348600000000005</v>
      </c>
    </row>
    <row r="85" spans="1:49">
      <c r="A85" t="s">
        <v>103</v>
      </c>
      <c r="B85">
        <v>1</v>
      </c>
      <c r="C85" t="s">
        <v>7</v>
      </c>
      <c r="D85">
        <v>55168</v>
      </c>
      <c r="E85">
        <v>64</v>
      </c>
      <c r="F85">
        <v>4</v>
      </c>
      <c r="G85">
        <v>4</v>
      </c>
      <c r="H85">
        <v>1385.07</v>
      </c>
      <c r="I85" s="54">
        <v>80.819999999999993</v>
      </c>
      <c r="J85" s="23">
        <v>45547</v>
      </c>
      <c r="K85" s="46">
        <v>0.82809027777777777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20">
        <f t="shared" ref="X85:X88" si="95">X84</f>
        <v>80.770799999999994</v>
      </c>
      <c r="Z85" t="s">
        <v>154</v>
      </c>
      <c r="AA85">
        <v>1</v>
      </c>
      <c r="AB85" t="s">
        <v>7</v>
      </c>
      <c r="AC85">
        <v>55168</v>
      </c>
      <c r="AD85">
        <v>64</v>
      </c>
      <c r="AE85">
        <v>4</v>
      </c>
      <c r="AF85">
        <v>4</v>
      </c>
      <c r="AG85">
        <v>1392.76</v>
      </c>
      <c r="AH85" s="20">
        <v>80.373000000000005</v>
      </c>
      <c r="AI85" s="23">
        <v>45554</v>
      </c>
      <c r="AJ85" s="46">
        <v>0.73219907407407403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 s="20">
        <f t="shared" ref="AW85:AW88" si="96">AW84</f>
        <v>80.348600000000005</v>
      </c>
    </row>
    <row r="86" spans="1:49">
      <c r="A86" t="s">
        <v>103</v>
      </c>
      <c r="B86">
        <v>2</v>
      </c>
      <c r="C86" t="s">
        <v>7</v>
      </c>
      <c r="D86">
        <v>55168</v>
      </c>
      <c r="E86">
        <v>64</v>
      </c>
      <c r="F86">
        <v>4</v>
      </c>
      <c r="G86">
        <v>4</v>
      </c>
      <c r="H86">
        <v>1385.6</v>
      </c>
      <c r="I86" s="54">
        <v>80.789000000000001</v>
      </c>
      <c r="J86" s="23">
        <v>45548</v>
      </c>
      <c r="K86" s="46">
        <v>0.91908564814814819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20">
        <f t="shared" si="95"/>
        <v>80.770799999999994</v>
      </c>
      <c r="Z86" t="s">
        <v>154</v>
      </c>
      <c r="AA86">
        <v>2</v>
      </c>
      <c r="AB86" t="s">
        <v>7</v>
      </c>
      <c r="AC86">
        <v>55168</v>
      </c>
      <c r="AD86">
        <v>64</v>
      </c>
      <c r="AE86">
        <v>4</v>
      </c>
      <c r="AF86">
        <v>4</v>
      </c>
      <c r="AG86">
        <v>1392.55</v>
      </c>
      <c r="AH86" s="20">
        <v>80.385000000000005</v>
      </c>
      <c r="AI86" s="23">
        <v>45555</v>
      </c>
      <c r="AJ86" s="46">
        <v>0.68442129629629633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 s="20">
        <f t="shared" si="96"/>
        <v>80.348600000000005</v>
      </c>
    </row>
    <row r="87" spans="1:49">
      <c r="A87" t="s">
        <v>103</v>
      </c>
      <c r="B87">
        <v>3</v>
      </c>
      <c r="C87" t="s">
        <v>7</v>
      </c>
      <c r="D87">
        <v>55168</v>
      </c>
      <c r="E87">
        <v>64</v>
      </c>
      <c r="F87">
        <v>4</v>
      </c>
      <c r="G87">
        <v>4</v>
      </c>
      <c r="H87" s="1">
        <v>1386.92</v>
      </c>
      <c r="I87" s="54">
        <v>80.712000000000003</v>
      </c>
      <c r="J87" s="23">
        <v>45550</v>
      </c>
      <c r="K87" s="46">
        <v>8.2986111111111108E-3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s="20">
        <f t="shared" si="95"/>
        <v>80.770799999999994</v>
      </c>
      <c r="Z87" t="s">
        <v>154</v>
      </c>
      <c r="AA87">
        <v>3</v>
      </c>
      <c r="AB87" t="s">
        <v>7</v>
      </c>
      <c r="AC87">
        <v>55168</v>
      </c>
      <c r="AD87">
        <v>64</v>
      </c>
      <c r="AE87">
        <v>4</v>
      </c>
      <c r="AF87">
        <v>4</v>
      </c>
      <c r="AG87">
        <v>1397.42</v>
      </c>
      <c r="AH87" s="20">
        <v>80.105999999999995</v>
      </c>
      <c r="AI87" s="23">
        <v>45556</v>
      </c>
      <c r="AJ87" s="46">
        <v>0.63744212962962965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 s="20">
        <f t="shared" si="96"/>
        <v>80.348600000000005</v>
      </c>
    </row>
    <row r="88" spans="1:49">
      <c r="A88" t="s">
        <v>103</v>
      </c>
      <c r="B88">
        <v>4</v>
      </c>
      <c r="C88" t="s">
        <v>7</v>
      </c>
      <c r="D88">
        <v>55168</v>
      </c>
      <c r="E88">
        <v>64</v>
      </c>
      <c r="F88">
        <v>4</v>
      </c>
      <c r="G88">
        <v>4</v>
      </c>
      <c r="H88">
        <v>1389.47</v>
      </c>
      <c r="I88" s="54">
        <v>80.563000000000002</v>
      </c>
      <c r="J88" s="23">
        <v>45551</v>
      </c>
      <c r="K88" s="46">
        <v>9.762731481481482E-2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s="20">
        <f t="shared" si="95"/>
        <v>80.770799999999994</v>
      </c>
      <c r="Z88" t="s">
        <v>154</v>
      </c>
      <c r="AA88">
        <v>4</v>
      </c>
      <c r="AB88" t="s">
        <v>7</v>
      </c>
      <c r="AC88">
        <v>55168</v>
      </c>
      <c r="AD88">
        <v>64</v>
      </c>
      <c r="AE88">
        <v>4</v>
      </c>
      <c r="AF88">
        <v>4</v>
      </c>
      <c r="AG88">
        <v>1394.48</v>
      </c>
      <c r="AH88" s="20">
        <v>80.274000000000001</v>
      </c>
      <c r="AI88" s="23">
        <v>45557</v>
      </c>
      <c r="AJ88" s="46">
        <v>0.59012731481481484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 s="20">
        <f t="shared" si="96"/>
        <v>80.348600000000005</v>
      </c>
    </row>
    <row r="89" spans="1:49">
      <c r="A89" t="s">
        <v>103</v>
      </c>
      <c r="B89">
        <v>0</v>
      </c>
      <c r="C89" t="s">
        <v>7</v>
      </c>
      <c r="D89">
        <v>58368</v>
      </c>
      <c r="E89">
        <v>64</v>
      </c>
      <c r="F89">
        <v>4</v>
      </c>
      <c r="G89">
        <v>4</v>
      </c>
      <c r="H89">
        <v>1685.78</v>
      </c>
      <c r="I89" s="54">
        <v>78.641000000000005</v>
      </c>
      <c r="J89" s="23">
        <v>45547</v>
      </c>
      <c r="K89" s="46">
        <v>0.12976851851851851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s="51">
        <f t="shared" ref="X89" si="97">AVERAGE(I89:I93)</f>
        <v>78.570599999999985</v>
      </c>
      <c r="Z89" t="s">
        <v>154</v>
      </c>
      <c r="AA89">
        <v>0</v>
      </c>
      <c r="AB89" t="s">
        <v>7</v>
      </c>
      <c r="AC89">
        <v>58368</v>
      </c>
      <c r="AD89">
        <v>64</v>
      </c>
      <c r="AE89">
        <v>4</v>
      </c>
      <c r="AF89">
        <v>4</v>
      </c>
      <c r="AG89">
        <v>1699.87</v>
      </c>
      <c r="AH89" s="20">
        <v>77.989000000000004</v>
      </c>
      <c r="AI89" s="23">
        <v>45554</v>
      </c>
      <c r="AJ89" s="46">
        <v>0.12181712962962964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 s="51">
        <f t="shared" ref="AW89" si="98">AVERAGE(AH89:AH93)</f>
        <v>77.747199999999992</v>
      </c>
    </row>
    <row r="90" spans="1:49">
      <c r="A90" t="s">
        <v>103</v>
      </c>
      <c r="B90">
        <v>1</v>
      </c>
      <c r="C90" t="s">
        <v>7</v>
      </c>
      <c r="D90">
        <v>58368</v>
      </c>
      <c r="E90">
        <v>64</v>
      </c>
      <c r="F90">
        <v>4</v>
      </c>
      <c r="G90">
        <v>4</v>
      </c>
      <c r="H90" s="1">
        <v>1687.07</v>
      </c>
      <c r="I90" s="54">
        <v>78.581000000000003</v>
      </c>
      <c r="J90" s="23">
        <v>45548</v>
      </c>
      <c r="K90" s="46">
        <v>0.22226851851851853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 s="20">
        <f t="shared" ref="X90:X93" si="99">X89</f>
        <v>78.570599999999985</v>
      </c>
      <c r="Z90" t="s">
        <v>154</v>
      </c>
      <c r="AA90">
        <v>1</v>
      </c>
      <c r="AB90" t="s">
        <v>7</v>
      </c>
      <c r="AC90">
        <v>58368</v>
      </c>
      <c r="AD90">
        <v>64</v>
      </c>
      <c r="AE90">
        <v>4</v>
      </c>
      <c r="AF90">
        <v>4</v>
      </c>
      <c r="AG90">
        <v>1705.15</v>
      </c>
      <c r="AH90" s="20">
        <v>77.747</v>
      </c>
      <c r="AI90" s="23">
        <v>45555</v>
      </c>
      <c r="AJ90" s="46">
        <v>7.4456018518518519E-2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 s="20">
        <f t="shared" ref="AW90:AW93" si="100">AW89</f>
        <v>77.747199999999992</v>
      </c>
    </row>
    <row r="91" spans="1:49">
      <c r="A91" t="s">
        <v>103</v>
      </c>
      <c r="B91">
        <v>2</v>
      </c>
      <c r="C91" t="s">
        <v>7</v>
      </c>
      <c r="D91">
        <v>58368</v>
      </c>
      <c r="E91">
        <v>64</v>
      </c>
      <c r="F91">
        <v>4</v>
      </c>
      <c r="G91">
        <v>4</v>
      </c>
      <c r="H91">
        <v>1688.09</v>
      </c>
      <c r="I91" s="54">
        <v>78.533000000000001</v>
      </c>
      <c r="J91" s="23">
        <v>45549</v>
      </c>
      <c r="K91" s="46">
        <v>0.31224537037037037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 s="20">
        <f t="shared" si="99"/>
        <v>78.570599999999985</v>
      </c>
      <c r="Z91" t="s">
        <v>154</v>
      </c>
      <c r="AA91">
        <v>2</v>
      </c>
      <c r="AB91" t="s">
        <v>7</v>
      </c>
      <c r="AC91">
        <v>58368</v>
      </c>
      <c r="AD91">
        <v>64</v>
      </c>
      <c r="AE91">
        <v>4</v>
      </c>
      <c r="AF91">
        <v>4</v>
      </c>
      <c r="AG91">
        <v>1709.99</v>
      </c>
      <c r="AH91" s="20">
        <v>77.528000000000006</v>
      </c>
      <c r="AI91" s="23">
        <v>45556</v>
      </c>
      <c r="AJ91" s="46">
        <v>2.71875E-2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 s="20">
        <f t="shared" si="100"/>
        <v>77.747199999999992</v>
      </c>
    </row>
    <row r="92" spans="1:49">
      <c r="A92" t="s">
        <v>103</v>
      </c>
      <c r="B92">
        <v>3</v>
      </c>
      <c r="C92" t="s">
        <v>7</v>
      </c>
      <c r="D92">
        <v>58368</v>
      </c>
      <c r="E92">
        <v>64</v>
      </c>
      <c r="F92">
        <v>4</v>
      </c>
      <c r="G92">
        <v>4</v>
      </c>
      <c r="H92">
        <v>1687.87</v>
      </c>
      <c r="I92" s="54">
        <v>78.543999999999997</v>
      </c>
      <c r="J92" s="23">
        <v>45550</v>
      </c>
      <c r="K92" s="46">
        <v>0.40155092592592595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s="20">
        <f t="shared" si="99"/>
        <v>78.570599999999985</v>
      </c>
      <c r="Z92" t="s">
        <v>154</v>
      </c>
      <c r="AA92">
        <v>3</v>
      </c>
      <c r="AB92" t="s">
        <v>7</v>
      </c>
      <c r="AC92">
        <v>58368</v>
      </c>
      <c r="AD92">
        <v>64</v>
      </c>
      <c r="AE92">
        <v>4</v>
      </c>
      <c r="AF92">
        <v>4</v>
      </c>
      <c r="AG92">
        <v>1706.3</v>
      </c>
      <c r="AH92" s="20">
        <v>77.694999999999993</v>
      </c>
      <c r="AI92" s="23">
        <v>45556</v>
      </c>
      <c r="AJ92" s="46">
        <v>0.98006944444444444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 s="20">
        <f t="shared" si="100"/>
        <v>77.747199999999992</v>
      </c>
    </row>
    <row r="93" spans="1:49">
      <c r="A93" t="s">
        <v>103</v>
      </c>
      <c r="B93">
        <v>4</v>
      </c>
      <c r="C93" t="s">
        <v>7</v>
      </c>
      <c r="D93">
        <v>58368</v>
      </c>
      <c r="E93">
        <v>64</v>
      </c>
      <c r="F93">
        <v>4</v>
      </c>
      <c r="G93">
        <v>4</v>
      </c>
      <c r="H93">
        <v>1687.65</v>
      </c>
      <c r="I93" s="54">
        <v>78.554000000000002</v>
      </c>
      <c r="J93" s="23">
        <v>45551</v>
      </c>
      <c r="K93" s="46">
        <v>0.48986111111111114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s="20">
        <f t="shared" si="99"/>
        <v>78.570599999999985</v>
      </c>
      <c r="Z93" t="s">
        <v>154</v>
      </c>
      <c r="AA93">
        <v>4</v>
      </c>
      <c r="AB93" t="s">
        <v>7</v>
      </c>
      <c r="AC93">
        <v>58368</v>
      </c>
      <c r="AD93">
        <v>64</v>
      </c>
      <c r="AE93">
        <v>4</v>
      </c>
      <c r="AF93">
        <v>4</v>
      </c>
      <c r="AG93">
        <v>1704.5</v>
      </c>
      <c r="AH93" s="20">
        <v>77.777000000000001</v>
      </c>
      <c r="AI93" s="23">
        <v>45557</v>
      </c>
      <c r="AJ93" s="46">
        <v>0.93229166666666663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 s="20">
        <f t="shared" si="100"/>
        <v>77.747199999999992</v>
      </c>
    </row>
    <row r="94" spans="1:49">
      <c r="A94" t="s">
        <v>103</v>
      </c>
      <c r="B94">
        <v>0</v>
      </c>
      <c r="C94" t="s">
        <v>7</v>
      </c>
      <c r="D94">
        <v>52032</v>
      </c>
      <c r="E94">
        <v>96</v>
      </c>
      <c r="F94">
        <v>1</v>
      </c>
      <c r="G94">
        <v>16</v>
      </c>
      <c r="H94">
        <v>991.81</v>
      </c>
      <c r="I94" s="54">
        <v>94.691999999999993</v>
      </c>
      <c r="J94" s="23">
        <v>45546</v>
      </c>
      <c r="K94" s="46">
        <v>0.4259722222222222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 s="51">
        <f t="shared" ref="X94" si="101">AVERAGE(I94:I98)</f>
        <v>94.290999999999997</v>
      </c>
      <c r="Z94" t="s">
        <v>154</v>
      </c>
      <c r="AA94">
        <v>0</v>
      </c>
      <c r="AB94" t="s">
        <v>7</v>
      </c>
      <c r="AC94">
        <v>52032</v>
      </c>
      <c r="AD94">
        <v>96</v>
      </c>
      <c r="AE94">
        <v>1</v>
      </c>
      <c r="AF94">
        <v>16</v>
      </c>
      <c r="AG94">
        <v>810.9</v>
      </c>
      <c r="AH94" s="20">
        <v>115.82</v>
      </c>
      <c r="AI94" s="23">
        <v>45553</v>
      </c>
      <c r="AJ94" s="46">
        <v>0.50420138888888888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 s="51">
        <f t="shared" ref="AW94" si="102">AVERAGE(AH94:AH98)</f>
        <v>116.33599999999998</v>
      </c>
    </row>
    <row r="95" spans="1:49">
      <c r="A95" t="s">
        <v>103</v>
      </c>
      <c r="B95">
        <v>1</v>
      </c>
      <c r="C95" t="s">
        <v>7</v>
      </c>
      <c r="D95">
        <v>52032</v>
      </c>
      <c r="E95">
        <v>96</v>
      </c>
      <c r="F95">
        <v>1</v>
      </c>
      <c r="G95">
        <v>16</v>
      </c>
      <c r="H95">
        <v>993.18</v>
      </c>
      <c r="I95" s="54">
        <v>94.561000000000007</v>
      </c>
      <c r="J95" s="23">
        <v>45547</v>
      </c>
      <c r="K95" s="46">
        <v>0.51820601851851855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s="20">
        <f t="shared" ref="X95:X98" si="103">X94</f>
        <v>94.290999999999997</v>
      </c>
      <c r="Z95" t="s">
        <v>154</v>
      </c>
      <c r="AA95">
        <v>1</v>
      </c>
      <c r="AB95" t="s">
        <v>7</v>
      </c>
      <c r="AC95">
        <v>52032</v>
      </c>
      <c r="AD95">
        <v>96</v>
      </c>
      <c r="AE95">
        <v>1</v>
      </c>
      <c r="AF95">
        <v>16</v>
      </c>
      <c r="AG95">
        <v>806.82</v>
      </c>
      <c r="AH95" s="20">
        <v>116.4</v>
      </c>
      <c r="AI95" s="23">
        <v>45554</v>
      </c>
      <c r="AJ95" s="46">
        <v>0.45589120370370373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 s="20">
        <f t="shared" ref="AW95:AW98" si="104">AW94</f>
        <v>116.33599999999998</v>
      </c>
    </row>
    <row r="96" spans="1:49">
      <c r="A96" t="s">
        <v>103</v>
      </c>
      <c r="B96">
        <v>2</v>
      </c>
      <c r="C96" t="s">
        <v>7</v>
      </c>
      <c r="D96">
        <v>52032</v>
      </c>
      <c r="E96">
        <v>96</v>
      </c>
      <c r="F96">
        <v>1</v>
      </c>
      <c r="G96">
        <v>16</v>
      </c>
      <c r="H96" s="1">
        <v>997.76</v>
      </c>
      <c r="I96" s="54">
        <v>94.126000000000005</v>
      </c>
      <c r="J96" s="23">
        <v>45548</v>
      </c>
      <c r="K96" s="46">
        <v>0.61016203703703709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 s="20">
        <f t="shared" si="103"/>
        <v>94.290999999999997</v>
      </c>
      <c r="Z96" t="s">
        <v>154</v>
      </c>
      <c r="AA96">
        <v>2</v>
      </c>
      <c r="AB96" t="s">
        <v>7</v>
      </c>
      <c r="AC96">
        <v>52032</v>
      </c>
      <c r="AD96">
        <v>96</v>
      </c>
      <c r="AE96">
        <v>1</v>
      </c>
      <c r="AF96">
        <v>16</v>
      </c>
      <c r="AG96">
        <v>804.55</v>
      </c>
      <c r="AH96" s="20">
        <v>116.73</v>
      </c>
      <c r="AI96" s="23">
        <v>45555</v>
      </c>
      <c r="AJ96" s="46">
        <v>0.40825231481481483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 s="20">
        <f t="shared" si="104"/>
        <v>116.33599999999998</v>
      </c>
    </row>
    <row r="97" spans="1:49">
      <c r="A97" t="s">
        <v>103</v>
      </c>
      <c r="B97">
        <v>3</v>
      </c>
      <c r="C97" t="s">
        <v>7</v>
      </c>
      <c r="D97">
        <v>52032</v>
      </c>
      <c r="E97">
        <v>96</v>
      </c>
      <c r="F97">
        <v>1</v>
      </c>
      <c r="G97">
        <v>16</v>
      </c>
      <c r="H97">
        <v>1003.66</v>
      </c>
      <c r="I97" s="54">
        <v>93.572999999999993</v>
      </c>
      <c r="J97" s="23">
        <v>45549</v>
      </c>
      <c r="K97" s="46">
        <v>0.6997106481481481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s="20">
        <f t="shared" si="103"/>
        <v>94.290999999999997</v>
      </c>
      <c r="Z97" t="s">
        <v>154</v>
      </c>
      <c r="AA97">
        <v>3</v>
      </c>
      <c r="AB97" t="s">
        <v>7</v>
      </c>
      <c r="AC97">
        <v>52032</v>
      </c>
      <c r="AD97">
        <v>96</v>
      </c>
      <c r="AE97">
        <v>1</v>
      </c>
      <c r="AF97">
        <v>16</v>
      </c>
      <c r="AG97">
        <v>808.62</v>
      </c>
      <c r="AH97" s="20">
        <v>116.14</v>
      </c>
      <c r="AI97" s="23">
        <v>45556</v>
      </c>
      <c r="AJ97" s="46">
        <v>0.36118055555555556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 s="20">
        <f t="shared" si="104"/>
        <v>116.33599999999998</v>
      </c>
    </row>
    <row r="98" spans="1:49">
      <c r="A98" t="s">
        <v>103</v>
      </c>
      <c r="B98">
        <v>4</v>
      </c>
      <c r="C98" t="s">
        <v>7</v>
      </c>
      <c r="D98">
        <v>52032</v>
      </c>
      <c r="E98">
        <v>96</v>
      </c>
      <c r="F98">
        <v>1</v>
      </c>
      <c r="G98">
        <v>16</v>
      </c>
      <c r="H98">
        <v>993.79</v>
      </c>
      <c r="I98" s="54">
        <v>94.503</v>
      </c>
      <c r="J98" s="23">
        <v>45550</v>
      </c>
      <c r="K98" s="46">
        <v>0.78886574074074078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 s="20">
        <f t="shared" si="103"/>
        <v>94.290999999999997</v>
      </c>
      <c r="Z98" t="s">
        <v>154</v>
      </c>
      <c r="AA98">
        <v>4</v>
      </c>
      <c r="AB98" t="s">
        <v>7</v>
      </c>
      <c r="AC98">
        <v>52032</v>
      </c>
      <c r="AD98">
        <v>96</v>
      </c>
      <c r="AE98">
        <v>1</v>
      </c>
      <c r="AF98">
        <v>16</v>
      </c>
      <c r="AG98">
        <v>805.54</v>
      </c>
      <c r="AH98" s="20">
        <v>116.59</v>
      </c>
      <c r="AI98" s="23">
        <v>45557</v>
      </c>
      <c r="AJ98" s="46">
        <v>0.3142476851851852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 s="20">
        <f t="shared" si="104"/>
        <v>116.33599999999998</v>
      </c>
    </row>
    <row r="99" spans="1:49">
      <c r="A99" t="s">
        <v>103</v>
      </c>
      <c r="B99">
        <v>0</v>
      </c>
      <c r="C99" t="s">
        <v>7</v>
      </c>
      <c r="D99">
        <v>55200</v>
      </c>
      <c r="E99">
        <v>96</v>
      </c>
      <c r="F99">
        <v>1</v>
      </c>
      <c r="G99">
        <v>16</v>
      </c>
      <c r="H99" s="1">
        <v>1248.32</v>
      </c>
      <c r="I99" s="54">
        <v>89.828999999999994</v>
      </c>
      <c r="J99" s="23">
        <v>45546</v>
      </c>
      <c r="K99" s="46">
        <v>0.75094907407407407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s="51">
        <f t="shared" ref="X99" si="105">AVERAGE(I99:I103)</f>
        <v>90.153999999999996</v>
      </c>
      <c r="Z99" t="s">
        <v>154</v>
      </c>
      <c r="AA99">
        <v>0</v>
      </c>
      <c r="AB99" t="s">
        <v>7</v>
      </c>
      <c r="AC99">
        <v>55200</v>
      </c>
      <c r="AD99">
        <v>96</v>
      </c>
      <c r="AE99">
        <v>1</v>
      </c>
      <c r="AF99">
        <v>16</v>
      </c>
      <c r="AG99">
        <v>1004.44</v>
      </c>
      <c r="AH99" s="20">
        <v>111.64</v>
      </c>
      <c r="AI99" s="23">
        <v>45553</v>
      </c>
      <c r="AJ99" s="46">
        <v>0.79215277777777782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 s="51">
        <f t="shared" ref="AW99" si="106">AVERAGE(AH99:AH103)</f>
        <v>111.20399999999999</v>
      </c>
    </row>
    <row r="100" spans="1:49">
      <c r="A100" t="s">
        <v>103</v>
      </c>
      <c r="B100">
        <v>1</v>
      </c>
      <c r="C100" t="s">
        <v>7</v>
      </c>
      <c r="D100">
        <v>55200</v>
      </c>
      <c r="E100">
        <v>96</v>
      </c>
      <c r="F100">
        <v>1</v>
      </c>
      <c r="G100">
        <v>16</v>
      </c>
      <c r="H100">
        <v>1241.51</v>
      </c>
      <c r="I100" s="54">
        <v>90.322000000000003</v>
      </c>
      <c r="J100" s="23">
        <v>45547</v>
      </c>
      <c r="K100" s="46">
        <v>0.84320601851851851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 s="20">
        <f t="shared" ref="X100:X103" si="107">X99</f>
        <v>90.153999999999996</v>
      </c>
      <c r="Z100" t="s">
        <v>154</v>
      </c>
      <c r="AA100">
        <v>1</v>
      </c>
      <c r="AB100" t="s">
        <v>7</v>
      </c>
      <c r="AC100">
        <v>55200</v>
      </c>
      <c r="AD100">
        <v>96</v>
      </c>
      <c r="AE100">
        <v>1</v>
      </c>
      <c r="AF100">
        <v>16</v>
      </c>
      <c r="AG100">
        <v>1012.12</v>
      </c>
      <c r="AH100" s="20">
        <v>110.79</v>
      </c>
      <c r="AI100" s="23">
        <v>45554</v>
      </c>
      <c r="AJ100" s="46">
        <v>0.74420138888888887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 s="20">
        <f t="shared" ref="AW100:AW103" si="108">AW99</f>
        <v>111.20399999999999</v>
      </c>
    </row>
    <row r="101" spans="1:49">
      <c r="A101" t="s">
        <v>103</v>
      </c>
      <c r="B101">
        <v>2</v>
      </c>
      <c r="C101" t="s">
        <v>7</v>
      </c>
      <c r="D101">
        <v>55200</v>
      </c>
      <c r="E101">
        <v>96</v>
      </c>
      <c r="F101">
        <v>1</v>
      </c>
      <c r="G101">
        <v>16</v>
      </c>
      <c r="H101">
        <v>1242.92</v>
      </c>
      <c r="I101" s="54">
        <v>90.22</v>
      </c>
      <c r="J101" s="23">
        <v>45548</v>
      </c>
      <c r="K101" s="46">
        <v>0.93422453703703701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s="20">
        <f t="shared" si="107"/>
        <v>90.153999999999996</v>
      </c>
      <c r="Z101" t="s">
        <v>154</v>
      </c>
      <c r="AA101">
        <v>2</v>
      </c>
      <c r="AB101" t="s">
        <v>7</v>
      </c>
      <c r="AC101">
        <v>55200</v>
      </c>
      <c r="AD101">
        <v>96</v>
      </c>
      <c r="AE101">
        <v>1</v>
      </c>
      <c r="AF101">
        <v>16</v>
      </c>
      <c r="AG101">
        <v>1007.52</v>
      </c>
      <c r="AH101" s="20">
        <v>111.3</v>
      </c>
      <c r="AI101" s="23">
        <v>45555</v>
      </c>
      <c r="AJ101" s="46">
        <v>0.69636574074074076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 s="20">
        <f t="shared" si="108"/>
        <v>111.20399999999999</v>
      </c>
    </row>
    <row r="102" spans="1:49">
      <c r="A102" t="s">
        <v>103</v>
      </c>
      <c r="B102">
        <v>3</v>
      </c>
      <c r="C102" t="s">
        <v>7</v>
      </c>
      <c r="D102">
        <v>55200</v>
      </c>
      <c r="E102">
        <v>96</v>
      </c>
      <c r="F102">
        <v>1</v>
      </c>
      <c r="G102">
        <v>16</v>
      </c>
      <c r="H102">
        <v>1246.07</v>
      </c>
      <c r="I102" s="54">
        <v>89.991</v>
      </c>
      <c r="J102" s="23">
        <v>45550</v>
      </c>
      <c r="K102" s="46">
        <v>2.3472222222222221E-2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s="20">
        <f t="shared" si="107"/>
        <v>90.153999999999996</v>
      </c>
      <c r="Z102" t="s">
        <v>154</v>
      </c>
      <c r="AA102">
        <v>3</v>
      </c>
      <c r="AB102" t="s">
        <v>7</v>
      </c>
      <c r="AC102">
        <v>55200</v>
      </c>
      <c r="AD102">
        <v>96</v>
      </c>
      <c r="AE102">
        <v>1</v>
      </c>
      <c r="AF102">
        <v>16</v>
      </c>
      <c r="AG102">
        <v>1009.72</v>
      </c>
      <c r="AH102" s="20">
        <v>111.06</v>
      </c>
      <c r="AI102" s="23">
        <v>45556</v>
      </c>
      <c r="AJ102" s="46">
        <v>0.64940972222222226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 s="20">
        <f t="shared" si="108"/>
        <v>111.20399999999999</v>
      </c>
    </row>
    <row r="103" spans="1:49">
      <c r="A103" t="s">
        <v>103</v>
      </c>
      <c r="B103">
        <v>4</v>
      </c>
      <c r="C103" t="s">
        <v>7</v>
      </c>
      <c r="D103">
        <v>55200</v>
      </c>
      <c r="E103">
        <v>96</v>
      </c>
      <c r="F103">
        <v>1</v>
      </c>
      <c r="G103">
        <v>16</v>
      </c>
      <c r="H103">
        <v>1240.32</v>
      </c>
      <c r="I103" s="54">
        <v>90.408000000000001</v>
      </c>
      <c r="J103" s="23">
        <v>45551</v>
      </c>
      <c r="K103" s="46">
        <v>0.11273148148148149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 s="20">
        <f t="shared" si="107"/>
        <v>90.153999999999996</v>
      </c>
      <c r="Z103" t="s">
        <v>154</v>
      </c>
      <c r="AA103">
        <v>4</v>
      </c>
      <c r="AB103" t="s">
        <v>7</v>
      </c>
      <c r="AC103">
        <v>55200</v>
      </c>
      <c r="AD103">
        <v>96</v>
      </c>
      <c r="AE103">
        <v>1</v>
      </c>
      <c r="AF103">
        <v>16</v>
      </c>
      <c r="AG103">
        <v>1008.12</v>
      </c>
      <c r="AH103" s="20">
        <v>111.23</v>
      </c>
      <c r="AI103" s="23">
        <v>45557</v>
      </c>
      <c r="AJ103" s="46">
        <v>0.6020833333333333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 s="20">
        <f t="shared" si="108"/>
        <v>111.20399999999999</v>
      </c>
    </row>
    <row r="104" spans="1:49">
      <c r="A104" t="s">
        <v>103</v>
      </c>
      <c r="B104">
        <v>0</v>
      </c>
      <c r="C104" t="s">
        <v>7</v>
      </c>
      <c r="D104">
        <v>58368</v>
      </c>
      <c r="E104">
        <v>96</v>
      </c>
      <c r="F104">
        <v>1</v>
      </c>
      <c r="G104">
        <v>16</v>
      </c>
      <c r="H104">
        <v>1448.62</v>
      </c>
      <c r="I104" s="54">
        <v>91.516000000000005</v>
      </c>
      <c r="J104" s="23">
        <v>45547</v>
      </c>
      <c r="K104" s="46">
        <v>0.14737268518518518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s="51">
        <f t="shared" ref="X104" si="109">AVERAGE(I104:I108)</f>
        <v>91.343199999999996</v>
      </c>
      <c r="Z104" t="s">
        <v>154</v>
      </c>
      <c r="AA104">
        <v>0</v>
      </c>
      <c r="AB104" t="s">
        <v>7</v>
      </c>
      <c r="AC104">
        <v>58368</v>
      </c>
      <c r="AD104">
        <v>96</v>
      </c>
      <c r="AE104">
        <v>1</v>
      </c>
      <c r="AF104">
        <v>16</v>
      </c>
      <c r="AG104">
        <v>1195.52</v>
      </c>
      <c r="AH104" s="20">
        <v>110.89</v>
      </c>
      <c r="AI104" s="23">
        <v>45554</v>
      </c>
      <c r="AJ104" s="46">
        <v>0.13596064814814815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 s="51">
        <f t="shared" ref="AW104" si="110">AVERAGE(AH104:AH108)</f>
        <v>111.306</v>
      </c>
    </row>
    <row r="105" spans="1:49">
      <c r="A105" t="s">
        <v>103</v>
      </c>
      <c r="B105">
        <v>1</v>
      </c>
      <c r="C105" t="s">
        <v>7</v>
      </c>
      <c r="D105">
        <v>58368</v>
      </c>
      <c r="E105">
        <v>96</v>
      </c>
      <c r="F105">
        <v>1</v>
      </c>
      <c r="G105">
        <v>16</v>
      </c>
      <c r="H105">
        <v>1451.48</v>
      </c>
      <c r="I105" s="54">
        <v>91.334999999999994</v>
      </c>
      <c r="J105" s="23">
        <v>45548</v>
      </c>
      <c r="K105" s="46">
        <v>0.23989583333333334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s="20">
        <f t="shared" ref="X105:X108" si="111">X104</f>
        <v>91.343199999999996</v>
      </c>
      <c r="Z105" t="s">
        <v>154</v>
      </c>
      <c r="AA105">
        <v>1</v>
      </c>
      <c r="AB105" t="s">
        <v>7</v>
      </c>
      <c r="AC105">
        <v>58368</v>
      </c>
      <c r="AD105">
        <v>96</v>
      </c>
      <c r="AE105">
        <v>1</v>
      </c>
      <c r="AF105">
        <v>16</v>
      </c>
      <c r="AG105">
        <v>1187.6199999999999</v>
      </c>
      <c r="AH105" s="20">
        <v>111.63</v>
      </c>
      <c r="AI105" s="23">
        <v>45555</v>
      </c>
      <c r="AJ105" s="46">
        <v>8.8518518518518524E-2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 s="20">
        <f t="shared" ref="AW105:AW108" si="112">AW104</f>
        <v>111.306</v>
      </c>
    </row>
    <row r="106" spans="1:49">
      <c r="A106" t="s">
        <v>103</v>
      </c>
      <c r="B106">
        <v>2</v>
      </c>
      <c r="C106" t="s">
        <v>7</v>
      </c>
      <c r="D106">
        <v>58368</v>
      </c>
      <c r="E106">
        <v>96</v>
      </c>
      <c r="F106">
        <v>1</v>
      </c>
      <c r="G106">
        <v>16</v>
      </c>
      <c r="H106">
        <v>1453.89</v>
      </c>
      <c r="I106" s="54">
        <v>91.183999999999997</v>
      </c>
      <c r="J106" s="23">
        <v>45549</v>
      </c>
      <c r="K106" s="46">
        <v>0.32990740740740743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s="20">
        <f t="shared" si="111"/>
        <v>91.343199999999996</v>
      </c>
      <c r="Z106" t="s">
        <v>154</v>
      </c>
      <c r="AA106">
        <v>2</v>
      </c>
      <c r="AB106" t="s">
        <v>7</v>
      </c>
      <c r="AC106">
        <v>58368</v>
      </c>
      <c r="AD106">
        <v>96</v>
      </c>
      <c r="AE106">
        <v>1</v>
      </c>
      <c r="AF106">
        <v>16</v>
      </c>
      <c r="AG106">
        <v>1190.01</v>
      </c>
      <c r="AH106" s="20">
        <v>111.4</v>
      </c>
      <c r="AI106" s="23">
        <v>45556</v>
      </c>
      <c r="AJ106" s="46">
        <v>4.1273148148148149E-2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 s="20">
        <f t="shared" si="112"/>
        <v>111.306</v>
      </c>
    </row>
    <row r="107" spans="1:49">
      <c r="A107" t="s">
        <v>103</v>
      </c>
      <c r="B107">
        <v>3</v>
      </c>
      <c r="C107" t="s">
        <v>7</v>
      </c>
      <c r="D107">
        <v>58368</v>
      </c>
      <c r="E107">
        <v>96</v>
      </c>
      <c r="F107">
        <v>1</v>
      </c>
      <c r="G107">
        <v>16</v>
      </c>
      <c r="H107" s="1">
        <v>1453.35</v>
      </c>
      <c r="I107" s="54">
        <v>91.218000000000004</v>
      </c>
      <c r="J107" s="23">
        <v>45550</v>
      </c>
      <c r="K107" s="46">
        <v>0.41920138888888892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 s="20">
        <f t="shared" si="111"/>
        <v>91.343199999999996</v>
      </c>
      <c r="Z107" t="s">
        <v>154</v>
      </c>
      <c r="AA107">
        <v>3</v>
      </c>
      <c r="AB107" t="s">
        <v>7</v>
      </c>
      <c r="AC107">
        <v>58368</v>
      </c>
      <c r="AD107">
        <v>96</v>
      </c>
      <c r="AE107">
        <v>1</v>
      </c>
      <c r="AF107">
        <v>16</v>
      </c>
      <c r="AG107">
        <v>1186.1500000000001</v>
      </c>
      <c r="AH107" s="20">
        <v>111.77</v>
      </c>
      <c r="AI107" s="23">
        <v>45556</v>
      </c>
      <c r="AJ107" s="46">
        <v>0.99410879629629634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 s="20">
        <f t="shared" si="112"/>
        <v>111.306</v>
      </c>
    </row>
    <row r="108" spans="1:49">
      <c r="A108" t="s">
        <v>103</v>
      </c>
      <c r="B108">
        <v>4</v>
      </c>
      <c r="C108" t="s">
        <v>7</v>
      </c>
      <c r="D108">
        <v>58368</v>
      </c>
      <c r="E108">
        <v>96</v>
      </c>
      <c r="F108">
        <v>1</v>
      </c>
      <c r="G108">
        <v>16</v>
      </c>
      <c r="H108">
        <v>1449.45</v>
      </c>
      <c r="I108" s="54">
        <v>91.462999999999994</v>
      </c>
      <c r="J108" s="23">
        <v>45551</v>
      </c>
      <c r="K108" s="46">
        <v>0.50747685185185187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s="20">
        <f t="shared" si="111"/>
        <v>91.343199999999996</v>
      </c>
      <c r="Z108" t="s">
        <v>154</v>
      </c>
      <c r="AA108">
        <v>4</v>
      </c>
      <c r="AB108" t="s">
        <v>7</v>
      </c>
      <c r="AC108">
        <v>58368</v>
      </c>
      <c r="AD108">
        <v>96</v>
      </c>
      <c r="AE108">
        <v>1</v>
      </c>
      <c r="AF108">
        <v>16</v>
      </c>
      <c r="AG108">
        <v>1196.05</v>
      </c>
      <c r="AH108" s="20">
        <v>110.84</v>
      </c>
      <c r="AI108" s="23">
        <v>45557</v>
      </c>
      <c r="AJ108" s="46">
        <v>0.94644675925925925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 s="20">
        <f t="shared" si="112"/>
        <v>111.306</v>
      </c>
    </row>
    <row r="109" spans="1:49">
      <c r="A109" t="s">
        <v>103</v>
      </c>
      <c r="B109">
        <v>0</v>
      </c>
      <c r="C109" t="s">
        <v>7</v>
      </c>
      <c r="D109">
        <v>52032</v>
      </c>
      <c r="E109">
        <v>96</v>
      </c>
      <c r="F109">
        <v>2</v>
      </c>
      <c r="G109">
        <v>8</v>
      </c>
      <c r="H109">
        <v>949.72</v>
      </c>
      <c r="I109" s="54">
        <v>98.888000000000005</v>
      </c>
      <c r="J109" s="23">
        <v>45546</v>
      </c>
      <c r="K109" s="46">
        <v>0.43763888888888891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 s="51">
        <f t="shared" ref="X109" si="113">AVERAGE(I109:I113)</f>
        <v>98.373199999999997</v>
      </c>
      <c r="Z109" t="s">
        <v>154</v>
      </c>
      <c r="AA109">
        <v>0</v>
      </c>
      <c r="AB109" t="s">
        <v>7</v>
      </c>
      <c r="AC109">
        <v>52032</v>
      </c>
      <c r="AD109">
        <v>96</v>
      </c>
      <c r="AE109">
        <v>2</v>
      </c>
      <c r="AF109">
        <v>8</v>
      </c>
      <c r="AG109">
        <v>799.62</v>
      </c>
      <c r="AH109" s="20">
        <v>117.45</v>
      </c>
      <c r="AI109" s="23">
        <v>45553</v>
      </c>
      <c r="AJ109" s="46">
        <v>0.51369212962962962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 s="51">
        <f t="shared" ref="AW109" si="114">AVERAGE(AH109:AH113)</f>
        <v>118.45399999999999</v>
      </c>
    </row>
    <row r="110" spans="1:49">
      <c r="A110" t="s">
        <v>103</v>
      </c>
      <c r="B110">
        <v>1</v>
      </c>
      <c r="C110" t="s">
        <v>7</v>
      </c>
      <c r="D110">
        <v>52032</v>
      </c>
      <c r="E110">
        <v>96</v>
      </c>
      <c r="F110">
        <v>2</v>
      </c>
      <c r="G110">
        <v>8</v>
      </c>
      <c r="H110">
        <v>954.81</v>
      </c>
      <c r="I110" s="54">
        <v>98.361000000000004</v>
      </c>
      <c r="J110" s="23">
        <v>45547</v>
      </c>
      <c r="K110" s="46">
        <v>0.52993055555555557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s="20">
        <f t="shared" ref="X110:X113" si="115">X109</f>
        <v>98.373199999999997</v>
      </c>
      <c r="Z110" t="s">
        <v>154</v>
      </c>
      <c r="AA110">
        <v>1</v>
      </c>
      <c r="AB110" t="s">
        <v>7</v>
      </c>
      <c r="AC110">
        <v>52032</v>
      </c>
      <c r="AD110">
        <v>96</v>
      </c>
      <c r="AE110">
        <v>2</v>
      </c>
      <c r="AF110">
        <v>8</v>
      </c>
      <c r="AG110">
        <v>790.9</v>
      </c>
      <c r="AH110" s="20">
        <v>118.74</v>
      </c>
      <c r="AI110" s="23">
        <v>45554</v>
      </c>
      <c r="AJ110" s="46">
        <v>0.46528935185185183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 s="20">
        <f t="shared" ref="AW110:AW113" si="116">AW109</f>
        <v>118.45399999999999</v>
      </c>
    </row>
    <row r="111" spans="1:49">
      <c r="A111" t="s">
        <v>103</v>
      </c>
      <c r="B111">
        <v>2</v>
      </c>
      <c r="C111" t="s">
        <v>7</v>
      </c>
      <c r="D111">
        <v>52032</v>
      </c>
      <c r="E111">
        <v>96</v>
      </c>
      <c r="F111">
        <v>2</v>
      </c>
      <c r="G111">
        <v>8</v>
      </c>
      <c r="H111">
        <v>956.61</v>
      </c>
      <c r="I111" s="54">
        <v>98.176000000000002</v>
      </c>
      <c r="J111" s="23">
        <v>45548</v>
      </c>
      <c r="K111" s="46">
        <v>0.62190972222222218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s="20">
        <f t="shared" si="115"/>
        <v>98.373199999999997</v>
      </c>
      <c r="Z111" t="s">
        <v>154</v>
      </c>
      <c r="AA111">
        <v>2</v>
      </c>
      <c r="AB111" t="s">
        <v>7</v>
      </c>
      <c r="AC111">
        <v>52032</v>
      </c>
      <c r="AD111">
        <v>96</v>
      </c>
      <c r="AE111">
        <v>2</v>
      </c>
      <c r="AF111">
        <v>8</v>
      </c>
      <c r="AG111">
        <v>790.14</v>
      </c>
      <c r="AH111" s="20">
        <v>118.86</v>
      </c>
      <c r="AI111" s="23">
        <v>45555</v>
      </c>
      <c r="AJ111" s="46">
        <v>0.4176273148148148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 s="20">
        <f t="shared" si="116"/>
        <v>118.45399999999999</v>
      </c>
    </row>
    <row r="112" spans="1:49">
      <c r="A112" t="s">
        <v>103</v>
      </c>
      <c r="B112">
        <v>3</v>
      </c>
      <c r="C112" t="s">
        <v>7</v>
      </c>
      <c r="D112">
        <v>52032</v>
      </c>
      <c r="E112">
        <v>96</v>
      </c>
      <c r="F112">
        <v>2</v>
      </c>
      <c r="G112">
        <v>8</v>
      </c>
      <c r="H112">
        <v>954.36</v>
      </c>
      <c r="I112" s="54">
        <v>98.406999999999996</v>
      </c>
      <c r="J112" s="23">
        <v>45549</v>
      </c>
      <c r="K112" s="46">
        <v>0.71142361111111108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 s="20">
        <f t="shared" si="115"/>
        <v>98.373199999999997</v>
      </c>
      <c r="Z112" t="s">
        <v>154</v>
      </c>
      <c r="AA112">
        <v>3</v>
      </c>
      <c r="AB112" t="s">
        <v>7</v>
      </c>
      <c r="AC112">
        <v>52032</v>
      </c>
      <c r="AD112">
        <v>96</v>
      </c>
      <c r="AE112">
        <v>2</v>
      </c>
      <c r="AF112">
        <v>8</v>
      </c>
      <c r="AG112">
        <v>794.7</v>
      </c>
      <c r="AH112" s="20">
        <v>118.18</v>
      </c>
      <c r="AI112" s="23">
        <v>45556</v>
      </c>
      <c r="AJ112" s="46">
        <v>0.37061342592592594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 s="20">
        <f t="shared" si="116"/>
        <v>118.45399999999999</v>
      </c>
    </row>
    <row r="113" spans="1:49">
      <c r="A113" t="s">
        <v>103</v>
      </c>
      <c r="B113">
        <v>4</v>
      </c>
      <c r="C113" t="s">
        <v>7</v>
      </c>
      <c r="D113">
        <v>52032</v>
      </c>
      <c r="E113">
        <v>96</v>
      </c>
      <c r="F113">
        <v>2</v>
      </c>
      <c r="G113">
        <v>8</v>
      </c>
      <c r="H113" s="1">
        <v>957.99</v>
      </c>
      <c r="I113" s="54">
        <v>98.034000000000006</v>
      </c>
      <c r="J113" s="23">
        <v>45550</v>
      </c>
      <c r="K113" s="46">
        <v>0.80062500000000003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s="20">
        <f t="shared" si="115"/>
        <v>98.373199999999997</v>
      </c>
      <c r="Z113" t="s">
        <v>154</v>
      </c>
      <c r="AA113">
        <v>4</v>
      </c>
      <c r="AB113" t="s">
        <v>7</v>
      </c>
      <c r="AC113">
        <v>52032</v>
      </c>
      <c r="AD113">
        <v>96</v>
      </c>
      <c r="AE113">
        <v>2</v>
      </c>
      <c r="AF113">
        <v>8</v>
      </c>
      <c r="AG113">
        <v>788.95</v>
      </c>
      <c r="AH113" s="20">
        <v>119.04</v>
      </c>
      <c r="AI113" s="23">
        <v>45557</v>
      </c>
      <c r="AJ113" s="46">
        <v>0.32362268518518517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 s="20">
        <f t="shared" si="116"/>
        <v>118.45399999999999</v>
      </c>
    </row>
    <row r="114" spans="1:49">
      <c r="A114" t="s">
        <v>103</v>
      </c>
      <c r="B114">
        <v>0</v>
      </c>
      <c r="C114" t="s">
        <v>7</v>
      </c>
      <c r="D114">
        <v>55200</v>
      </c>
      <c r="E114">
        <v>96</v>
      </c>
      <c r="F114">
        <v>2</v>
      </c>
      <c r="G114">
        <v>8</v>
      </c>
      <c r="H114">
        <v>1156.8699999999999</v>
      </c>
      <c r="I114" s="54">
        <v>96.93</v>
      </c>
      <c r="J114" s="23">
        <v>45546</v>
      </c>
      <c r="K114" s="46">
        <v>0.76509259259259255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s="51">
        <f t="shared" ref="X114" si="117">AVERAGE(I114:I118)</f>
        <v>96.59020000000001</v>
      </c>
      <c r="Z114" t="s">
        <v>154</v>
      </c>
      <c r="AA114">
        <v>0</v>
      </c>
      <c r="AB114" t="s">
        <v>7</v>
      </c>
      <c r="AC114">
        <v>55200</v>
      </c>
      <c r="AD114">
        <v>96</v>
      </c>
      <c r="AE114">
        <v>2</v>
      </c>
      <c r="AF114">
        <v>8</v>
      </c>
      <c r="AG114">
        <v>987.07</v>
      </c>
      <c r="AH114" s="20">
        <v>113.6</v>
      </c>
      <c r="AI114" s="23">
        <v>45553</v>
      </c>
      <c r="AJ114" s="46">
        <v>0.80383101851851857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 s="51">
        <f t="shared" ref="AW114" si="118">AVERAGE(AH114:AH118)</f>
        <v>112.9</v>
      </c>
    </row>
    <row r="115" spans="1:49">
      <c r="A115" t="s">
        <v>103</v>
      </c>
      <c r="B115">
        <v>1</v>
      </c>
      <c r="C115" t="s">
        <v>7</v>
      </c>
      <c r="D115">
        <v>55200</v>
      </c>
      <c r="E115">
        <v>96</v>
      </c>
      <c r="F115">
        <v>2</v>
      </c>
      <c r="G115">
        <v>8</v>
      </c>
      <c r="H115">
        <v>1166.55</v>
      </c>
      <c r="I115" s="54">
        <v>96.126000000000005</v>
      </c>
      <c r="J115" s="23">
        <v>45547</v>
      </c>
      <c r="K115" s="46">
        <v>0.85746527777777781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s="20">
        <f t="shared" ref="X115:X118" si="119">X114</f>
        <v>96.59020000000001</v>
      </c>
      <c r="Z115" t="s">
        <v>154</v>
      </c>
      <c r="AA115">
        <v>1</v>
      </c>
      <c r="AB115" t="s">
        <v>7</v>
      </c>
      <c r="AC115">
        <v>55200</v>
      </c>
      <c r="AD115">
        <v>96</v>
      </c>
      <c r="AE115">
        <v>2</v>
      </c>
      <c r="AF115">
        <v>8</v>
      </c>
      <c r="AG115">
        <v>1002.77</v>
      </c>
      <c r="AH115" s="20">
        <v>111.83</v>
      </c>
      <c r="AI115" s="23">
        <v>45554</v>
      </c>
      <c r="AJ115" s="46">
        <v>0.7560648148148148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 s="20">
        <f t="shared" ref="AW115:AW118" si="120">AW114</f>
        <v>112.9</v>
      </c>
    </row>
    <row r="116" spans="1:49">
      <c r="A116" t="s">
        <v>103</v>
      </c>
      <c r="B116">
        <v>2</v>
      </c>
      <c r="C116" t="s">
        <v>7</v>
      </c>
      <c r="D116">
        <v>55200</v>
      </c>
      <c r="E116">
        <v>96</v>
      </c>
      <c r="F116">
        <v>2</v>
      </c>
      <c r="G116">
        <v>8</v>
      </c>
      <c r="H116" s="1">
        <v>1160.8900000000001</v>
      </c>
      <c r="I116" s="54">
        <v>96.594999999999999</v>
      </c>
      <c r="J116" s="23">
        <v>45548</v>
      </c>
      <c r="K116" s="46">
        <v>0.94841435185185186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s="20">
        <f t="shared" si="119"/>
        <v>96.59020000000001</v>
      </c>
      <c r="Z116" t="s">
        <v>154</v>
      </c>
      <c r="AA116">
        <v>2</v>
      </c>
      <c r="AB116" t="s">
        <v>7</v>
      </c>
      <c r="AC116">
        <v>55200</v>
      </c>
      <c r="AD116">
        <v>96</v>
      </c>
      <c r="AE116">
        <v>2</v>
      </c>
      <c r="AF116">
        <v>8</v>
      </c>
      <c r="AG116">
        <v>998.4</v>
      </c>
      <c r="AH116" s="20">
        <v>112.32</v>
      </c>
      <c r="AI116" s="23">
        <v>45555</v>
      </c>
      <c r="AJ116" s="46">
        <v>0.70818287037037042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 s="20">
        <f t="shared" si="120"/>
        <v>112.9</v>
      </c>
    </row>
    <row r="117" spans="1:49">
      <c r="A117" t="s">
        <v>103</v>
      </c>
      <c r="B117">
        <v>3</v>
      </c>
      <c r="C117" t="s">
        <v>7</v>
      </c>
      <c r="D117">
        <v>55200</v>
      </c>
      <c r="E117">
        <v>96</v>
      </c>
      <c r="F117">
        <v>2</v>
      </c>
      <c r="G117">
        <v>8</v>
      </c>
      <c r="H117">
        <v>1163.68</v>
      </c>
      <c r="I117" s="54">
        <v>96.363</v>
      </c>
      <c r="J117" s="23">
        <v>45550</v>
      </c>
      <c r="K117" s="46">
        <v>3.7696759259259256E-2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s="20">
        <f t="shared" si="119"/>
        <v>96.59020000000001</v>
      </c>
      <c r="Z117" t="s">
        <v>154</v>
      </c>
      <c r="AA117">
        <v>3</v>
      </c>
      <c r="AB117" t="s">
        <v>7</v>
      </c>
      <c r="AC117">
        <v>55200</v>
      </c>
      <c r="AD117">
        <v>96</v>
      </c>
      <c r="AE117">
        <v>2</v>
      </c>
      <c r="AF117">
        <v>8</v>
      </c>
      <c r="AG117">
        <v>989.07</v>
      </c>
      <c r="AH117" s="20">
        <v>113.38</v>
      </c>
      <c r="AI117" s="23">
        <v>45556</v>
      </c>
      <c r="AJ117" s="46">
        <v>0.66112268518518513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 s="20">
        <f t="shared" si="120"/>
        <v>112.9</v>
      </c>
    </row>
    <row r="118" spans="1:49">
      <c r="A118" t="s">
        <v>103</v>
      </c>
      <c r="B118">
        <v>4</v>
      </c>
      <c r="C118" t="s">
        <v>7</v>
      </c>
      <c r="D118">
        <v>55200</v>
      </c>
      <c r="E118">
        <v>96</v>
      </c>
      <c r="F118">
        <v>2</v>
      </c>
      <c r="G118">
        <v>8</v>
      </c>
      <c r="H118">
        <v>1156.79</v>
      </c>
      <c r="I118" s="54">
        <v>96.936999999999998</v>
      </c>
      <c r="J118" s="23">
        <v>45551</v>
      </c>
      <c r="K118" s="46">
        <v>0.12687499999999999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s="20">
        <f t="shared" si="119"/>
        <v>96.59020000000001</v>
      </c>
      <c r="Z118" t="s">
        <v>154</v>
      </c>
      <c r="AA118">
        <v>4</v>
      </c>
      <c r="AB118" t="s">
        <v>7</v>
      </c>
      <c r="AC118">
        <v>55200</v>
      </c>
      <c r="AD118">
        <v>96</v>
      </c>
      <c r="AE118">
        <v>2</v>
      </c>
      <c r="AF118">
        <v>8</v>
      </c>
      <c r="AG118">
        <v>989.07</v>
      </c>
      <c r="AH118" s="20">
        <v>113.37</v>
      </c>
      <c r="AI118" s="23">
        <v>45557</v>
      </c>
      <c r="AJ118" s="46">
        <v>0.61379629629629628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 s="20">
        <f t="shared" si="120"/>
        <v>112.9</v>
      </c>
    </row>
    <row r="119" spans="1:49">
      <c r="A119" t="s">
        <v>103</v>
      </c>
      <c r="B119">
        <v>0</v>
      </c>
      <c r="C119" t="s">
        <v>7</v>
      </c>
      <c r="D119">
        <v>58368</v>
      </c>
      <c r="E119">
        <v>96</v>
      </c>
      <c r="F119">
        <v>2</v>
      </c>
      <c r="G119">
        <v>8</v>
      </c>
      <c r="H119" s="1">
        <v>1356.11</v>
      </c>
      <c r="I119" s="54">
        <v>97.759</v>
      </c>
      <c r="J119" s="23">
        <v>45547</v>
      </c>
      <c r="K119" s="46">
        <v>0.16391203703703705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s="51">
        <f t="shared" ref="X119" si="121">AVERAGE(I119:I123)</f>
        <v>97.734999999999985</v>
      </c>
      <c r="Z119" t="s">
        <v>154</v>
      </c>
      <c r="AA119">
        <v>0</v>
      </c>
      <c r="AB119" t="s">
        <v>7</v>
      </c>
      <c r="AC119">
        <v>58368</v>
      </c>
      <c r="AD119">
        <v>96</v>
      </c>
      <c r="AE119">
        <v>2</v>
      </c>
      <c r="AF119">
        <v>8</v>
      </c>
      <c r="AG119">
        <v>1117.5</v>
      </c>
      <c r="AH119" s="20">
        <v>118.63</v>
      </c>
      <c r="AI119" s="23">
        <v>45554</v>
      </c>
      <c r="AJ119" s="46">
        <v>0.1491898148148148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 s="51">
        <f t="shared" ref="AW119" si="122">AVERAGE(AH119:AH123)</f>
        <v>118.63999999999999</v>
      </c>
    </row>
    <row r="120" spans="1:49">
      <c r="A120" t="s">
        <v>103</v>
      </c>
      <c r="B120">
        <v>1</v>
      </c>
      <c r="C120" t="s">
        <v>7</v>
      </c>
      <c r="D120">
        <v>58368</v>
      </c>
      <c r="E120">
        <v>96</v>
      </c>
      <c r="F120">
        <v>2</v>
      </c>
      <c r="G120">
        <v>8</v>
      </c>
      <c r="H120">
        <v>1355.15</v>
      </c>
      <c r="I120" s="54">
        <v>97.828000000000003</v>
      </c>
      <c r="J120" s="23">
        <v>45548</v>
      </c>
      <c r="K120" s="46">
        <v>0.25642361111111112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s="20">
        <f t="shared" ref="X120:X123" si="123">X119</f>
        <v>97.734999999999985</v>
      </c>
      <c r="Z120" t="s">
        <v>154</v>
      </c>
      <c r="AA120">
        <v>1</v>
      </c>
      <c r="AB120" t="s">
        <v>7</v>
      </c>
      <c r="AC120">
        <v>58368</v>
      </c>
      <c r="AD120">
        <v>96</v>
      </c>
      <c r="AE120">
        <v>2</v>
      </c>
      <c r="AF120">
        <v>8</v>
      </c>
      <c r="AG120">
        <v>1114.4100000000001</v>
      </c>
      <c r="AH120" s="20">
        <v>118.96</v>
      </c>
      <c r="AI120" s="23">
        <v>45555</v>
      </c>
      <c r="AJ120" s="46">
        <v>0.10171296296296296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 s="20">
        <f t="shared" ref="AW120:AW123" si="124">AW119</f>
        <v>118.63999999999999</v>
      </c>
    </row>
    <row r="121" spans="1:49">
      <c r="A121" t="s">
        <v>103</v>
      </c>
      <c r="B121">
        <v>2</v>
      </c>
      <c r="C121" t="s">
        <v>7</v>
      </c>
      <c r="D121">
        <v>58368</v>
      </c>
      <c r="E121">
        <v>96</v>
      </c>
      <c r="F121">
        <v>2</v>
      </c>
      <c r="G121">
        <v>8</v>
      </c>
      <c r="H121">
        <v>1355.68</v>
      </c>
      <c r="I121" s="54">
        <v>97.789000000000001</v>
      </c>
      <c r="J121" s="23">
        <v>45549</v>
      </c>
      <c r="K121" s="46">
        <v>0.34643518518518518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s="20">
        <f t="shared" si="123"/>
        <v>97.734999999999985</v>
      </c>
      <c r="Z121" t="s">
        <v>154</v>
      </c>
      <c r="AA121">
        <v>2</v>
      </c>
      <c r="AB121" t="s">
        <v>7</v>
      </c>
      <c r="AC121">
        <v>58368</v>
      </c>
      <c r="AD121">
        <v>96</v>
      </c>
      <c r="AE121">
        <v>2</v>
      </c>
      <c r="AF121">
        <v>8</v>
      </c>
      <c r="AG121">
        <v>1115.0899999999999</v>
      </c>
      <c r="AH121" s="20">
        <v>118.89</v>
      </c>
      <c r="AI121" s="23">
        <v>45556</v>
      </c>
      <c r="AJ121" s="46">
        <v>5.4479166666666669E-2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 s="20">
        <f t="shared" si="124"/>
        <v>118.63999999999999</v>
      </c>
    </row>
    <row r="122" spans="1:49">
      <c r="A122" t="s">
        <v>103</v>
      </c>
      <c r="B122">
        <v>3</v>
      </c>
      <c r="C122" t="s">
        <v>7</v>
      </c>
      <c r="D122">
        <v>58368</v>
      </c>
      <c r="E122">
        <v>96</v>
      </c>
      <c r="F122">
        <v>2</v>
      </c>
      <c r="G122">
        <v>8</v>
      </c>
      <c r="H122">
        <v>1357.17</v>
      </c>
      <c r="I122" s="54">
        <v>97.683000000000007</v>
      </c>
      <c r="J122" s="23">
        <v>45550</v>
      </c>
      <c r="K122" s="46">
        <v>0.4357523148148148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 s="20">
        <f t="shared" si="123"/>
        <v>97.734999999999985</v>
      </c>
      <c r="Z122" t="s">
        <v>154</v>
      </c>
      <c r="AA122">
        <v>3</v>
      </c>
      <c r="AB122" t="s">
        <v>7</v>
      </c>
      <c r="AC122">
        <v>58368</v>
      </c>
      <c r="AD122">
        <v>96</v>
      </c>
      <c r="AE122">
        <v>2</v>
      </c>
      <c r="AF122">
        <v>8</v>
      </c>
      <c r="AG122">
        <v>1125.1500000000001</v>
      </c>
      <c r="AH122" s="20">
        <v>117.83</v>
      </c>
      <c r="AI122" s="23">
        <v>45557</v>
      </c>
      <c r="AJ122" s="46">
        <v>7.4189814814814813E-3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 s="20">
        <f t="shared" si="124"/>
        <v>118.63999999999999</v>
      </c>
    </row>
    <row r="123" spans="1:49">
      <c r="A123" t="s">
        <v>103</v>
      </c>
      <c r="B123">
        <v>4</v>
      </c>
      <c r="C123" t="s">
        <v>7</v>
      </c>
      <c r="D123">
        <v>58368</v>
      </c>
      <c r="E123">
        <v>96</v>
      </c>
      <c r="F123">
        <v>2</v>
      </c>
      <c r="G123">
        <v>8</v>
      </c>
      <c r="H123">
        <v>1358.09</v>
      </c>
      <c r="I123" s="54">
        <v>97.616</v>
      </c>
      <c r="J123" s="23">
        <v>45551</v>
      </c>
      <c r="K123" s="46">
        <v>0.52402777777777776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s="20">
        <f t="shared" si="123"/>
        <v>97.734999999999985</v>
      </c>
      <c r="Z123" t="s">
        <v>154</v>
      </c>
      <c r="AA123">
        <v>4</v>
      </c>
      <c r="AB123" t="s">
        <v>7</v>
      </c>
      <c r="AC123">
        <v>58368</v>
      </c>
      <c r="AD123">
        <v>96</v>
      </c>
      <c r="AE123">
        <v>2</v>
      </c>
      <c r="AF123">
        <v>8</v>
      </c>
      <c r="AG123">
        <v>1115.1199999999999</v>
      </c>
      <c r="AH123" s="20">
        <v>118.89</v>
      </c>
      <c r="AI123" s="23">
        <v>45557</v>
      </c>
      <c r="AJ123" s="46">
        <v>0.9596527777777778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 s="20">
        <f t="shared" si="124"/>
        <v>118.63999999999999</v>
      </c>
    </row>
    <row r="124" spans="1:49">
      <c r="A124" t="s">
        <v>103</v>
      </c>
      <c r="B124">
        <v>0</v>
      </c>
      <c r="C124" t="s">
        <v>7</v>
      </c>
      <c r="D124">
        <v>52032</v>
      </c>
      <c r="E124">
        <v>96</v>
      </c>
      <c r="F124">
        <v>4</v>
      </c>
      <c r="G124">
        <v>4</v>
      </c>
      <c r="H124">
        <v>1061.4000000000001</v>
      </c>
      <c r="I124" s="54">
        <v>88.483000000000004</v>
      </c>
      <c r="J124" s="23">
        <v>45546</v>
      </c>
      <c r="K124" s="46">
        <v>0.45059027777777777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s="51">
        <f t="shared" ref="X124" si="125">AVERAGE(I124:I128)</f>
        <v>88.286199999999994</v>
      </c>
      <c r="Z124" t="s">
        <v>154</v>
      </c>
      <c r="AA124">
        <v>0</v>
      </c>
      <c r="AB124" t="s">
        <v>7</v>
      </c>
      <c r="AC124">
        <v>52032</v>
      </c>
      <c r="AD124">
        <v>96</v>
      </c>
      <c r="AE124">
        <v>4</v>
      </c>
      <c r="AF124">
        <v>4</v>
      </c>
      <c r="AG124">
        <v>896.06</v>
      </c>
      <c r="AH124" s="20">
        <v>104.81</v>
      </c>
      <c r="AI124" s="23">
        <v>45553</v>
      </c>
      <c r="AJ124" s="46">
        <v>0.52429398148148143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 s="51">
        <f t="shared" ref="AW124" si="126">AVERAGE(AH124:AH128)</f>
        <v>104.44200000000001</v>
      </c>
    </row>
    <row r="125" spans="1:49">
      <c r="A125" t="s">
        <v>103</v>
      </c>
      <c r="B125">
        <v>1</v>
      </c>
      <c r="C125" t="s">
        <v>7</v>
      </c>
      <c r="D125">
        <v>52032</v>
      </c>
      <c r="E125">
        <v>96</v>
      </c>
      <c r="F125">
        <v>4</v>
      </c>
      <c r="G125">
        <v>4</v>
      </c>
      <c r="H125" s="1">
        <v>1061.26</v>
      </c>
      <c r="I125" s="54">
        <v>88.495000000000005</v>
      </c>
      <c r="J125" s="23">
        <v>45547</v>
      </c>
      <c r="K125" s="46">
        <v>0.54289351851851853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s="20">
        <f t="shared" ref="X125:X128" si="127">X124</f>
        <v>88.286199999999994</v>
      </c>
      <c r="Z125" t="s">
        <v>154</v>
      </c>
      <c r="AA125">
        <v>1</v>
      </c>
      <c r="AB125" t="s">
        <v>7</v>
      </c>
      <c r="AC125">
        <v>52032</v>
      </c>
      <c r="AD125">
        <v>96</v>
      </c>
      <c r="AE125">
        <v>4</v>
      </c>
      <c r="AF125">
        <v>4</v>
      </c>
      <c r="AG125">
        <v>897.96</v>
      </c>
      <c r="AH125" s="20">
        <v>104.59</v>
      </c>
      <c r="AI125" s="23">
        <v>45554</v>
      </c>
      <c r="AJ125" s="46">
        <v>0.47590277777777779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 s="20">
        <f t="shared" ref="AW125:AW128" si="128">AW124</f>
        <v>104.44200000000001</v>
      </c>
    </row>
    <row r="126" spans="1:49">
      <c r="A126" t="s">
        <v>103</v>
      </c>
      <c r="B126">
        <v>2</v>
      </c>
      <c r="C126" t="s">
        <v>7</v>
      </c>
      <c r="D126">
        <v>52032</v>
      </c>
      <c r="E126">
        <v>96</v>
      </c>
      <c r="F126">
        <v>4</v>
      </c>
      <c r="G126">
        <v>4</v>
      </c>
      <c r="H126">
        <v>1063.77</v>
      </c>
      <c r="I126" s="54">
        <v>88.286000000000001</v>
      </c>
      <c r="J126" s="23">
        <v>45548</v>
      </c>
      <c r="K126" s="46">
        <v>0.63489583333333333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s="20">
        <f t="shared" si="127"/>
        <v>88.286199999999994</v>
      </c>
      <c r="Z126" t="s">
        <v>154</v>
      </c>
      <c r="AA126">
        <v>2</v>
      </c>
      <c r="AB126" t="s">
        <v>7</v>
      </c>
      <c r="AC126">
        <v>52032</v>
      </c>
      <c r="AD126">
        <v>96</v>
      </c>
      <c r="AE126">
        <v>4</v>
      </c>
      <c r="AF126">
        <v>4</v>
      </c>
      <c r="AG126">
        <v>900.06</v>
      </c>
      <c r="AH126" s="20">
        <v>104.34</v>
      </c>
      <c r="AI126" s="23">
        <v>45555</v>
      </c>
      <c r="AJ126" s="46">
        <v>0.42827546296296298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 s="20">
        <f t="shared" si="128"/>
        <v>104.44200000000001</v>
      </c>
    </row>
    <row r="127" spans="1:49">
      <c r="A127" t="s">
        <v>103</v>
      </c>
      <c r="B127">
        <v>3</v>
      </c>
      <c r="C127" t="s">
        <v>7</v>
      </c>
      <c r="D127">
        <v>52032</v>
      </c>
      <c r="E127">
        <v>96</v>
      </c>
      <c r="F127">
        <v>4</v>
      </c>
      <c r="G127">
        <v>4</v>
      </c>
      <c r="H127">
        <v>1066.26</v>
      </c>
      <c r="I127" s="54">
        <v>88.08</v>
      </c>
      <c r="J127" s="23">
        <v>45549</v>
      </c>
      <c r="K127" s="46">
        <v>0.72444444444444445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s="20">
        <f t="shared" si="127"/>
        <v>88.286199999999994</v>
      </c>
      <c r="Z127" t="s">
        <v>154</v>
      </c>
      <c r="AA127">
        <v>3</v>
      </c>
      <c r="AB127" t="s">
        <v>7</v>
      </c>
      <c r="AC127">
        <v>52032</v>
      </c>
      <c r="AD127">
        <v>96</v>
      </c>
      <c r="AE127">
        <v>4</v>
      </c>
      <c r="AF127">
        <v>4</v>
      </c>
      <c r="AG127">
        <v>898.23</v>
      </c>
      <c r="AH127" s="20">
        <v>104.56</v>
      </c>
      <c r="AI127" s="23">
        <v>45556</v>
      </c>
      <c r="AJ127" s="46">
        <v>0.38123842592592594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 s="20">
        <f t="shared" si="128"/>
        <v>104.44200000000001</v>
      </c>
    </row>
    <row r="128" spans="1:49">
      <c r="A128" t="s">
        <v>103</v>
      </c>
      <c r="B128">
        <v>4</v>
      </c>
      <c r="C128" t="s">
        <v>7</v>
      </c>
      <c r="D128">
        <v>52032</v>
      </c>
      <c r="E128">
        <v>96</v>
      </c>
      <c r="F128">
        <v>4</v>
      </c>
      <c r="G128">
        <v>4</v>
      </c>
      <c r="H128">
        <v>1066.17</v>
      </c>
      <c r="I128" s="54">
        <v>88.087000000000003</v>
      </c>
      <c r="J128" s="23">
        <v>45550</v>
      </c>
      <c r="K128" s="46">
        <v>0.81364583333333329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s="20">
        <f t="shared" si="127"/>
        <v>88.286199999999994</v>
      </c>
      <c r="Z128" t="s">
        <v>154</v>
      </c>
      <c r="AA128">
        <v>4</v>
      </c>
      <c r="AB128" t="s">
        <v>7</v>
      </c>
      <c r="AC128">
        <v>52032</v>
      </c>
      <c r="AD128">
        <v>96</v>
      </c>
      <c r="AE128">
        <v>4</v>
      </c>
      <c r="AF128">
        <v>4</v>
      </c>
      <c r="AG128">
        <v>903.82</v>
      </c>
      <c r="AH128" s="20">
        <v>103.91</v>
      </c>
      <c r="AI128" s="23">
        <v>45557</v>
      </c>
      <c r="AJ128" s="46">
        <v>0.33430555555555558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 s="20">
        <f t="shared" si="128"/>
        <v>104.44200000000001</v>
      </c>
    </row>
    <row r="129" spans="1:49">
      <c r="A129" t="s">
        <v>103</v>
      </c>
      <c r="B129">
        <v>0</v>
      </c>
      <c r="C129" t="s">
        <v>7</v>
      </c>
      <c r="D129">
        <v>55200</v>
      </c>
      <c r="E129">
        <v>96</v>
      </c>
      <c r="F129">
        <v>4</v>
      </c>
      <c r="G129">
        <v>4</v>
      </c>
      <c r="H129">
        <v>1248.1500000000001</v>
      </c>
      <c r="I129" s="54">
        <v>89.840999999999994</v>
      </c>
      <c r="J129" s="23">
        <v>45546</v>
      </c>
      <c r="K129" s="46">
        <v>0.78028935185185189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s="51">
        <f t="shared" ref="X129" si="129">AVERAGE(I129:I133)</f>
        <v>89.801199999999994</v>
      </c>
      <c r="Z129" t="s">
        <v>154</v>
      </c>
      <c r="AA129">
        <v>0</v>
      </c>
      <c r="AB129" t="s">
        <v>7</v>
      </c>
      <c r="AC129">
        <v>55200</v>
      </c>
      <c r="AD129">
        <v>96</v>
      </c>
      <c r="AE129">
        <v>4</v>
      </c>
      <c r="AF129">
        <v>4</v>
      </c>
      <c r="AG129">
        <v>1062.93</v>
      </c>
      <c r="AH129" s="20">
        <v>105.5</v>
      </c>
      <c r="AI129" s="23">
        <v>45553</v>
      </c>
      <c r="AJ129" s="46">
        <v>0.81638888888888894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 s="51">
        <f t="shared" ref="AW129" si="130">AVERAGE(AH129:AH133)</f>
        <v>105.874</v>
      </c>
    </row>
    <row r="130" spans="1:49">
      <c r="A130" t="s">
        <v>103</v>
      </c>
      <c r="B130">
        <v>1</v>
      </c>
      <c r="C130" t="s">
        <v>7</v>
      </c>
      <c r="D130">
        <v>55200</v>
      </c>
      <c r="E130">
        <v>96</v>
      </c>
      <c r="F130">
        <v>4</v>
      </c>
      <c r="G130">
        <v>4</v>
      </c>
      <c r="H130">
        <v>1246.5899999999999</v>
      </c>
      <c r="I130" s="54">
        <v>89.953999999999994</v>
      </c>
      <c r="J130" s="23">
        <v>45547</v>
      </c>
      <c r="K130" s="46">
        <v>0.872650462962963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s="20">
        <f t="shared" ref="X130:X133" si="131">X129</f>
        <v>89.801199999999994</v>
      </c>
      <c r="Z130" t="s">
        <v>154</v>
      </c>
      <c r="AA130">
        <v>1</v>
      </c>
      <c r="AB130" t="s">
        <v>7</v>
      </c>
      <c r="AC130">
        <v>55200</v>
      </c>
      <c r="AD130">
        <v>96</v>
      </c>
      <c r="AE130">
        <v>4</v>
      </c>
      <c r="AF130">
        <v>4</v>
      </c>
      <c r="AG130">
        <v>1057.83</v>
      </c>
      <c r="AH130" s="20">
        <v>106.01</v>
      </c>
      <c r="AI130" s="23">
        <v>45554</v>
      </c>
      <c r="AJ130" s="46">
        <v>0.76856481481481487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 s="20">
        <f t="shared" ref="AW130:AW133" si="132">AW129</f>
        <v>105.874</v>
      </c>
    </row>
    <row r="131" spans="1:49">
      <c r="A131" t="s">
        <v>103</v>
      </c>
      <c r="B131">
        <v>2</v>
      </c>
      <c r="C131" t="s">
        <v>7</v>
      </c>
      <c r="D131">
        <v>55200</v>
      </c>
      <c r="E131">
        <v>96</v>
      </c>
      <c r="F131">
        <v>4</v>
      </c>
      <c r="G131">
        <v>4</v>
      </c>
      <c r="H131">
        <v>1247.19</v>
      </c>
      <c r="I131" s="54">
        <v>89.91</v>
      </c>
      <c r="J131" s="23">
        <v>45548</v>
      </c>
      <c r="K131" s="46">
        <v>0.96359953703703705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 s="20">
        <f t="shared" si="131"/>
        <v>89.801199999999994</v>
      </c>
      <c r="Z131" t="s">
        <v>154</v>
      </c>
      <c r="AA131">
        <v>2</v>
      </c>
      <c r="AB131" t="s">
        <v>7</v>
      </c>
      <c r="AC131">
        <v>55200</v>
      </c>
      <c r="AD131">
        <v>96</v>
      </c>
      <c r="AE131">
        <v>4</v>
      </c>
      <c r="AF131">
        <v>4</v>
      </c>
      <c r="AG131">
        <v>1055.24</v>
      </c>
      <c r="AH131" s="20">
        <v>106.27</v>
      </c>
      <c r="AI131" s="23">
        <v>45555</v>
      </c>
      <c r="AJ131" s="46">
        <v>0.72064814814814815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 s="20">
        <f t="shared" si="132"/>
        <v>105.874</v>
      </c>
    </row>
    <row r="132" spans="1:49">
      <c r="A132" t="s">
        <v>103</v>
      </c>
      <c r="B132">
        <v>3</v>
      </c>
      <c r="C132" t="s">
        <v>7</v>
      </c>
      <c r="D132">
        <v>55200</v>
      </c>
      <c r="E132">
        <v>96</v>
      </c>
      <c r="F132">
        <v>4</v>
      </c>
      <c r="G132">
        <v>4</v>
      </c>
      <c r="H132">
        <v>1249.3</v>
      </c>
      <c r="I132" s="54">
        <v>89.759</v>
      </c>
      <c r="J132" s="23">
        <v>45550</v>
      </c>
      <c r="K132" s="46">
        <v>5.2905092592592594E-2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s="20">
        <f t="shared" si="131"/>
        <v>89.801199999999994</v>
      </c>
      <c r="Z132" t="s">
        <v>154</v>
      </c>
      <c r="AA132">
        <v>3</v>
      </c>
      <c r="AB132" t="s">
        <v>7</v>
      </c>
      <c r="AC132">
        <v>55200</v>
      </c>
      <c r="AD132">
        <v>96</v>
      </c>
      <c r="AE132">
        <v>4</v>
      </c>
      <c r="AF132">
        <v>4</v>
      </c>
      <c r="AG132">
        <v>1060.5899999999999</v>
      </c>
      <c r="AH132" s="20">
        <v>105.73</v>
      </c>
      <c r="AI132" s="23">
        <v>45556</v>
      </c>
      <c r="AJ132" s="46">
        <v>0.67364583333333339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 s="20">
        <f t="shared" si="132"/>
        <v>105.874</v>
      </c>
    </row>
    <row r="133" spans="1:49">
      <c r="A133" t="s">
        <v>103</v>
      </c>
      <c r="B133">
        <v>4</v>
      </c>
      <c r="C133" t="s">
        <v>7</v>
      </c>
      <c r="D133">
        <v>55200</v>
      </c>
      <c r="E133">
        <v>96</v>
      </c>
      <c r="F133">
        <v>4</v>
      </c>
      <c r="G133">
        <v>4</v>
      </c>
      <c r="H133" s="1">
        <v>1252.33</v>
      </c>
      <c r="I133" s="54">
        <v>89.542000000000002</v>
      </c>
      <c r="J133" s="23">
        <v>45551</v>
      </c>
      <c r="K133" s="46">
        <v>0.14211805555555557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s="20">
        <f t="shared" si="131"/>
        <v>89.801199999999994</v>
      </c>
      <c r="Z133" t="s">
        <v>154</v>
      </c>
      <c r="AA133">
        <v>4</v>
      </c>
      <c r="AB133" t="s">
        <v>7</v>
      </c>
      <c r="AC133">
        <v>55200</v>
      </c>
      <c r="AD133">
        <v>96</v>
      </c>
      <c r="AE133">
        <v>4</v>
      </c>
      <c r="AF133">
        <v>4</v>
      </c>
      <c r="AG133">
        <v>1059.26</v>
      </c>
      <c r="AH133" s="20">
        <v>105.86</v>
      </c>
      <c r="AI133" s="23">
        <v>45557</v>
      </c>
      <c r="AJ133" s="46">
        <v>0.62629629629629635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 s="20">
        <f t="shared" si="132"/>
        <v>105.874</v>
      </c>
    </row>
    <row r="134" spans="1:49">
      <c r="A134" t="s">
        <v>103</v>
      </c>
      <c r="B134">
        <v>0</v>
      </c>
      <c r="C134" t="s">
        <v>7</v>
      </c>
      <c r="D134">
        <v>58368</v>
      </c>
      <c r="E134">
        <v>96</v>
      </c>
      <c r="F134">
        <v>4</v>
      </c>
      <c r="G134">
        <v>4</v>
      </c>
      <c r="H134">
        <v>1512.18</v>
      </c>
      <c r="I134" s="54">
        <v>87.668999999999997</v>
      </c>
      <c r="J134" s="23">
        <v>45547</v>
      </c>
      <c r="K134" s="46">
        <v>0.18224537037037036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s="51">
        <f t="shared" ref="X134" si="133">AVERAGE(I134:I138)</f>
        <v>87.605199999999996</v>
      </c>
      <c r="Z134" t="s">
        <v>154</v>
      </c>
      <c r="AA134">
        <v>0</v>
      </c>
      <c r="AB134" t="s">
        <v>7</v>
      </c>
      <c r="AC134">
        <v>58368</v>
      </c>
      <c r="AD134">
        <v>96</v>
      </c>
      <c r="AE134">
        <v>4</v>
      </c>
      <c r="AF134">
        <v>4</v>
      </c>
      <c r="AG134">
        <v>1279</v>
      </c>
      <c r="AH134" s="20">
        <v>103.65</v>
      </c>
      <c r="AI134" s="23">
        <v>45554</v>
      </c>
      <c r="AJ134" s="46">
        <v>0.16427083333333334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 s="51">
        <f t="shared" ref="AW134" si="134">AVERAGE(AH134:AH138)</f>
        <v>103.476</v>
      </c>
    </row>
    <row r="135" spans="1:49">
      <c r="A135" t="s">
        <v>103</v>
      </c>
      <c r="B135">
        <v>1</v>
      </c>
      <c r="C135" t="s">
        <v>7</v>
      </c>
      <c r="D135">
        <v>58368</v>
      </c>
      <c r="E135">
        <v>96</v>
      </c>
      <c r="F135">
        <v>4</v>
      </c>
      <c r="G135">
        <v>4</v>
      </c>
      <c r="H135">
        <v>1513.64</v>
      </c>
      <c r="I135" s="54">
        <v>87.584000000000003</v>
      </c>
      <c r="J135" s="23">
        <v>45548</v>
      </c>
      <c r="K135" s="46">
        <v>0.27476851851851852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s="20">
        <f t="shared" ref="X135:X138" si="135">X134</f>
        <v>87.605199999999996</v>
      </c>
      <c r="Z135" t="s">
        <v>154</v>
      </c>
      <c r="AA135">
        <v>1</v>
      </c>
      <c r="AB135" t="s">
        <v>7</v>
      </c>
      <c r="AC135">
        <v>58368</v>
      </c>
      <c r="AD135">
        <v>96</v>
      </c>
      <c r="AE135">
        <v>4</v>
      </c>
      <c r="AF135">
        <v>4</v>
      </c>
      <c r="AG135">
        <v>1281.3</v>
      </c>
      <c r="AH135" s="20">
        <v>103.47</v>
      </c>
      <c r="AI135" s="23">
        <v>45555</v>
      </c>
      <c r="AJ135" s="46">
        <v>0.11681712962962963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 s="20">
        <f t="shared" ref="AW135:AW138" si="136">AW134</f>
        <v>103.476</v>
      </c>
    </row>
    <row r="136" spans="1:49">
      <c r="A136" t="s">
        <v>103</v>
      </c>
      <c r="B136">
        <v>2</v>
      </c>
      <c r="C136" t="s">
        <v>7</v>
      </c>
      <c r="D136">
        <v>58368</v>
      </c>
      <c r="E136">
        <v>96</v>
      </c>
      <c r="F136">
        <v>4</v>
      </c>
      <c r="G136">
        <v>4</v>
      </c>
      <c r="H136" s="1">
        <v>1513.19</v>
      </c>
      <c r="I136" s="54">
        <v>87.611000000000004</v>
      </c>
      <c r="J136" s="23">
        <v>45549</v>
      </c>
      <c r="K136" s="46">
        <v>0.36478009259259259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s="20">
        <f t="shared" si="135"/>
        <v>87.605199999999996</v>
      </c>
      <c r="Z136" t="s">
        <v>154</v>
      </c>
      <c r="AA136">
        <v>2</v>
      </c>
      <c r="AB136" t="s">
        <v>7</v>
      </c>
      <c r="AC136">
        <v>58368</v>
      </c>
      <c r="AD136">
        <v>96</v>
      </c>
      <c r="AE136">
        <v>4</v>
      </c>
      <c r="AF136">
        <v>4</v>
      </c>
      <c r="AG136">
        <v>1281.74</v>
      </c>
      <c r="AH136" s="20">
        <v>103.43</v>
      </c>
      <c r="AI136" s="23">
        <v>45556</v>
      </c>
      <c r="AJ136" s="46">
        <v>6.9594907407407411E-2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 s="20">
        <f t="shared" si="136"/>
        <v>103.476</v>
      </c>
    </row>
    <row r="137" spans="1:49">
      <c r="A137" t="s">
        <v>103</v>
      </c>
      <c r="B137">
        <v>3</v>
      </c>
      <c r="C137" t="s">
        <v>7</v>
      </c>
      <c r="D137">
        <v>58368</v>
      </c>
      <c r="E137">
        <v>96</v>
      </c>
      <c r="F137">
        <v>4</v>
      </c>
      <c r="G137">
        <v>4</v>
      </c>
      <c r="H137">
        <v>1515.58</v>
      </c>
      <c r="I137" s="54">
        <v>87.471999999999994</v>
      </c>
      <c r="J137" s="23">
        <v>45550</v>
      </c>
      <c r="K137" s="46">
        <v>0.4541203703703704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s="20">
        <f t="shared" si="135"/>
        <v>87.605199999999996</v>
      </c>
      <c r="Z137" t="s">
        <v>154</v>
      </c>
      <c r="AA137">
        <v>3</v>
      </c>
      <c r="AB137" t="s">
        <v>7</v>
      </c>
      <c r="AC137">
        <v>58368</v>
      </c>
      <c r="AD137">
        <v>96</v>
      </c>
      <c r="AE137">
        <v>4</v>
      </c>
      <c r="AF137">
        <v>4</v>
      </c>
      <c r="AG137">
        <v>1288.5999999999999</v>
      </c>
      <c r="AH137" s="20">
        <v>102.88</v>
      </c>
      <c r="AI137" s="23">
        <v>45557</v>
      </c>
      <c r="AJ137" s="46">
        <v>2.2615740740740742E-2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 s="20">
        <f t="shared" si="136"/>
        <v>103.476</v>
      </c>
    </row>
    <row r="138" spans="1:49">
      <c r="A138" t="s">
        <v>103</v>
      </c>
      <c r="B138">
        <v>4</v>
      </c>
      <c r="C138" t="s">
        <v>7</v>
      </c>
      <c r="D138">
        <v>58368</v>
      </c>
      <c r="E138">
        <v>96</v>
      </c>
      <c r="F138">
        <v>4</v>
      </c>
      <c r="G138">
        <v>4</v>
      </c>
      <c r="H138">
        <v>1511.81</v>
      </c>
      <c r="I138" s="54">
        <v>87.69</v>
      </c>
      <c r="J138" s="23">
        <v>45551</v>
      </c>
      <c r="K138" s="46">
        <v>0.54236111111111107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 s="20">
        <f t="shared" si="135"/>
        <v>87.605199999999996</v>
      </c>
      <c r="Z138" t="s">
        <v>154</v>
      </c>
      <c r="AA138">
        <v>4</v>
      </c>
      <c r="AB138" t="s">
        <v>7</v>
      </c>
      <c r="AC138">
        <v>58368</v>
      </c>
      <c r="AD138">
        <v>96</v>
      </c>
      <c r="AE138">
        <v>4</v>
      </c>
      <c r="AF138">
        <v>4</v>
      </c>
      <c r="AG138">
        <v>1275.32</v>
      </c>
      <c r="AH138" s="20">
        <v>103.95</v>
      </c>
      <c r="AI138" s="23">
        <v>45557</v>
      </c>
      <c r="AJ138" s="46">
        <v>0.97468750000000004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 s="20">
        <f t="shared" si="136"/>
        <v>103.476</v>
      </c>
    </row>
    <row r="139" spans="1:49">
      <c r="A139" t="s">
        <v>103</v>
      </c>
      <c r="B139">
        <v>0</v>
      </c>
      <c r="C139" t="s">
        <v>7</v>
      </c>
      <c r="D139">
        <v>51968</v>
      </c>
      <c r="E139">
        <v>128</v>
      </c>
      <c r="F139">
        <v>1</v>
      </c>
      <c r="G139">
        <v>16</v>
      </c>
      <c r="H139">
        <v>839.89</v>
      </c>
      <c r="I139" s="54">
        <v>111.41</v>
      </c>
      <c r="J139" s="23">
        <v>45546</v>
      </c>
      <c r="K139" s="46">
        <v>0.46099537037037036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 s="51">
        <f t="shared" ref="X139" si="137">AVERAGE(I139:I143)</f>
        <v>112.346</v>
      </c>
      <c r="Z139" t="s">
        <v>154</v>
      </c>
      <c r="AA139">
        <v>0</v>
      </c>
      <c r="AB139" t="s">
        <v>7</v>
      </c>
      <c r="AC139">
        <v>51968</v>
      </c>
      <c r="AD139">
        <v>128</v>
      </c>
      <c r="AE139">
        <v>1</v>
      </c>
      <c r="AF139">
        <v>16</v>
      </c>
      <c r="AG139">
        <v>731.63</v>
      </c>
      <c r="AH139" s="20">
        <v>127.89</v>
      </c>
      <c r="AI139" s="23">
        <v>45553</v>
      </c>
      <c r="AJ139" s="46">
        <v>0.53302083333333339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 s="51">
        <f t="shared" ref="AW139" si="138">AVERAGE(AH139:AH143)</f>
        <v>127.83</v>
      </c>
    </row>
    <row r="140" spans="1:49">
      <c r="A140" t="s">
        <v>103</v>
      </c>
      <c r="B140">
        <v>1</v>
      </c>
      <c r="C140" t="s">
        <v>7</v>
      </c>
      <c r="D140">
        <v>51968</v>
      </c>
      <c r="E140">
        <v>128</v>
      </c>
      <c r="F140">
        <v>1</v>
      </c>
      <c r="G140">
        <v>16</v>
      </c>
      <c r="H140">
        <v>829.87</v>
      </c>
      <c r="I140" s="54">
        <v>112.75</v>
      </c>
      <c r="J140" s="23">
        <v>45547</v>
      </c>
      <c r="K140" s="46">
        <v>0.55318287037037039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s="20">
        <f t="shared" ref="X140:X143" si="139">X139</f>
        <v>112.346</v>
      </c>
      <c r="Z140" t="s">
        <v>154</v>
      </c>
      <c r="AA140">
        <v>1</v>
      </c>
      <c r="AB140" t="s">
        <v>7</v>
      </c>
      <c r="AC140">
        <v>51968</v>
      </c>
      <c r="AD140">
        <v>128</v>
      </c>
      <c r="AE140">
        <v>1</v>
      </c>
      <c r="AF140">
        <v>16</v>
      </c>
      <c r="AG140">
        <v>731.49</v>
      </c>
      <c r="AH140" s="20">
        <v>127.92</v>
      </c>
      <c r="AI140" s="23">
        <v>45554</v>
      </c>
      <c r="AJ140" s="46">
        <v>0.48462962962962963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 s="20">
        <f t="shared" ref="AW140:AW143" si="140">AW139</f>
        <v>127.83</v>
      </c>
    </row>
    <row r="141" spans="1:49">
      <c r="A141" t="s">
        <v>103</v>
      </c>
      <c r="B141">
        <v>2</v>
      </c>
      <c r="C141" t="s">
        <v>7</v>
      </c>
      <c r="D141">
        <v>51968</v>
      </c>
      <c r="E141">
        <v>128</v>
      </c>
      <c r="F141">
        <v>1</v>
      </c>
      <c r="G141">
        <v>16</v>
      </c>
      <c r="H141">
        <v>832.81</v>
      </c>
      <c r="I141" s="54">
        <v>112.35</v>
      </c>
      <c r="J141" s="23">
        <v>45548</v>
      </c>
      <c r="K141" s="46">
        <v>0.64521990740740742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s="20">
        <f t="shared" si="139"/>
        <v>112.346</v>
      </c>
      <c r="Z141" t="s">
        <v>154</v>
      </c>
      <c r="AA141">
        <v>2</v>
      </c>
      <c r="AB141" t="s">
        <v>7</v>
      </c>
      <c r="AC141">
        <v>51968</v>
      </c>
      <c r="AD141">
        <v>128</v>
      </c>
      <c r="AE141">
        <v>1</v>
      </c>
      <c r="AF141">
        <v>16</v>
      </c>
      <c r="AG141">
        <v>733.36</v>
      </c>
      <c r="AH141" s="20">
        <v>127.59</v>
      </c>
      <c r="AI141" s="23">
        <v>45555</v>
      </c>
      <c r="AJ141" s="46">
        <v>0.43701388888888887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 s="20">
        <f t="shared" si="140"/>
        <v>127.83</v>
      </c>
    </row>
    <row r="142" spans="1:49">
      <c r="A142" t="s">
        <v>103</v>
      </c>
      <c r="B142">
        <v>3</v>
      </c>
      <c r="C142" t="s">
        <v>7</v>
      </c>
      <c r="D142">
        <v>51968</v>
      </c>
      <c r="E142">
        <v>128</v>
      </c>
      <c r="F142">
        <v>1</v>
      </c>
      <c r="G142">
        <v>16</v>
      </c>
      <c r="H142" s="1">
        <v>827.58</v>
      </c>
      <c r="I142" s="54">
        <v>113.06</v>
      </c>
      <c r="J142" s="23">
        <v>45549</v>
      </c>
      <c r="K142" s="46">
        <v>0.73469907407407409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s="20">
        <f t="shared" si="139"/>
        <v>112.346</v>
      </c>
      <c r="Z142" t="s">
        <v>154</v>
      </c>
      <c r="AA142">
        <v>3</v>
      </c>
      <c r="AB142" t="s">
        <v>7</v>
      </c>
      <c r="AC142">
        <v>51968</v>
      </c>
      <c r="AD142">
        <v>128</v>
      </c>
      <c r="AE142">
        <v>1</v>
      </c>
      <c r="AF142">
        <v>16</v>
      </c>
      <c r="AG142">
        <v>730.93</v>
      </c>
      <c r="AH142" s="20">
        <v>128.01</v>
      </c>
      <c r="AI142" s="23">
        <v>45556</v>
      </c>
      <c r="AJ142" s="46">
        <v>0.38995370370370369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 s="20">
        <f t="shared" si="140"/>
        <v>127.83</v>
      </c>
    </row>
    <row r="143" spans="1:49">
      <c r="A143" t="s">
        <v>103</v>
      </c>
      <c r="B143">
        <v>4</v>
      </c>
      <c r="C143" t="s">
        <v>7</v>
      </c>
      <c r="D143">
        <v>51968</v>
      </c>
      <c r="E143">
        <v>128</v>
      </c>
      <c r="F143">
        <v>1</v>
      </c>
      <c r="G143">
        <v>16</v>
      </c>
      <c r="H143">
        <v>834.29</v>
      </c>
      <c r="I143" s="54">
        <v>112.16</v>
      </c>
      <c r="J143" s="23">
        <v>45550</v>
      </c>
      <c r="K143" s="46">
        <v>0.82398148148148154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 s="20">
        <f t="shared" si="139"/>
        <v>112.346</v>
      </c>
      <c r="Z143" t="s">
        <v>154</v>
      </c>
      <c r="AA143">
        <v>4</v>
      </c>
      <c r="AB143" t="s">
        <v>7</v>
      </c>
      <c r="AC143">
        <v>51968</v>
      </c>
      <c r="AD143">
        <v>128</v>
      </c>
      <c r="AE143">
        <v>1</v>
      </c>
      <c r="AF143">
        <v>16</v>
      </c>
      <c r="AG143">
        <v>732.48</v>
      </c>
      <c r="AH143" s="20">
        <v>127.74</v>
      </c>
      <c r="AI143" s="23">
        <v>45557</v>
      </c>
      <c r="AJ143" s="46">
        <v>0.34303240740740742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 s="20">
        <f t="shared" si="140"/>
        <v>127.83</v>
      </c>
    </row>
    <row r="144" spans="1:49">
      <c r="A144" t="s">
        <v>103</v>
      </c>
      <c r="B144">
        <v>0</v>
      </c>
      <c r="C144" t="s">
        <v>7</v>
      </c>
      <c r="D144">
        <v>55168</v>
      </c>
      <c r="E144">
        <v>128</v>
      </c>
      <c r="F144">
        <v>1</v>
      </c>
      <c r="G144">
        <v>16</v>
      </c>
      <c r="H144">
        <v>1014.15</v>
      </c>
      <c r="I144" s="54">
        <v>110.38</v>
      </c>
      <c r="J144" s="23">
        <v>45546</v>
      </c>
      <c r="K144" s="46">
        <v>0.7927777777777778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s="51">
        <f t="shared" ref="X144" si="141">AVERAGE(I144:I148)</f>
        <v>110.50399999999999</v>
      </c>
      <c r="Z144" t="s">
        <v>154</v>
      </c>
      <c r="AA144">
        <v>0</v>
      </c>
      <c r="AB144" t="s">
        <v>7</v>
      </c>
      <c r="AC144">
        <v>55168</v>
      </c>
      <c r="AD144">
        <v>128</v>
      </c>
      <c r="AE144">
        <v>1</v>
      </c>
      <c r="AF144">
        <v>16</v>
      </c>
      <c r="AG144">
        <v>883.76</v>
      </c>
      <c r="AH144" s="20">
        <v>126.66</v>
      </c>
      <c r="AI144" s="23">
        <v>45553</v>
      </c>
      <c r="AJ144" s="46">
        <v>0.8268981481481481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 s="51">
        <f t="shared" ref="AW144" si="142">AVERAGE(AH144:AH148)</f>
        <v>126.532</v>
      </c>
    </row>
    <row r="145" spans="1:49">
      <c r="A145" t="s">
        <v>103</v>
      </c>
      <c r="B145">
        <v>1</v>
      </c>
      <c r="C145" t="s">
        <v>7</v>
      </c>
      <c r="D145">
        <v>55168</v>
      </c>
      <c r="E145">
        <v>128</v>
      </c>
      <c r="F145">
        <v>1</v>
      </c>
      <c r="G145">
        <v>16</v>
      </c>
      <c r="H145" s="1">
        <v>1021.51</v>
      </c>
      <c r="I145" s="54">
        <v>109.58</v>
      </c>
      <c r="J145" s="23">
        <v>45547</v>
      </c>
      <c r="K145" s="46">
        <v>0.88521990740740741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s="20">
        <f t="shared" ref="X145:X148" si="143">X144</f>
        <v>110.50399999999999</v>
      </c>
      <c r="Z145" t="s">
        <v>154</v>
      </c>
      <c r="AA145">
        <v>1</v>
      </c>
      <c r="AB145" t="s">
        <v>7</v>
      </c>
      <c r="AC145">
        <v>55168</v>
      </c>
      <c r="AD145">
        <v>128</v>
      </c>
      <c r="AE145">
        <v>1</v>
      </c>
      <c r="AF145">
        <v>16</v>
      </c>
      <c r="AG145">
        <v>883.84</v>
      </c>
      <c r="AH145" s="20">
        <v>126.65</v>
      </c>
      <c r="AI145" s="23">
        <v>45554</v>
      </c>
      <c r="AJ145" s="46">
        <v>0.77907407407407403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 s="20">
        <f t="shared" ref="AW145:AW148" si="144">AW144</f>
        <v>126.532</v>
      </c>
    </row>
    <row r="146" spans="1:49">
      <c r="A146" t="s">
        <v>103</v>
      </c>
      <c r="B146">
        <v>2</v>
      </c>
      <c r="C146" t="s">
        <v>7</v>
      </c>
      <c r="D146">
        <v>55168</v>
      </c>
      <c r="E146">
        <v>128</v>
      </c>
      <c r="F146">
        <v>1</v>
      </c>
      <c r="G146">
        <v>16</v>
      </c>
      <c r="H146">
        <v>1013.13</v>
      </c>
      <c r="I146" s="54">
        <v>110.49</v>
      </c>
      <c r="J146" s="23">
        <v>45548</v>
      </c>
      <c r="K146" s="46">
        <v>0.97607638888888892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s="20">
        <f t="shared" si="143"/>
        <v>110.50399999999999</v>
      </c>
      <c r="Z146" t="s">
        <v>154</v>
      </c>
      <c r="AA146">
        <v>2</v>
      </c>
      <c r="AB146" t="s">
        <v>7</v>
      </c>
      <c r="AC146">
        <v>55168</v>
      </c>
      <c r="AD146">
        <v>128</v>
      </c>
      <c r="AE146">
        <v>1</v>
      </c>
      <c r="AF146">
        <v>16</v>
      </c>
      <c r="AG146">
        <v>883.51</v>
      </c>
      <c r="AH146" s="20">
        <v>126.7</v>
      </c>
      <c r="AI146" s="23">
        <v>45555</v>
      </c>
      <c r="AJ146" s="46">
        <v>0.73115740740740742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 s="20">
        <f t="shared" si="144"/>
        <v>126.532</v>
      </c>
    </row>
    <row r="147" spans="1:49">
      <c r="A147" t="s">
        <v>103</v>
      </c>
      <c r="B147">
        <v>3</v>
      </c>
      <c r="C147" t="s">
        <v>7</v>
      </c>
      <c r="D147">
        <v>55168</v>
      </c>
      <c r="E147">
        <v>128</v>
      </c>
      <c r="F147">
        <v>1</v>
      </c>
      <c r="G147">
        <v>16</v>
      </c>
      <c r="H147">
        <v>1008.97</v>
      </c>
      <c r="I147" s="54">
        <v>110.95</v>
      </c>
      <c r="J147" s="23">
        <v>45550</v>
      </c>
      <c r="K147" s="46">
        <v>6.5335648148148143E-2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s="20">
        <f t="shared" si="143"/>
        <v>110.50399999999999</v>
      </c>
      <c r="Z147" t="s">
        <v>154</v>
      </c>
      <c r="AA147">
        <v>3</v>
      </c>
      <c r="AB147" t="s">
        <v>7</v>
      </c>
      <c r="AC147">
        <v>55168</v>
      </c>
      <c r="AD147">
        <v>128</v>
      </c>
      <c r="AE147">
        <v>1</v>
      </c>
      <c r="AF147">
        <v>16</v>
      </c>
      <c r="AG147">
        <v>884.08</v>
      </c>
      <c r="AH147" s="20">
        <v>126.62</v>
      </c>
      <c r="AI147" s="23">
        <v>45556</v>
      </c>
      <c r="AJ147" s="46">
        <v>0.6841666666666667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 s="20">
        <f t="shared" si="144"/>
        <v>126.532</v>
      </c>
    </row>
    <row r="148" spans="1:49">
      <c r="A148" t="s">
        <v>103</v>
      </c>
      <c r="B148">
        <v>4</v>
      </c>
      <c r="C148" t="s">
        <v>7</v>
      </c>
      <c r="D148">
        <v>55168</v>
      </c>
      <c r="E148">
        <v>128</v>
      </c>
      <c r="F148">
        <v>1</v>
      </c>
      <c r="G148">
        <v>16</v>
      </c>
      <c r="H148">
        <v>1007.37</v>
      </c>
      <c r="I148" s="54">
        <v>111.12</v>
      </c>
      <c r="J148" s="23">
        <v>45551</v>
      </c>
      <c r="K148" s="46">
        <v>0.15453703703703703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s="20">
        <f t="shared" si="143"/>
        <v>110.50399999999999</v>
      </c>
      <c r="Z148" t="s">
        <v>154</v>
      </c>
      <c r="AA148">
        <v>4</v>
      </c>
      <c r="AB148" t="s">
        <v>7</v>
      </c>
      <c r="AC148">
        <v>55168</v>
      </c>
      <c r="AD148">
        <v>128</v>
      </c>
      <c r="AE148">
        <v>1</v>
      </c>
      <c r="AF148">
        <v>16</v>
      </c>
      <c r="AG148">
        <v>888.2</v>
      </c>
      <c r="AH148" s="20">
        <v>126.03</v>
      </c>
      <c r="AI148" s="23">
        <v>45557</v>
      </c>
      <c r="AJ148" s="46">
        <v>0.63686342592592593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 s="20">
        <f t="shared" si="144"/>
        <v>126.532</v>
      </c>
    </row>
    <row r="149" spans="1:49">
      <c r="A149" t="s">
        <v>103</v>
      </c>
      <c r="B149">
        <v>0</v>
      </c>
      <c r="C149" t="s">
        <v>7</v>
      </c>
      <c r="D149">
        <v>58368</v>
      </c>
      <c r="E149">
        <v>128</v>
      </c>
      <c r="F149">
        <v>1</v>
      </c>
      <c r="G149">
        <v>16</v>
      </c>
      <c r="H149">
        <v>1224.76</v>
      </c>
      <c r="I149" s="54">
        <v>108.24</v>
      </c>
      <c r="J149" s="23">
        <v>45547</v>
      </c>
      <c r="K149" s="46">
        <v>0.19726851851851851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s="51">
        <f t="shared" ref="X149" si="145">AVERAGE(I149:I153)</f>
        <v>108.71199999999999</v>
      </c>
      <c r="Z149" t="s">
        <v>154</v>
      </c>
      <c r="AA149">
        <v>0</v>
      </c>
      <c r="AB149" t="s">
        <v>7</v>
      </c>
      <c r="AC149">
        <v>58368</v>
      </c>
      <c r="AD149">
        <v>128</v>
      </c>
      <c r="AE149">
        <v>1</v>
      </c>
      <c r="AF149">
        <v>16</v>
      </c>
      <c r="AG149">
        <v>1055.42</v>
      </c>
      <c r="AH149" s="20">
        <v>125.61</v>
      </c>
      <c r="AI149" s="23">
        <v>45554</v>
      </c>
      <c r="AJ149" s="46">
        <v>0.17679398148148148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 s="51">
        <f t="shared" ref="AW149" si="146">AVERAGE(AH149:AH153)</f>
        <v>125.40799999999999</v>
      </c>
    </row>
    <row r="150" spans="1:49">
      <c r="A150" t="s">
        <v>103</v>
      </c>
      <c r="B150">
        <v>1</v>
      </c>
      <c r="C150" t="s">
        <v>7</v>
      </c>
      <c r="D150">
        <v>58368</v>
      </c>
      <c r="E150">
        <v>128</v>
      </c>
      <c r="F150">
        <v>1</v>
      </c>
      <c r="G150">
        <v>16</v>
      </c>
      <c r="H150">
        <v>1220.18</v>
      </c>
      <c r="I150" s="54">
        <v>108.65</v>
      </c>
      <c r="J150" s="23">
        <v>45548</v>
      </c>
      <c r="K150" s="46">
        <v>0.28974537037037035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 s="20">
        <f t="shared" ref="X150:X153" si="147">X149</f>
        <v>108.71199999999999</v>
      </c>
      <c r="Z150" t="s">
        <v>154</v>
      </c>
      <c r="AA150">
        <v>1</v>
      </c>
      <c r="AB150" t="s">
        <v>7</v>
      </c>
      <c r="AC150">
        <v>58368</v>
      </c>
      <c r="AD150">
        <v>128</v>
      </c>
      <c r="AE150">
        <v>1</v>
      </c>
      <c r="AF150">
        <v>16</v>
      </c>
      <c r="AG150">
        <v>1055.18</v>
      </c>
      <c r="AH150" s="20">
        <v>125.64</v>
      </c>
      <c r="AI150" s="23">
        <v>45555</v>
      </c>
      <c r="AJ150" s="46">
        <v>0.12935185185185186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 s="20">
        <f t="shared" ref="AW150:AW153" si="148">AW149</f>
        <v>125.40799999999999</v>
      </c>
    </row>
    <row r="151" spans="1:49">
      <c r="A151" t="s">
        <v>103</v>
      </c>
      <c r="B151">
        <v>2</v>
      </c>
      <c r="C151" t="s">
        <v>7</v>
      </c>
      <c r="D151">
        <v>58368</v>
      </c>
      <c r="E151">
        <v>128</v>
      </c>
      <c r="F151">
        <v>1</v>
      </c>
      <c r="G151">
        <v>16</v>
      </c>
      <c r="H151">
        <v>1218.2</v>
      </c>
      <c r="I151" s="54">
        <v>108.83</v>
      </c>
      <c r="J151" s="23">
        <v>45549</v>
      </c>
      <c r="K151" s="46">
        <v>0.37973379629629628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s="20">
        <f t="shared" si="147"/>
        <v>108.71199999999999</v>
      </c>
      <c r="Z151" t="s">
        <v>154</v>
      </c>
      <c r="AA151">
        <v>2</v>
      </c>
      <c r="AB151" t="s">
        <v>7</v>
      </c>
      <c r="AC151">
        <v>58368</v>
      </c>
      <c r="AD151">
        <v>128</v>
      </c>
      <c r="AE151">
        <v>1</v>
      </c>
      <c r="AF151">
        <v>16</v>
      </c>
      <c r="AG151">
        <v>1058.97</v>
      </c>
      <c r="AH151" s="20">
        <v>125.19</v>
      </c>
      <c r="AI151" s="23">
        <v>45556</v>
      </c>
      <c r="AJ151" s="46">
        <v>8.216435185185185E-2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 s="20">
        <f t="shared" si="148"/>
        <v>125.40799999999999</v>
      </c>
    </row>
    <row r="152" spans="1:49">
      <c r="A152" t="s">
        <v>103</v>
      </c>
      <c r="B152">
        <v>3</v>
      </c>
      <c r="C152" t="s">
        <v>7</v>
      </c>
      <c r="D152">
        <v>58368</v>
      </c>
      <c r="E152">
        <v>128</v>
      </c>
      <c r="F152">
        <v>1</v>
      </c>
      <c r="G152">
        <v>16</v>
      </c>
      <c r="H152">
        <v>1212.5899999999999</v>
      </c>
      <c r="I152" s="54">
        <v>109.33</v>
      </c>
      <c r="J152" s="23">
        <v>45550</v>
      </c>
      <c r="K152" s="46">
        <v>0.46900462962962963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s="20">
        <f t="shared" si="147"/>
        <v>108.71199999999999</v>
      </c>
      <c r="Z152" t="s">
        <v>154</v>
      </c>
      <c r="AA152">
        <v>3</v>
      </c>
      <c r="AB152" t="s">
        <v>7</v>
      </c>
      <c r="AC152">
        <v>58368</v>
      </c>
      <c r="AD152">
        <v>128</v>
      </c>
      <c r="AE152">
        <v>1</v>
      </c>
      <c r="AF152">
        <v>16</v>
      </c>
      <c r="AG152">
        <v>1057.96</v>
      </c>
      <c r="AH152" s="20">
        <v>125.31</v>
      </c>
      <c r="AI152" s="23">
        <v>45557</v>
      </c>
      <c r="AJ152" s="46">
        <v>3.5173611111111114E-2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 s="20">
        <f t="shared" si="148"/>
        <v>125.40799999999999</v>
      </c>
    </row>
    <row r="153" spans="1:49">
      <c r="A153" t="s">
        <v>103</v>
      </c>
      <c r="B153">
        <v>4</v>
      </c>
      <c r="C153" t="s">
        <v>7</v>
      </c>
      <c r="D153">
        <v>58368</v>
      </c>
      <c r="E153">
        <v>128</v>
      </c>
      <c r="F153">
        <v>1</v>
      </c>
      <c r="G153">
        <v>16</v>
      </c>
      <c r="H153" s="1">
        <v>1221.69</v>
      </c>
      <c r="I153" s="54">
        <v>108.51</v>
      </c>
      <c r="J153" s="23">
        <v>45551</v>
      </c>
      <c r="K153" s="46">
        <v>0.55736111111111108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 s="20">
        <f t="shared" si="147"/>
        <v>108.71199999999999</v>
      </c>
      <c r="Z153" t="s">
        <v>154</v>
      </c>
      <c r="AA153">
        <v>4</v>
      </c>
      <c r="AB153" t="s">
        <v>7</v>
      </c>
      <c r="AC153">
        <v>58368</v>
      </c>
      <c r="AD153">
        <v>128</v>
      </c>
      <c r="AE153">
        <v>1</v>
      </c>
      <c r="AF153">
        <v>16</v>
      </c>
      <c r="AG153">
        <v>1058.0999999999999</v>
      </c>
      <c r="AH153" s="20">
        <v>125.29</v>
      </c>
      <c r="AI153" s="23">
        <v>45557</v>
      </c>
      <c r="AJ153" s="46">
        <v>0.98724537037037041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 s="20">
        <f t="shared" si="148"/>
        <v>125.40799999999999</v>
      </c>
    </row>
    <row r="154" spans="1:49">
      <c r="A154" t="s">
        <v>103</v>
      </c>
      <c r="B154">
        <v>0</v>
      </c>
      <c r="C154" t="s">
        <v>7</v>
      </c>
      <c r="D154">
        <v>51968</v>
      </c>
      <c r="E154">
        <v>128</v>
      </c>
      <c r="F154">
        <v>2</v>
      </c>
      <c r="G154">
        <v>8</v>
      </c>
      <c r="H154" s="1">
        <v>783.12</v>
      </c>
      <c r="I154" s="54">
        <v>119.48</v>
      </c>
      <c r="J154" s="23">
        <v>45546</v>
      </c>
      <c r="K154" s="46">
        <v>0.47072916666666664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 s="51">
        <f t="shared" ref="X154" si="149">AVERAGE(I154:I158)</f>
        <v>119.91</v>
      </c>
      <c r="Z154" t="s">
        <v>154</v>
      </c>
      <c r="AA154">
        <v>0</v>
      </c>
      <c r="AB154" t="s">
        <v>7</v>
      </c>
      <c r="AC154">
        <v>51968</v>
      </c>
      <c r="AD154">
        <v>128</v>
      </c>
      <c r="AE154">
        <v>2</v>
      </c>
      <c r="AF154">
        <v>8</v>
      </c>
      <c r="AG154">
        <v>687.64</v>
      </c>
      <c r="AH154" s="20">
        <v>136.07</v>
      </c>
      <c r="AI154" s="23">
        <v>45553</v>
      </c>
      <c r="AJ154" s="46">
        <v>0.54121527777777778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 s="51">
        <f t="shared" ref="AW154" si="150">AVERAGE(AH154:AH158)</f>
        <v>135.816</v>
      </c>
    </row>
    <row r="155" spans="1:49">
      <c r="A155" t="s">
        <v>103</v>
      </c>
      <c r="B155">
        <v>1</v>
      </c>
      <c r="C155" t="s">
        <v>7</v>
      </c>
      <c r="D155">
        <v>51968</v>
      </c>
      <c r="E155">
        <v>128</v>
      </c>
      <c r="F155">
        <v>2</v>
      </c>
      <c r="G155">
        <v>8</v>
      </c>
      <c r="H155">
        <v>781.95</v>
      </c>
      <c r="I155" s="54">
        <v>119.66</v>
      </c>
      <c r="J155" s="23">
        <v>45547</v>
      </c>
      <c r="K155" s="46">
        <v>0.56289351851851854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 s="20">
        <f t="shared" ref="X155:X158" si="151">X154</f>
        <v>119.91</v>
      </c>
      <c r="Z155" t="s">
        <v>154</v>
      </c>
      <c r="AA155">
        <v>1</v>
      </c>
      <c r="AB155" t="s">
        <v>7</v>
      </c>
      <c r="AC155">
        <v>51968</v>
      </c>
      <c r="AD155">
        <v>128</v>
      </c>
      <c r="AE155">
        <v>2</v>
      </c>
      <c r="AF155">
        <v>8</v>
      </c>
      <c r="AG155">
        <v>689.7</v>
      </c>
      <c r="AH155" s="20">
        <v>135.66999999999999</v>
      </c>
      <c r="AI155" s="23">
        <v>45554</v>
      </c>
      <c r="AJ155" s="46">
        <v>0.49284722222222221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 s="20">
        <f t="shared" ref="AW155:AW158" si="152">AW154</f>
        <v>135.816</v>
      </c>
    </row>
    <row r="156" spans="1:49">
      <c r="A156" t="s">
        <v>103</v>
      </c>
      <c r="B156">
        <v>2</v>
      </c>
      <c r="C156" t="s">
        <v>7</v>
      </c>
      <c r="D156">
        <v>51968</v>
      </c>
      <c r="E156">
        <v>128</v>
      </c>
      <c r="F156">
        <v>2</v>
      </c>
      <c r="G156">
        <v>8</v>
      </c>
      <c r="H156">
        <v>780.08</v>
      </c>
      <c r="I156" s="54">
        <v>119.95</v>
      </c>
      <c r="J156" s="23">
        <v>45548</v>
      </c>
      <c r="K156" s="46">
        <v>0.65491898148148153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s="20">
        <f t="shared" si="151"/>
        <v>119.91</v>
      </c>
      <c r="Z156" t="s">
        <v>154</v>
      </c>
      <c r="AA156">
        <v>2</v>
      </c>
      <c r="AB156" t="s">
        <v>7</v>
      </c>
      <c r="AC156">
        <v>51968</v>
      </c>
      <c r="AD156">
        <v>128</v>
      </c>
      <c r="AE156">
        <v>2</v>
      </c>
      <c r="AF156">
        <v>8</v>
      </c>
      <c r="AG156">
        <v>687.99</v>
      </c>
      <c r="AH156" s="20">
        <v>136.01</v>
      </c>
      <c r="AI156" s="23">
        <v>45555</v>
      </c>
      <c r="AJ156" s="46">
        <v>0.44521990740740741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 s="20">
        <f t="shared" si="152"/>
        <v>135.816</v>
      </c>
    </row>
    <row r="157" spans="1:49">
      <c r="A157" t="s">
        <v>103</v>
      </c>
      <c r="B157">
        <v>3</v>
      </c>
      <c r="C157" t="s">
        <v>7</v>
      </c>
      <c r="D157">
        <v>51968</v>
      </c>
      <c r="E157">
        <v>128</v>
      </c>
      <c r="F157">
        <v>2</v>
      </c>
      <c r="G157">
        <v>8</v>
      </c>
      <c r="H157">
        <v>778.33</v>
      </c>
      <c r="I157" s="54">
        <v>120.22</v>
      </c>
      <c r="J157" s="23">
        <v>45549</v>
      </c>
      <c r="K157" s="46">
        <v>0.74438657407407405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 s="20">
        <f t="shared" si="151"/>
        <v>119.91</v>
      </c>
      <c r="Z157" t="s">
        <v>154</v>
      </c>
      <c r="AA157">
        <v>3</v>
      </c>
      <c r="AB157" t="s">
        <v>7</v>
      </c>
      <c r="AC157">
        <v>51968</v>
      </c>
      <c r="AD157">
        <v>128</v>
      </c>
      <c r="AE157">
        <v>2</v>
      </c>
      <c r="AF157">
        <v>8</v>
      </c>
      <c r="AG157">
        <v>690.64</v>
      </c>
      <c r="AH157" s="20">
        <v>135.47999999999999</v>
      </c>
      <c r="AI157" s="23">
        <v>45556</v>
      </c>
      <c r="AJ157" s="46">
        <v>0.39818287037037037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 s="20">
        <f t="shared" si="152"/>
        <v>135.816</v>
      </c>
    </row>
    <row r="158" spans="1:49">
      <c r="A158" t="s">
        <v>103</v>
      </c>
      <c r="B158">
        <v>4</v>
      </c>
      <c r="C158" t="s">
        <v>7</v>
      </c>
      <c r="D158">
        <v>51968</v>
      </c>
      <c r="E158">
        <v>128</v>
      </c>
      <c r="F158">
        <v>2</v>
      </c>
      <c r="G158">
        <v>8</v>
      </c>
      <c r="H158">
        <v>778.17</v>
      </c>
      <c r="I158" s="54">
        <v>120.24</v>
      </c>
      <c r="J158" s="23">
        <v>45550</v>
      </c>
      <c r="K158" s="46">
        <v>0.83365740740740746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 s="20">
        <f t="shared" si="151"/>
        <v>119.91</v>
      </c>
      <c r="Z158" t="s">
        <v>154</v>
      </c>
      <c r="AA158">
        <v>4</v>
      </c>
      <c r="AB158" t="s">
        <v>7</v>
      </c>
      <c r="AC158">
        <v>51968</v>
      </c>
      <c r="AD158">
        <v>128</v>
      </c>
      <c r="AE158">
        <v>2</v>
      </c>
      <c r="AF158">
        <v>8</v>
      </c>
      <c r="AG158">
        <v>688.75</v>
      </c>
      <c r="AH158" s="20">
        <v>135.85</v>
      </c>
      <c r="AI158" s="23">
        <v>45557</v>
      </c>
      <c r="AJ158" s="46">
        <v>0.35123842592592591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 s="20">
        <f t="shared" si="152"/>
        <v>135.816</v>
      </c>
    </row>
    <row r="159" spans="1:49">
      <c r="A159" t="s">
        <v>103</v>
      </c>
      <c r="B159">
        <v>0</v>
      </c>
      <c r="C159" t="s">
        <v>7</v>
      </c>
      <c r="D159">
        <v>55168</v>
      </c>
      <c r="E159">
        <v>128</v>
      </c>
      <c r="F159">
        <v>2</v>
      </c>
      <c r="G159">
        <v>8</v>
      </c>
      <c r="H159">
        <v>955.9</v>
      </c>
      <c r="I159" s="54">
        <v>117.11</v>
      </c>
      <c r="J159" s="23">
        <v>45546</v>
      </c>
      <c r="K159" s="46">
        <v>0.80459490740740736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 s="51">
        <f t="shared" ref="X159" si="153">AVERAGE(I159:I163)</f>
        <v>117.31200000000001</v>
      </c>
      <c r="Z159" t="s">
        <v>154</v>
      </c>
      <c r="AA159">
        <v>0</v>
      </c>
      <c r="AB159" t="s">
        <v>7</v>
      </c>
      <c r="AC159">
        <v>55168</v>
      </c>
      <c r="AD159">
        <v>128</v>
      </c>
      <c r="AE159">
        <v>2</v>
      </c>
      <c r="AF159">
        <v>8</v>
      </c>
      <c r="AG159">
        <v>852.3</v>
      </c>
      <c r="AH159" s="20">
        <v>131.34</v>
      </c>
      <c r="AI159" s="23">
        <v>45553</v>
      </c>
      <c r="AJ159" s="46">
        <v>0.83702546296296299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 s="51">
        <f t="shared" ref="AW159" si="154">AVERAGE(AH159:AH163)</f>
        <v>131.11600000000001</v>
      </c>
    </row>
    <row r="160" spans="1:49">
      <c r="A160" t="s">
        <v>103</v>
      </c>
      <c r="B160">
        <v>1</v>
      </c>
      <c r="C160" t="s">
        <v>7</v>
      </c>
      <c r="D160">
        <v>55168</v>
      </c>
      <c r="E160">
        <v>128</v>
      </c>
      <c r="F160">
        <v>2</v>
      </c>
      <c r="G160">
        <v>8</v>
      </c>
      <c r="H160">
        <v>954.79</v>
      </c>
      <c r="I160" s="54">
        <v>117.24</v>
      </c>
      <c r="J160" s="23">
        <v>45547</v>
      </c>
      <c r="K160" s="46">
        <v>0.89702546296296293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s="20">
        <f t="shared" ref="X160:X163" si="155">X159</f>
        <v>117.31200000000001</v>
      </c>
      <c r="Z160" t="s">
        <v>154</v>
      </c>
      <c r="AA160">
        <v>1</v>
      </c>
      <c r="AB160" t="s">
        <v>7</v>
      </c>
      <c r="AC160">
        <v>55168</v>
      </c>
      <c r="AD160">
        <v>128</v>
      </c>
      <c r="AE160">
        <v>2</v>
      </c>
      <c r="AF160">
        <v>8</v>
      </c>
      <c r="AG160">
        <v>851.13</v>
      </c>
      <c r="AH160" s="20">
        <v>131.52000000000001</v>
      </c>
      <c r="AI160" s="23">
        <v>45554</v>
      </c>
      <c r="AJ160" s="46">
        <v>0.78918981481481476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 s="20">
        <f t="shared" ref="AW160:AW163" si="156">AW159</f>
        <v>131.11600000000001</v>
      </c>
    </row>
    <row r="161" spans="1:49">
      <c r="A161" t="s">
        <v>103</v>
      </c>
      <c r="B161">
        <v>2</v>
      </c>
      <c r="C161" t="s">
        <v>7</v>
      </c>
      <c r="D161">
        <v>55168</v>
      </c>
      <c r="E161">
        <v>128</v>
      </c>
      <c r="F161">
        <v>2</v>
      </c>
      <c r="G161">
        <v>8</v>
      </c>
      <c r="H161">
        <v>951.66</v>
      </c>
      <c r="I161" s="54">
        <v>117.63</v>
      </c>
      <c r="J161" s="23">
        <v>45548</v>
      </c>
      <c r="K161" s="46">
        <v>0.98784722222222221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 s="20">
        <f t="shared" si="155"/>
        <v>117.31200000000001</v>
      </c>
      <c r="Z161" t="s">
        <v>154</v>
      </c>
      <c r="AA161">
        <v>2</v>
      </c>
      <c r="AB161" t="s">
        <v>7</v>
      </c>
      <c r="AC161">
        <v>55168</v>
      </c>
      <c r="AD161">
        <v>128</v>
      </c>
      <c r="AE161">
        <v>2</v>
      </c>
      <c r="AF161">
        <v>8</v>
      </c>
      <c r="AG161">
        <v>853.82</v>
      </c>
      <c r="AH161" s="20">
        <v>131.11000000000001</v>
      </c>
      <c r="AI161" s="23">
        <v>45555</v>
      </c>
      <c r="AJ161" s="46">
        <v>0.74130787037037038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 s="20">
        <f t="shared" si="156"/>
        <v>131.11600000000001</v>
      </c>
    </row>
    <row r="162" spans="1:49">
      <c r="A162" t="s">
        <v>103</v>
      </c>
      <c r="B162">
        <v>3</v>
      </c>
      <c r="C162" t="s">
        <v>7</v>
      </c>
      <c r="D162">
        <v>55168</v>
      </c>
      <c r="E162">
        <v>128</v>
      </c>
      <c r="F162">
        <v>2</v>
      </c>
      <c r="G162">
        <v>8</v>
      </c>
      <c r="H162" s="1">
        <v>956.21</v>
      </c>
      <c r="I162" s="54">
        <v>117.07</v>
      </c>
      <c r="J162" s="23">
        <v>45550</v>
      </c>
      <c r="K162" s="46">
        <v>7.7152777777777778E-2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 s="20">
        <f t="shared" si="155"/>
        <v>117.31200000000001</v>
      </c>
      <c r="Z162" t="s">
        <v>154</v>
      </c>
      <c r="AA162">
        <v>3</v>
      </c>
      <c r="AB162" t="s">
        <v>7</v>
      </c>
      <c r="AC162">
        <v>55168</v>
      </c>
      <c r="AD162">
        <v>128</v>
      </c>
      <c r="AE162">
        <v>2</v>
      </c>
      <c r="AF162">
        <v>8</v>
      </c>
      <c r="AG162">
        <v>857.19</v>
      </c>
      <c r="AH162" s="20">
        <v>130.59</v>
      </c>
      <c r="AI162" s="23">
        <v>45556</v>
      </c>
      <c r="AJ162" s="46">
        <v>0.69435185185185189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 s="20">
        <f t="shared" si="156"/>
        <v>131.11600000000001</v>
      </c>
    </row>
    <row r="163" spans="1:49">
      <c r="A163" t="s">
        <v>103</v>
      </c>
      <c r="B163">
        <v>4</v>
      </c>
      <c r="C163" t="s">
        <v>7</v>
      </c>
      <c r="D163">
        <v>55168</v>
      </c>
      <c r="E163">
        <v>128</v>
      </c>
      <c r="F163">
        <v>2</v>
      </c>
      <c r="G163">
        <v>8</v>
      </c>
      <c r="H163">
        <v>952.62</v>
      </c>
      <c r="I163" s="54">
        <v>117.51</v>
      </c>
      <c r="J163" s="23">
        <v>45551</v>
      </c>
      <c r="K163" s="46">
        <v>0.16630787037037037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s="20">
        <f t="shared" si="155"/>
        <v>117.31200000000001</v>
      </c>
      <c r="Z163" t="s">
        <v>154</v>
      </c>
      <c r="AA163">
        <v>4</v>
      </c>
      <c r="AB163" t="s">
        <v>7</v>
      </c>
      <c r="AC163">
        <v>55168</v>
      </c>
      <c r="AD163">
        <v>128</v>
      </c>
      <c r="AE163">
        <v>2</v>
      </c>
      <c r="AF163">
        <v>8</v>
      </c>
      <c r="AG163">
        <v>854.38</v>
      </c>
      <c r="AH163" s="20">
        <v>131.02000000000001</v>
      </c>
      <c r="AI163" s="23">
        <v>45557</v>
      </c>
      <c r="AJ163" s="46">
        <v>0.64701388888888889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 s="20">
        <f t="shared" si="156"/>
        <v>131.11600000000001</v>
      </c>
    </row>
    <row r="164" spans="1:49">
      <c r="A164" t="s">
        <v>103</v>
      </c>
      <c r="B164">
        <v>0</v>
      </c>
      <c r="C164" t="s">
        <v>7</v>
      </c>
      <c r="D164">
        <v>58368</v>
      </c>
      <c r="E164">
        <v>128</v>
      </c>
      <c r="F164">
        <v>2</v>
      </c>
      <c r="G164">
        <v>8</v>
      </c>
      <c r="H164">
        <v>1122.1300000000001</v>
      </c>
      <c r="I164" s="54">
        <v>118.14</v>
      </c>
      <c r="J164" s="23">
        <v>45547</v>
      </c>
      <c r="K164" s="46">
        <v>0.21108796296296295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s="51">
        <f t="shared" ref="X164" si="157">AVERAGE(I164:I168)</f>
        <v>118.11199999999999</v>
      </c>
      <c r="Z164" t="s">
        <v>154</v>
      </c>
      <c r="AA164">
        <v>0</v>
      </c>
      <c r="AB164" t="s">
        <v>7</v>
      </c>
      <c r="AC164">
        <v>58368</v>
      </c>
      <c r="AD164">
        <v>128</v>
      </c>
      <c r="AE164">
        <v>2</v>
      </c>
      <c r="AF164">
        <v>8</v>
      </c>
      <c r="AG164">
        <v>968.24</v>
      </c>
      <c r="AH164" s="20">
        <v>136.91999999999999</v>
      </c>
      <c r="AI164" s="23">
        <v>45554</v>
      </c>
      <c r="AJ164" s="46">
        <v>0.18829861111111112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 s="51">
        <f t="shared" ref="AW164" si="158">AVERAGE(AH164:AH168)</f>
        <v>136.57599999999996</v>
      </c>
    </row>
    <row r="165" spans="1:49">
      <c r="A165" t="s">
        <v>103</v>
      </c>
      <c r="B165">
        <v>1</v>
      </c>
      <c r="C165" t="s">
        <v>7</v>
      </c>
      <c r="D165">
        <v>58368</v>
      </c>
      <c r="E165">
        <v>128</v>
      </c>
      <c r="F165">
        <v>2</v>
      </c>
      <c r="G165">
        <v>8</v>
      </c>
      <c r="H165" s="1">
        <v>1122.3499999999999</v>
      </c>
      <c r="I165" s="54">
        <v>118.12</v>
      </c>
      <c r="J165" s="23">
        <v>45548</v>
      </c>
      <c r="K165" s="46">
        <v>0.30356481481481479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s="20">
        <f t="shared" ref="X165:X168" si="159">X164</f>
        <v>118.11199999999999</v>
      </c>
      <c r="Z165" t="s">
        <v>154</v>
      </c>
      <c r="AA165">
        <v>1</v>
      </c>
      <c r="AB165" t="s">
        <v>7</v>
      </c>
      <c r="AC165">
        <v>58368</v>
      </c>
      <c r="AD165">
        <v>128</v>
      </c>
      <c r="AE165">
        <v>2</v>
      </c>
      <c r="AF165">
        <v>8</v>
      </c>
      <c r="AG165">
        <v>969.32</v>
      </c>
      <c r="AH165" s="20">
        <v>136.77000000000001</v>
      </c>
      <c r="AI165" s="23">
        <v>45555</v>
      </c>
      <c r="AJ165" s="46">
        <v>0.14085648148148147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 s="20">
        <f t="shared" ref="AW165:AW168" si="160">AW164</f>
        <v>136.57599999999996</v>
      </c>
    </row>
    <row r="166" spans="1:49">
      <c r="A166" t="s">
        <v>103</v>
      </c>
      <c r="B166">
        <v>2</v>
      </c>
      <c r="C166" t="s">
        <v>7</v>
      </c>
      <c r="D166">
        <v>58368</v>
      </c>
      <c r="E166">
        <v>128</v>
      </c>
      <c r="F166">
        <v>2</v>
      </c>
      <c r="G166">
        <v>8</v>
      </c>
      <c r="H166">
        <v>1122.05</v>
      </c>
      <c r="I166" s="54">
        <v>118.15</v>
      </c>
      <c r="J166" s="23">
        <v>45549</v>
      </c>
      <c r="K166" s="46">
        <v>0.39355324074074072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s="20">
        <f t="shared" si="159"/>
        <v>118.11199999999999</v>
      </c>
      <c r="Z166" t="s">
        <v>154</v>
      </c>
      <c r="AA166">
        <v>2</v>
      </c>
      <c r="AB166" t="s">
        <v>7</v>
      </c>
      <c r="AC166">
        <v>58368</v>
      </c>
      <c r="AD166">
        <v>128</v>
      </c>
      <c r="AE166">
        <v>2</v>
      </c>
      <c r="AF166">
        <v>8</v>
      </c>
      <c r="AG166">
        <v>971.16</v>
      </c>
      <c r="AH166" s="20">
        <v>136.51</v>
      </c>
      <c r="AI166" s="23">
        <v>45556</v>
      </c>
      <c r="AJ166" s="46">
        <v>9.3703703703703706E-2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 s="20">
        <f t="shared" si="160"/>
        <v>136.57599999999996</v>
      </c>
    </row>
    <row r="167" spans="1:49">
      <c r="A167" t="s">
        <v>103</v>
      </c>
      <c r="B167">
        <v>3</v>
      </c>
      <c r="C167" t="s">
        <v>7</v>
      </c>
      <c r="D167">
        <v>58368</v>
      </c>
      <c r="E167">
        <v>128</v>
      </c>
      <c r="F167">
        <v>2</v>
      </c>
      <c r="G167">
        <v>8</v>
      </c>
      <c r="H167">
        <v>1124.46</v>
      </c>
      <c r="I167" s="54">
        <v>117.9</v>
      </c>
      <c r="J167" s="23">
        <v>45550</v>
      </c>
      <c r="K167" s="46">
        <v>0.4828587962962963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 s="20">
        <f t="shared" si="159"/>
        <v>118.11199999999999</v>
      </c>
      <c r="Z167" t="s">
        <v>154</v>
      </c>
      <c r="AA167">
        <v>3</v>
      </c>
      <c r="AB167" t="s">
        <v>7</v>
      </c>
      <c r="AC167">
        <v>58368</v>
      </c>
      <c r="AD167">
        <v>128</v>
      </c>
      <c r="AE167">
        <v>2</v>
      </c>
      <c r="AF167">
        <v>8</v>
      </c>
      <c r="AG167">
        <v>970.43</v>
      </c>
      <c r="AH167" s="20">
        <v>136.61000000000001</v>
      </c>
      <c r="AI167" s="23">
        <v>45557</v>
      </c>
      <c r="AJ167" s="46">
        <v>4.670138888888889E-2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 s="20">
        <f t="shared" si="160"/>
        <v>136.57599999999996</v>
      </c>
    </row>
    <row r="168" spans="1:49">
      <c r="A168" t="s">
        <v>103</v>
      </c>
      <c r="B168">
        <v>4</v>
      </c>
      <c r="C168" t="s">
        <v>7</v>
      </c>
      <c r="D168">
        <v>58368</v>
      </c>
      <c r="E168">
        <v>128</v>
      </c>
      <c r="F168">
        <v>2</v>
      </c>
      <c r="G168">
        <v>8</v>
      </c>
      <c r="H168">
        <v>1121.1199999999999</v>
      </c>
      <c r="I168" s="54">
        <v>118.25</v>
      </c>
      <c r="J168" s="23">
        <v>45551</v>
      </c>
      <c r="K168" s="46">
        <v>0.57116898148148143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 s="20">
        <f t="shared" si="159"/>
        <v>118.11199999999999</v>
      </c>
      <c r="Z168" t="s">
        <v>154</v>
      </c>
      <c r="AA168">
        <v>4</v>
      </c>
      <c r="AB168" t="s">
        <v>7</v>
      </c>
      <c r="AC168">
        <v>58368</v>
      </c>
      <c r="AD168">
        <v>128</v>
      </c>
      <c r="AE168">
        <v>2</v>
      </c>
      <c r="AF168">
        <v>8</v>
      </c>
      <c r="AG168">
        <v>974.27</v>
      </c>
      <c r="AH168" s="20">
        <v>136.07</v>
      </c>
      <c r="AI168" s="23">
        <v>45557</v>
      </c>
      <c r="AJ168" s="46">
        <v>0.99881944444444448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 s="20">
        <f t="shared" si="160"/>
        <v>136.57599999999996</v>
      </c>
    </row>
    <row r="169" spans="1:49">
      <c r="A169" t="s">
        <v>103</v>
      </c>
      <c r="B169">
        <v>0</v>
      </c>
      <c r="C169" t="s">
        <v>7</v>
      </c>
      <c r="D169">
        <v>51968</v>
      </c>
      <c r="E169">
        <v>128</v>
      </c>
      <c r="F169">
        <v>4</v>
      </c>
      <c r="G169">
        <v>4</v>
      </c>
      <c r="H169">
        <v>884.13</v>
      </c>
      <c r="I169" s="54">
        <v>105.83</v>
      </c>
      <c r="J169" s="23">
        <v>45546</v>
      </c>
      <c r="K169" s="46">
        <v>0.48163194444444446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s="51">
        <f t="shared" ref="X169" si="161">AVERAGE(I169:I173)</f>
        <v>105.75399999999999</v>
      </c>
      <c r="Z169" t="s">
        <v>154</v>
      </c>
      <c r="AA169">
        <v>0</v>
      </c>
      <c r="AB169" t="s">
        <v>7</v>
      </c>
      <c r="AC169">
        <v>51968</v>
      </c>
      <c r="AD169">
        <v>128</v>
      </c>
      <c r="AE169">
        <v>4</v>
      </c>
      <c r="AF169">
        <v>4</v>
      </c>
      <c r="AG169">
        <v>772.74</v>
      </c>
      <c r="AH169" s="20">
        <v>121.09</v>
      </c>
      <c r="AI169" s="23">
        <v>45553</v>
      </c>
      <c r="AJ169" s="46">
        <v>0.55038194444444444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 s="51">
        <f t="shared" ref="AW169" si="162">AVERAGE(AH169:AH173)</f>
        <v>120.47799999999999</v>
      </c>
    </row>
    <row r="170" spans="1:49">
      <c r="A170" t="s">
        <v>103</v>
      </c>
      <c r="B170">
        <v>1</v>
      </c>
      <c r="C170" t="s">
        <v>7</v>
      </c>
      <c r="D170">
        <v>51968</v>
      </c>
      <c r="E170">
        <v>128</v>
      </c>
      <c r="F170">
        <v>4</v>
      </c>
      <c r="G170">
        <v>4</v>
      </c>
      <c r="H170">
        <v>885.49</v>
      </c>
      <c r="I170" s="54">
        <v>105.67</v>
      </c>
      <c r="J170" s="23">
        <v>45547</v>
      </c>
      <c r="K170" s="46">
        <v>0.57381944444444444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 s="20">
        <f t="shared" ref="X170:X173" si="163">X169</f>
        <v>105.75399999999999</v>
      </c>
      <c r="Z170" t="s">
        <v>154</v>
      </c>
      <c r="AA170">
        <v>1</v>
      </c>
      <c r="AB170" t="s">
        <v>7</v>
      </c>
      <c r="AC170">
        <v>51968</v>
      </c>
      <c r="AD170">
        <v>128</v>
      </c>
      <c r="AE170">
        <v>4</v>
      </c>
      <c r="AF170">
        <v>4</v>
      </c>
      <c r="AG170">
        <v>779.9</v>
      </c>
      <c r="AH170" s="20">
        <v>119.98</v>
      </c>
      <c r="AI170" s="23">
        <v>45554</v>
      </c>
      <c r="AJ170" s="46">
        <v>0.50209490740740736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 s="20">
        <f t="shared" ref="AW170:AW173" si="164">AW169</f>
        <v>120.47799999999999</v>
      </c>
    </row>
    <row r="171" spans="1:49">
      <c r="A171" t="s">
        <v>103</v>
      </c>
      <c r="B171">
        <v>2</v>
      </c>
      <c r="C171" t="s">
        <v>7</v>
      </c>
      <c r="D171">
        <v>51968</v>
      </c>
      <c r="E171">
        <v>128</v>
      </c>
      <c r="F171">
        <v>4</v>
      </c>
      <c r="G171">
        <v>4</v>
      </c>
      <c r="H171" s="1">
        <v>884.6</v>
      </c>
      <c r="I171" s="54">
        <v>105.78</v>
      </c>
      <c r="J171" s="23">
        <v>45548</v>
      </c>
      <c r="K171" s="46">
        <v>0.66583333333333339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s="20">
        <f t="shared" si="163"/>
        <v>105.75399999999999</v>
      </c>
      <c r="Z171" t="s">
        <v>154</v>
      </c>
      <c r="AA171">
        <v>2</v>
      </c>
      <c r="AB171" t="s">
        <v>7</v>
      </c>
      <c r="AC171">
        <v>51968</v>
      </c>
      <c r="AD171">
        <v>128</v>
      </c>
      <c r="AE171">
        <v>4</v>
      </c>
      <c r="AF171">
        <v>4</v>
      </c>
      <c r="AG171">
        <v>775.46</v>
      </c>
      <c r="AH171" s="20">
        <v>120.66</v>
      </c>
      <c r="AI171" s="23">
        <v>45555</v>
      </c>
      <c r="AJ171" s="46">
        <v>0.4544097222222222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 s="20">
        <f t="shared" si="164"/>
        <v>120.47799999999999</v>
      </c>
    </row>
    <row r="172" spans="1:49">
      <c r="A172" t="s">
        <v>103</v>
      </c>
      <c r="B172">
        <v>3</v>
      </c>
      <c r="C172" t="s">
        <v>7</v>
      </c>
      <c r="D172">
        <v>51968</v>
      </c>
      <c r="E172">
        <v>128</v>
      </c>
      <c r="F172">
        <v>4</v>
      </c>
      <c r="G172">
        <v>4</v>
      </c>
      <c r="H172">
        <v>885.54</v>
      </c>
      <c r="I172" s="54">
        <v>105.66</v>
      </c>
      <c r="J172" s="23">
        <v>45549</v>
      </c>
      <c r="K172" s="46">
        <v>0.7553009259259259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 s="20">
        <f t="shared" si="163"/>
        <v>105.75399999999999</v>
      </c>
      <c r="Z172" t="s">
        <v>154</v>
      </c>
      <c r="AA172">
        <v>3</v>
      </c>
      <c r="AB172" t="s">
        <v>7</v>
      </c>
      <c r="AC172">
        <v>51968</v>
      </c>
      <c r="AD172">
        <v>128</v>
      </c>
      <c r="AE172">
        <v>4</v>
      </c>
      <c r="AF172">
        <v>4</v>
      </c>
      <c r="AG172">
        <v>777.6</v>
      </c>
      <c r="AH172" s="20">
        <v>120.33</v>
      </c>
      <c r="AI172" s="23">
        <v>45556</v>
      </c>
      <c r="AJ172" s="46">
        <v>0.40740740740740738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 s="20">
        <f t="shared" si="164"/>
        <v>120.47799999999999</v>
      </c>
    </row>
    <row r="173" spans="1:49">
      <c r="A173" t="s">
        <v>103</v>
      </c>
      <c r="B173">
        <v>4</v>
      </c>
      <c r="C173" t="s">
        <v>7</v>
      </c>
      <c r="D173">
        <v>51968</v>
      </c>
      <c r="E173">
        <v>128</v>
      </c>
      <c r="F173">
        <v>4</v>
      </c>
      <c r="G173">
        <v>4</v>
      </c>
      <c r="H173">
        <v>884.12</v>
      </c>
      <c r="I173" s="54">
        <v>105.83</v>
      </c>
      <c r="J173" s="23">
        <v>45550</v>
      </c>
      <c r="K173" s="46">
        <v>0.84456018518518516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s="20">
        <f t="shared" si="163"/>
        <v>105.75399999999999</v>
      </c>
      <c r="Z173" t="s">
        <v>154</v>
      </c>
      <c r="AA173">
        <v>4</v>
      </c>
      <c r="AB173" t="s">
        <v>7</v>
      </c>
      <c r="AC173">
        <v>51968</v>
      </c>
      <c r="AD173">
        <v>128</v>
      </c>
      <c r="AE173">
        <v>4</v>
      </c>
      <c r="AF173">
        <v>4</v>
      </c>
      <c r="AG173">
        <v>777.6</v>
      </c>
      <c r="AH173" s="20">
        <v>120.33</v>
      </c>
      <c r="AI173" s="23">
        <v>45557</v>
      </c>
      <c r="AJ173" s="46">
        <v>0.36046296296296299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 s="20">
        <f t="shared" si="164"/>
        <v>120.47799999999999</v>
      </c>
    </row>
    <row r="174" spans="1:49">
      <c r="A174" t="s">
        <v>103</v>
      </c>
      <c r="B174">
        <v>0</v>
      </c>
      <c r="C174" t="s">
        <v>7</v>
      </c>
      <c r="D174">
        <v>55168</v>
      </c>
      <c r="E174">
        <v>128</v>
      </c>
      <c r="F174">
        <v>4</v>
      </c>
      <c r="G174">
        <v>4</v>
      </c>
      <c r="H174" s="1">
        <v>1050.6199999999999</v>
      </c>
      <c r="I174" s="54">
        <v>106.55</v>
      </c>
      <c r="J174" s="23">
        <v>45546</v>
      </c>
      <c r="K174" s="46">
        <v>0.81751157407407404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 s="51">
        <f t="shared" ref="X174" si="165">AVERAGE(I174:I178)</f>
        <v>106.84199999999998</v>
      </c>
      <c r="Z174" t="s">
        <v>154</v>
      </c>
      <c r="AA174">
        <v>0</v>
      </c>
      <c r="AB174" t="s">
        <v>7</v>
      </c>
      <c r="AC174">
        <v>55168</v>
      </c>
      <c r="AD174">
        <v>128</v>
      </c>
      <c r="AE174">
        <v>4</v>
      </c>
      <c r="AF174">
        <v>4</v>
      </c>
      <c r="AG174">
        <v>915.34</v>
      </c>
      <c r="AH174" s="20">
        <v>122.29</v>
      </c>
      <c r="AI174" s="23">
        <v>45553</v>
      </c>
      <c r="AJ174" s="46">
        <v>0.84787037037037039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 s="51">
        <f t="shared" ref="AW174" si="166">AVERAGE(AH174:AH178)</f>
        <v>121.88399999999999</v>
      </c>
    </row>
    <row r="175" spans="1:49">
      <c r="A175" t="s">
        <v>103</v>
      </c>
      <c r="B175">
        <v>1</v>
      </c>
      <c r="C175" t="s">
        <v>7</v>
      </c>
      <c r="D175">
        <v>55168</v>
      </c>
      <c r="E175">
        <v>128</v>
      </c>
      <c r="F175">
        <v>4</v>
      </c>
      <c r="G175">
        <v>4</v>
      </c>
      <c r="H175">
        <v>1047.2</v>
      </c>
      <c r="I175" s="54">
        <v>106.9</v>
      </c>
      <c r="J175" s="23">
        <v>45547</v>
      </c>
      <c r="K175" s="46">
        <v>0.90989583333333335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 s="20">
        <f t="shared" ref="X175:X178" si="167">X174</f>
        <v>106.84199999999998</v>
      </c>
      <c r="Z175" t="s">
        <v>154</v>
      </c>
      <c r="AA175">
        <v>1</v>
      </c>
      <c r="AB175" t="s">
        <v>7</v>
      </c>
      <c r="AC175">
        <v>55168</v>
      </c>
      <c r="AD175">
        <v>128</v>
      </c>
      <c r="AE175">
        <v>4</v>
      </c>
      <c r="AF175">
        <v>4</v>
      </c>
      <c r="AG175">
        <v>915.09</v>
      </c>
      <c r="AH175" s="20">
        <v>122.33</v>
      </c>
      <c r="AI175" s="23">
        <v>45554</v>
      </c>
      <c r="AJ175" s="46">
        <v>0.80002314814814812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 s="20">
        <f t="shared" ref="AW175:AW178" si="168">AW174</f>
        <v>121.88399999999999</v>
      </c>
    </row>
    <row r="176" spans="1:49">
      <c r="A176" t="s">
        <v>103</v>
      </c>
      <c r="B176">
        <v>2</v>
      </c>
      <c r="C176" t="s">
        <v>7</v>
      </c>
      <c r="D176">
        <v>55168</v>
      </c>
      <c r="E176">
        <v>128</v>
      </c>
      <c r="F176">
        <v>4</v>
      </c>
      <c r="G176">
        <v>4</v>
      </c>
      <c r="H176">
        <v>1047.9000000000001</v>
      </c>
      <c r="I176" s="54">
        <v>106.82</v>
      </c>
      <c r="J176" s="23">
        <v>45549</v>
      </c>
      <c r="K176" s="46">
        <v>7.291666666666667E-4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s="20">
        <f t="shared" si="167"/>
        <v>106.84199999999998</v>
      </c>
      <c r="Z176" t="s">
        <v>154</v>
      </c>
      <c r="AA176">
        <v>2</v>
      </c>
      <c r="AB176" t="s">
        <v>7</v>
      </c>
      <c r="AC176">
        <v>55168</v>
      </c>
      <c r="AD176">
        <v>128</v>
      </c>
      <c r="AE176">
        <v>4</v>
      </c>
      <c r="AF176">
        <v>4</v>
      </c>
      <c r="AG176">
        <v>920.57</v>
      </c>
      <c r="AH176" s="20">
        <v>121.6</v>
      </c>
      <c r="AI176" s="23">
        <v>45555</v>
      </c>
      <c r="AJ176" s="46">
        <v>0.7522106481481482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 s="20">
        <f t="shared" si="168"/>
        <v>121.88399999999999</v>
      </c>
    </row>
    <row r="177" spans="1:49">
      <c r="A177" t="s">
        <v>103</v>
      </c>
      <c r="B177">
        <v>3</v>
      </c>
      <c r="C177" t="s">
        <v>7</v>
      </c>
      <c r="D177">
        <v>55168</v>
      </c>
      <c r="E177">
        <v>128</v>
      </c>
      <c r="F177">
        <v>4</v>
      </c>
      <c r="G177">
        <v>4</v>
      </c>
      <c r="H177">
        <v>1045.93</v>
      </c>
      <c r="I177" s="54">
        <v>107.03</v>
      </c>
      <c r="J177" s="23">
        <v>45550</v>
      </c>
      <c r="K177" s="46">
        <v>9.0011574074074077E-2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s="20">
        <f t="shared" si="167"/>
        <v>106.84199999999998</v>
      </c>
      <c r="Z177" t="s">
        <v>154</v>
      </c>
      <c r="AA177">
        <v>3</v>
      </c>
      <c r="AB177" t="s">
        <v>7</v>
      </c>
      <c r="AC177">
        <v>55168</v>
      </c>
      <c r="AD177">
        <v>128</v>
      </c>
      <c r="AE177">
        <v>4</v>
      </c>
      <c r="AF177">
        <v>4</v>
      </c>
      <c r="AG177">
        <v>922.07</v>
      </c>
      <c r="AH177" s="20">
        <v>121.4</v>
      </c>
      <c r="AI177" s="23">
        <v>45556</v>
      </c>
      <c r="AJ177" s="46">
        <v>0.70526620370370374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 s="20">
        <f t="shared" si="168"/>
        <v>121.88399999999999</v>
      </c>
    </row>
    <row r="178" spans="1:49">
      <c r="A178" t="s">
        <v>103</v>
      </c>
      <c r="B178">
        <v>4</v>
      </c>
      <c r="C178" t="s">
        <v>7</v>
      </c>
      <c r="D178">
        <v>55168</v>
      </c>
      <c r="E178">
        <v>128</v>
      </c>
      <c r="F178">
        <v>4</v>
      </c>
      <c r="G178">
        <v>4</v>
      </c>
      <c r="H178">
        <v>1047.08</v>
      </c>
      <c r="I178" s="54">
        <v>106.91</v>
      </c>
      <c r="J178" s="23">
        <v>45551</v>
      </c>
      <c r="K178" s="46">
        <v>0.17917824074074074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 s="20">
        <f t="shared" si="167"/>
        <v>106.84199999999998</v>
      </c>
      <c r="Z178" t="s">
        <v>154</v>
      </c>
      <c r="AA178">
        <v>4</v>
      </c>
      <c r="AB178" t="s">
        <v>7</v>
      </c>
      <c r="AC178">
        <v>55168</v>
      </c>
      <c r="AD178">
        <v>128</v>
      </c>
      <c r="AE178">
        <v>4</v>
      </c>
      <c r="AF178">
        <v>4</v>
      </c>
      <c r="AG178">
        <v>919.04</v>
      </c>
      <c r="AH178" s="20">
        <v>121.8</v>
      </c>
      <c r="AI178" s="23">
        <v>45557</v>
      </c>
      <c r="AJ178" s="46">
        <v>0.65790509259259256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 s="20">
        <f t="shared" si="168"/>
        <v>121.88399999999999</v>
      </c>
    </row>
    <row r="179" spans="1:49">
      <c r="A179" t="s">
        <v>103</v>
      </c>
      <c r="B179">
        <v>0</v>
      </c>
      <c r="C179" t="s">
        <v>7</v>
      </c>
      <c r="D179">
        <v>58368</v>
      </c>
      <c r="E179">
        <v>128</v>
      </c>
      <c r="F179">
        <v>4</v>
      </c>
      <c r="G179">
        <v>4</v>
      </c>
      <c r="H179">
        <v>1258.47</v>
      </c>
      <c r="I179" s="54">
        <v>105.34</v>
      </c>
      <c r="J179" s="23">
        <v>45547</v>
      </c>
      <c r="K179" s="46">
        <v>0.22649305555555554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 s="51">
        <f t="shared" ref="X179" si="169">AVERAGE(I179:I183)</f>
        <v>105.348</v>
      </c>
      <c r="Z179" t="s">
        <v>154</v>
      </c>
      <c r="AA179">
        <v>0</v>
      </c>
      <c r="AB179" t="s">
        <v>7</v>
      </c>
      <c r="AC179">
        <v>58368</v>
      </c>
      <c r="AD179">
        <v>128</v>
      </c>
      <c r="AE179">
        <v>4</v>
      </c>
      <c r="AF179">
        <v>4</v>
      </c>
      <c r="AG179">
        <v>1098.9100000000001</v>
      </c>
      <c r="AH179" s="20">
        <v>120.64</v>
      </c>
      <c r="AI179" s="23">
        <v>45554</v>
      </c>
      <c r="AJ179" s="46">
        <v>0.20129629629629631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 s="51">
        <f t="shared" ref="AW179" si="170">AVERAGE(AH179:AH183)</f>
        <v>120.502</v>
      </c>
    </row>
    <row r="180" spans="1:49">
      <c r="A180" t="s">
        <v>103</v>
      </c>
      <c r="B180">
        <v>1</v>
      </c>
      <c r="C180" t="s">
        <v>7</v>
      </c>
      <c r="D180">
        <v>58368</v>
      </c>
      <c r="E180">
        <v>128</v>
      </c>
      <c r="F180">
        <v>4</v>
      </c>
      <c r="G180">
        <v>4</v>
      </c>
      <c r="H180">
        <v>1260.0999999999999</v>
      </c>
      <c r="I180" s="54">
        <v>105.21</v>
      </c>
      <c r="J180" s="23">
        <v>45548</v>
      </c>
      <c r="K180" s="46">
        <v>0.31899305555555557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s="20">
        <f t="shared" ref="X180:X183" si="171">X179</f>
        <v>105.348</v>
      </c>
      <c r="Z180" t="s">
        <v>154</v>
      </c>
      <c r="AA180">
        <v>1</v>
      </c>
      <c r="AB180" t="s">
        <v>7</v>
      </c>
      <c r="AC180">
        <v>58368</v>
      </c>
      <c r="AD180">
        <v>128</v>
      </c>
      <c r="AE180">
        <v>4</v>
      </c>
      <c r="AF180">
        <v>4</v>
      </c>
      <c r="AG180">
        <v>1100.54</v>
      </c>
      <c r="AH180" s="20">
        <v>120.46</v>
      </c>
      <c r="AI180" s="23">
        <v>45555</v>
      </c>
      <c r="AJ180" s="46">
        <v>0.15387731481481481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 s="20">
        <f t="shared" ref="AW180:AW183" si="172">AW179</f>
        <v>120.502</v>
      </c>
    </row>
    <row r="181" spans="1:49">
      <c r="A181" t="s">
        <v>103</v>
      </c>
      <c r="B181">
        <v>2</v>
      </c>
      <c r="C181" t="s">
        <v>7</v>
      </c>
      <c r="D181">
        <v>58368</v>
      </c>
      <c r="E181">
        <v>128</v>
      </c>
      <c r="F181">
        <v>4</v>
      </c>
      <c r="G181">
        <v>4</v>
      </c>
      <c r="H181">
        <v>1256.58</v>
      </c>
      <c r="I181" s="54">
        <v>105.5</v>
      </c>
      <c r="J181" s="23">
        <v>45549</v>
      </c>
      <c r="K181" s="46">
        <v>0.40893518518518518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 s="20">
        <f t="shared" si="171"/>
        <v>105.348</v>
      </c>
      <c r="Z181" t="s">
        <v>154</v>
      </c>
      <c r="AA181">
        <v>2</v>
      </c>
      <c r="AB181" t="s">
        <v>7</v>
      </c>
      <c r="AC181">
        <v>58368</v>
      </c>
      <c r="AD181">
        <v>128</v>
      </c>
      <c r="AE181">
        <v>4</v>
      </c>
      <c r="AF181">
        <v>4</v>
      </c>
      <c r="AG181">
        <v>1100.1199999999999</v>
      </c>
      <c r="AH181" s="20">
        <v>120.51</v>
      </c>
      <c r="AI181" s="23">
        <v>45556</v>
      </c>
      <c r="AJ181" s="46">
        <v>0.10671296296296297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 s="20">
        <f t="shared" si="172"/>
        <v>120.502</v>
      </c>
    </row>
    <row r="182" spans="1:49">
      <c r="A182" t="s">
        <v>103</v>
      </c>
      <c r="B182">
        <v>3</v>
      </c>
      <c r="C182" t="s">
        <v>7</v>
      </c>
      <c r="D182">
        <v>58368</v>
      </c>
      <c r="E182">
        <v>128</v>
      </c>
      <c r="F182">
        <v>4</v>
      </c>
      <c r="G182">
        <v>4</v>
      </c>
      <c r="H182" s="1">
        <v>1259.1300000000001</v>
      </c>
      <c r="I182" s="54">
        <v>105.29</v>
      </c>
      <c r="J182" s="23">
        <v>45550</v>
      </c>
      <c r="K182" s="46">
        <v>0.4982638888888889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s="20">
        <f t="shared" si="171"/>
        <v>105.348</v>
      </c>
      <c r="Z182" t="s">
        <v>154</v>
      </c>
      <c r="AA182">
        <v>3</v>
      </c>
      <c r="AB182" t="s">
        <v>7</v>
      </c>
      <c r="AC182">
        <v>58368</v>
      </c>
      <c r="AD182">
        <v>128</v>
      </c>
      <c r="AE182">
        <v>4</v>
      </c>
      <c r="AF182">
        <v>4</v>
      </c>
      <c r="AG182">
        <v>1099.3499999999999</v>
      </c>
      <c r="AH182" s="20">
        <v>120.59</v>
      </c>
      <c r="AI182" s="23">
        <v>45557</v>
      </c>
      <c r="AJ182" s="46">
        <v>5.9699074074074071E-2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 s="20">
        <f t="shared" si="172"/>
        <v>120.502</v>
      </c>
    </row>
    <row r="183" spans="1:49">
      <c r="A183" t="s">
        <v>103</v>
      </c>
      <c r="B183">
        <v>4</v>
      </c>
      <c r="C183" t="s">
        <v>7</v>
      </c>
      <c r="D183">
        <v>58368</v>
      </c>
      <c r="E183">
        <v>128</v>
      </c>
      <c r="F183">
        <v>4</v>
      </c>
      <c r="G183">
        <v>4</v>
      </c>
      <c r="H183">
        <v>1257.8399999999999</v>
      </c>
      <c r="I183" s="54">
        <v>105.4</v>
      </c>
      <c r="J183" s="23">
        <v>45551</v>
      </c>
      <c r="K183" s="46">
        <v>0.58656249999999999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 s="20">
        <f t="shared" si="171"/>
        <v>105.348</v>
      </c>
      <c r="Z183" t="s">
        <v>154</v>
      </c>
      <c r="AA183">
        <v>4</v>
      </c>
      <c r="AB183" t="s">
        <v>7</v>
      </c>
      <c r="AC183">
        <v>58368</v>
      </c>
      <c r="AD183">
        <v>128</v>
      </c>
      <c r="AE183">
        <v>4</v>
      </c>
      <c r="AF183">
        <v>4</v>
      </c>
      <c r="AG183">
        <v>1101.8800000000001</v>
      </c>
      <c r="AH183" s="20">
        <v>120.31</v>
      </c>
      <c r="AI183" s="23">
        <v>45558</v>
      </c>
      <c r="AJ183" s="46">
        <v>1.1851851851851851E-2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 s="20">
        <f t="shared" si="172"/>
        <v>120.502</v>
      </c>
    </row>
    <row r="184" spans="1:49">
      <c r="A184" t="s">
        <v>103</v>
      </c>
      <c r="B184">
        <v>0</v>
      </c>
      <c r="C184" t="s">
        <v>7</v>
      </c>
      <c r="D184">
        <v>52000</v>
      </c>
      <c r="E184">
        <v>160</v>
      </c>
      <c r="F184">
        <v>1</v>
      </c>
      <c r="G184">
        <v>16</v>
      </c>
      <c r="H184">
        <v>778.86</v>
      </c>
      <c r="I184" s="54">
        <v>120.36</v>
      </c>
      <c r="J184" s="23">
        <v>45546</v>
      </c>
      <c r="K184" s="46">
        <v>0.49134259259259261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 s="51">
        <f t="shared" ref="X184" si="173">AVERAGE(I184:I188)</f>
        <v>122.08</v>
      </c>
      <c r="Z184" t="s">
        <v>154</v>
      </c>
      <c r="AA184">
        <v>0</v>
      </c>
      <c r="AB184" t="s">
        <v>7</v>
      </c>
      <c r="AC184">
        <v>52000</v>
      </c>
      <c r="AD184">
        <v>160</v>
      </c>
      <c r="AE184">
        <v>1</v>
      </c>
      <c r="AF184">
        <v>16</v>
      </c>
      <c r="AG184">
        <v>705.64</v>
      </c>
      <c r="AH184" s="20">
        <v>132.85</v>
      </c>
      <c r="AI184" s="23">
        <v>45553</v>
      </c>
      <c r="AJ184" s="46">
        <v>0.55880787037037039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 s="51">
        <f t="shared" ref="AW184" si="174">AVERAGE(AH184:AH188)</f>
        <v>132.55799999999999</v>
      </c>
    </row>
    <row r="185" spans="1:49">
      <c r="A185" t="s">
        <v>103</v>
      </c>
      <c r="B185">
        <v>1</v>
      </c>
      <c r="C185" t="s">
        <v>7</v>
      </c>
      <c r="D185">
        <v>52000</v>
      </c>
      <c r="E185">
        <v>160</v>
      </c>
      <c r="F185">
        <v>1</v>
      </c>
      <c r="G185">
        <v>16</v>
      </c>
      <c r="H185">
        <v>766.17</v>
      </c>
      <c r="I185" s="54">
        <v>122.35</v>
      </c>
      <c r="J185" s="23">
        <v>45547</v>
      </c>
      <c r="K185" s="46">
        <v>0.58337962962962964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s="20">
        <f t="shared" ref="X185:X188" si="175">X184</f>
        <v>122.08</v>
      </c>
      <c r="Z185" t="s">
        <v>154</v>
      </c>
      <c r="AA185">
        <v>1</v>
      </c>
      <c r="AB185" t="s">
        <v>7</v>
      </c>
      <c r="AC185">
        <v>52000</v>
      </c>
      <c r="AD185">
        <v>160</v>
      </c>
      <c r="AE185">
        <v>1</v>
      </c>
      <c r="AF185">
        <v>16</v>
      </c>
      <c r="AG185">
        <v>708.37</v>
      </c>
      <c r="AH185" s="20">
        <v>132.34</v>
      </c>
      <c r="AI185" s="23">
        <v>45554</v>
      </c>
      <c r="AJ185" s="46">
        <v>0.51055555555555554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 s="20">
        <f t="shared" ref="AW185:AW188" si="176">AW184</f>
        <v>132.55799999999999</v>
      </c>
    </row>
    <row r="186" spans="1:49">
      <c r="A186" t="s">
        <v>103</v>
      </c>
      <c r="B186">
        <v>2</v>
      </c>
      <c r="C186" t="s">
        <v>7</v>
      </c>
      <c r="D186">
        <v>52000</v>
      </c>
      <c r="E186">
        <v>160</v>
      </c>
      <c r="F186">
        <v>1</v>
      </c>
      <c r="G186">
        <v>16</v>
      </c>
      <c r="H186">
        <v>773.86</v>
      </c>
      <c r="I186" s="54">
        <v>121.14</v>
      </c>
      <c r="J186" s="23">
        <v>45548</v>
      </c>
      <c r="K186" s="46">
        <v>0.67547453703703708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 s="20">
        <f t="shared" si="175"/>
        <v>122.08</v>
      </c>
      <c r="Z186" t="s">
        <v>154</v>
      </c>
      <c r="AA186">
        <v>2</v>
      </c>
      <c r="AB186" t="s">
        <v>7</v>
      </c>
      <c r="AC186">
        <v>52000</v>
      </c>
      <c r="AD186">
        <v>160</v>
      </c>
      <c r="AE186">
        <v>1</v>
      </c>
      <c r="AF186">
        <v>16</v>
      </c>
      <c r="AG186">
        <v>706.24</v>
      </c>
      <c r="AH186" s="20">
        <v>132.72999999999999</v>
      </c>
      <c r="AI186" s="23">
        <v>45555</v>
      </c>
      <c r="AJ186" s="46">
        <v>0.46284722222222224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 s="20">
        <f t="shared" si="176"/>
        <v>132.55799999999999</v>
      </c>
    </row>
    <row r="187" spans="1:49">
      <c r="A187" t="s">
        <v>103</v>
      </c>
      <c r="B187">
        <v>3</v>
      </c>
      <c r="C187" t="s">
        <v>7</v>
      </c>
      <c r="D187">
        <v>52000</v>
      </c>
      <c r="E187">
        <v>160</v>
      </c>
      <c r="F187">
        <v>1</v>
      </c>
      <c r="G187">
        <v>16</v>
      </c>
      <c r="H187">
        <v>753.06</v>
      </c>
      <c r="I187" s="54">
        <v>124.48</v>
      </c>
      <c r="J187" s="23">
        <v>45549</v>
      </c>
      <c r="K187" s="46">
        <v>0.76471064814814815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s="20">
        <f t="shared" si="175"/>
        <v>122.08</v>
      </c>
      <c r="Z187" t="s">
        <v>154</v>
      </c>
      <c r="AA187">
        <v>3</v>
      </c>
      <c r="AB187" t="s">
        <v>7</v>
      </c>
      <c r="AC187">
        <v>52000</v>
      </c>
      <c r="AD187">
        <v>160</v>
      </c>
      <c r="AE187">
        <v>1</v>
      </c>
      <c r="AF187">
        <v>16</v>
      </c>
      <c r="AG187">
        <v>707.46</v>
      </c>
      <c r="AH187" s="20">
        <v>132.51</v>
      </c>
      <c r="AI187" s="23">
        <v>45556</v>
      </c>
      <c r="AJ187" s="46">
        <v>0.41585648148148147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 s="20">
        <f t="shared" si="176"/>
        <v>132.55799999999999</v>
      </c>
    </row>
    <row r="188" spans="1:49">
      <c r="A188" t="s">
        <v>103</v>
      </c>
      <c r="B188">
        <v>4</v>
      </c>
      <c r="C188" t="s">
        <v>7</v>
      </c>
      <c r="D188">
        <v>52000</v>
      </c>
      <c r="E188">
        <v>160</v>
      </c>
      <c r="F188">
        <v>1</v>
      </c>
      <c r="G188">
        <v>16</v>
      </c>
      <c r="H188" s="1">
        <v>767.93</v>
      </c>
      <c r="I188" s="54">
        <v>122.07</v>
      </c>
      <c r="J188" s="23">
        <v>45550</v>
      </c>
      <c r="K188" s="46">
        <v>0.85414351851851855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s="20">
        <f t="shared" si="175"/>
        <v>122.08</v>
      </c>
      <c r="Z188" t="s">
        <v>154</v>
      </c>
      <c r="AA188">
        <v>4</v>
      </c>
      <c r="AB188" t="s">
        <v>7</v>
      </c>
      <c r="AC188">
        <v>52000</v>
      </c>
      <c r="AD188">
        <v>160</v>
      </c>
      <c r="AE188">
        <v>1</v>
      </c>
      <c r="AF188">
        <v>16</v>
      </c>
      <c r="AG188">
        <v>708.21</v>
      </c>
      <c r="AH188" s="20">
        <v>132.36000000000001</v>
      </c>
      <c r="AI188" s="23">
        <v>45557</v>
      </c>
      <c r="AJ188" s="46">
        <v>0.3689236111111111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 s="20">
        <f t="shared" si="176"/>
        <v>132.55799999999999</v>
      </c>
    </row>
    <row r="189" spans="1:49">
      <c r="A189" t="s">
        <v>103</v>
      </c>
      <c r="B189">
        <v>0</v>
      </c>
      <c r="C189" t="s">
        <v>7</v>
      </c>
      <c r="D189">
        <v>55200</v>
      </c>
      <c r="E189">
        <v>160</v>
      </c>
      <c r="F189">
        <v>1</v>
      </c>
      <c r="G189">
        <v>16</v>
      </c>
      <c r="H189">
        <v>933.52</v>
      </c>
      <c r="I189" s="54">
        <v>120.12</v>
      </c>
      <c r="J189" s="23">
        <v>45546</v>
      </c>
      <c r="K189" s="46">
        <v>0.82907407407407407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 s="51">
        <f t="shared" ref="X189" si="177">AVERAGE(I189:I193)</f>
        <v>121.51399999999998</v>
      </c>
      <c r="Z189" t="s">
        <v>154</v>
      </c>
      <c r="AA189">
        <v>0</v>
      </c>
      <c r="AB189" t="s">
        <v>7</v>
      </c>
      <c r="AC189">
        <v>55200</v>
      </c>
      <c r="AD189">
        <v>160</v>
      </c>
      <c r="AE189">
        <v>1</v>
      </c>
      <c r="AF189">
        <v>16</v>
      </c>
      <c r="AG189">
        <v>856.6</v>
      </c>
      <c r="AH189" s="20">
        <v>130.91</v>
      </c>
      <c r="AI189" s="23">
        <v>45553</v>
      </c>
      <c r="AJ189" s="46">
        <v>0.85806712962962961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 s="51">
        <f t="shared" ref="AW189" si="178">AVERAGE(AH189:AH193)</f>
        <v>130.86399999999998</v>
      </c>
    </row>
    <row r="190" spans="1:49">
      <c r="A190" t="s">
        <v>103</v>
      </c>
      <c r="B190">
        <v>1</v>
      </c>
      <c r="C190" t="s">
        <v>7</v>
      </c>
      <c r="D190">
        <v>55200</v>
      </c>
      <c r="E190">
        <v>160</v>
      </c>
      <c r="F190">
        <v>1</v>
      </c>
      <c r="G190">
        <v>16</v>
      </c>
      <c r="H190">
        <v>930.05</v>
      </c>
      <c r="I190" s="54">
        <v>120.57</v>
      </c>
      <c r="J190" s="23">
        <v>45547</v>
      </c>
      <c r="K190" s="46">
        <v>0.92142361111111115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 s="20">
        <f t="shared" ref="X190:X193" si="179">X189</f>
        <v>121.51399999999998</v>
      </c>
      <c r="Z190" t="s">
        <v>154</v>
      </c>
      <c r="AA190">
        <v>1</v>
      </c>
      <c r="AB190" t="s">
        <v>7</v>
      </c>
      <c r="AC190">
        <v>55200</v>
      </c>
      <c r="AD190">
        <v>160</v>
      </c>
      <c r="AE190">
        <v>1</v>
      </c>
      <c r="AF190">
        <v>16</v>
      </c>
      <c r="AG190">
        <v>857.08</v>
      </c>
      <c r="AH190" s="20">
        <v>130.83000000000001</v>
      </c>
      <c r="AI190" s="23">
        <v>45554</v>
      </c>
      <c r="AJ190" s="46">
        <v>0.8102314814814815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 s="20">
        <f t="shared" ref="AW190:AW193" si="180">AW189</f>
        <v>130.86399999999998</v>
      </c>
    </row>
    <row r="191" spans="1:49">
      <c r="A191" t="s">
        <v>103</v>
      </c>
      <c r="B191">
        <v>2</v>
      </c>
      <c r="C191" t="s">
        <v>7</v>
      </c>
      <c r="D191">
        <v>55200</v>
      </c>
      <c r="E191">
        <v>160</v>
      </c>
      <c r="F191">
        <v>1</v>
      </c>
      <c r="G191">
        <v>16</v>
      </c>
      <c r="H191" s="1">
        <v>921.73</v>
      </c>
      <c r="I191" s="54">
        <v>121.66</v>
      </c>
      <c r="J191" s="23">
        <v>45549</v>
      </c>
      <c r="K191" s="46">
        <v>1.2152777777777778E-2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s="20">
        <f t="shared" si="179"/>
        <v>121.51399999999998</v>
      </c>
      <c r="Z191" t="s">
        <v>154</v>
      </c>
      <c r="AA191">
        <v>2</v>
      </c>
      <c r="AB191" t="s">
        <v>7</v>
      </c>
      <c r="AC191">
        <v>55200</v>
      </c>
      <c r="AD191">
        <v>160</v>
      </c>
      <c r="AE191">
        <v>1</v>
      </c>
      <c r="AF191">
        <v>16</v>
      </c>
      <c r="AG191">
        <v>858.02</v>
      </c>
      <c r="AH191" s="20">
        <v>130.69</v>
      </c>
      <c r="AI191" s="23">
        <v>45555</v>
      </c>
      <c r="AJ191" s="46">
        <v>0.7624305555555555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 s="20">
        <f t="shared" si="180"/>
        <v>130.86399999999998</v>
      </c>
    </row>
    <row r="192" spans="1:49">
      <c r="A192" t="s">
        <v>103</v>
      </c>
      <c r="B192">
        <v>3</v>
      </c>
      <c r="C192" t="s">
        <v>7</v>
      </c>
      <c r="D192">
        <v>55200</v>
      </c>
      <c r="E192">
        <v>160</v>
      </c>
      <c r="F192">
        <v>1</v>
      </c>
      <c r="G192">
        <v>16</v>
      </c>
      <c r="H192">
        <v>920.84</v>
      </c>
      <c r="I192" s="54">
        <v>121.78</v>
      </c>
      <c r="J192" s="23">
        <v>45550</v>
      </c>
      <c r="K192" s="46">
        <v>0.10143518518518518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s="20">
        <f t="shared" si="179"/>
        <v>121.51399999999998</v>
      </c>
      <c r="Z192" t="s">
        <v>154</v>
      </c>
      <c r="AA192">
        <v>3</v>
      </c>
      <c r="AB192" t="s">
        <v>7</v>
      </c>
      <c r="AC192">
        <v>55200</v>
      </c>
      <c r="AD192">
        <v>160</v>
      </c>
      <c r="AE192">
        <v>1</v>
      </c>
      <c r="AF192">
        <v>16</v>
      </c>
      <c r="AG192">
        <v>855.34</v>
      </c>
      <c r="AH192" s="20">
        <v>131.1</v>
      </c>
      <c r="AI192" s="23">
        <v>45556</v>
      </c>
      <c r="AJ192" s="46">
        <v>0.71545138888888893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 s="20">
        <f t="shared" si="180"/>
        <v>130.86399999999998</v>
      </c>
    </row>
    <row r="193" spans="1:49">
      <c r="A193" t="s">
        <v>103</v>
      </c>
      <c r="B193">
        <v>4</v>
      </c>
      <c r="C193" t="s">
        <v>7</v>
      </c>
      <c r="D193">
        <v>55200</v>
      </c>
      <c r="E193">
        <v>160</v>
      </c>
      <c r="F193">
        <v>1</v>
      </c>
      <c r="G193">
        <v>16</v>
      </c>
      <c r="H193">
        <v>908.46</v>
      </c>
      <c r="I193" s="54">
        <v>123.44</v>
      </c>
      <c r="J193" s="23">
        <v>45551</v>
      </c>
      <c r="K193" s="46">
        <v>0.19046296296296297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 s="20">
        <f t="shared" si="179"/>
        <v>121.51399999999998</v>
      </c>
      <c r="Z193" t="s">
        <v>154</v>
      </c>
      <c r="AA193">
        <v>4</v>
      </c>
      <c r="AB193" t="s">
        <v>7</v>
      </c>
      <c r="AC193">
        <v>55200</v>
      </c>
      <c r="AD193">
        <v>160</v>
      </c>
      <c r="AE193">
        <v>1</v>
      </c>
      <c r="AF193">
        <v>16</v>
      </c>
      <c r="AG193">
        <v>857.36</v>
      </c>
      <c r="AH193" s="20">
        <v>130.79</v>
      </c>
      <c r="AI193" s="23">
        <v>45557</v>
      </c>
      <c r="AJ193" s="46">
        <v>0.66811342592592593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 s="20">
        <f t="shared" si="180"/>
        <v>130.86399999999998</v>
      </c>
    </row>
    <row r="194" spans="1:49">
      <c r="A194" t="s">
        <v>103</v>
      </c>
      <c r="B194">
        <v>0</v>
      </c>
      <c r="C194" t="s">
        <v>7</v>
      </c>
      <c r="D194">
        <v>58400</v>
      </c>
      <c r="E194">
        <v>160</v>
      </c>
      <c r="F194">
        <v>1</v>
      </c>
      <c r="G194">
        <v>16</v>
      </c>
      <c r="H194" s="1">
        <v>1088.1400000000001</v>
      </c>
      <c r="I194" s="54">
        <v>122.03</v>
      </c>
      <c r="J194" s="23">
        <v>45547</v>
      </c>
      <c r="K194" s="46">
        <v>0.23993055555555556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s="51">
        <f t="shared" ref="X194" si="181">AVERAGE(I194:I198)</f>
        <v>123.28</v>
      </c>
      <c r="Z194" t="s">
        <v>154</v>
      </c>
      <c r="AA194">
        <v>0</v>
      </c>
      <c r="AB194" t="s">
        <v>7</v>
      </c>
      <c r="AC194">
        <v>58400</v>
      </c>
      <c r="AD194">
        <v>160</v>
      </c>
      <c r="AE194">
        <v>1</v>
      </c>
      <c r="AF194">
        <v>16</v>
      </c>
      <c r="AG194">
        <v>990.39</v>
      </c>
      <c r="AH194" s="20">
        <v>134.08000000000001</v>
      </c>
      <c r="AI194" s="23">
        <v>45554</v>
      </c>
      <c r="AJ194" s="46">
        <v>0.21306712962962962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 s="51">
        <f t="shared" ref="AW194" si="182">AVERAGE(AH194:AH198)</f>
        <v>134.03</v>
      </c>
    </row>
    <row r="195" spans="1:49">
      <c r="A195" t="s">
        <v>103</v>
      </c>
      <c r="B195">
        <v>1</v>
      </c>
      <c r="C195" t="s">
        <v>7</v>
      </c>
      <c r="D195">
        <v>58400</v>
      </c>
      <c r="E195">
        <v>160</v>
      </c>
      <c r="F195">
        <v>1</v>
      </c>
      <c r="G195">
        <v>16</v>
      </c>
      <c r="H195">
        <v>1080.6300000000001</v>
      </c>
      <c r="I195" s="54">
        <v>122.88</v>
      </c>
      <c r="J195" s="23">
        <v>45548</v>
      </c>
      <c r="K195" s="46">
        <v>0.33233796296296297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 s="20">
        <f t="shared" ref="X195:X198" si="183">X194</f>
        <v>123.28</v>
      </c>
      <c r="Z195" t="s">
        <v>154</v>
      </c>
      <c r="AA195">
        <v>1</v>
      </c>
      <c r="AB195" t="s">
        <v>7</v>
      </c>
      <c r="AC195">
        <v>58400</v>
      </c>
      <c r="AD195">
        <v>160</v>
      </c>
      <c r="AE195">
        <v>1</v>
      </c>
      <c r="AF195">
        <v>16</v>
      </c>
      <c r="AG195">
        <v>993.8</v>
      </c>
      <c r="AH195" s="20">
        <v>133.62</v>
      </c>
      <c r="AI195" s="23">
        <v>45555</v>
      </c>
      <c r="AJ195" s="46">
        <v>0.16569444444444445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 s="20">
        <f t="shared" ref="AW195:AW198" si="184">AW194</f>
        <v>134.03</v>
      </c>
    </row>
    <row r="196" spans="1:49">
      <c r="A196" t="s">
        <v>103</v>
      </c>
      <c r="B196">
        <v>2</v>
      </c>
      <c r="C196" t="s">
        <v>7</v>
      </c>
      <c r="D196">
        <v>58400</v>
      </c>
      <c r="E196">
        <v>160</v>
      </c>
      <c r="F196">
        <v>1</v>
      </c>
      <c r="G196">
        <v>16</v>
      </c>
      <c r="H196">
        <v>1072.53</v>
      </c>
      <c r="I196" s="54">
        <v>123.81</v>
      </c>
      <c r="J196" s="23">
        <v>45549</v>
      </c>
      <c r="K196" s="46">
        <v>0.42218749999999999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s="20">
        <f t="shared" si="183"/>
        <v>123.28</v>
      </c>
      <c r="Z196" t="s">
        <v>154</v>
      </c>
      <c r="AA196">
        <v>2</v>
      </c>
      <c r="AB196" t="s">
        <v>7</v>
      </c>
      <c r="AC196">
        <v>58400</v>
      </c>
      <c r="AD196">
        <v>160</v>
      </c>
      <c r="AE196">
        <v>1</v>
      </c>
      <c r="AF196">
        <v>16</v>
      </c>
      <c r="AG196">
        <v>989.15</v>
      </c>
      <c r="AH196" s="20">
        <v>134.25</v>
      </c>
      <c r="AI196" s="23">
        <v>45556</v>
      </c>
      <c r="AJ196" s="46">
        <v>0.11847222222222223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 s="20">
        <f t="shared" si="184"/>
        <v>134.03</v>
      </c>
    </row>
    <row r="197" spans="1:49">
      <c r="A197" t="s">
        <v>103</v>
      </c>
      <c r="B197">
        <v>3</v>
      </c>
      <c r="C197" t="s">
        <v>7</v>
      </c>
      <c r="D197">
        <v>58400</v>
      </c>
      <c r="E197">
        <v>160</v>
      </c>
      <c r="F197">
        <v>1</v>
      </c>
      <c r="G197">
        <v>16</v>
      </c>
      <c r="H197">
        <v>1078.47</v>
      </c>
      <c r="I197" s="54">
        <v>123.13</v>
      </c>
      <c r="J197" s="23">
        <v>45550</v>
      </c>
      <c r="K197" s="46">
        <v>0.51158564814814811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s="20">
        <f t="shared" si="183"/>
        <v>123.28</v>
      </c>
      <c r="Z197" t="s">
        <v>154</v>
      </c>
      <c r="AA197">
        <v>3</v>
      </c>
      <c r="AB197" t="s">
        <v>7</v>
      </c>
      <c r="AC197">
        <v>58400</v>
      </c>
      <c r="AD197">
        <v>160</v>
      </c>
      <c r="AE197">
        <v>1</v>
      </c>
      <c r="AF197">
        <v>16</v>
      </c>
      <c r="AG197">
        <v>987.9</v>
      </c>
      <c r="AH197" s="20">
        <v>134.41999999999999</v>
      </c>
      <c r="AI197" s="23">
        <v>45557</v>
      </c>
      <c r="AJ197" s="46">
        <v>7.1446759259259265E-2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 s="20">
        <f t="shared" si="184"/>
        <v>134.03</v>
      </c>
    </row>
    <row r="198" spans="1:49">
      <c r="A198" t="s">
        <v>103</v>
      </c>
      <c r="B198">
        <v>4</v>
      </c>
      <c r="C198" t="s">
        <v>7</v>
      </c>
      <c r="D198">
        <v>58400</v>
      </c>
      <c r="E198">
        <v>160</v>
      </c>
      <c r="F198">
        <v>1</v>
      </c>
      <c r="G198">
        <v>16</v>
      </c>
      <c r="H198">
        <v>1066.1400000000001</v>
      </c>
      <c r="I198" s="54">
        <v>124.55</v>
      </c>
      <c r="J198" s="23">
        <v>45551</v>
      </c>
      <c r="K198" s="46">
        <v>0.59974537037037035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 s="20">
        <f t="shared" si="183"/>
        <v>123.28</v>
      </c>
      <c r="Z198" t="s">
        <v>154</v>
      </c>
      <c r="AA198">
        <v>4</v>
      </c>
      <c r="AB198" t="s">
        <v>7</v>
      </c>
      <c r="AC198">
        <v>58400</v>
      </c>
      <c r="AD198">
        <v>160</v>
      </c>
      <c r="AE198">
        <v>1</v>
      </c>
      <c r="AF198">
        <v>16</v>
      </c>
      <c r="AG198">
        <v>992.56</v>
      </c>
      <c r="AH198" s="20">
        <v>133.78</v>
      </c>
      <c r="AI198" s="23">
        <v>45558</v>
      </c>
      <c r="AJ198" s="46">
        <v>2.3645833333333335E-2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 s="20">
        <f t="shared" si="184"/>
        <v>134.03</v>
      </c>
    </row>
    <row r="199" spans="1:49">
      <c r="A199" t="s">
        <v>103</v>
      </c>
      <c r="B199">
        <v>0</v>
      </c>
      <c r="C199" t="s">
        <v>7</v>
      </c>
      <c r="D199">
        <v>52000</v>
      </c>
      <c r="E199">
        <v>160</v>
      </c>
      <c r="F199">
        <v>2</v>
      </c>
      <c r="G199">
        <v>8</v>
      </c>
      <c r="H199">
        <v>718.51</v>
      </c>
      <c r="I199" s="54">
        <v>130.47</v>
      </c>
      <c r="J199" s="23">
        <v>45546</v>
      </c>
      <c r="K199" s="46">
        <v>0.50033564814814813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 s="51">
        <f t="shared" ref="X199" si="185">AVERAGE(I199:I203)</f>
        <v>131.19400000000002</v>
      </c>
      <c r="Z199" t="s">
        <v>154</v>
      </c>
      <c r="AA199">
        <v>0</v>
      </c>
      <c r="AB199" t="s">
        <v>7</v>
      </c>
      <c r="AC199">
        <v>52000</v>
      </c>
      <c r="AD199">
        <v>160</v>
      </c>
      <c r="AE199">
        <v>2</v>
      </c>
      <c r="AF199">
        <v>8</v>
      </c>
      <c r="AG199">
        <v>652.22</v>
      </c>
      <c r="AH199" s="20">
        <v>143.72999999999999</v>
      </c>
      <c r="AI199" s="23">
        <v>45553</v>
      </c>
      <c r="AJ199" s="46">
        <v>0.5665972222222222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 s="51">
        <f t="shared" ref="AW199" si="186">AVERAGE(AH199:AH203)</f>
        <v>143.07599999999999</v>
      </c>
    </row>
    <row r="200" spans="1:49">
      <c r="A200" t="s">
        <v>103</v>
      </c>
      <c r="B200">
        <v>1</v>
      </c>
      <c r="C200" t="s">
        <v>7</v>
      </c>
      <c r="D200">
        <v>52000</v>
      </c>
      <c r="E200">
        <v>160</v>
      </c>
      <c r="F200">
        <v>2</v>
      </c>
      <c r="G200">
        <v>8</v>
      </c>
      <c r="H200" s="1">
        <v>718.91</v>
      </c>
      <c r="I200" s="54">
        <v>130.4</v>
      </c>
      <c r="J200" s="23">
        <v>45547</v>
      </c>
      <c r="K200" s="46">
        <v>0.59237268518518515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 s="20">
        <f t="shared" ref="X200:X203" si="187">X199</f>
        <v>131.19400000000002</v>
      </c>
      <c r="Z200" t="s">
        <v>154</v>
      </c>
      <c r="AA200">
        <v>1</v>
      </c>
      <c r="AB200" t="s">
        <v>7</v>
      </c>
      <c r="AC200">
        <v>52000</v>
      </c>
      <c r="AD200">
        <v>160</v>
      </c>
      <c r="AE200">
        <v>2</v>
      </c>
      <c r="AF200">
        <v>8</v>
      </c>
      <c r="AG200">
        <v>655.99</v>
      </c>
      <c r="AH200" s="20">
        <v>142.9</v>
      </c>
      <c r="AI200" s="23">
        <v>45554</v>
      </c>
      <c r="AJ200" s="46">
        <v>0.51837962962962958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 s="20">
        <f t="shared" ref="AW200:AW203" si="188">AW199</f>
        <v>143.07599999999999</v>
      </c>
    </row>
    <row r="201" spans="1:49">
      <c r="A201" t="s">
        <v>103</v>
      </c>
      <c r="B201">
        <v>2</v>
      </c>
      <c r="C201" t="s">
        <v>7</v>
      </c>
      <c r="D201">
        <v>52000</v>
      </c>
      <c r="E201">
        <v>160</v>
      </c>
      <c r="F201">
        <v>2</v>
      </c>
      <c r="G201">
        <v>8</v>
      </c>
      <c r="H201">
        <v>713.86</v>
      </c>
      <c r="I201" s="54">
        <v>131.32</v>
      </c>
      <c r="J201" s="23">
        <v>45548</v>
      </c>
      <c r="K201" s="46">
        <v>0.68440972222222218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 s="20">
        <f t="shared" si="187"/>
        <v>131.19400000000002</v>
      </c>
      <c r="Z201" t="s">
        <v>154</v>
      </c>
      <c r="AA201">
        <v>2</v>
      </c>
      <c r="AB201" t="s">
        <v>7</v>
      </c>
      <c r="AC201">
        <v>52000</v>
      </c>
      <c r="AD201">
        <v>160</v>
      </c>
      <c r="AE201">
        <v>2</v>
      </c>
      <c r="AF201">
        <v>8</v>
      </c>
      <c r="AG201">
        <v>657.29</v>
      </c>
      <c r="AH201" s="20">
        <v>142.62</v>
      </c>
      <c r="AI201" s="23">
        <v>45555</v>
      </c>
      <c r="AJ201" s="46">
        <v>0.47069444444444447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 s="20">
        <f t="shared" si="188"/>
        <v>143.07599999999999</v>
      </c>
    </row>
    <row r="202" spans="1:49">
      <c r="A202" t="s">
        <v>103</v>
      </c>
      <c r="B202">
        <v>3</v>
      </c>
      <c r="C202" t="s">
        <v>7</v>
      </c>
      <c r="D202">
        <v>52000</v>
      </c>
      <c r="E202">
        <v>160</v>
      </c>
      <c r="F202">
        <v>2</v>
      </c>
      <c r="G202">
        <v>8</v>
      </c>
      <c r="H202">
        <v>710.25</v>
      </c>
      <c r="I202" s="54">
        <v>131.99</v>
      </c>
      <c r="J202" s="23">
        <v>45549</v>
      </c>
      <c r="K202" s="46">
        <v>0.77361111111111114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 s="20">
        <f t="shared" si="187"/>
        <v>131.19400000000002</v>
      </c>
      <c r="Z202" t="s">
        <v>154</v>
      </c>
      <c r="AA202">
        <v>3</v>
      </c>
      <c r="AB202" t="s">
        <v>7</v>
      </c>
      <c r="AC202">
        <v>52000</v>
      </c>
      <c r="AD202">
        <v>160</v>
      </c>
      <c r="AE202">
        <v>2</v>
      </c>
      <c r="AF202">
        <v>8</v>
      </c>
      <c r="AG202">
        <v>656.09</v>
      </c>
      <c r="AH202" s="20">
        <v>142.88</v>
      </c>
      <c r="AI202" s="23">
        <v>45556</v>
      </c>
      <c r="AJ202" s="46">
        <v>0.42368055555555556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 s="20">
        <f t="shared" si="188"/>
        <v>143.07599999999999</v>
      </c>
    </row>
    <row r="203" spans="1:49">
      <c r="A203" t="s">
        <v>103</v>
      </c>
      <c r="B203">
        <v>4</v>
      </c>
      <c r="C203" t="s">
        <v>7</v>
      </c>
      <c r="D203">
        <v>52000</v>
      </c>
      <c r="E203">
        <v>160</v>
      </c>
      <c r="F203">
        <v>2</v>
      </c>
      <c r="G203">
        <v>8</v>
      </c>
      <c r="H203">
        <v>711.3</v>
      </c>
      <c r="I203" s="54">
        <v>131.79</v>
      </c>
      <c r="J203" s="23">
        <v>45550</v>
      </c>
      <c r="K203" s="46">
        <v>0.86304398148148154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 s="20">
        <f t="shared" si="187"/>
        <v>131.19400000000002</v>
      </c>
      <c r="Z203" t="s">
        <v>154</v>
      </c>
      <c r="AA203">
        <v>4</v>
      </c>
      <c r="AB203" t="s">
        <v>7</v>
      </c>
      <c r="AC203">
        <v>52000</v>
      </c>
      <c r="AD203">
        <v>160</v>
      </c>
      <c r="AE203">
        <v>2</v>
      </c>
      <c r="AF203">
        <v>8</v>
      </c>
      <c r="AG203">
        <v>654.39</v>
      </c>
      <c r="AH203" s="20">
        <v>143.25</v>
      </c>
      <c r="AI203" s="23">
        <v>45557</v>
      </c>
      <c r="AJ203" s="46">
        <v>0.3767361111111111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 s="20">
        <f t="shared" si="188"/>
        <v>143.07599999999999</v>
      </c>
    </row>
    <row r="204" spans="1:49">
      <c r="A204" t="s">
        <v>103</v>
      </c>
      <c r="B204">
        <v>0</v>
      </c>
      <c r="C204" t="s">
        <v>7</v>
      </c>
      <c r="D204">
        <v>55200</v>
      </c>
      <c r="E204">
        <v>160</v>
      </c>
      <c r="F204">
        <v>2</v>
      </c>
      <c r="G204">
        <v>8</v>
      </c>
      <c r="H204">
        <v>862.16</v>
      </c>
      <c r="I204" s="54">
        <v>130.06</v>
      </c>
      <c r="J204" s="23">
        <v>45546</v>
      </c>
      <c r="K204" s="46">
        <v>0.83981481481481479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 s="51">
        <f t="shared" ref="X204" si="189">AVERAGE(I204:I208)</f>
        <v>131.10200000000003</v>
      </c>
      <c r="Z204" t="s">
        <v>154</v>
      </c>
      <c r="AA204">
        <v>0</v>
      </c>
      <c r="AB204" t="s">
        <v>7</v>
      </c>
      <c r="AC204">
        <v>55200</v>
      </c>
      <c r="AD204">
        <v>160</v>
      </c>
      <c r="AE204">
        <v>2</v>
      </c>
      <c r="AF204">
        <v>8</v>
      </c>
      <c r="AG204">
        <v>791.78</v>
      </c>
      <c r="AH204" s="20">
        <v>141.62</v>
      </c>
      <c r="AI204" s="23">
        <v>45553</v>
      </c>
      <c r="AJ204" s="46">
        <v>0.86750000000000005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 s="51">
        <f t="shared" ref="AW204" si="190">AVERAGE(AH204:AH208)</f>
        <v>141.84200000000001</v>
      </c>
    </row>
    <row r="205" spans="1:49">
      <c r="A205" t="s">
        <v>103</v>
      </c>
      <c r="B205">
        <v>1</v>
      </c>
      <c r="C205" t="s">
        <v>7</v>
      </c>
      <c r="D205">
        <v>55200</v>
      </c>
      <c r="E205">
        <v>160</v>
      </c>
      <c r="F205">
        <v>2</v>
      </c>
      <c r="G205">
        <v>8</v>
      </c>
      <c r="H205">
        <v>859</v>
      </c>
      <c r="I205" s="54">
        <v>130.54</v>
      </c>
      <c r="J205" s="23">
        <v>45547</v>
      </c>
      <c r="K205" s="46">
        <v>0.93212962962962964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 s="20">
        <f t="shared" ref="X205:X208" si="191">X204</f>
        <v>131.10200000000003</v>
      </c>
      <c r="Z205" t="s">
        <v>154</v>
      </c>
      <c r="AA205">
        <v>1</v>
      </c>
      <c r="AB205" t="s">
        <v>7</v>
      </c>
      <c r="AC205">
        <v>55200</v>
      </c>
      <c r="AD205">
        <v>160</v>
      </c>
      <c r="AE205">
        <v>2</v>
      </c>
      <c r="AF205">
        <v>8</v>
      </c>
      <c r="AG205">
        <v>787.82</v>
      </c>
      <c r="AH205" s="20">
        <v>142.34</v>
      </c>
      <c r="AI205" s="23">
        <v>45554</v>
      </c>
      <c r="AJ205" s="46">
        <v>0.81961805555555556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 s="20">
        <f t="shared" ref="AW205:AW208" si="192">AW204</f>
        <v>141.84200000000001</v>
      </c>
    </row>
    <row r="206" spans="1:49">
      <c r="A206" t="s">
        <v>103</v>
      </c>
      <c r="B206">
        <v>2</v>
      </c>
      <c r="C206" t="s">
        <v>7</v>
      </c>
      <c r="D206">
        <v>55200</v>
      </c>
      <c r="E206">
        <v>160</v>
      </c>
      <c r="F206">
        <v>2</v>
      </c>
      <c r="G206">
        <v>8</v>
      </c>
      <c r="H206">
        <v>854.02</v>
      </c>
      <c r="I206" s="54">
        <v>131.30000000000001</v>
      </c>
      <c r="J206" s="23">
        <v>45549</v>
      </c>
      <c r="K206" s="46">
        <v>2.2800925925925926E-2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 s="20">
        <f t="shared" si="191"/>
        <v>131.10200000000003</v>
      </c>
      <c r="Z206" t="s">
        <v>154</v>
      </c>
      <c r="AA206">
        <v>2</v>
      </c>
      <c r="AB206" t="s">
        <v>7</v>
      </c>
      <c r="AC206">
        <v>55200</v>
      </c>
      <c r="AD206">
        <v>160</v>
      </c>
      <c r="AE206">
        <v>2</v>
      </c>
      <c r="AF206">
        <v>8</v>
      </c>
      <c r="AG206">
        <v>790.79</v>
      </c>
      <c r="AH206" s="20">
        <v>141.80000000000001</v>
      </c>
      <c r="AI206" s="23">
        <v>45555</v>
      </c>
      <c r="AJ206" s="46">
        <v>0.7718518518518519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 s="20">
        <f t="shared" si="192"/>
        <v>141.84200000000001</v>
      </c>
    </row>
    <row r="207" spans="1:49">
      <c r="A207" t="s">
        <v>103</v>
      </c>
      <c r="B207">
        <v>3</v>
      </c>
      <c r="C207" t="s">
        <v>7</v>
      </c>
      <c r="D207">
        <v>55200</v>
      </c>
      <c r="E207">
        <v>160</v>
      </c>
      <c r="F207">
        <v>2</v>
      </c>
      <c r="G207">
        <v>8</v>
      </c>
      <c r="H207">
        <v>851.09</v>
      </c>
      <c r="I207" s="54">
        <v>131.75</v>
      </c>
      <c r="J207" s="23">
        <v>45550</v>
      </c>
      <c r="K207" s="46">
        <v>0.11204861111111111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 s="20">
        <f t="shared" si="191"/>
        <v>131.10200000000003</v>
      </c>
      <c r="Z207" t="s">
        <v>154</v>
      </c>
      <c r="AA207">
        <v>3</v>
      </c>
      <c r="AB207" t="s">
        <v>7</v>
      </c>
      <c r="AC207">
        <v>55200</v>
      </c>
      <c r="AD207">
        <v>160</v>
      </c>
      <c r="AE207">
        <v>2</v>
      </c>
      <c r="AF207">
        <v>8</v>
      </c>
      <c r="AG207">
        <v>792.32</v>
      </c>
      <c r="AH207" s="20">
        <v>141.53</v>
      </c>
      <c r="AI207" s="23">
        <v>45556</v>
      </c>
      <c r="AJ207" s="46">
        <v>0.72489583333333329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 s="20">
        <f t="shared" si="192"/>
        <v>141.84200000000001</v>
      </c>
    </row>
    <row r="208" spans="1:49">
      <c r="A208" t="s">
        <v>103</v>
      </c>
      <c r="B208">
        <v>4</v>
      </c>
      <c r="C208" t="s">
        <v>7</v>
      </c>
      <c r="D208">
        <v>55200</v>
      </c>
      <c r="E208">
        <v>160</v>
      </c>
      <c r="F208">
        <v>2</v>
      </c>
      <c r="G208">
        <v>8</v>
      </c>
      <c r="H208" s="1">
        <v>850.41</v>
      </c>
      <c r="I208" s="54">
        <v>131.86000000000001</v>
      </c>
      <c r="J208" s="23">
        <v>45551</v>
      </c>
      <c r="K208" s="46">
        <v>0.20106481481481481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 s="20">
        <f t="shared" si="191"/>
        <v>131.10200000000003</v>
      </c>
      <c r="Z208" t="s">
        <v>154</v>
      </c>
      <c r="AA208">
        <v>4</v>
      </c>
      <c r="AB208" t="s">
        <v>7</v>
      </c>
      <c r="AC208">
        <v>55200</v>
      </c>
      <c r="AD208">
        <v>160</v>
      </c>
      <c r="AE208">
        <v>2</v>
      </c>
      <c r="AF208">
        <v>8</v>
      </c>
      <c r="AG208">
        <v>790.16</v>
      </c>
      <c r="AH208" s="20">
        <v>141.91999999999999</v>
      </c>
      <c r="AI208" s="23">
        <v>45557</v>
      </c>
      <c r="AJ208" s="46">
        <v>0.67752314814814818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 s="20">
        <f t="shared" si="192"/>
        <v>141.84200000000001</v>
      </c>
    </row>
    <row r="209" spans="1:49">
      <c r="A209" t="s">
        <v>103</v>
      </c>
      <c r="B209">
        <v>0</v>
      </c>
      <c r="C209" t="s">
        <v>7</v>
      </c>
      <c r="D209">
        <v>58400</v>
      </c>
      <c r="E209">
        <v>160</v>
      </c>
      <c r="F209">
        <v>2</v>
      </c>
      <c r="G209">
        <v>8</v>
      </c>
      <c r="H209">
        <v>1018.58</v>
      </c>
      <c r="I209" s="54">
        <v>130.37</v>
      </c>
      <c r="J209" s="23">
        <v>45547</v>
      </c>
      <c r="K209" s="46">
        <v>0.25255787037037036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s="51">
        <f t="shared" ref="X209" si="193">AVERAGE(I209:I213)</f>
        <v>131.02000000000001</v>
      </c>
      <c r="Z209" t="s">
        <v>154</v>
      </c>
      <c r="AA209">
        <v>0</v>
      </c>
      <c r="AB209" t="s">
        <v>7</v>
      </c>
      <c r="AC209">
        <v>58400</v>
      </c>
      <c r="AD209">
        <v>160</v>
      </c>
      <c r="AE209">
        <v>2</v>
      </c>
      <c r="AF209">
        <v>8</v>
      </c>
      <c r="AG209">
        <v>931.28</v>
      </c>
      <c r="AH209" s="20">
        <v>142.59</v>
      </c>
      <c r="AI209" s="23">
        <v>45554</v>
      </c>
      <c r="AJ209" s="46">
        <v>0.22414351851851852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 s="51">
        <f t="shared" ref="AW209" si="194">AVERAGE(AH209:AH213)</f>
        <v>142.92199999999997</v>
      </c>
    </row>
    <row r="210" spans="1:49">
      <c r="A210" t="s">
        <v>103</v>
      </c>
      <c r="B210">
        <v>1</v>
      </c>
      <c r="C210" t="s">
        <v>7</v>
      </c>
      <c r="D210">
        <v>58400</v>
      </c>
      <c r="E210">
        <v>160</v>
      </c>
      <c r="F210">
        <v>2</v>
      </c>
      <c r="G210">
        <v>8</v>
      </c>
      <c r="H210">
        <v>1018.85</v>
      </c>
      <c r="I210" s="54">
        <v>130.33000000000001</v>
      </c>
      <c r="J210" s="23">
        <v>45548</v>
      </c>
      <c r="K210" s="46">
        <v>0.34497685185185184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 s="20">
        <f t="shared" ref="X210:X213" si="195">X209</f>
        <v>131.02000000000001</v>
      </c>
      <c r="Z210" t="s">
        <v>154</v>
      </c>
      <c r="AA210">
        <v>1</v>
      </c>
      <c r="AB210" t="s">
        <v>7</v>
      </c>
      <c r="AC210">
        <v>58400</v>
      </c>
      <c r="AD210">
        <v>160</v>
      </c>
      <c r="AE210">
        <v>2</v>
      </c>
      <c r="AF210">
        <v>8</v>
      </c>
      <c r="AG210">
        <v>929.98</v>
      </c>
      <c r="AH210" s="20">
        <v>142.79</v>
      </c>
      <c r="AI210" s="23">
        <v>45555</v>
      </c>
      <c r="AJ210" s="46">
        <v>0.17674768518518519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 s="20">
        <f t="shared" ref="AW210:AW213" si="196">AW209</f>
        <v>142.92199999999997</v>
      </c>
    </row>
    <row r="211" spans="1:49">
      <c r="A211" t="s">
        <v>103</v>
      </c>
      <c r="B211">
        <v>2</v>
      </c>
      <c r="C211" t="s">
        <v>7</v>
      </c>
      <c r="D211">
        <v>58400</v>
      </c>
      <c r="E211">
        <v>160</v>
      </c>
      <c r="F211">
        <v>2</v>
      </c>
      <c r="G211">
        <v>8</v>
      </c>
      <c r="H211" s="1">
        <v>1011.91</v>
      </c>
      <c r="I211" s="54">
        <v>131.22999999999999</v>
      </c>
      <c r="J211" s="23">
        <v>45549</v>
      </c>
      <c r="K211" s="46">
        <v>0.43474537037037037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s="20">
        <f t="shared" si="195"/>
        <v>131.02000000000001</v>
      </c>
      <c r="Z211" t="s">
        <v>154</v>
      </c>
      <c r="AA211">
        <v>2</v>
      </c>
      <c r="AB211" t="s">
        <v>7</v>
      </c>
      <c r="AC211">
        <v>58400</v>
      </c>
      <c r="AD211">
        <v>160</v>
      </c>
      <c r="AE211">
        <v>2</v>
      </c>
      <c r="AF211">
        <v>8</v>
      </c>
      <c r="AG211">
        <v>926.76</v>
      </c>
      <c r="AH211" s="20">
        <v>143.28</v>
      </c>
      <c r="AI211" s="23">
        <v>45556</v>
      </c>
      <c r="AJ211" s="46">
        <v>0.12949074074074074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 s="20">
        <f t="shared" si="196"/>
        <v>142.92199999999997</v>
      </c>
    </row>
    <row r="212" spans="1:49">
      <c r="A212" t="s">
        <v>103</v>
      </c>
      <c r="B212">
        <v>3</v>
      </c>
      <c r="C212" t="s">
        <v>7</v>
      </c>
      <c r="D212">
        <v>58400</v>
      </c>
      <c r="E212">
        <v>160</v>
      </c>
      <c r="F212">
        <v>2</v>
      </c>
      <c r="G212">
        <v>8</v>
      </c>
      <c r="H212">
        <v>1009.26</v>
      </c>
      <c r="I212" s="54">
        <v>131.57</v>
      </c>
      <c r="J212" s="23">
        <v>45550</v>
      </c>
      <c r="K212" s="46">
        <v>0.52410879629629625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s="20">
        <f t="shared" si="195"/>
        <v>131.02000000000001</v>
      </c>
      <c r="Z212" t="s">
        <v>154</v>
      </c>
      <c r="AA212">
        <v>3</v>
      </c>
      <c r="AB212" t="s">
        <v>7</v>
      </c>
      <c r="AC212">
        <v>58400</v>
      </c>
      <c r="AD212">
        <v>160</v>
      </c>
      <c r="AE212">
        <v>2</v>
      </c>
      <c r="AF212">
        <v>8</v>
      </c>
      <c r="AG212">
        <v>928.49</v>
      </c>
      <c r="AH212" s="20">
        <v>143.02000000000001</v>
      </c>
      <c r="AI212" s="23">
        <v>45557</v>
      </c>
      <c r="AJ212" s="46">
        <v>8.2500000000000004E-2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 s="20">
        <f t="shared" si="196"/>
        <v>142.92199999999997</v>
      </c>
    </row>
    <row r="213" spans="1:49">
      <c r="A213" t="s">
        <v>103</v>
      </c>
      <c r="B213">
        <v>4</v>
      </c>
      <c r="C213" t="s">
        <v>7</v>
      </c>
      <c r="D213">
        <v>58400</v>
      </c>
      <c r="E213">
        <v>160</v>
      </c>
      <c r="F213">
        <v>2</v>
      </c>
      <c r="G213">
        <v>8</v>
      </c>
      <c r="H213">
        <v>1009.05</v>
      </c>
      <c r="I213" s="54">
        <v>131.6</v>
      </c>
      <c r="J213" s="23">
        <v>45551</v>
      </c>
      <c r="K213" s="46">
        <v>0.61226851851851849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 s="20">
        <f t="shared" si="195"/>
        <v>131.02000000000001</v>
      </c>
      <c r="Z213" t="s">
        <v>154</v>
      </c>
      <c r="AA213">
        <v>4</v>
      </c>
      <c r="AB213" t="s">
        <v>7</v>
      </c>
      <c r="AC213">
        <v>58400</v>
      </c>
      <c r="AD213">
        <v>160</v>
      </c>
      <c r="AE213">
        <v>2</v>
      </c>
      <c r="AF213">
        <v>8</v>
      </c>
      <c r="AG213">
        <v>929.03</v>
      </c>
      <c r="AH213" s="20">
        <v>142.93</v>
      </c>
      <c r="AI213" s="23">
        <v>45558</v>
      </c>
      <c r="AJ213" s="46">
        <v>3.4699074074074077E-2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 s="20">
        <f t="shared" si="196"/>
        <v>142.92199999999997</v>
      </c>
    </row>
    <row r="214" spans="1:49">
      <c r="A214" t="s">
        <v>103</v>
      </c>
      <c r="B214">
        <v>0</v>
      </c>
      <c r="C214" t="s">
        <v>7</v>
      </c>
      <c r="D214">
        <v>52000</v>
      </c>
      <c r="E214">
        <v>160</v>
      </c>
      <c r="F214">
        <v>4</v>
      </c>
      <c r="G214">
        <v>4</v>
      </c>
      <c r="H214">
        <v>817.88</v>
      </c>
      <c r="I214" s="54">
        <v>114.62</v>
      </c>
      <c r="J214" s="23">
        <v>45546</v>
      </c>
      <c r="K214" s="46">
        <v>0.51047453703703705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 s="51">
        <f t="shared" ref="X214" si="197">AVERAGE(I214:I218)</f>
        <v>115.58</v>
      </c>
      <c r="Z214" t="s">
        <v>154</v>
      </c>
      <c r="AA214">
        <v>0</v>
      </c>
      <c r="AB214" t="s">
        <v>7</v>
      </c>
      <c r="AC214">
        <v>52000</v>
      </c>
      <c r="AD214">
        <v>160</v>
      </c>
      <c r="AE214">
        <v>4</v>
      </c>
      <c r="AF214">
        <v>4</v>
      </c>
      <c r="AG214">
        <v>740.34</v>
      </c>
      <c r="AH214" s="20">
        <v>126.62</v>
      </c>
      <c r="AI214" s="23">
        <v>45553</v>
      </c>
      <c r="AJ214" s="46">
        <v>0.57538194444444446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 s="51">
        <f t="shared" ref="AW214" si="198">AVERAGE(AH214:AH218)</f>
        <v>127.10599999999999</v>
      </c>
    </row>
    <row r="215" spans="1:49">
      <c r="A215" t="s">
        <v>103</v>
      </c>
      <c r="B215">
        <v>1</v>
      </c>
      <c r="C215" t="s">
        <v>7</v>
      </c>
      <c r="D215">
        <v>52000</v>
      </c>
      <c r="E215">
        <v>160</v>
      </c>
      <c r="F215">
        <v>4</v>
      </c>
      <c r="G215">
        <v>4</v>
      </c>
      <c r="H215">
        <v>817.52</v>
      </c>
      <c r="I215" s="54">
        <v>114.67</v>
      </c>
      <c r="J215" s="23">
        <v>45547</v>
      </c>
      <c r="K215" s="46">
        <v>0.60251157407407407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s="20">
        <f t="shared" ref="X215:X218" si="199">X214</f>
        <v>115.58</v>
      </c>
      <c r="Z215" t="s">
        <v>154</v>
      </c>
      <c r="AA215">
        <v>1</v>
      </c>
      <c r="AB215" t="s">
        <v>7</v>
      </c>
      <c r="AC215">
        <v>52000</v>
      </c>
      <c r="AD215">
        <v>160</v>
      </c>
      <c r="AE215">
        <v>4</v>
      </c>
      <c r="AF215">
        <v>4</v>
      </c>
      <c r="AG215">
        <v>735.4</v>
      </c>
      <c r="AH215" s="20">
        <v>127.47</v>
      </c>
      <c r="AI215" s="23">
        <v>45554</v>
      </c>
      <c r="AJ215" s="46">
        <v>0.52711805555555558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 s="20">
        <f t="shared" ref="AW215:AW218" si="200">AW214</f>
        <v>127.10599999999999</v>
      </c>
    </row>
    <row r="216" spans="1:49">
      <c r="A216" t="s">
        <v>103</v>
      </c>
      <c r="B216">
        <v>2</v>
      </c>
      <c r="C216" t="s">
        <v>7</v>
      </c>
      <c r="D216">
        <v>52000</v>
      </c>
      <c r="E216">
        <v>160</v>
      </c>
      <c r="F216">
        <v>4</v>
      </c>
      <c r="G216">
        <v>4</v>
      </c>
      <c r="H216">
        <v>808.41</v>
      </c>
      <c r="I216" s="54">
        <v>115.96</v>
      </c>
      <c r="J216" s="23">
        <v>45548</v>
      </c>
      <c r="K216" s="46">
        <v>0.69444444444444442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 s="20">
        <f t="shared" si="199"/>
        <v>115.58</v>
      </c>
      <c r="Z216" t="s">
        <v>154</v>
      </c>
      <c r="AA216">
        <v>2</v>
      </c>
      <c r="AB216" t="s">
        <v>7</v>
      </c>
      <c r="AC216">
        <v>52000</v>
      </c>
      <c r="AD216">
        <v>160</v>
      </c>
      <c r="AE216">
        <v>4</v>
      </c>
      <c r="AF216">
        <v>4</v>
      </c>
      <c r="AG216">
        <v>738.01</v>
      </c>
      <c r="AH216" s="20">
        <v>127.02</v>
      </c>
      <c r="AI216" s="23">
        <v>45555</v>
      </c>
      <c r="AJ216" s="46">
        <v>0.47945601851851855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 s="20">
        <f t="shared" si="200"/>
        <v>127.10599999999999</v>
      </c>
    </row>
    <row r="217" spans="1:49">
      <c r="A217" t="s">
        <v>103</v>
      </c>
      <c r="B217">
        <v>3</v>
      </c>
      <c r="C217" t="s">
        <v>7</v>
      </c>
      <c r="D217">
        <v>52000</v>
      </c>
      <c r="E217">
        <v>160</v>
      </c>
      <c r="F217">
        <v>4</v>
      </c>
      <c r="G217">
        <v>4</v>
      </c>
      <c r="H217" s="1">
        <v>807.03</v>
      </c>
      <c r="I217" s="54">
        <v>116.16</v>
      </c>
      <c r="J217" s="23">
        <v>45549</v>
      </c>
      <c r="K217" s="46">
        <v>0.78362268518518519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 s="20">
        <f t="shared" si="199"/>
        <v>115.58</v>
      </c>
      <c r="Z217" t="s">
        <v>154</v>
      </c>
      <c r="AA217">
        <v>3</v>
      </c>
      <c r="AB217" t="s">
        <v>7</v>
      </c>
      <c r="AC217">
        <v>52000</v>
      </c>
      <c r="AD217">
        <v>160</v>
      </c>
      <c r="AE217">
        <v>4</v>
      </c>
      <c r="AF217">
        <v>4</v>
      </c>
      <c r="AG217">
        <v>739.3</v>
      </c>
      <c r="AH217" s="20">
        <v>126.8</v>
      </c>
      <c r="AI217" s="23">
        <v>45556</v>
      </c>
      <c r="AJ217" s="46">
        <v>0.43246527777777777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 s="20">
        <f t="shared" si="200"/>
        <v>127.10599999999999</v>
      </c>
    </row>
    <row r="218" spans="1:49">
      <c r="A218" t="s">
        <v>103</v>
      </c>
      <c r="B218">
        <v>4</v>
      </c>
      <c r="C218" t="s">
        <v>7</v>
      </c>
      <c r="D218">
        <v>52000</v>
      </c>
      <c r="E218">
        <v>160</v>
      </c>
      <c r="F218">
        <v>4</v>
      </c>
      <c r="G218">
        <v>4</v>
      </c>
      <c r="H218">
        <v>804.72</v>
      </c>
      <c r="I218" s="54">
        <v>116.49</v>
      </c>
      <c r="J218" s="23">
        <v>45550</v>
      </c>
      <c r="K218" s="46">
        <v>0.87304398148148143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 s="20">
        <f t="shared" si="199"/>
        <v>115.58</v>
      </c>
      <c r="Z218" t="s">
        <v>154</v>
      </c>
      <c r="AA218">
        <v>4</v>
      </c>
      <c r="AB218" t="s">
        <v>7</v>
      </c>
      <c r="AC218">
        <v>52000</v>
      </c>
      <c r="AD218">
        <v>160</v>
      </c>
      <c r="AE218">
        <v>4</v>
      </c>
      <c r="AF218">
        <v>4</v>
      </c>
      <c r="AG218">
        <v>734.53</v>
      </c>
      <c r="AH218" s="20">
        <v>127.62</v>
      </c>
      <c r="AI218" s="23">
        <v>45557</v>
      </c>
      <c r="AJ218" s="46">
        <v>0.38546296296296295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 s="20">
        <f t="shared" si="200"/>
        <v>127.10599999999999</v>
      </c>
    </row>
    <row r="219" spans="1:49">
      <c r="A219" t="s">
        <v>103</v>
      </c>
      <c r="B219">
        <v>0</v>
      </c>
      <c r="C219" t="s">
        <v>7</v>
      </c>
      <c r="D219">
        <v>55200</v>
      </c>
      <c r="E219">
        <v>160</v>
      </c>
      <c r="F219">
        <v>4</v>
      </c>
      <c r="G219">
        <v>4</v>
      </c>
      <c r="H219">
        <v>965.8</v>
      </c>
      <c r="I219" s="54">
        <v>116.11</v>
      </c>
      <c r="J219" s="23">
        <v>45546</v>
      </c>
      <c r="K219" s="46">
        <v>0.85175925925925922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 s="51">
        <f t="shared" ref="X219" si="201">AVERAGE(I219:I223)</f>
        <v>116.78399999999999</v>
      </c>
      <c r="Z219" t="s">
        <v>154</v>
      </c>
      <c r="AA219">
        <v>0</v>
      </c>
      <c r="AB219" t="s">
        <v>7</v>
      </c>
      <c r="AC219">
        <v>55200</v>
      </c>
      <c r="AD219">
        <v>160</v>
      </c>
      <c r="AE219">
        <v>4</v>
      </c>
      <c r="AF219">
        <v>4</v>
      </c>
      <c r="AG219">
        <v>866.24</v>
      </c>
      <c r="AH219" s="20">
        <v>129.44999999999999</v>
      </c>
      <c r="AI219" s="23">
        <v>45553</v>
      </c>
      <c r="AJ219" s="46">
        <v>0.87777777777777777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 s="51">
        <f t="shared" ref="AW219" si="202">AVERAGE(AH219:AH223)</f>
        <v>128.98400000000001</v>
      </c>
    </row>
    <row r="220" spans="1:49">
      <c r="A220" t="s">
        <v>103</v>
      </c>
      <c r="B220">
        <v>1</v>
      </c>
      <c r="C220" t="s">
        <v>7</v>
      </c>
      <c r="D220">
        <v>55200</v>
      </c>
      <c r="E220">
        <v>160</v>
      </c>
      <c r="F220">
        <v>4</v>
      </c>
      <c r="G220">
        <v>4</v>
      </c>
      <c r="H220" s="1">
        <v>965.15</v>
      </c>
      <c r="I220" s="54">
        <v>116.18</v>
      </c>
      <c r="J220" s="23">
        <v>45547</v>
      </c>
      <c r="K220" s="46">
        <v>0.94406250000000003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 s="20">
        <f t="shared" ref="X220:X223" si="203">X219</f>
        <v>116.78399999999999</v>
      </c>
      <c r="Z220" t="s">
        <v>154</v>
      </c>
      <c r="AA220">
        <v>1</v>
      </c>
      <c r="AB220" t="s">
        <v>7</v>
      </c>
      <c r="AC220">
        <v>55200</v>
      </c>
      <c r="AD220">
        <v>160</v>
      </c>
      <c r="AE220">
        <v>4</v>
      </c>
      <c r="AF220">
        <v>4</v>
      </c>
      <c r="AG220">
        <v>870.95</v>
      </c>
      <c r="AH220" s="20">
        <v>128.75</v>
      </c>
      <c r="AI220" s="23">
        <v>45554</v>
      </c>
      <c r="AJ220" s="46">
        <v>0.82995370370370369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 s="20">
        <f t="shared" ref="AW220:AW223" si="204">AW219</f>
        <v>128.98400000000001</v>
      </c>
    </row>
    <row r="221" spans="1:49">
      <c r="A221" t="s">
        <v>103</v>
      </c>
      <c r="B221">
        <v>2</v>
      </c>
      <c r="C221" t="s">
        <v>7</v>
      </c>
      <c r="D221">
        <v>55200</v>
      </c>
      <c r="E221">
        <v>160</v>
      </c>
      <c r="F221">
        <v>4</v>
      </c>
      <c r="G221">
        <v>4</v>
      </c>
      <c r="H221">
        <v>959.68</v>
      </c>
      <c r="I221" s="54">
        <v>116.85</v>
      </c>
      <c r="J221" s="23">
        <v>45549</v>
      </c>
      <c r="K221" s="46">
        <v>3.4664351851851849E-2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 s="20">
        <f t="shared" si="203"/>
        <v>116.78399999999999</v>
      </c>
      <c r="Z221" t="s">
        <v>154</v>
      </c>
      <c r="AA221">
        <v>2</v>
      </c>
      <c r="AB221" t="s">
        <v>7</v>
      </c>
      <c r="AC221">
        <v>55200</v>
      </c>
      <c r="AD221">
        <v>160</v>
      </c>
      <c r="AE221">
        <v>4</v>
      </c>
      <c r="AF221">
        <v>4</v>
      </c>
      <c r="AG221">
        <v>869.93</v>
      </c>
      <c r="AH221" s="20">
        <v>128.9</v>
      </c>
      <c r="AI221" s="23">
        <v>45555</v>
      </c>
      <c r="AJ221" s="46">
        <v>0.78217592592592589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 s="20">
        <f t="shared" si="204"/>
        <v>128.98400000000001</v>
      </c>
    </row>
    <row r="222" spans="1:49">
      <c r="A222" t="s">
        <v>103</v>
      </c>
      <c r="B222">
        <v>3</v>
      </c>
      <c r="C222" t="s">
        <v>7</v>
      </c>
      <c r="D222">
        <v>55200</v>
      </c>
      <c r="E222">
        <v>160</v>
      </c>
      <c r="F222">
        <v>4</v>
      </c>
      <c r="G222">
        <v>4</v>
      </c>
      <c r="H222">
        <v>956.85</v>
      </c>
      <c r="I222" s="54">
        <v>117.19</v>
      </c>
      <c r="J222" s="23">
        <v>45550</v>
      </c>
      <c r="K222" s="46">
        <v>0.12387731481481482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 s="20">
        <f t="shared" si="203"/>
        <v>116.78399999999999</v>
      </c>
      <c r="Z222" t="s">
        <v>154</v>
      </c>
      <c r="AA222">
        <v>3</v>
      </c>
      <c r="AB222" t="s">
        <v>7</v>
      </c>
      <c r="AC222">
        <v>55200</v>
      </c>
      <c r="AD222">
        <v>160</v>
      </c>
      <c r="AE222">
        <v>4</v>
      </c>
      <c r="AF222">
        <v>4</v>
      </c>
      <c r="AG222">
        <v>872.03</v>
      </c>
      <c r="AH222" s="20">
        <v>128.59</v>
      </c>
      <c r="AI222" s="23">
        <v>45556</v>
      </c>
      <c r="AJ222" s="46">
        <v>0.73524305555555558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 s="20">
        <f t="shared" si="204"/>
        <v>128.98400000000001</v>
      </c>
    </row>
    <row r="223" spans="1:49">
      <c r="A223" t="s">
        <v>103</v>
      </c>
      <c r="B223">
        <v>4</v>
      </c>
      <c r="C223" t="s">
        <v>7</v>
      </c>
      <c r="D223">
        <v>55200</v>
      </c>
      <c r="E223">
        <v>160</v>
      </c>
      <c r="F223">
        <v>4</v>
      </c>
      <c r="G223">
        <v>4</v>
      </c>
      <c r="H223">
        <v>953.64</v>
      </c>
      <c r="I223" s="54">
        <v>117.59</v>
      </c>
      <c r="J223" s="23">
        <v>45551</v>
      </c>
      <c r="K223" s="46">
        <v>0.21285879629629631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 s="20">
        <f t="shared" si="203"/>
        <v>116.78399999999999</v>
      </c>
      <c r="Z223" t="s">
        <v>154</v>
      </c>
      <c r="AA223">
        <v>4</v>
      </c>
      <c r="AB223" t="s">
        <v>7</v>
      </c>
      <c r="AC223">
        <v>55200</v>
      </c>
      <c r="AD223">
        <v>160</v>
      </c>
      <c r="AE223">
        <v>4</v>
      </c>
      <c r="AF223">
        <v>4</v>
      </c>
      <c r="AG223">
        <v>867.7</v>
      </c>
      <c r="AH223" s="20">
        <v>129.22999999999999</v>
      </c>
      <c r="AI223" s="23">
        <v>45557</v>
      </c>
      <c r="AJ223" s="46">
        <v>0.68781250000000005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 s="20">
        <f t="shared" si="204"/>
        <v>128.98400000000001</v>
      </c>
    </row>
    <row r="224" spans="1:49">
      <c r="A224" t="s">
        <v>103</v>
      </c>
      <c r="B224">
        <v>0</v>
      </c>
      <c r="C224" t="s">
        <v>7</v>
      </c>
      <c r="D224">
        <v>58400</v>
      </c>
      <c r="E224">
        <v>160</v>
      </c>
      <c r="F224">
        <v>4</v>
      </c>
      <c r="G224">
        <v>4</v>
      </c>
      <c r="H224">
        <v>1144.6400000000001</v>
      </c>
      <c r="I224" s="54">
        <v>116.01</v>
      </c>
      <c r="J224" s="23">
        <v>45547</v>
      </c>
      <c r="K224" s="46">
        <v>0.26665509259259257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 s="51">
        <f t="shared" ref="X224" si="205">AVERAGE(I224:I228)</f>
        <v>116.78800000000001</v>
      </c>
      <c r="Z224" t="s">
        <v>154</v>
      </c>
      <c r="AA224">
        <v>0</v>
      </c>
      <c r="AB224" t="s">
        <v>7</v>
      </c>
      <c r="AC224">
        <v>58400</v>
      </c>
      <c r="AD224">
        <v>160</v>
      </c>
      <c r="AE224">
        <v>4</v>
      </c>
      <c r="AF224">
        <v>4</v>
      </c>
      <c r="AG224">
        <v>1032.3599999999999</v>
      </c>
      <c r="AH224" s="20">
        <v>128.63</v>
      </c>
      <c r="AI224" s="23">
        <v>45554</v>
      </c>
      <c r="AJ224" s="46">
        <v>0.2363773148148148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 s="51">
        <f t="shared" ref="AW224" si="206">AVERAGE(AH224:AH228)</f>
        <v>129.102</v>
      </c>
    </row>
    <row r="225" spans="1:49">
      <c r="A225" t="s">
        <v>103</v>
      </c>
      <c r="B225">
        <v>1</v>
      </c>
      <c r="C225" t="s">
        <v>7</v>
      </c>
      <c r="D225">
        <v>58400</v>
      </c>
      <c r="E225">
        <v>160</v>
      </c>
      <c r="F225">
        <v>4</v>
      </c>
      <c r="G225">
        <v>4</v>
      </c>
      <c r="H225">
        <v>1142.17</v>
      </c>
      <c r="I225" s="54">
        <v>116.26</v>
      </c>
      <c r="J225" s="23">
        <v>45548</v>
      </c>
      <c r="K225" s="46">
        <v>0.35903935185185187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 s="20">
        <f t="shared" ref="X225:X228" si="207">X224</f>
        <v>116.78800000000001</v>
      </c>
      <c r="Z225" t="s">
        <v>154</v>
      </c>
      <c r="AA225">
        <v>1</v>
      </c>
      <c r="AB225" t="s">
        <v>7</v>
      </c>
      <c r="AC225">
        <v>58400</v>
      </c>
      <c r="AD225">
        <v>160</v>
      </c>
      <c r="AE225">
        <v>4</v>
      </c>
      <c r="AF225">
        <v>4</v>
      </c>
      <c r="AG225">
        <v>1030.17</v>
      </c>
      <c r="AH225" s="20">
        <v>128.9</v>
      </c>
      <c r="AI225" s="23">
        <v>45555</v>
      </c>
      <c r="AJ225" s="46">
        <v>0.18895833333333334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 s="20">
        <f t="shared" ref="AW225:AW228" si="208">AW224</f>
        <v>129.102</v>
      </c>
    </row>
    <row r="226" spans="1:49">
      <c r="A226" t="s">
        <v>103</v>
      </c>
      <c r="B226">
        <v>2</v>
      </c>
      <c r="C226" t="s">
        <v>7</v>
      </c>
      <c r="D226">
        <v>58400</v>
      </c>
      <c r="E226">
        <v>160</v>
      </c>
      <c r="F226">
        <v>4</v>
      </c>
      <c r="G226">
        <v>4</v>
      </c>
      <c r="H226">
        <v>1137.5</v>
      </c>
      <c r="I226" s="54">
        <v>116.74</v>
      </c>
      <c r="J226" s="23">
        <v>45549</v>
      </c>
      <c r="K226" s="46">
        <v>0.44874999999999998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 s="20">
        <f t="shared" si="207"/>
        <v>116.78800000000001</v>
      </c>
      <c r="Z226" t="s">
        <v>154</v>
      </c>
      <c r="AA226">
        <v>2</v>
      </c>
      <c r="AB226" t="s">
        <v>7</v>
      </c>
      <c r="AC226">
        <v>58400</v>
      </c>
      <c r="AD226">
        <v>160</v>
      </c>
      <c r="AE226">
        <v>4</v>
      </c>
      <c r="AF226">
        <v>4</v>
      </c>
      <c r="AG226">
        <v>1031.3599999999999</v>
      </c>
      <c r="AH226" s="20">
        <v>128.75</v>
      </c>
      <c r="AI226" s="23">
        <v>45556</v>
      </c>
      <c r="AJ226" s="46">
        <v>0.14171296296296296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 s="20">
        <f t="shared" si="208"/>
        <v>129.102</v>
      </c>
    </row>
    <row r="227" spans="1:49">
      <c r="A227" t="s">
        <v>103</v>
      </c>
      <c r="B227">
        <v>3</v>
      </c>
      <c r="C227" t="s">
        <v>7</v>
      </c>
      <c r="D227">
        <v>58400</v>
      </c>
      <c r="E227">
        <v>160</v>
      </c>
      <c r="F227">
        <v>4</v>
      </c>
      <c r="G227">
        <v>4</v>
      </c>
      <c r="H227">
        <v>1130.8599999999999</v>
      </c>
      <c r="I227" s="54">
        <v>117.42</v>
      </c>
      <c r="J227" s="23">
        <v>45550</v>
      </c>
      <c r="K227" s="46">
        <v>0.53804398148148147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 s="20">
        <f t="shared" si="207"/>
        <v>116.78800000000001</v>
      </c>
      <c r="Z227" t="s">
        <v>154</v>
      </c>
      <c r="AA227">
        <v>3</v>
      </c>
      <c r="AB227" t="s">
        <v>7</v>
      </c>
      <c r="AC227">
        <v>58400</v>
      </c>
      <c r="AD227">
        <v>160</v>
      </c>
      <c r="AE227">
        <v>4</v>
      </c>
      <c r="AF227">
        <v>4</v>
      </c>
      <c r="AG227">
        <v>1023.27</v>
      </c>
      <c r="AH227" s="20">
        <v>129.77000000000001</v>
      </c>
      <c r="AI227" s="23">
        <v>45557</v>
      </c>
      <c r="AJ227" s="46">
        <v>9.4618055555555552E-2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 s="20">
        <f t="shared" si="208"/>
        <v>129.102</v>
      </c>
    </row>
    <row r="228" spans="1:49">
      <c r="A228" t="s">
        <v>103</v>
      </c>
      <c r="B228">
        <v>4</v>
      </c>
      <c r="C228" t="s">
        <v>7</v>
      </c>
      <c r="D228">
        <v>58400</v>
      </c>
      <c r="E228">
        <v>160</v>
      </c>
      <c r="F228">
        <v>4</v>
      </c>
      <c r="G228">
        <v>4</v>
      </c>
      <c r="H228" s="1">
        <v>1130.02</v>
      </c>
      <c r="I228" s="54">
        <v>117.51</v>
      </c>
      <c r="J228" s="23">
        <v>45551</v>
      </c>
      <c r="K228" s="46">
        <v>0.62619212962962967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 s="20">
        <f t="shared" si="207"/>
        <v>116.78800000000001</v>
      </c>
      <c r="Z228" t="s">
        <v>154</v>
      </c>
      <c r="AA228">
        <v>4</v>
      </c>
      <c r="AB228" t="s">
        <v>7</v>
      </c>
      <c r="AC228">
        <v>58400</v>
      </c>
      <c r="AD228">
        <v>160</v>
      </c>
      <c r="AE228">
        <v>4</v>
      </c>
      <c r="AF228">
        <v>4</v>
      </c>
      <c r="AG228">
        <v>1025.68</v>
      </c>
      <c r="AH228" s="20">
        <v>129.46</v>
      </c>
      <c r="AI228" s="23">
        <v>45558</v>
      </c>
      <c r="AJ228" s="46">
        <v>4.6851851851851853E-2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 s="20">
        <f t="shared" si="208"/>
        <v>129.102</v>
      </c>
    </row>
    <row r="229" spans="1:49">
      <c r="A229" t="s">
        <v>103</v>
      </c>
      <c r="B229">
        <v>0</v>
      </c>
      <c r="C229" t="s">
        <v>7</v>
      </c>
      <c r="D229">
        <v>52032</v>
      </c>
      <c r="E229">
        <v>192</v>
      </c>
      <c r="F229">
        <v>1</v>
      </c>
      <c r="G229">
        <v>16</v>
      </c>
      <c r="H229" s="1">
        <v>818.04</v>
      </c>
      <c r="I229" s="54">
        <v>114.81</v>
      </c>
      <c r="J229" s="23">
        <v>45546</v>
      </c>
      <c r="K229" s="46">
        <v>0.52061342592592597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 s="51">
        <f t="shared" ref="X229" si="209">AVERAGE(I229:I233)</f>
        <v>115.22799999999999</v>
      </c>
      <c r="Z229" t="s">
        <v>154</v>
      </c>
      <c r="AA229">
        <v>0</v>
      </c>
      <c r="AB229" t="s">
        <v>7</v>
      </c>
      <c r="AC229">
        <v>52032</v>
      </c>
      <c r="AD229">
        <v>192</v>
      </c>
      <c r="AE229">
        <v>1</v>
      </c>
      <c r="AF229">
        <v>16</v>
      </c>
      <c r="AG229">
        <v>691.39</v>
      </c>
      <c r="AH229" s="20">
        <v>135.84</v>
      </c>
      <c r="AI229" s="23">
        <v>45553</v>
      </c>
      <c r="AJ229" s="46">
        <v>0.58363425925925927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 s="51">
        <f t="shared" ref="AW229" si="210">AVERAGE(AH229:AH233)</f>
        <v>136.39400000000001</v>
      </c>
    </row>
    <row r="230" spans="1:49">
      <c r="A230" t="s">
        <v>103</v>
      </c>
      <c r="B230">
        <v>1</v>
      </c>
      <c r="C230" t="s">
        <v>7</v>
      </c>
      <c r="D230">
        <v>52032</v>
      </c>
      <c r="E230">
        <v>192</v>
      </c>
      <c r="F230">
        <v>1</v>
      </c>
      <c r="G230">
        <v>16</v>
      </c>
      <c r="H230">
        <v>818.34</v>
      </c>
      <c r="I230" s="54">
        <v>114.76</v>
      </c>
      <c r="J230" s="23">
        <v>45547</v>
      </c>
      <c r="K230" s="46">
        <v>0.61265046296296299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 s="20">
        <f t="shared" ref="X230:X233" si="211">X229</f>
        <v>115.22799999999999</v>
      </c>
      <c r="Z230" t="s">
        <v>154</v>
      </c>
      <c r="AA230">
        <v>1</v>
      </c>
      <c r="AB230" t="s">
        <v>7</v>
      </c>
      <c r="AC230">
        <v>52032</v>
      </c>
      <c r="AD230">
        <v>192</v>
      </c>
      <c r="AE230">
        <v>1</v>
      </c>
      <c r="AF230">
        <v>16</v>
      </c>
      <c r="AG230">
        <v>686.86</v>
      </c>
      <c r="AH230" s="20">
        <v>136.72999999999999</v>
      </c>
      <c r="AI230" s="23">
        <v>45554</v>
      </c>
      <c r="AJ230" s="46">
        <v>0.53531249999999997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 s="20">
        <f t="shared" ref="AW230:AW233" si="212">AW229</f>
        <v>136.39400000000001</v>
      </c>
    </row>
    <row r="231" spans="1:49">
      <c r="A231" t="s">
        <v>103</v>
      </c>
      <c r="B231">
        <v>2</v>
      </c>
      <c r="C231" t="s">
        <v>7</v>
      </c>
      <c r="D231">
        <v>52032</v>
      </c>
      <c r="E231">
        <v>192</v>
      </c>
      <c r="F231">
        <v>1</v>
      </c>
      <c r="G231">
        <v>16</v>
      </c>
      <c r="H231">
        <v>810.68</v>
      </c>
      <c r="I231" s="54">
        <v>115.85</v>
      </c>
      <c r="J231" s="23">
        <v>45548</v>
      </c>
      <c r="K231" s="46">
        <v>0.70450231481481485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 s="20">
        <f t="shared" si="211"/>
        <v>115.22799999999999</v>
      </c>
      <c r="Z231" t="s">
        <v>154</v>
      </c>
      <c r="AA231">
        <v>2</v>
      </c>
      <c r="AB231" t="s">
        <v>7</v>
      </c>
      <c r="AC231">
        <v>52032</v>
      </c>
      <c r="AD231">
        <v>192</v>
      </c>
      <c r="AE231">
        <v>1</v>
      </c>
      <c r="AF231">
        <v>16</v>
      </c>
      <c r="AG231">
        <v>687.26</v>
      </c>
      <c r="AH231" s="20">
        <v>136.65</v>
      </c>
      <c r="AI231" s="23">
        <v>45555</v>
      </c>
      <c r="AJ231" s="46">
        <v>0.48766203703703703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 s="20">
        <f t="shared" si="212"/>
        <v>136.39400000000001</v>
      </c>
    </row>
    <row r="232" spans="1:49">
      <c r="A232" t="s">
        <v>103</v>
      </c>
      <c r="B232">
        <v>3</v>
      </c>
      <c r="C232" t="s">
        <v>7</v>
      </c>
      <c r="D232">
        <v>52032</v>
      </c>
      <c r="E232">
        <v>192</v>
      </c>
      <c r="F232">
        <v>1</v>
      </c>
      <c r="G232">
        <v>16</v>
      </c>
      <c r="H232">
        <v>815.94</v>
      </c>
      <c r="I232" s="54">
        <v>115.1</v>
      </c>
      <c r="J232" s="23">
        <v>45549</v>
      </c>
      <c r="K232" s="46">
        <v>0.79373842592592592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 s="20">
        <f t="shared" si="211"/>
        <v>115.22799999999999</v>
      </c>
      <c r="Z232" t="s">
        <v>154</v>
      </c>
      <c r="AA232">
        <v>3</v>
      </c>
      <c r="AB232" t="s">
        <v>7</v>
      </c>
      <c r="AC232">
        <v>52032</v>
      </c>
      <c r="AD232">
        <v>192</v>
      </c>
      <c r="AE232">
        <v>1</v>
      </c>
      <c r="AF232">
        <v>16</v>
      </c>
      <c r="AG232">
        <v>689.6</v>
      </c>
      <c r="AH232" s="20">
        <v>136.19</v>
      </c>
      <c r="AI232" s="23">
        <v>45556</v>
      </c>
      <c r="AJ232" s="46">
        <v>0.44069444444444444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 s="20">
        <f t="shared" si="212"/>
        <v>136.39400000000001</v>
      </c>
    </row>
    <row r="233" spans="1:49">
      <c r="A233" t="s">
        <v>103</v>
      </c>
      <c r="B233">
        <v>4</v>
      </c>
      <c r="C233" t="s">
        <v>7</v>
      </c>
      <c r="D233">
        <v>52032</v>
      </c>
      <c r="E233">
        <v>192</v>
      </c>
      <c r="F233">
        <v>1</v>
      </c>
      <c r="G233">
        <v>16</v>
      </c>
      <c r="H233">
        <v>812.3</v>
      </c>
      <c r="I233" s="54">
        <v>115.62</v>
      </c>
      <c r="J233" s="23">
        <v>45550</v>
      </c>
      <c r="K233" s="46">
        <v>0.8831134259259259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 s="20">
        <f t="shared" si="211"/>
        <v>115.22799999999999</v>
      </c>
      <c r="Z233" t="s">
        <v>154</v>
      </c>
      <c r="AA233">
        <v>4</v>
      </c>
      <c r="AB233" t="s">
        <v>7</v>
      </c>
      <c r="AC233">
        <v>52032</v>
      </c>
      <c r="AD233">
        <v>192</v>
      </c>
      <c r="AE233">
        <v>1</v>
      </c>
      <c r="AF233">
        <v>16</v>
      </c>
      <c r="AG233">
        <v>687.73</v>
      </c>
      <c r="AH233" s="20">
        <v>136.56</v>
      </c>
      <c r="AI233" s="23">
        <v>45557</v>
      </c>
      <c r="AJ233" s="46">
        <v>0.39366898148148149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 s="20">
        <f t="shared" si="212"/>
        <v>136.39400000000001</v>
      </c>
    </row>
    <row r="234" spans="1:49">
      <c r="A234" t="s">
        <v>103</v>
      </c>
      <c r="B234">
        <v>0</v>
      </c>
      <c r="C234" t="s">
        <v>7</v>
      </c>
      <c r="D234">
        <v>55296</v>
      </c>
      <c r="E234">
        <v>192</v>
      </c>
      <c r="F234">
        <v>1</v>
      </c>
      <c r="G234">
        <v>16</v>
      </c>
      <c r="H234">
        <v>1321.79</v>
      </c>
      <c r="I234" s="54">
        <v>85.28</v>
      </c>
      <c r="J234" s="23">
        <v>45546</v>
      </c>
      <c r="K234" s="46">
        <v>0.86780092592592595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 s="51">
        <f t="shared" ref="X234" si="213">AVERAGE(I234:I238)</f>
        <v>85.377199999999988</v>
      </c>
      <c r="Z234" t="s">
        <v>154</v>
      </c>
      <c r="AA234">
        <v>0</v>
      </c>
      <c r="AB234" t="s">
        <v>7</v>
      </c>
      <c r="AC234">
        <v>55296</v>
      </c>
      <c r="AD234">
        <v>192</v>
      </c>
      <c r="AE234">
        <v>1</v>
      </c>
      <c r="AF234">
        <v>16</v>
      </c>
      <c r="AG234">
        <v>886.98</v>
      </c>
      <c r="AH234" s="20">
        <v>127.09</v>
      </c>
      <c r="AI234" s="23">
        <v>45553</v>
      </c>
      <c r="AJ234" s="46">
        <v>0.88833333333333331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 s="51">
        <f t="shared" ref="AW234" si="214">AVERAGE(AH234:AH238)</f>
        <v>126.66600000000001</v>
      </c>
    </row>
    <row r="235" spans="1:49">
      <c r="A235" t="s">
        <v>103</v>
      </c>
      <c r="B235">
        <v>1</v>
      </c>
      <c r="C235" t="s">
        <v>7</v>
      </c>
      <c r="D235">
        <v>55296</v>
      </c>
      <c r="E235">
        <v>192</v>
      </c>
      <c r="F235">
        <v>1</v>
      </c>
      <c r="G235">
        <v>16</v>
      </c>
      <c r="H235">
        <v>1330.67</v>
      </c>
      <c r="I235" s="54">
        <v>84.71</v>
      </c>
      <c r="J235" s="23">
        <v>45547</v>
      </c>
      <c r="K235" s="46">
        <v>0.96020833333333333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 s="20">
        <f t="shared" ref="X235:X238" si="215">X234</f>
        <v>85.377199999999988</v>
      </c>
      <c r="Z235" t="s">
        <v>154</v>
      </c>
      <c r="AA235">
        <v>1</v>
      </c>
      <c r="AB235" t="s">
        <v>7</v>
      </c>
      <c r="AC235">
        <v>55296</v>
      </c>
      <c r="AD235">
        <v>192</v>
      </c>
      <c r="AE235">
        <v>1</v>
      </c>
      <c r="AF235">
        <v>16</v>
      </c>
      <c r="AG235">
        <v>894.9</v>
      </c>
      <c r="AH235" s="20">
        <v>125.96</v>
      </c>
      <c r="AI235" s="23">
        <v>45554</v>
      </c>
      <c r="AJ235" s="46">
        <v>0.84059027777777773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 s="20">
        <f t="shared" ref="AW235:AW238" si="216">AW234</f>
        <v>126.66600000000001</v>
      </c>
    </row>
    <row r="236" spans="1:49">
      <c r="A236" t="s">
        <v>103</v>
      </c>
      <c r="B236">
        <v>2</v>
      </c>
      <c r="C236" t="s">
        <v>7</v>
      </c>
      <c r="D236">
        <v>55296</v>
      </c>
      <c r="E236">
        <v>192</v>
      </c>
      <c r="F236">
        <v>1</v>
      </c>
      <c r="G236">
        <v>16</v>
      </c>
      <c r="H236">
        <v>1348.83</v>
      </c>
      <c r="I236" s="54">
        <v>83.57</v>
      </c>
      <c r="J236" s="23">
        <v>45549</v>
      </c>
      <c r="K236" s="46">
        <v>5.1030092592592592E-2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 s="20">
        <f t="shared" si="215"/>
        <v>85.377199999999988</v>
      </c>
      <c r="Z236" t="s">
        <v>154</v>
      </c>
      <c r="AA236">
        <v>2</v>
      </c>
      <c r="AB236" t="s">
        <v>7</v>
      </c>
      <c r="AC236">
        <v>55296</v>
      </c>
      <c r="AD236">
        <v>192</v>
      </c>
      <c r="AE236">
        <v>1</v>
      </c>
      <c r="AF236">
        <v>16</v>
      </c>
      <c r="AG236">
        <v>889.1</v>
      </c>
      <c r="AH236" s="20">
        <v>126.78</v>
      </c>
      <c r="AI236" s="23">
        <v>45555</v>
      </c>
      <c r="AJ236" s="46">
        <v>0.79274305555555558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 s="20">
        <f t="shared" si="216"/>
        <v>126.66600000000001</v>
      </c>
    </row>
    <row r="237" spans="1:49">
      <c r="A237" t="s">
        <v>103</v>
      </c>
      <c r="B237">
        <v>3</v>
      </c>
      <c r="C237" t="s">
        <v>7</v>
      </c>
      <c r="D237">
        <v>55296</v>
      </c>
      <c r="E237">
        <v>192</v>
      </c>
      <c r="F237">
        <v>1</v>
      </c>
      <c r="G237">
        <v>16</v>
      </c>
      <c r="H237" s="1">
        <v>1316.93</v>
      </c>
      <c r="I237" s="54">
        <v>85.593999999999994</v>
      </c>
      <c r="J237" s="23">
        <v>45550</v>
      </c>
      <c r="K237" s="46">
        <v>0.1398726851851852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 s="20">
        <f t="shared" si="215"/>
        <v>85.377199999999988</v>
      </c>
      <c r="Z237" t="s">
        <v>154</v>
      </c>
      <c r="AA237">
        <v>3</v>
      </c>
      <c r="AB237" t="s">
        <v>7</v>
      </c>
      <c r="AC237">
        <v>55296</v>
      </c>
      <c r="AD237">
        <v>192</v>
      </c>
      <c r="AE237">
        <v>1</v>
      </c>
      <c r="AF237">
        <v>16</v>
      </c>
      <c r="AG237">
        <v>890.7</v>
      </c>
      <c r="AH237" s="20">
        <v>126.55</v>
      </c>
      <c r="AI237" s="23">
        <v>45556</v>
      </c>
      <c r="AJ237" s="46">
        <v>0.74583333333333335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 s="20">
        <f t="shared" si="216"/>
        <v>126.66600000000001</v>
      </c>
    </row>
    <row r="238" spans="1:49">
      <c r="A238" t="s">
        <v>103</v>
      </c>
      <c r="B238">
        <v>4</v>
      </c>
      <c r="C238" t="s">
        <v>7</v>
      </c>
      <c r="D238">
        <v>55296</v>
      </c>
      <c r="E238">
        <v>192</v>
      </c>
      <c r="F238">
        <v>1</v>
      </c>
      <c r="G238">
        <v>16</v>
      </c>
      <c r="H238">
        <v>1284.83</v>
      </c>
      <c r="I238" s="54">
        <v>87.731999999999999</v>
      </c>
      <c r="J238" s="23">
        <v>45551</v>
      </c>
      <c r="K238" s="46">
        <v>0.22848379629629631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 s="20">
        <f t="shared" si="215"/>
        <v>85.377199999999988</v>
      </c>
      <c r="Z238" t="s">
        <v>154</v>
      </c>
      <c r="AA238">
        <v>4</v>
      </c>
      <c r="AB238" t="s">
        <v>7</v>
      </c>
      <c r="AC238">
        <v>55296</v>
      </c>
      <c r="AD238">
        <v>192</v>
      </c>
      <c r="AE238">
        <v>1</v>
      </c>
      <c r="AF238">
        <v>16</v>
      </c>
      <c r="AG238">
        <v>887.91</v>
      </c>
      <c r="AH238" s="20">
        <v>126.95</v>
      </c>
      <c r="AI238" s="23">
        <v>45557</v>
      </c>
      <c r="AJ238" s="46">
        <v>0.69837962962962963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 s="20">
        <f t="shared" si="216"/>
        <v>126.66600000000001</v>
      </c>
    </row>
    <row r="239" spans="1:49">
      <c r="A239" t="s">
        <v>103</v>
      </c>
      <c r="B239">
        <v>0</v>
      </c>
      <c r="C239" t="s">
        <v>7</v>
      </c>
      <c r="D239">
        <v>58368</v>
      </c>
      <c r="E239">
        <v>192</v>
      </c>
      <c r="F239">
        <v>1</v>
      </c>
      <c r="G239">
        <v>16</v>
      </c>
      <c r="H239">
        <v>1262.18</v>
      </c>
      <c r="I239" s="54">
        <v>105.03</v>
      </c>
      <c r="J239" s="23">
        <v>45547</v>
      </c>
      <c r="K239" s="46">
        <v>0.28209490740740739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 s="51">
        <f t="shared" ref="X239" si="217">AVERAGE(I239:I243)</f>
        <v>104.128</v>
      </c>
      <c r="Z239" t="s">
        <v>154</v>
      </c>
      <c r="AA239">
        <v>0</v>
      </c>
      <c r="AB239" t="s">
        <v>7</v>
      </c>
      <c r="AC239">
        <v>58368</v>
      </c>
      <c r="AD239">
        <v>192</v>
      </c>
      <c r="AE239">
        <v>1</v>
      </c>
      <c r="AF239">
        <v>16</v>
      </c>
      <c r="AG239">
        <v>959.63</v>
      </c>
      <c r="AH239" s="20">
        <v>138.15</v>
      </c>
      <c r="AI239" s="23">
        <v>45554</v>
      </c>
      <c r="AJ239" s="46">
        <v>0.24780092592592592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 s="51">
        <f t="shared" ref="AW239" si="218">AVERAGE(AH239:AH243)</f>
        <v>138.31399999999999</v>
      </c>
    </row>
    <row r="240" spans="1:49">
      <c r="A240" t="s">
        <v>103</v>
      </c>
      <c r="B240">
        <v>1</v>
      </c>
      <c r="C240" t="s">
        <v>7</v>
      </c>
      <c r="D240">
        <v>58368</v>
      </c>
      <c r="E240">
        <v>192</v>
      </c>
      <c r="F240">
        <v>1</v>
      </c>
      <c r="G240">
        <v>16</v>
      </c>
      <c r="H240" s="1">
        <v>1279.06</v>
      </c>
      <c r="I240" s="54">
        <v>103.65</v>
      </c>
      <c r="J240" s="23">
        <v>45548</v>
      </c>
      <c r="K240" s="46">
        <v>0.37467592592592591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 s="20">
        <f t="shared" ref="X240:X243" si="219">X239</f>
        <v>104.128</v>
      </c>
      <c r="Z240" t="s">
        <v>154</v>
      </c>
      <c r="AA240">
        <v>1</v>
      </c>
      <c r="AB240" t="s">
        <v>7</v>
      </c>
      <c r="AC240">
        <v>58368</v>
      </c>
      <c r="AD240">
        <v>192</v>
      </c>
      <c r="AE240">
        <v>1</v>
      </c>
      <c r="AF240">
        <v>16</v>
      </c>
      <c r="AG240">
        <v>956.33</v>
      </c>
      <c r="AH240" s="20">
        <v>138.63</v>
      </c>
      <c r="AI240" s="23">
        <v>45555</v>
      </c>
      <c r="AJ240" s="46">
        <v>0.20033564814814814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 s="20">
        <f t="shared" ref="AW240:AW243" si="220">AW239</f>
        <v>138.31399999999999</v>
      </c>
    </row>
    <row r="241" spans="1:49">
      <c r="A241" t="s">
        <v>103</v>
      </c>
      <c r="B241">
        <v>2</v>
      </c>
      <c r="C241" t="s">
        <v>7</v>
      </c>
      <c r="D241">
        <v>58368</v>
      </c>
      <c r="E241">
        <v>192</v>
      </c>
      <c r="F241">
        <v>1</v>
      </c>
      <c r="G241">
        <v>16</v>
      </c>
      <c r="H241">
        <v>1253.79</v>
      </c>
      <c r="I241" s="54">
        <v>105.74</v>
      </c>
      <c r="J241" s="23">
        <v>45549</v>
      </c>
      <c r="K241" s="46">
        <v>0.46409722222222222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 s="20">
        <f t="shared" si="219"/>
        <v>104.128</v>
      </c>
      <c r="Z241" t="s">
        <v>154</v>
      </c>
      <c r="AA241">
        <v>2</v>
      </c>
      <c r="AB241" t="s">
        <v>7</v>
      </c>
      <c r="AC241">
        <v>58368</v>
      </c>
      <c r="AD241">
        <v>192</v>
      </c>
      <c r="AE241">
        <v>1</v>
      </c>
      <c r="AF241">
        <v>16</v>
      </c>
      <c r="AG241">
        <v>958.86</v>
      </c>
      <c r="AH241" s="20">
        <v>138.26</v>
      </c>
      <c r="AI241" s="23">
        <v>45556</v>
      </c>
      <c r="AJ241" s="46">
        <v>0.15311342592592592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 s="20">
        <f t="shared" si="220"/>
        <v>138.31399999999999</v>
      </c>
    </row>
    <row r="242" spans="1:49">
      <c r="A242" t="s">
        <v>103</v>
      </c>
      <c r="B242">
        <v>3</v>
      </c>
      <c r="C242" t="s">
        <v>7</v>
      </c>
      <c r="D242">
        <v>58368</v>
      </c>
      <c r="E242">
        <v>192</v>
      </c>
      <c r="F242">
        <v>1</v>
      </c>
      <c r="G242">
        <v>16</v>
      </c>
      <c r="H242">
        <v>1285.01</v>
      </c>
      <c r="I242" s="54">
        <v>103.17</v>
      </c>
      <c r="J242" s="23">
        <v>45550</v>
      </c>
      <c r="K242" s="46">
        <v>0.55374999999999996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 s="20">
        <f t="shared" si="219"/>
        <v>104.128</v>
      </c>
      <c r="Z242" t="s">
        <v>154</v>
      </c>
      <c r="AA242">
        <v>3</v>
      </c>
      <c r="AB242" t="s">
        <v>7</v>
      </c>
      <c r="AC242">
        <v>58368</v>
      </c>
      <c r="AD242">
        <v>192</v>
      </c>
      <c r="AE242">
        <v>1</v>
      </c>
      <c r="AF242">
        <v>16</v>
      </c>
      <c r="AG242">
        <v>957.86</v>
      </c>
      <c r="AH242" s="20">
        <v>138.4</v>
      </c>
      <c r="AI242" s="23">
        <v>45557</v>
      </c>
      <c r="AJ242" s="46">
        <v>0.10601851851851851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 s="20">
        <f t="shared" si="220"/>
        <v>138.31399999999999</v>
      </c>
    </row>
    <row r="243" spans="1:49">
      <c r="A243" t="s">
        <v>103</v>
      </c>
      <c r="B243">
        <v>4</v>
      </c>
      <c r="C243" t="s">
        <v>7</v>
      </c>
      <c r="D243">
        <v>58368</v>
      </c>
      <c r="E243">
        <v>192</v>
      </c>
      <c r="F243">
        <v>1</v>
      </c>
      <c r="G243">
        <v>16</v>
      </c>
      <c r="H243">
        <v>1286.53</v>
      </c>
      <c r="I243" s="54">
        <v>103.05</v>
      </c>
      <c r="J243" s="23">
        <v>45551</v>
      </c>
      <c r="K243" s="46">
        <v>0.6419097222222222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 s="20">
        <f t="shared" si="219"/>
        <v>104.128</v>
      </c>
      <c r="Z243" t="s">
        <v>154</v>
      </c>
      <c r="AA243">
        <v>4</v>
      </c>
      <c r="AB243" t="s">
        <v>7</v>
      </c>
      <c r="AC243">
        <v>58368</v>
      </c>
      <c r="AD243">
        <v>192</v>
      </c>
      <c r="AE243">
        <v>1</v>
      </c>
      <c r="AF243">
        <v>16</v>
      </c>
      <c r="AG243">
        <v>959.79</v>
      </c>
      <c r="AH243" s="20">
        <v>138.13</v>
      </c>
      <c r="AI243" s="23">
        <v>45558</v>
      </c>
      <c r="AJ243" s="46">
        <v>5.8275462962962966E-2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 s="20">
        <f t="shared" si="220"/>
        <v>138.31399999999999</v>
      </c>
    </row>
    <row r="244" spans="1:49">
      <c r="A244" t="s">
        <v>103</v>
      </c>
      <c r="B244">
        <v>0</v>
      </c>
      <c r="C244" t="s">
        <v>7</v>
      </c>
      <c r="D244">
        <v>52032</v>
      </c>
      <c r="E244">
        <v>192</v>
      </c>
      <c r="F244">
        <v>2</v>
      </c>
      <c r="G244">
        <v>8</v>
      </c>
      <c r="H244">
        <v>779.17</v>
      </c>
      <c r="I244" s="54">
        <v>120.53</v>
      </c>
      <c r="J244" s="23">
        <v>45546</v>
      </c>
      <c r="K244" s="46">
        <v>0.53030092592592593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 s="51">
        <f t="shared" ref="X244" si="221">AVERAGE(I244:I248)</f>
        <v>121.28999999999999</v>
      </c>
      <c r="Z244" t="s">
        <v>154</v>
      </c>
      <c r="AA244">
        <v>0</v>
      </c>
      <c r="AB244" t="s">
        <v>7</v>
      </c>
      <c r="AC244">
        <v>52032</v>
      </c>
      <c r="AD244">
        <v>192</v>
      </c>
      <c r="AE244">
        <v>2</v>
      </c>
      <c r="AF244">
        <v>8</v>
      </c>
      <c r="AG244">
        <v>633.84</v>
      </c>
      <c r="AH244" s="20">
        <v>148.16999999999999</v>
      </c>
      <c r="AI244" s="23">
        <v>45553</v>
      </c>
      <c r="AJ244" s="46">
        <v>0.59121527777777783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 s="51">
        <f t="shared" ref="AW244" si="222">AVERAGE(AH244:AH248)</f>
        <v>147.72200000000001</v>
      </c>
    </row>
    <row r="245" spans="1:49">
      <c r="A245" t="s">
        <v>103</v>
      </c>
      <c r="B245">
        <v>1</v>
      </c>
      <c r="C245" t="s">
        <v>7</v>
      </c>
      <c r="D245">
        <v>52032</v>
      </c>
      <c r="E245">
        <v>192</v>
      </c>
      <c r="F245">
        <v>2</v>
      </c>
      <c r="G245">
        <v>8</v>
      </c>
      <c r="H245">
        <v>777.56</v>
      </c>
      <c r="I245" s="54">
        <v>120.78</v>
      </c>
      <c r="J245" s="23">
        <v>45547</v>
      </c>
      <c r="K245" s="46">
        <v>0.62232638888888892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 s="20">
        <f t="shared" ref="X245:X248" si="223">X244</f>
        <v>121.28999999999999</v>
      </c>
      <c r="Z245" t="s">
        <v>154</v>
      </c>
      <c r="AA245">
        <v>1</v>
      </c>
      <c r="AB245" t="s">
        <v>7</v>
      </c>
      <c r="AC245">
        <v>52032</v>
      </c>
      <c r="AD245">
        <v>192</v>
      </c>
      <c r="AE245">
        <v>2</v>
      </c>
      <c r="AF245">
        <v>8</v>
      </c>
      <c r="AG245">
        <v>634.79999999999995</v>
      </c>
      <c r="AH245" s="20">
        <v>147.94</v>
      </c>
      <c r="AI245" s="23">
        <v>45554</v>
      </c>
      <c r="AJ245" s="46">
        <v>0.54290509259259256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 s="20">
        <f t="shared" ref="AW245:AW248" si="224">AW244</f>
        <v>147.72200000000001</v>
      </c>
    </row>
    <row r="246" spans="1:49">
      <c r="A246" t="s">
        <v>103</v>
      </c>
      <c r="B246">
        <v>2</v>
      </c>
      <c r="C246" t="s">
        <v>7</v>
      </c>
      <c r="D246">
        <v>52032</v>
      </c>
      <c r="E246">
        <v>192</v>
      </c>
      <c r="F246">
        <v>2</v>
      </c>
      <c r="G246">
        <v>8</v>
      </c>
      <c r="H246" s="1">
        <v>774.77</v>
      </c>
      <c r="I246" s="54">
        <v>121.22</v>
      </c>
      <c r="J246" s="23">
        <v>45548</v>
      </c>
      <c r="K246" s="46">
        <v>0.71414351851851854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 s="20">
        <f t="shared" si="223"/>
        <v>121.28999999999999</v>
      </c>
      <c r="Z246" t="s">
        <v>154</v>
      </c>
      <c r="AA246">
        <v>2</v>
      </c>
      <c r="AB246" t="s">
        <v>7</v>
      </c>
      <c r="AC246">
        <v>52032</v>
      </c>
      <c r="AD246">
        <v>192</v>
      </c>
      <c r="AE246">
        <v>2</v>
      </c>
      <c r="AF246">
        <v>8</v>
      </c>
      <c r="AG246">
        <v>634.69000000000005</v>
      </c>
      <c r="AH246" s="20">
        <v>147.97</v>
      </c>
      <c r="AI246" s="23">
        <v>45555</v>
      </c>
      <c r="AJ246" s="46">
        <v>0.49524305555555553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 s="20">
        <f t="shared" si="224"/>
        <v>147.72200000000001</v>
      </c>
    </row>
    <row r="247" spans="1:49">
      <c r="A247" t="s">
        <v>103</v>
      </c>
      <c r="B247">
        <v>3</v>
      </c>
      <c r="C247" t="s">
        <v>7</v>
      </c>
      <c r="D247">
        <v>52032</v>
      </c>
      <c r="E247">
        <v>192</v>
      </c>
      <c r="F247">
        <v>2</v>
      </c>
      <c r="G247">
        <v>8</v>
      </c>
      <c r="H247">
        <v>767.79</v>
      </c>
      <c r="I247" s="54">
        <v>122.32</v>
      </c>
      <c r="J247" s="23">
        <v>45549</v>
      </c>
      <c r="K247" s="46">
        <v>0.80329861111111112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 s="20">
        <f t="shared" si="223"/>
        <v>121.28999999999999</v>
      </c>
      <c r="Z247" t="s">
        <v>154</v>
      </c>
      <c r="AA247">
        <v>3</v>
      </c>
      <c r="AB247" t="s">
        <v>7</v>
      </c>
      <c r="AC247">
        <v>52032</v>
      </c>
      <c r="AD247">
        <v>192</v>
      </c>
      <c r="AE247">
        <v>2</v>
      </c>
      <c r="AF247">
        <v>8</v>
      </c>
      <c r="AG247">
        <v>637.09</v>
      </c>
      <c r="AH247" s="20">
        <v>147.41</v>
      </c>
      <c r="AI247" s="23">
        <v>45556</v>
      </c>
      <c r="AJ247" s="46">
        <v>0.44831018518518517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 s="20">
        <f t="shared" si="224"/>
        <v>147.72200000000001</v>
      </c>
    </row>
    <row r="248" spans="1:49">
      <c r="A248" t="s">
        <v>103</v>
      </c>
      <c r="B248">
        <v>4</v>
      </c>
      <c r="C248" t="s">
        <v>7</v>
      </c>
      <c r="D248">
        <v>52032</v>
      </c>
      <c r="E248">
        <v>192</v>
      </c>
      <c r="F248">
        <v>2</v>
      </c>
      <c r="G248">
        <v>8</v>
      </c>
      <c r="H248">
        <v>772.32</v>
      </c>
      <c r="I248" s="54">
        <v>121.6</v>
      </c>
      <c r="J248" s="23">
        <v>45550</v>
      </c>
      <c r="K248" s="46">
        <v>0.89271990740740736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 s="20">
        <f t="shared" si="223"/>
        <v>121.28999999999999</v>
      </c>
      <c r="Z248" t="s">
        <v>154</v>
      </c>
      <c r="AA248">
        <v>4</v>
      </c>
      <c r="AB248" t="s">
        <v>7</v>
      </c>
      <c r="AC248">
        <v>52032</v>
      </c>
      <c r="AD248">
        <v>192</v>
      </c>
      <c r="AE248">
        <v>2</v>
      </c>
      <c r="AF248">
        <v>8</v>
      </c>
      <c r="AG248">
        <v>638.35</v>
      </c>
      <c r="AH248" s="20">
        <v>147.12</v>
      </c>
      <c r="AI248" s="23">
        <v>45557</v>
      </c>
      <c r="AJ248" s="46">
        <v>0.40129629629629632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 s="20">
        <f t="shared" si="224"/>
        <v>147.72200000000001</v>
      </c>
    </row>
    <row r="249" spans="1:49">
      <c r="A249" t="s">
        <v>103</v>
      </c>
      <c r="B249">
        <v>0</v>
      </c>
      <c r="C249" t="s">
        <v>7</v>
      </c>
      <c r="D249">
        <v>55296</v>
      </c>
      <c r="E249">
        <v>192</v>
      </c>
      <c r="F249">
        <v>2</v>
      </c>
      <c r="G249">
        <v>8</v>
      </c>
      <c r="H249" s="1">
        <v>1014.3</v>
      </c>
      <c r="I249" s="54">
        <v>111.13</v>
      </c>
      <c r="J249" s="23">
        <v>45546</v>
      </c>
      <c r="K249" s="46">
        <v>0.88028935185185186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 s="51">
        <f t="shared" ref="X249" si="225">AVERAGE(I249:I253)</f>
        <v>110.17600000000002</v>
      </c>
      <c r="Z249" t="s">
        <v>154</v>
      </c>
      <c r="AA249">
        <v>0</v>
      </c>
      <c r="AB249" t="s">
        <v>7</v>
      </c>
      <c r="AC249">
        <v>55296</v>
      </c>
      <c r="AD249">
        <v>192</v>
      </c>
      <c r="AE249">
        <v>2</v>
      </c>
      <c r="AF249">
        <v>8</v>
      </c>
      <c r="AG249">
        <v>769.84</v>
      </c>
      <c r="AH249" s="20">
        <v>146.41999999999999</v>
      </c>
      <c r="AI249" s="23">
        <v>45553</v>
      </c>
      <c r="AJ249" s="46">
        <v>0.89749999999999996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 s="51">
        <f t="shared" ref="AW249" si="226">AVERAGE(AH249:AH253)</f>
        <v>146.39400000000001</v>
      </c>
    </row>
    <row r="250" spans="1:49">
      <c r="A250" t="s">
        <v>103</v>
      </c>
      <c r="B250">
        <v>1</v>
      </c>
      <c r="C250" t="s">
        <v>7</v>
      </c>
      <c r="D250">
        <v>55296</v>
      </c>
      <c r="E250">
        <v>192</v>
      </c>
      <c r="F250">
        <v>2</v>
      </c>
      <c r="G250">
        <v>8</v>
      </c>
      <c r="H250">
        <v>1023.6</v>
      </c>
      <c r="I250" s="54">
        <v>110.12</v>
      </c>
      <c r="J250" s="23">
        <v>45547</v>
      </c>
      <c r="K250" s="46">
        <v>0.97281249999999997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 s="20">
        <f t="shared" ref="X250:X253" si="227">X249</f>
        <v>110.17600000000002</v>
      </c>
      <c r="Z250" t="s">
        <v>154</v>
      </c>
      <c r="AA250">
        <v>1</v>
      </c>
      <c r="AB250" t="s">
        <v>7</v>
      </c>
      <c r="AC250">
        <v>55296</v>
      </c>
      <c r="AD250">
        <v>192</v>
      </c>
      <c r="AE250">
        <v>2</v>
      </c>
      <c r="AF250">
        <v>8</v>
      </c>
      <c r="AG250">
        <v>768.59</v>
      </c>
      <c r="AH250" s="20">
        <v>146.66</v>
      </c>
      <c r="AI250" s="23">
        <v>45554</v>
      </c>
      <c r="AJ250" s="46">
        <v>0.8497569444444445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 s="20">
        <f t="shared" ref="AW250:AW253" si="228">AW249</f>
        <v>146.39400000000001</v>
      </c>
    </row>
    <row r="251" spans="1:49">
      <c r="A251" t="s">
        <v>103</v>
      </c>
      <c r="B251">
        <v>2</v>
      </c>
      <c r="C251" t="s">
        <v>7</v>
      </c>
      <c r="D251">
        <v>55296</v>
      </c>
      <c r="E251">
        <v>192</v>
      </c>
      <c r="F251">
        <v>2</v>
      </c>
      <c r="G251">
        <v>8</v>
      </c>
      <c r="H251">
        <v>1019.3</v>
      </c>
      <c r="I251" s="54">
        <v>110.59</v>
      </c>
      <c r="J251" s="23">
        <v>45549</v>
      </c>
      <c r="K251" s="46">
        <v>6.3576388888888891E-2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 s="20">
        <f t="shared" si="227"/>
        <v>110.17600000000002</v>
      </c>
      <c r="Z251" t="s">
        <v>154</v>
      </c>
      <c r="AA251">
        <v>2</v>
      </c>
      <c r="AB251" t="s">
        <v>7</v>
      </c>
      <c r="AC251">
        <v>55296</v>
      </c>
      <c r="AD251">
        <v>192</v>
      </c>
      <c r="AE251">
        <v>2</v>
      </c>
      <c r="AF251">
        <v>8</v>
      </c>
      <c r="AG251">
        <v>770.19</v>
      </c>
      <c r="AH251" s="20">
        <v>146.36000000000001</v>
      </c>
      <c r="AI251" s="23">
        <v>45555</v>
      </c>
      <c r="AJ251" s="46">
        <v>0.80192129629629627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 s="20">
        <f t="shared" si="228"/>
        <v>146.39400000000001</v>
      </c>
    </row>
    <row r="252" spans="1:49">
      <c r="A252" t="s">
        <v>103</v>
      </c>
      <c r="B252">
        <v>3</v>
      </c>
      <c r="C252" t="s">
        <v>7</v>
      </c>
      <c r="D252">
        <v>55296</v>
      </c>
      <c r="E252">
        <v>192</v>
      </c>
      <c r="F252">
        <v>2</v>
      </c>
      <c r="G252">
        <v>8</v>
      </c>
      <c r="H252">
        <v>1033.76</v>
      </c>
      <c r="I252" s="54">
        <v>109.04</v>
      </c>
      <c r="J252" s="23">
        <v>45550</v>
      </c>
      <c r="K252" s="46">
        <v>0.15259259259259259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 s="20">
        <f t="shared" si="227"/>
        <v>110.17600000000002</v>
      </c>
      <c r="Z252" t="s">
        <v>154</v>
      </c>
      <c r="AA252">
        <v>3</v>
      </c>
      <c r="AB252" t="s">
        <v>7</v>
      </c>
      <c r="AC252">
        <v>55296</v>
      </c>
      <c r="AD252">
        <v>192</v>
      </c>
      <c r="AE252">
        <v>2</v>
      </c>
      <c r="AF252">
        <v>8</v>
      </c>
      <c r="AG252">
        <v>771.78</v>
      </c>
      <c r="AH252" s="20">
        <v>146.05000000000001</v>
      </c>
      <c r="AI252" s="23">
        <v>45556</v>
      </c>
      <c r="AJ252" s="46">
        <v>0.75502314814814819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 s="20">
        <f t="shared" si="228"/>
        <v>146.39400000000001</v>
      </c>
    </row>
    <row r="253" spans="1:49">
      <c r="A253" t="s">
        <v>103</v>
      </c>
      <c r="B253">
        <v>4</v>
      </c>
      <c r="C253" t="s">
        <v>7</v>
      </c>
      <c r="D253">
        <v>55296</v>
      </c>
      <c r="E253">
        <v>192</v>
      </c>
      <c r="F253">
        <v>2</v>
      </c>
      <c r="G253">
        <v>8</v>
      </c>
      <c r="H253">
        <v>1024.7</v>
      </c>
      <c r="I253" s="54">
        <v>110</v>
      </c>
      <c r="J253" s="23">
        <v>45551</v>
      </c>
      <c r="K253" s="46">
        <v>0.24109953703703704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 s="20">
        <f t="shared" si="227"/>
        <v>110.17600000000002</v>
      </c>
      <c r="Z253" t="s">
        <v>154</v>
      </c>
      <c r="AA253">
        <v>4</v>
      </c>
      <c r="AB253" t="s">
        <v>7</v>
      </c>
      <c r="AC253">
        <v>55296</v>
      </c>
      <c r="AD253">
        <v>192</v>
      </c>
      <c r="AE253">
        <v>2</v>
      </c>
      <c r="AF253">
        <v>8</v>
      </c>
      <c r="AG253">
        <v>769.55</v>
      </c>
      <c r="AH253" s="20">
        <v>146.47999999999999</v>
      </c>
      <c r="AI253" s="23">
        <v>45557</v>
      </c>
      <c r="AJ253" s="46">
        <v>0.70754629629629628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 s="20">
        <f t="shared" si="228"/>
        <v>146.39400000000001</v>
      </c>
    </row>
    <row r="254" spans="1:49">
      <c r="A254" t="s">
        <v>103</v>
      </c>
      <c r="B254">
        <v>0</v>
      </c>
      <c r="C254" t="s">
        <v>7</v>
      </c>
      <c r="D254">
        <v>58368</v>
      </c>
      <c r="E254">
        <v>192</v>
      </c>
      <c r="F254">
        <v>2</v>
      </c>
      <c r="G254">
        <v>8</v>
      </c>
      <c r="H254">
        <v>1101.72</v>
      </c>
      <c r="I254" s="54">
        <v>120.33</v>
      </c>
      <c r="J254" s="23">
        <v>45547</v>
      </c>
      <c r="K254" s="46">
        <v>0.29568287037037039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 s="51">
        <f t="shared" ref="X254" si="229">AVERAGE(I254:I258)</f>
        <v>120.32599999999999</v>
      </c>
      <c r="Z254" t="s">
        <v>154</v>
      </c>
      <c r="AA254">
        <v>0</v>
      </c>
      <c r="AB254" t="s">
        <v>7</v>
      </c>
      <c r="AC254">
        <v>58368</v>
      </c>
      <c r="AD254">
        <v>192</v>
      </c>
      <c r="AE254">
        <v>2</v>
      </c>
      <c r="AF254">
        <v>8</v>
      </c>
      <c r="AG254">
        <v>885.48</v>
      </c>
      <c r="AH254" s="20">
        <v>149.72</v>
      </c>
      <c r="AI254" s="23">
        <v>45554</v>
      </c>
      <c r="AJ254" s="46">
        <v>0.2583449074074074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 s="51">
        <f t="shared" ref="AW254" si="230">AVERAGE(AH254:AH258)</f>
        <v>149.90799999999999</v>
      </c>
    </row>
    <row r="255" spans="1:49">
      <c r="A255" t="s">
        <v>103</v>
      </c>
      <c r="B255">
        <v>1</v>
      </c>
      <c r="C255" t="s">
        <v>7</v>
      </c>
      <c r="D255">
        <v>58368</v>
      </c>
      <c r="E255">
        <v>192</v>
      </c>
      <c r="F255">
        <v>2</v>
      </c>
      <c r="G255">
        <v>8</v>
      </c>
      <c r="H255">
        <v>1102.82</v>
      </c>
      <c r="I255" s="54">
        <v>120.21</v>
      </c>
      <c r="J255" s="23">
        <v>45548</v>
      </c>
      <c r="K255" s="46">
        <v>0.38827546296296295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 s="20">
        <f t="shared" ref="X255:X258" si="231">X254</f>
        <v>120.32599999999999</v>
      </c>
      <c r="Z255" t="s">
        <v>154</v>
      </c>
      <c r="AA255">
        <v>1</v>
      </c>
      <c r="AB255" t="s">
        <v>7</v>
      </c>
      <c r="AC255">
        <v>58368</v>
      </c>
      <c r="AD255">
        <v>192</v>
      </c>
      <c r="AE255">
        <v>2</v>
      </c>
      <c r="AF255">
        <v>8</v>
      </c>
      <c r="AG255">
        <v>881.05</v>
      </c>
      <c r="AH255" s="20">
        <v>150.47</v>
      </c>
      <c r="AI255" s="23">
        <v>45555</v>
      </c>
      <c r="AJ255" s="46">
        <v>0.21082175925925925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 s="20">
        <f t="shared" ref="AW255:AW258" si="232">AW254</f>
        <v>149.90799999999999</v>
      </c>
    </row>
    <row r="256" spans="1:49">
      <c r="A256" t="s">
        <v>103</v>
      </c>
      <c r="B256">
        <v>2</v>
      </c>
      <c r="C256" t="s">
        <v>7</v>
      </c>
      <c r="D256">
        <v>58368</v>
      </c>
      <c r="E256">
        <v>192</v>
      </c>
      <c r="F256">
        <v>2</v>
      </c>
      <c r="G256">
        <v>8</v>
      </c>
      <c r="H256">
        <v>1107.7</v>
      </c>
      <c r="I256" s="54">
        <v>119.68</v>
      </c>
      <c r="J256" s="23">
        <v>45549</v>
      </c>
      <c r="K256" s="46">
        <v>0.47775462962962961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 s="20">
        <f t="shared" si="231"/>
        <v>120.32599999999999</v>
      </c>
      <c r="Z256" t="s">
        <v>154</v>
      </c>
      <c r="AA256">
        <v>2</v>
      </c>
      <c r="AB256" t="s">
        <v>7</v>
      </c>
      <c r="AC256">
        <v>58368</v>
      </c>
      <c r="AD256">
        <v>192</v>
      </c>
      <c r="AE256">
        <v>2</v>
      </c>
      <c r="AF256">
        <v>8</v>
      </c>
      <c r="AG256">
        <v>886.91</v>
      </c>
      <c r="AH256" s="20">
        <v>149.47999999999999</v>
      </c>
      <c r="AI256" s="23">
        <v>45556</v>
      </c>
      <c r="AJ256" s="46">
        <v>0.16368055555555555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 s="20">
        <f t="shared" si="232"/>
        <v>149.90799999999999</v>
      </c>
    </row>
    <row r="257" spans="1:49">
      <c r="A257" t="s">
        <v>103</v>
      </c>
      <c r="B257">
        <v>3</v>
      </c>
      <c r="C257" t="s">
        <v>7</v>
      </c>
      <c r="D257">
        <v>58368</v>
      </c>
      <c r="E257">
        <v>192</v>
      </c>
      <c r="F257">
        <v>2</v>
      </c>
      <c r="G257">
        <v>8</v>
      </c>
      <c r="H257" s="1">
        <v>1096.78</v>
      </c>
      <c r="I257" s="54">
        <v>120.87</v>
      </c>
      <c r="J257" s="23">
        <v>45550</v>
      </c>
      <c r="K257" s="46">
        <v>0.5672800925925926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 s="20">
        <f t="shared" si="231"/>
        <v>120.32599999999999</v>
      </c>
      <c r="Z257" t="s">
        <v>154</v>
      </c>
      <c r="AA257">
        <v>3</v>
      </c>
      <c r="AB257" t="s">
        <v>7</v>
      </c>
      <c r="AC257">
        <v>58368</v>
      </c>
      <c r="AD257">
        <v>192</v>
      </c>
      <c r="AE257">
        <v>2</v>
      </c>
      <c r="AF257">
        <v>8</v>
      </c>
      <c r="AG257">
        <v>884.53</v>
      </c>
      <c r="AH257" s="20">
        <v>149.88</v>
      </c>
      <c r="AI257" s="23">
        <v>45557</v>
      </c>
      <c r="AJ257" s="46">
        <v>0.11655092592592593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 s="20">
        <f t="shared" si="232"/>
        <v>149.90799999999999</v>
      </c>
    </row>
    <row r="258" spans="1:49">
      <c r="A258" t="s">
        <v>103</v>
      </c>
      <c r="B258">
        <v>4</v>
      </c>
      <c r="C258" t="s">
        <v>7</v>
      </c>
      <c r="D258">
        <v>58368</v>
      </c>
      <c r="E258">
        <v>192</v>
      </c>
      <c r="F258">
        <v>2</v>
      </c>
      <c r="G258">
        <v>8</v>
      </c>
      <c r="H258">
        <v>1099.81</v>
      </c>
      <c r="I258" s="54">
        <v>120.54</v>
      </c>
      <c r="J258" s="23">
        <v>45551</v>
      </c>
      <c r="K258" s="46">
        <v>0.65547453703703706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 s="20">
        <f t="shared" si="231"/>
        <v>120.32599999999999</v>
      </c>
      <c r="Z258" t="s">
        <v>154</v>
      </c>
      <c r="AA258">
        <v>4</v>
      </c>
      <c r="AB258" t="s">
        <v>7</v>
      </c>
      <c r="AC258">
        <v>58368</v>
      </c>
      <c r="AD258">
        <v>192</v>
      </c>
      <c r="AE258">
        <v>2</v>
      </c>
      <c r="AF258">
        <v>8</v>
      </c>
      <c r="AG258">
        <v>883.87</v>
      </c>
      <c r="AH258" s="20">
        <v>149.99</v>
      </c>
      <c r="AI258" s="23">
        <v>45558</v>
      </c>
      <c r="AJ258" s="46">
        <v>6.87962962962963E-2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 s="20">
        <f t="shared" si="232"/>
        <v>149.90799999999999</v>
      </c>
    </row>
    <row r="259" spans="1:49">
      <c r="A259" t="s">
        <v>103</v>
      </c>
      <c r="B259">
        <v>0</v>
      </c>
      <c r="C259" t="s">
        <v>7</v>
      </c>
      <c r="D259">
        <v>52032</v>
      </c>
      <c r="E259">
        <v>192</v>
      </c>
      <c r="F259">
        <v>4</v>
      </c>
      <c r="G259">
        <v>4</v>
      </c>
      <c r="H259">
        <v>824.53</v>
      </c>
      <c r="I259" s="54">
        <v>113.9</v>
      </c>
      <c r="J259" s="23">
        <v>45546</v>
      </c>
      <c r="K259" s="46">
        <v>0.54052083333333334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 s="51">
        <f t="shared" ref="X259" si="233">AVERAGE(I259:I263)</f>
        <v>114.61599999999999</v>
      </c>
      <c r="Z259" t="s">
        <v>154</v>
      </c>
      <c r="AA259">
        <v>0</v>
      </c>
      <c r="AB259" t="s">
        <v>7</v>
      </c>
      <c r="AC259">
        <v>52032</v>
      </c>
      <c r="AD259">
        <v>192</v>
      </c>
      <c r="AE259">
        <v>4</v>
      </c>
      <c r="AF259">
        <v>4</v>
      </c>
      <c r="AG259">
        <v>718.09</v>
      </c>
      <c r="AH259" s="20">
        <v>130.79</v>
      </c>
      <c r="AI259" s="23">
        <v>45553</v>
      </c>
      <c r="AJ259" s="46">
        <v>0.59974537037037035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 s="51">
        <f t="shared" ref="AW259" si="234">AVERAGE(AH259:AH263)</f>
        <v>130.928</v>
      </c>
    </row>
    <row r="260" spans="1:49">
      <c r="A260" t="s">
        <v>103</v>
      </c>
      <c r="B260">
        <v>1</v>
      </c>
      <c r="C260" t="s">
        <v>7</v>
      </c>
      <c r="D260">
        <v>52032</v>
      </c>
      <c r="E260">
        <v>192</v>
      </c>
      <c r="F260">
        <v>4</v>
      </c>
      <c r="G260">
        <v>4</v>
      </c>
      <c r="H260">
        <v>825.11</v>
      </c>
      <c r="I260" s="54">
        <v>113.82</v>
      </c>
      <c r="J260" s="23">
        <v>45547</v>
      </c>
      <c r="K260" s="46">
        <v>0.63254629629629633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 s="20">
        <f t="shared" ref="X260:X263" si="235">X259</f>
        <v>114.61599999999999</v>
      </c>
      <c r="Z260" t="s">
        <v>154</v>
      </c>
      <c r="AA260">
        <v>1</v>
      </c>
      <c r="AB260" t="s">
        <v>7</v>
      </c>
      <c r="AC260">
        <v>52032</v>
      </c>
      <c r="AD260">
        <v>192</v>
      </c>
      <c r="AE260">
        <v>4</v>
      </c>
      <c r="AF260">
        <v>4</v>
      </c>
      <c r="AG260">
        <v>717.38</v>
      </c>
      <c r="AH260" s="20">
        <v>130.91999999999999</v>
      </c>
      <c r="AI260" s="23">
        <v>45554</v>
      </c>
      <c r="AJ260" s="46">
        <v>0.55142361111111116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 s="20">
        <f t="shared" ref="AW260:AW263" si="236">AW259</f>
        <v>130.928</v>
      </c>
    </row>
    <row r="261" spans="1:49">
      <c r="A261" t="s">
        <v>103</v>
      </c>
      <c r="B261">
        <v>2</v>
      </c>
      <c r="C261" t="s">
        <v>7</v>
      </c>
      <c r="D261">
        <v>52032</v>
      </c>
      <c r="E261">
        <v>192</v>
      </c>
      <c r="F261">
        <v>4</v>
      </c>
      <c r="G261">
        <v>4</v>
      </c>
      <c r="H261">
        <v>817.64</v>
      </c>
      <c r="I261" s="54">
        <v>114.86</v>
      </c>
      <c r="J261" s="23">
        <v>45548</v>
      </c>
      <c r="K261" s="46">
        <v>0.72427083333333331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 s="20">
        <f t="shared" si="235"/>
        <v>114.61599999999999</v>
      </c>
      <c r="Z261" t="s">
        <v>154</v>
      </c>
      <c r="AA261">
        <v>2</v>
      </c>
      <c r="AB261" t="s">
        <v>7</v>
      </c>
      <c r="AC261">
        <v>52032</v>
      </c>
      <c r="AD261">
        <v>192</v>
      </c>
      <c r="AE261">
        <v>4</v>
      </c>
      <c r="AF261">
        <v>4</v>
      </c>
      <c r="AG261">
        <v>722.1</v>
      </c>
      <c r="AH261" s="20">
        <v>130.06</v>
      </c>
      <c r="AI261" s="23">
        <v>45555</v>
      </c>
      <c r="AJ261" s="46">
        <v>0.50383101851851853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 s="20">
        <f t="shared" si="236"/>
        <v>130.928</v>
      </c>
    </row>
    <row r="262" spans="1:49">
      <c r="A262" t="s">
        <v>103</v>
      </c>
      <c r="B262">
        <v>3</v>
      </c>
      <c r="C262" t="s">
        <v>7</v>
      </c>
      <c r="D262">
        <v>52032</v>
      </c>
      <c r="E262">
        <v>192</v>
      </c>
      <c r="F262">
        <v>4</v>
      </c>
      <c r="G262">
        <v>4</v>
      </c>
      <c r="H262">
        <v>816.22</v>
      </c>
      <c r="I262" s="54">
        <v>115.06</v>
      </c>
      <c r="J262" s="23">
        <v>45549</v>
      </c>
      <c r="K262" s="46">
        <v>0.81341435185185185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 s="20">
        <f t="shared" si="235"/>
        <v>114.61599999999999</v>
      </c>
      <c r="Z262" t="s">
        <v>154</v>
      </c>
      <c r="AA262">
        <v>3</v>
      </c>
      <c r="AB262" t="s">
        <v>7</v>
      </c>
      <c r="AC262">
        <v>52032</v>
      </c>
      <c r="AD262">
        <v>192</v>
      </c>
      <c r="AE262">
        <v>4</v>
      </c>
      <c r="AF262">
        <v>4</v>
      </c>
      <c r="AG262">
        <v>714.79</v>
      </c>
      <c r="AH262" s="20">
        <v>131.38999999999999</v>
      </c>
      <c r="AI262" s="23">
        <v>45556</v>
      </c>
      <c r="AJ262" s="46">
        <v>0.45680555555555558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 s="20">
        <f t="shared" si="236"/>
        <v>130.928</v>
      </c>
    </row>
    <row r="263" spans="1:49">
      <c r="A263" t="s">
        <v>103</v>
      </c>
      <c r="B263">
        <v>4</v>
      </c>
      <c r="C263" t="s">
        <v>7</v>
      </c>
      <c r="D263">
        <v>52032</v>
      </c>
      <c r="E263">
        <v>192</v>
      </c>
      <c r="F263">
        <v>4</v>
      </c>
      <c r="G263">
        <v>4</v>
      </c>
      <c r="H263" s="1">
        <v>813.58</v>
      </c>
      <c r="I263" s="54">
        <v>115.44</v>
      </c>
      <c r="J263" s="23">
        <v>45550</v>
      </c>
      <c r="K263" s="46">
        <v>0.90281250000000002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 s="20">
        <f t="shared" si="235"/>
        <v>114.61599999999999</v>
      </c>
      <c r="Z263" t="s">
        <v>154</v>
      </c>
      <c r="AA263">
        <v>4</v>
      </c>
      <c r="AB263" t="s">
        <v>7</v>
      </c>
      <c r="AC263">
        <v>52032</v>
      </c>
      <c r="AD263">
        <v>192</v>
      </c>
      <c r="AE263">
        <v>4</v>
      </c>
      <c r="AF263">
        <v>4</v>
      </c>
      <c r="AG263">
        <v>714.32</v>
      </c>
      <c r="AH263" s="20">
        <v>131.47999999999999</v>
      </c>
      <c r="AI263" s="23">
        <v>45557</v>
      </c>
      <c r="AJ263" s="46">
        <v>0.40979166666666667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 s="20">
        <f t="shared" si="236"/>
        <v>130.928</v>
      </c>
    </row>
    <row r="264" spans="1:49">
      <c r="A264" t="s">
        <v>103</v>
      </c>
      <c r="B264">
        <v>0</v>
      </c>
      <c r="C264" t="s">
        <v>7</v>
      </c>
      <c r="D264">
        <v>55296</v>
      </c>
      <c r="E264">
        <v>192</v>
      </c>
      <c r="F264">
        <v>4</v>
      </c>
      <c r="G264">
        <v>4</v>
      </c>
      <c r="H264">
        <v>979.18</v>
      </c>
      <c r="I264" s="54">
        <v>115.12</v>
      </c>
      <c r="J264" s="23">
        <v>45546</v>
      </c>
      <c r="K264" s="46">
        <v>0.89238425925925924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 s="51">
        <f t="shared" ref="X264" si="237">AVERAGE(I264:I268)</f>
        <v>115.63800000000001</v>
      </c>
      <c r="Z264" t="s">
        <v>154</v>
      </c>
      <c r="AA264">
        <v>0</v>
      </c>
      <c r="AB264" t="s">
        <v>7</v>
      </c>
      <c r="AC264">
        <v>55296</v>
      </c>
      <c r="AD264">
        <v>192</v>
      </c>
      <c r="AE264">
        <v>4</v>
      </c>
      <c r="AF264">
        <v>4</v>
      </c>
      <c r="AG264">
        <v>845.27</v>
      </c>
      <c r="AH264" s="20">
        <v>133.36000000000001</v>
      </c>
      <c r="AI264" s="23">
        <v>45553</v>
      </c>
      <c r="AJ264" s="46">
        <v>0.9075347222222222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 s="51">
        <f t="shared" ref="AW264" si="238">AVERAGE(AH264:AH268)</f>
        <v>133.054</v>
      </c>
    </row>
    <row r="265" spans="1:49">
      <c r="A265" t="s">
        <v>103</v>
      </c>
      <c r="B265">
        <v>1</v>
      </c>
      <c r="C265" t="s">
        <v>7</v>
      </c>
      <c r="D265">
        <v>55296</v>
      </c>
      <c r="E265">
        <v>192</v>
      </c>
      <c r="F265">
        <v>4</v>
      </c>
      <c r="G265">
        <v>4</v>
      </c>
      <c r="H265">
        <v>978.86</v>
      </c>
      <c r="I265" s="54">
        <v>115.16</v>
      </c>
      <c r="J265" s="23">
        <v>45547</v>
      </c>
      <c r="K265" s="46">
        <v>0.98488425925925926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 s="20">
        <f t="shared" ref="X265:X268" si="239">X264</f>
        <v>115.63800000000001</v>
      </c>
      <c r="Z265" t="s">
        <v>154</v>
      </c>
      <c r="AA265">
        <v>1</v>
      </c>
      <c r="AB265" t="s">
        <v>7</v>
      </c>
      <c r="AC265">
        <v>55296</v>
      </c>
      <c r="AD265">
        <v>192</v>
      </c>
      <c r="AE265">
        <v>4</v>
      </c>
      <c r="AF265">
        <v>4</v>
      </c>
      <c r="AG265">
        <v>845.09</v>
      </c>
      <c r="AH265" s="20">
        <v>133.38</v>
      </c>
      <c r="AI265" s="23">
        <v>45554</v>
      </c>
      <c r="AJ265" s="46">
        <v>0.85978009259259258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 s="20">
        <f t="shared" ref="AW265:AW268" si="240">AW264</f>
        <v>133.054</v>
      </c>
    </row>
    <row r="266" spans="1:49">
      <c r="A266" t="s">
        <v>103</v>
      </c>
      <c r="B266">
        <v>2</v>
      </c>
      <c r="C266" t="s">
        <v>7</v>
      </c>
      <c r="D266">
        <v>55296</v>
      </c>
      <c r="E266">
        <v>192</v>
      </c>
      <c r="F266">
        <v>4</v>
      </c>
      <c r="G266">
        <v>4</v>
      </c>
      <c r="H266" s="1">
        <v>973.24</v>
      </c>
      <c r="I266" s="54">
        <v>115.82</v>
      </c>
      <c r="J266" s="23">
        <v>45549</v>
      </c>
      <c r="K266" s="46">
        <v>7.5590277777777784E-2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 s="20">
        <f t="shared" si="239"/>
        <v>115.63800000000001</v>
      </c>
      <c r="Z266" t="s">
        <v>154</v>
      </c>
      <c r="AA266">
        <v>2</v>
      </c>
      <c r="AB266" t="s">
        <v>7</v>
      </c>
      <c r="AC266">
        <v>55296</v>
      </c>
      <c r="AD266">
        <v>192</v>
      </c>
      <c r="AE266">
        <v>4</v>
      </c>
      <c r="AF266">
        <v>4</v>
      </c>
      <c r="AG266">
        <v>844.65</v>
      </c>
      <c r="AH266" s="20">
        <v>133.44999999999999</v>
      </c>
      <c r="AI266" s="23">
        <v>45555</v>
      </c>
      <c r="AJ266" s="46">
        <v>0.81194444444444447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 s="20">
        <f t="shared" si="240"/>
        <v>133.054</v>
      </c>
    </row>
    <row r="267" spans="1:49">
      <c r="A267" t="s">
        <v>103</v>
      </c>
      <c r="B267">
        <v>3</v>
      </c>
      <c r="C267" t="s">
        <v>7</v>
      </c>
      <c r="D267">
        <v>55296</v>
      </c>
      <c r="E267">
        <v>192</v>
      </c>
      <c r="F267">
        <v>4</v>
      </c>
      <c r="G267">
        <v>4</v>
      </c>
      <c r="H267">
        <v>973.02</v>
      </c>
      <c r="I267" s="54">
        <v>115.85</v>
      </c>
      <c r="J267" s="23">
        <v>45550</v>
      </c>
      <c r="K267" s="46">
        <v>0.16460648148148149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 s="20">
        <f t="shared" si="239"/>
        <v>115.63800000000001</v>
      </c>
      <c r="Z267" t="s">
        <v>154</v>
      </c>
      <c r="AA267">
        <v>3</v>
      </c>
      <c r="AB267" t="s">
        <v>7</v>
      </c>
      <c r="AC267">
        <v>55296</v>
      </c>
      <c r="AD267">
        <v>192</v>
      </c>
      <c r="AE267">
        <v>4</v>
      </c>
      <c r="AF267">
        <v>4</v>
      </c>
      <c r="AG267">
        <v>855.7</v>
      </c>
      <c r="AH267" s="20">
        <v>131.72999999999999</v>
      </c>
      <c r="AI267" s="23">
        <v>45556</v>
      </c>
      <c r="AJ267" s="46">
        <v>0.76518518518518519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 s="20">
        <f t="shared" si="240"/>
        <v>133.054</v>
      </c>
    </row>
    <row r="268" spans="1:49">
      <c r="A268" t="s">
        <v>103</v>
      </c>
      <c r="B268">
        <v>4</v>
      </c>
      <c r="C268" t="s">
        <v>7</v>
      </c>
      <c r="D268">
        <v>55296</v>
      </c>
      <c r="E268">
        <v>192</v>
      </c>
      <c r="F268">
        <v>4</v>
      </c>
      <c r="G268">
        <v>4</v>
      </c>
      <c r="H268">
        <v>969.71</v>
      </c>
      <c r="I268" s="54">
        <v>116.24</v>
      </c>
      <c r="J268" s="23">
        <v>45551</v>
      </c>
      <c r="K268" s="46">
        <v>0.25306712962962963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 s="20">
        <f t="shared" si="239"/>
        <v>115.63800000000001</v>
      </c>
      <c r="Z268" t="s">
        <v>154</v>
      </c>
      <c r="AA268">
        <v>4</v>
      </c>
      <c r="AB268" t="s">
        <v>7</v>
      </c>
      <c r="AC268">
        <v>55296</v>
      </c>
      <c r="AD268">
        <v>192</v>
      </c>
      <c r="AE268">
        <v>4</v>
      </c>
      <c r="AF268">
        <v>4</v>
      </c>
      <c r="AG268">
        <v>845.3</v>
      </c>
      <c r="AH268" s="20">
        <v>133.35</v>
      </c>
      <c r="AI268" s="23">
        <v>45557</v>
      </c>
      <c r="AJ268" s="46">
        <v>0.71758101851851852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 s="20">
        <f t="shared" si="240"/>
        <v>133.054</v>
      </c>
    </row>
    <row r="269" spans="1:49">
      <c r="A269" t="s">
        <v>103</v>
      </c>
      <c r="B269">
        <v>0</v>
      </c>
      <c r="C269" t="s">
        <v>7</v>
      </c>
      <c r="D269">
        <v>58368</v>
      </c>
      <c r="E269">
        <v>192</v>
      </c>
      <c r="F269">
        <v>4</v>
      </c>
      <c r="G269">
        <v>4</v>
      </c>
      <c r="H269" s="1">
        <v>1157.1400000000001</v>
      </c>
      <c r="I269" s="54">
        <v>114.57</v>
      </c>
      <c r="J269" s="23">
        <v>45547</v>
      </c>
      <c r="K269" s="46">
        <v>0.30990740740740741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 s="51">
        <f t="shared" ref="X269" si="241">AVERAGE(I269:I273)</f>
        <v>115.00399999999999</v>
      </c>
      <c r="Z269" t="s">
        <v>154</v>
      </c>
      <c r="AA269">
        <v>0</v>
      </c>
      <c r="AB269" t="s">
        <v>7</v>
      </c>
      <c r="AC269">
        <v>58368</v>
      </c>
      <c r="AD269">
        <v>192</v>
      </c>
      <c r="AE269">
        <v>4</v>
      </c>
      <c r="AF269">
        <v>4</v>
      </c>
      <c r="AG269">
        <v>1003.37</v>
      </c>
      <c r="AH269" s="20">
        <v>132.13</v>
      </c>
      <c r="AI269" s="23">
        <v>45554</v>
      </c>
      <c r="AJ269" s="46">
        <v>0.27023148148148146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 s="51">
        <f t="shared" ref="AW269" si="242">AVERAGE(AH269:AH273)</f>
        <v>132.63600000000002</v>
      </c>
    </row>
    <row r="270" spans="1:49">
      <c r="A270" t="s">
        <v>103</v>
      </c>
      <c r="B270">
        <v>1</v>
      </c>
      <c r="C270" t="s">
        <v>7</v>
      </c>
      <c r="D270">
        <v>58368</v>
      </c>
      <c r="E270">
        <v>192</v>
      </c>
      <c r="F270">
        <v>4</v>
      </c>
      <c r="G270">
        <v>4</v>
      </c>
      <c r="H270">
        <v>1157.1199999999999</v>
      </c>
      <c r="I270" s="54">
        <v>114.57</v>
      </c>
      <c r="J270" s="23">
        <v>45548</v>
      </c>
      <c r="K270" s="46">
        <v>0.40250000000000002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 s="20">
        <f t="shared" ref="X270:X273" si="243">X269</f>
        <v>115.00399999999999</v>
      </c>
      <c r="Z270" t="s">
        <v>154</v>
      </c>
      <c r="AA270">
        <v>1</v>
      </c>
      <c r="AB270" t="s">
        <v>7</v>
      </c>
      <c r="AC270">
        <v>58368</v>
      </c>
      <c r="AD270">
        <v>192</v>
      </c>
      <c r="AE270">
        <v>4</v>
      </c>
      <c r="AF270">
        <v>4</v>
      </c>
      <c r="AG270">
        <v>997.82</v>
      </c>
      <c r="AH270" s="20">
        <v>132.86000000000001</v>
      </c>
      <c r="AI270" s="23">
        <v>45555</v>
      </c>
      <c r="AJ270" s="46">
        <v>0.22265046296296295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 s="20">
        <f t="shared" ref="AW270:AW273" si="244">AW269</f>
        <v>132.63600000000002</v>
      </c>
    </row>
    <row r="271" spans="1:49">
      <c r="A271" t="s">
        <v>103</v>
      </c>
      <c r="B271">
        <v>2</v>
      </c>
      <c r="C271" t="s">
        <v>7</v>
      </c>
      <c r="D271">
        <v>58368</v>
      </c>
      <c r="E271">
        <v>192</v>
      </c>
      <c r="F271">
        <v>4</v>
      </c>
      <c r="G271">
        <v>4</v>
      </c>
      <c r="H271">
        <v>1151.3</v>
      </c>
      <c r="I271" s="54">
        <v>115.15</v>
      </c>
      <c r="J271" s="23">
        <v>45549</v>
      </c>
      <c r="K271" s="46">
        <v>0.49190972222222223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 s="20">
        <f t="shared" si="243"/>
        <v>115.00399999999999</v>
      </c>
      <c r="Z271" t="s">
        <v>154</v>
      </c>
      <c r="AA271">
        <v>2</v>
      </c>
      <c r="AB271" t="s">
        <v>7</v>
      </c>
      <c r="AC271">
        <v>58368</v>
      </c>
      <c r="AD271">
        <v>192</v>
      </c>
      <c r="AE271">
        <v>4</v>
      </c>
      <c r="AF271">
        <v>4</v>
      </c>
      <c r="AG271">
        <v>1000.89</v>
      </c>
      <c r="AH271" s="20">
        <v>132.44999999999999</v>
      </c>
      <c r="AI271" s="23">
        <v>45556</v>
      </c>
      <c r="AJ271" s="46">
        <v>0.17553240740740741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 s="20">
        <f t="shared" si="244"/>
        <v>132.63600000000002</v>
      </c>
    </row>
    <row r="272" spans="1:49">
      <c r="A272" t="s">
        <v>103</v>
      </c>
      <c r="B272">
        <v>3</v>
      </c>
      <c r="C272" t="s">
        <v>7</v>
      </c>
      <c r="D272">
        <v>58368</v>
      </c>
      <c r="E272">
        <v>192</v>
      </c>
      <c r="F272">
        <v>4</v>
      </c>
      <c r="G272">
        <v>4</v>
      </c>
      <c r="H272">
        <v>1149.5999999999999</v>
      </c>
      <c r="I272" s="54">
        <v>115.32</v>
      </c>
      <c r="J272" s="23">
        <v>45550</v>
      </c>
      <c r="K272" s="46">
        <v>0.58141203703703703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 s="20">
        <f t="shared" si="243"/>
        <v>115.00399999999999</v>
      </c>
      <c r="Z272" t="s">
        <v>154</v>
      </c>
      <c r="AA272">
        <v>3</v>
      </c>
      <c r="AB272" t="s">
        <v>7</v>
      </c>
      <c r="AC272">
        <v>58368</v>
      </c>
      <c r="AD272">
        <v>192</v>
      </c>
      <c r="AE272">
        <v>4</v>
      </c>
      <c r="AF272">
        <v>4</v>
      </c>
      <c r="AG272">
        <v>996.77</v>
      </c>
      <c r="AH272" s="20">
        <v>133</v>
      </c>
      <c r="AI272" s="23">
        <v>45557</v>
      </c>
      <c r="AJ272" s="46">
        <v>0.12835648148148149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 s="20">
        <f t="shared" si="244"/>
        <v>132.63600000000002</v>
      </c>
    </row>
    <row r="273" spans="1:49">
      <c r="A273" t="s">
        <v>103</v>
      </c>
      <c r="B273">
        <v>4</v>
      </c>
      <c r="C273" t="s">
        <v>7</v>
      </c>
      <c r="D273">
        <v>58368</v>
      </c>
      <c r="E273">
        <v>192</v>
      </c>
      <c r="F273">
        <v>4</v>
      </c>
      <c r="G273">
        <v>4</v>
      </c>
      <c r="H273">
        <v>1148.74</v>
      </c>
      <c r="I273" s="54">
        <v>115.41</v>
      </c>
      <c r="J273" s="23">
        <v>45551</v>
      </c>
      <c r="K273" s="46">
        <v>0.66959490740740746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 s="20">
        <f t="shared" si="243"/>
        <v>115.00399999999999</v>
      </c>
      <c r="Z273" t="s">
        <v>154</v>
      </c>
      <c r="AA273">
        <v>4</v>
      </c>
      <c r="AB273" t="s">
        <v>7</v>
      </c>
      <c r="AC273">
        <v>58368</v>
      </c>
      <c r="AD273">
        <v>192</v>
      </c>
      <c r="AE273">
        <v>4</v>
      </c>
      <c r="AF273">
        <v>4</v>
      </c>
      <c r="AG273">
        <v>998.72</v>
      </c>
      <c r="AH273" s="20">
        <v>132.74</v>
      </c>
      <c r="AI273" s="23">
        <v>45558</v>
      </c>
      <c r="AJ273" s="46">
        <v>8.0636574074074069E-2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 s="20">
        <f t="shared" si="244"/>
        <v>132.63600000000002</v>
      </c>
    </row>
    <row r="274" spans="1:49">
      <c r="A274" t="s">
        <v>103</v>
      </c>
      <c r="B274">
        <v>0</v>
      </c>
      <c r="C274" t="s">
        <v>7</v>
      </c>
      <c r="D274">
        <v>51968</v>
      </c>
      <c r="E274">
        <v>224</v>
      </c>
      <c r="F274">
        <v>1</v>
      </c>
      <c r="G274">
        <v>16</v>
      </c>
      <c r="H274">
        <v>769.74</v>
      </c>
      <c r="I274" s="54">
        <v>121.56</v>
      </c>
      <c r="J274" s="23">
        <v>45546</v>
      </c>
      <c r="K274" s="46">
        <v>0.55011574074074077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 s="51">
        <f t="shared" ref="X274" si="245">AVERAGE(I274:I278)</f>
        <v>121.82599999999999</v>
      </c>
      <c r="Z274" t="s">
        <v>154</v>
      </c>
      <c r="AA274">
        <v>0</v>
      </c>
      <c r="AB274" t="s">
        <v>7</v>
      </c>
      <c r="AC274">
        <v>51968</v>
      </c>
      <c r="AD274">
        <v>224</v>
      </c>
      <c r="AE274">
        <v>1</v>
      </c>
      <c r="AF274">
        <v>16</v>
      </c>
      <c r="AG274">
        <v>677.38</v>
      </c>
      <c r="AH274" s="20">
        <v>138.13</v>
      </c>
      <c r="AI274" s="23">
        <v>45553</v>
      </c>
      <c r="AJ274" s="46">
        <v>0.60784722222222221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 s="51">
        <f t="shared" ref="AW274" si="246">AVERAGE(AH274:AH278)</f>
        <v>137.63200000000001</v>
      </c>
    </row>
    <row r="275" spans="1:49">
      <c r="A275" t="s">
        <v>103</v>
      </c>
      <c r="B275">
        <v>1</v>
      </c>
      <c r="C275" t="s">
        <v>7</v>
      </c>
      <c r="D275">
        <v>51968</v>
      </c>
      <c r="E275">
        <v>224</v>
      </c>
      <c r="F275">
        <v>1</v>
      </c>
      <c r="G275">
        <v>16</v>
      </c>
      <c r="H275" s="1">
        <v>771.83</v>
      </c>
      <c r="I275" s="54">
        <v>121.23</v>
      </c>
      <c r="J275" s="23">
        <v>45547</v>
      </c>
      <c r="K275" s="46">
        <v>0.64216435185185183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 s="20">
        <f t="shared" ref="X275:X278" si="247">X274</f>
        <v>121.82599999999999</v>
      </c>
      <c r="Z275" t="s">
        <v>154</v>
      </c>
      <c r="AA275">
        <v>1</v>
      </c>
      <c r="AB275" t="s">
        <v>7</v>
      </c>
      <c r="AC275">
        <v>51968</v>
      </c>
      <c r="AD275">
        <v>224</v>
      </c>
      <c r="AE275">
        <v>1</v>
      </c>
      <c r="AF275">
        <v>16</v>
      </c>
      <c r="AG275">
        <v>680.04</v>
      </c>
      <c r="AH275" s="20">
        <v>137.59</v>
      </c>
      <c r="AI275" s="23">
        <v>45554</v>
      </c>
      <c r="AJ275" s="46">
        <v>0.55956018518518513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 s="20">
        <f t="shared" ref="AW275:AW278" si="248">AW274</f>
        <v>137.63200000000001</v>
      </c>
    </row>
    <row r="276" spans="1:49">
      <c r="A276" t="s">
        <v>103</v>
      </c>
      <c r="B276">
        <v>2</v>
      </c>
      <c r="C276" t="s">
        <v>7</v>
      </c>
      <c r="D276">
        <v>51968</v>
      </c>
      <c r="E276">
        <v>224</v>
      </c>
      <c r="F276">
        <v>1</v>
      </c>
      <c r="G276">
        <v>16</v>
      </c>
      <c r="H276">
        <v>765.64</v>
      </c>
      <c r="I276" s="54">
        <v>122.21</v>
      </c>
      <c r="J276" s="23">
        <v>45548</v>
      </c>
      <c r="K276" s="46">
        <v>0.73381944444444447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 s="20">
        <f t="shared" si="247"/>
        <v>121.82599999999999</v>
      </c>
      <c r="Z276" t="s">
        <v>154</v>
      </c>
      <c r="AA276">
        <v>2</v>
      </c>
      <c r="AB276" t="s">
        <v>7</v>
      </c>
      <c r="AC276">
        <v>51968</v>
      </c>
      <c r="AD276">
        <v>224</v>
      </c>
      <c r="AE276">
        <v>1</v>
      </c>
      <c r="AF276">
        <v>16</v>
      </c>
      <c r="AG276">
        <v>679.98</v>
      </c>
      <c r="AH276" s="20">
        <v>137.61000000000001</v>
      </c>
      <c r="AI276" s="23">
        <v>45555</v>
      </c>
      <c r="AJ276" s="46">
        <v>0.51195601851851846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 s="20">
        <f t="shared" si="248"/>
        <v>137.63200000000001</v>
      </c>
    </row>
    <row r="277" spans="1:49">
      <c r="A277" t="s">
        <v>103</v>
      </c>
      <c r="B277">
        <v>3</v>
      </c>
      <c r="C277" t="s">
        <v>7</v>
      </c>
      <c r="D277">
        <v>51968</v>
      </c>
      <c r="E277">
        <v>224</v>
      </c>
      <c r="F277">
        <v>1</v>
      </c>
      <c r="G277">
        <v>16</v>
      </c>
      <c r="H277">
        <v>765.55</v>
      </c>
      <c r="I277" s="54">
        <v>122.23</v>
      </c>
      <c r="J277" s="23">
        <v>45549</v>
      </c>
      <c r="K277" s="46">
        <v>0.82296296296296301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 s="20">
        <f t="shared" si="247"/>
        <v>121.82599999999999</v>
      </c>
      <c r="Z277" t="s">
        <v>154</v>
      </c>
      <c r="AA277">
        <v>3</v>
      </c>
      <c r="AB277" t="s">
        <v>7</v>
      </c>
      <c r="AC277">
        <v>51968</v>
      </c>
      <c r="AD277">
        <v>224</v>
      </c>
      <c r="AE277">
        <v>1</v>
      </c>
      <c r="AF277">
        <v>16</v>
      </c>
      <c r="AG277">
        <v>680.69</v>
      </c>
      <c r="AH277" s="20">
        <v>137.46</v>
      </c>
      <c r="AI277" s="23">
        <v>45556</v>
      </c>
      <c r="AJ277" s="46">
        <v>0.46494212962962961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 s="20">
        <f t="shared" si="248"/>
        <v>137.63200000000001</v>
      </c>
    </row>
    <row r="278" spans="1:49">
      <c r="A278" t="s">
        <v>103</v>
      </c>
      <c r="B278">
        <v>4</v>
      </c>
      <c r="C278" t="s">
        <v>7</v>
      </c>
      <c r="D278">
        <v>51968</v>
      </c>
      <c r="E278">
        <v>224</v>
      </c>
      <c r="F278">
        <v>1</v>
      </c>
      <c r="G278">
        <v>16</v>
      </c>
      <c r="H278">
        <v>767.58</v>
      </c>
      <c r="I278" s="54">
        <v>121.9</v>
      </c>
      <c r="J278" s="23">
        <v>45550</v>
      </c>
      <c r="K278" s="46">
        <v>0.91238425925925926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 s="20">
        <f t="shared" si="247"/>
        <v>121.82599999999999</v>
      </c>
      <c r="Z278" t="s">
        <v>154</v>
      </c>
      <c r="AA278">
        <v>4</v>
      </c>
      <c r="AB278" t="s">
        <v>7</v>
      </c>
      <c r="AC278">
        <v>51968</v>
      </c>
      <c r="AD278">
        <v>224</v>
      </c>
      <c r="AE278">
        <v>1</v>
      </c>
      <c r="AF278">
        <v>16</v>
      </c>
      <c r="AG278">
        <v>681.13</v>
      </c>
      <c r="AH278" s="20">
        <v>137.37</v>
      </c>
      <c r="AI278" s="23">
        <v>45557</v>
      </c>
      <c r="AJ278" s="46">
        <v>0.41792824074074075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 s="20">
        <f t="shared" si="248"/>
        <v>137.63200000000001</v>
      </c>
    </row>
    <row r="279" spans="1:49">
      <c r="A279" t="s">
        <v>103</v>
      </c>
      <c r="B279">
        <v>0</v>
      </c>
      <c r="C279" t="s">
        <v>7</v>
      </c>
      <c r="D279">
        <v>55104</v>
      </c>
      <c r="E279">
        <v>224</v>
      </c>
      <c r="F279">
        <v>1</v>
      </c>
      <c r="G279">
        <v>16</v>
      </c>
      <c r="H279">
        <v>932.89</v>
      </c>
      <c r="I279" s="54">
        <v>119.58</v>
      </c>
      <c r="J279" s="23">
        <v>45546</v>
      </c>
      <c r="K279" s="46">
        <v>0.90394675925925927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 s="51">
        <f t="shared" ref="X279" si="249">AVERAGE(I279:I283)</f>
        <v>119.80799999999999</v>
      </c>
      <c r="Z279" t="s">
        <v>154</v>
      </c>
      <c r="AA279">
        <v>0</v>
      </c>
      <c r="AB279" t="s">
        <v>7</v>
      </c>
      <c r="AC279">
        <v>55104</v>
      </c>
      <c r="AD279">
        <v>224</v>
      </c>
      <c r="AE279">
        <v>1</v>
      </c>
      <c r="AF279">
        <v>16</v>
      </c>
      <c r="AG279">
        <v>813.37</v>
      </c>
      <c r="AH279" s="20">
        <v>137.15</v>
      </c>
      <c r="AI279" s="23">
        <v>45553</v>
      </c>
      <c r="AJ279" s="46">
        <v>0.91723379629629631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 s="51">
        <f t="shared" ref="AW279" si="250">AVERAGE(AH279:AH283)</f>
        <v>136.99200000000002</v>
      </c>
    </row>
    <row r="280" spans="1:49">
      <c r="A280" t="s">
        <v>103</v>
      </c>
      <c r="B280">
        <v>1</v>
      </c>
      <c r="C280" t="s">
        <v>7</v>
      </c>
      <c r="D280">
        <v>55104</v>
      </c>
      <c r="E280">
        <v>224</v>
      </c>
      <c r="F280">
        <v>1</v>
      </c>
      <c r="G280">
        <v>16</v>
      </c>
      <c r="H280">
        <v>941.91</v>
      </c>
      <c r="I280" s="54">
        <v>118.43</v>
      </c>
      <c r="J280" s="23">
        <v>45547</v>
      </c>
      <c r="K280" s="46">
        <v>0.99656250000000002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 s="20">
        <f t="shared" ref="X280:X283" si="251">X279</f>
        <v>119.80799999999999</v>
      </c>
      <c r="Z280" t="s">
        <v>154</v>
      </c>
      <c r="AA280">
        <v>1</v>
      </c>
      <c r="AB280" t="s">
        <v>7</v>
      </c>
      <c r="AC280">
        <v>55104</v>
      </c>
      <c r="AD280">
        <v>224</v>
      </c>
      <c r="AE280">
        <v>1</v>
      </c>
      <c r="AF280">
        <v>16</v>
      </c>
      <c r="AG280">
        <v>816.04</v>
      </c>
      <c r="AH280" s="20">
        <v>136.69999999999999</v>
      </c>
      <c r="AI280" s="23">
        <v>45554</v>
      </c>
      <c r="AJ280" s="46">
        <v>0.86951388888888892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 s="20">
        <f t="shared" ref="AW280:AW283" si="252">AW279</f>
        <v>136.99200000000002</v>
      </c>
    </row>
    <row r="281" spans="1:49">
      <c r="A281" t="s">
        <v>103</v>
      </c>
      <c r="B281">
        <v>2</v>
      </c>
      <c r="C281" t="s">
        <v>7</v>
      </c>
      <c r="D281">
        <v>55104</v>
      </c>
      <c r="E281">
        <v>224</v>
      </c>
      <c r="F281">
        <v>1</v>
      </c>
      <c r="G281">
        <v>16</v>
      </c>
      <c r="H281">
        <v>932.15</v>
      </c>
      <c r="I281" s="54">
        <v>119.67</v>
      </c>
      <c r="J281" s="23">
        <v>45549</v>
      </c>
      <c r="K281" s="46">
        <v>8.7152777777777773E-2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 s="20">
        <f t="shared" si="251"/>
        <v>119.80799999999999</v>
      </c>
      <c r="Z281" t="s">
        <v>154</v>
      </c>
      <c r="AA281">
        <v>2</v>
      </c>
      <c r="AB281" t="s">
        <v>7</v>
      </c>
      <c r="AC281">
        <v>55104</v>
      </c>
      <c r="AD281">
        <v>224</v>
      </c>
      <c r="AE281">
        <v>1</v>
      </c>
      <c r="AF281">
        <v>16</v>
      </c>
      <c r="AG281">
        <v>812.44</v>
      </c>
      <c r="AH281" s="20">
        <v>137.30000000000001</v>
      </c>
      <c r="AI281" s="23">
        <v>45555</v>
      </c>
      <c r="AJ281" s="46">
        <v>0.82164351851851847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 s="20">
        <f t="shared" si="252"/>
        <v>136.99200000000002</v>
      </c>
    </row>
    <row r="282" spans="1:49">
      <c r="A282" t="s">
        <v>103</v>
      </c>
      <c r="B282">
        <v>3</v>
      </c>
      <c r="C282" t="s">
        <v>7</v>
      </c>
      <c r="D282">
        <v>55104</v>
      </c>
      <c r="E282">
        <v>224</v>
      </c>
      <c r="F282">
        <v>1</v>
      </c>
      <c r="G282">
        <v>16</v>
      </c>
      <c r="H282">
        <v>918.09</v>
      </c>
      <c r="I282" s="54">
        <v>121.5</v>
      </c>
      <c r="J282" s="23">
        <v>45550</v>
      </c>
      <c r="K282" s="46">
        <v>0.17600694444444445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 s="20">
        <f t="shared" si="251"/>
        <v>119.80799999999999</v>
      </c>
      <c r="Z282" t="s">
        <v>154</v>
      </c>
      <c r="AA282">
        <v>3</v>
      </c>
      <c r="AB282" t="s">
        <v>7</v>
      </c>
      <c r="AC282">
        <v>55104</v>
      </c>
      <c r="AD282">
        <v>224</v>
      </c>
      <c r="AE282">
        <v>1</v>
      </c>
      <c r="AF282">
        <v>16</v>
      </c>
      <c r="AG282">
        <v>818.05</v>
      </c>
      <c r="AH282" s="20">
        <v>136.36000000000001</v>
      </c>
      <c r="AI282" s="23">
        <v>45556</v>
      </c>
      <c r="AJ282" s="46">
        <v>0.77494212962962961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 s="20">
        <f t="shared" si="252"/>
        <v>136.99200000000002</v>
      </c>
    </row>
    <row r="283" spans="1:49">
      <c r="A283" t="s">
        <v>103</v>
      </c>
      <c r="B283">
        <v>4</v>
      </c>
      <c r="C283" t="s">
        <v>7</v>
      </c>
      <c r="D283">
        <v>55104</v>
      </c>
      <c r="E283">
        <v>224</v>
      </c>
      <c r="F283">
        <v>1</v>
      </c>
      <c r="G283">
        <v>16</v>
      </c>
      <c r="H283" s="1">
        <v>930.71</v>
      </c>
      <c r="I283" s="54">
        <v>119.86</v>
      </c>
      <c r="J283" s="23">
        <v>45551</v>
      </c>
      <c r="K283" s="46">
        <v>0.26461805555555556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 s="20">
        <f t="shared" si="251"/>
        <v>119.80799999999999</v>
      </c>
      <c r="Z283" t="s">
        <v>154</v>
      </c>
      <c r="AA283">
        <v>4</v>
      </c>
      <c r="AB283" t="s">
        <v>7</v>
      </c>
      <c r="AC283">
        <v>55104</v>
      </c>
      <c r="AD283">
        <v>224</v>
      </c>
      <c r="AE283">
        <v>1</v>
      </c>
      <c r="AF283">
        <v>16</v>
      </c>
      <c r="AG283">
        <v>811.57</v>
      </c>
      <c r="AH283" s="20">
        <v>137.44999999999999</v>
      </c>
      <c r="AI283" s="23">
        <v>45557</v>
      </c>
      <c r="AJ283" s="46">
        <v>0.72725694444444444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 s="20">
        <f t="shared" si="252"/>
        <v>136.99200000000002</v>
      </c>
    </row>
    <row r="284" spans="1:49">
      <c r="A284" t="s">
        <v>103</v>
      </c>
      <c r="B284">
        <v>0</v>
      </c>
      <c r="C284" t="s">
        <v>7</v>
      </c>
      <c r="D284">
        <v>58464</v>
      </c>
      <c r="E284">
        <v>224</v>
      </c>
      <c r="F284">
        <v>1</v>
      </c>
      <c r="G284">
        <v>16</v>
      </c>
      <c r="H284">
        <v>1118.22</v>
      </c>
      <c r="I284" s="54">
        <v>119.14</v>
      </c>
      <c r="J284" s="23">
        <v>45547</v>
      </c>
      <c r="K284" s="46">
        <v>0.32371527777777775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 s="51">
        <f t="shared" ref="X284" si="253">AVERAGE(I284:I288)</f>
        <v>120.08399999999999</v>
      </c>
      <c r="Z284" t="s">
        <v>154</v>
      </c>
      <c r="AA284">
        <v>0</v>
      </c>
      <c r="AB284" t="s">
        <v>7</v>
      </c>
      <c r="AC284">
        <v>58464</v>
      </c>
      <c r="AD284">
        <v>224</v>
      </c>
      <c r="AE284">
        <v>1</v>
      </c>
      <c r="AF284">
        <v>16</v>
      </c>
      <c r="AG284">
        <v>962.31</v>
      </c>
      <c r="AH284" s="20">
        <v>138.44</v>
      </c>
      <c r="AI284" s="23">
        <v>45554</v>
      </c>
      <c r="AJ284" s="46">
        <v>0.28168981481481481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 s="51">
        <f t="shared" ref="AW284" si="254">AVERAGE(AH284:AH288)</f>
        <v>138.142</v>
      </c>
    </row>
    <row r="285" spans="1:49">
      <c r="A285" t="s">
        <v>103</v>
      </c>
      <c r="B285">
        <v>1</v>
      </c>
      <c r="C285" t="s">
        <v>7</v>
      </c>
      <c r="D285">
        <v>58464</v>
      </c>
      <c r="E285">
        <v>224</v>
      </c>
      <c r="F285">
        <v>1</v>
      </c>
      <c r="G285">
        <v>16</v>
      </c>
      <c r="H285">
        <v>1115.6199999999999</v>
      </c>
      <c r="I285" s="54">
        <v>119.42</v>
      </c>
      <c r="J285" s="23">
        <v>45548</v>
      </c>
      <c r="K285" s="46">
        <v>0.41628472222222224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 s="20">
        <f t="shared" ref="X285:X288" si="255">X284</f>
        <v>120.08399999999999</v>
      </c>
      <c r="Z285" t="s">
        <v>154</v>
      </c>
      <c r="AA285">
        <v>1</v>
      </c>
      <c r="AB285" t="s">
        <v>7</v>
      </c>
      <c r="AC285">
        <v>58464</v>
      </c>
      <c r="AD285">
        <v>224</v>
      </c>
      <c r="AE285">
        <v>1</v>
      </c>
      <c r="AF285">
        <v>16</v>
      </c>
      <c r="AG285">
        <v>963.23</v>
      </c>
      <c r="AH285" s="20">
        <v>138.31</v>
      </c>
      <c r="AI285" s="23">
        <v>45555</v>
      </c>
      <c r="AJ285" s="46">
        <v>0.23412037037037037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 s="20">
        <f t="shared" ref="AW285:AW288" si="256">AW284</f>
        <v>138.142</v>
      </c>
    </row>
    <row r="286" spans="1:49">
      <c r="A286" t="s">
        <v>103</v>
      </c>
      <c r="B286">
        <v>2</v>
      </c>
      <c r="C286" t="s">
        <v>7</v>
      </c>
      <c r="D286">
        <v>58464</v>
      </c>
      <c r="E286">
        <v>224</v>
      </c>
      <c r="F286">
        <v>1</v>
      </c>
      <c r="G286">
        <v>16</v>
      </c>
      <c r="H286" s="1">
        <v>1102.5999999999999</v>
      </c>
      <c r="I286" s="54">
        <v>120.83</v>
      </c>
      <c r="J286" s="23">
        <v>45549</v>
      </c>
      <c r="K286" s="46">
        <v>0.5055439814814815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 s="20">
        <f t="shared" si="255"/>
        <v>120.08399999999999</v>
      </c>
      <c r="Z286" t="s">
        <v>154</v>
      </c>
      <c r="AA286">
        <v>2</v>
      </c>
      <c r="AB286" t="s">
        <v>7</v>
      </c>
      <c r="AC286">
        <v>58464</v>
      </c>
      <c r="AD286">
        <v>224</v>
      </c>
      <c r="AE286">
        <v>1</v>
      </c>
      <c r="AF286">
        <v>16</v>
      </c>
      <c r="AG286">
        <v>964.22</v>
      </c>
      <c r="AH286" s="20">
        <v>138.16999999999999</v>
      </c>
      <c r="AI286" s="23">
        <v>45556</v>
      </c>
      <c r="AJ286" s="46">
        <v>0.18702546296296296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 s="20">
        <f t="shared" si="256"/>
        <v>138.142</v>
      </c>
    </row>
    <row r="287" spans="1:49">
      <c r="A287" t="s">
        <v>103</v>
      </c>
      <c r="B287">
        <v>3</v>
      </c>
      <c r="C287" t="s">
        <v>7</v>
      </c>
      <c r="D287">
        <v>58464</v>
      </c>
      <c r="E287">
        <v>224</v>
      </c>
      <c r="F287">
        <v>1</v>
      </c>
      <c r="G287">
        <v>16</v>
      </c>
      <c r="H287">
        <v>1097.17</v>
      </c>
      <c r="I287" s="54">
        <v>121.43</v>
      </c>
      <c r="J287" s="23">
        <v>45550</v>
      </c>
      <c r="K287" s="46">
        <v>0.59498842592592593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 s="20">
        <f t="shared" si="255"/>
        <v>120.08399999999999</v>
      </c>
      <c r="Z287" t="s">
        <v>154</v>
      </c>
      <c r="AA287">
        <v>3</v>
      </c>
      <c r="AB287" t="s">
        <v>7</v>
      </c>
      <c r="AC287">
        <v>58464</v>
      </c>
      <c r="AD287">
        <v>224</v>
      </c>
      <c r="AE287">
        <v>1</v>
      </c>
      <c r="AF287">
        <v>16</v>
      </c>
      <c r="AG287">
        <v>967.29</v>
      </c>
      <c r="AH287" s="20">
        <v>137.72999999999999</v>
      </c>
      <c r="AI287" s="23">
        <v>45557</v>
      </c>
      <c r="AJ287" s="46">
        <v>0.13988425925925926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 s="20">
        <f t="shared" si="256"/>
        <v>138.142</v>
      </c>
    </row>
    <row r="288" spans="1:49">
      <c r="A288" t="s">
        <v>103</v>
      </c>
      <c r="B288">
        <v>4</v>
      </c>
      <c r="C288" t="s">
        <v>7</v>
      </c>
      <c r="D288">
        <v>58464</v>
      </c>
      <c r="E288">
        <v>224</v>
      </c>
      <c r="F288">
        <v>1</v>
      </c>
      <c r="G288">
        <v>16</v>
      </c>
      <c r="H288">
        <v>1113.97</v>
      </c>
      <c r="I288" s="54">
        <v>119.6</v>
      </c>
      <c r="J288" s="23">
        <v>45551</v>
      </c>
      <c r="K288" s="46">
        <v>0.68336805555555558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 s="20">
        <f t="shared" si="255"/>
        <v>120.08399999999999</v>
      </c>
      <c r="Z288" t="s">
        <v>154</v>
      </c>
      <c r="AA288">
        <v>4</v>
      </c>
      <c r="AB288" t="s">
        <v>7</v>
      </c>
      <c r="AC288">
        <v>58464</v>
      </c>
      <c r="AD288">
        <v>224</v>
      </c>
      <c r="AE288">
        <v>1</v>
      </c>
      <c r="AF288">
        <v>16</v>
      </c>
      <c r="AG288">
        <v>964.96</v>
      </c>
      <c r="AH288" s="20">
        <v>138.06</v>
      </c>
      <c r="AI288" s="23">
        <v>45558</v>
      </c>
      <c r="AJ288" s="46">
        <v>9.2129629629629631E-2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 s="20">
        <f t="shared" si="256"/>
        <v>138.142</v>
      </c>
    </row>
    <row r="289" spans="1:49">
      <c r="A289" t="s">
        <v>103</v>
      </c>
      <c r="B289">
        <v>0</v>
      </c>
      <c r="C289" t="s">
        <v>7</v>
      </c>
      <c r="D289">
        <v>51968</v>
      </c>
      <c r="E289">
        <v>224</v>
      </c>
      <c r="F289">
        <v>2</v>
      </c>
      <c r="G289">
        <v>8</v>
      </c>
      <c r="H289">
        <v>724.42</v>
      </c>
      <c r="I289" s="54">
        <v>129.16</v>
      </c>
      <c r="J289" s="23">
        <v>45546</v>
      </c>
      <c r="K289" s="46">
        <v>0.5591666666666667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 s="51">
        <f t="shared" ref="X289" si="257">AVERAGE(I289:I293)</f>
        <v>129.67799999999997</v>
      </c>
      <c r="Z289" t="s">
        <v>154</v>
      </c>
      <c r="AA289">
        <v>0</v>
      </c>
      <c r="AB289" t="s">
        <v>7</v>
      </c>
      <c r="AC289">
        <v>51968</v>
      </c>
      <c r="AD289">
        <v>224</v>
      </c>
      <c r="AE289">
        <v>2</v>
      </c>
      <c r="AF289">
        <v>8</v>
      </c>
      <c r="AG289">
        <v>623.1</v>
      </c>
      <c r="AH289" s="20">
        <v>150.16999999999999</v>
      </c>
      <c r="AI289" s="23">
        <v>45553</v>
      </c>
      <c r="AJ289" s="46">
        <v>0.61528935185185185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 s="51">
        <f t="shared" ref="AW289" si="258">AVERAGE(AH289:AH293)</f>
        <v>150.334</v>
      </c>
    </row>
    <row r="290" spans="1:49">
      <c r="A290" t="s">
        <v>103</v>
      </c>
      <c r="B290">
        <v>1</v>
      </c>
      <c r="C290" t="s">
        <v>7</v>
      </c>
      <c r="D290">
        <v>51968</v>
      </c>
      <c r="E290">
        <v>224</v>
      </c>
      <c r="F290">
        <v>2</v>
      </c>
      <c r="G290">
        <v>8</v>
      </c>
      <c r="H290">
        <v>727.23</v>
      </c>
      <c r="I290" s="54">
        <v>128.66999999999999</v>
      </c>
      <c r="J290" s="23">
        <v>45547</v>
      </c>
      <c r="K290" s="46">
        <v>0.65125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 s="20">
        <f t="shared" ref="X290:X293" si="259">X289</f>
        <v>129.67799999999997</v>
      </c>
      <c r="Z290" t="s">
        <v>154</v>
      </c>
      <c r="AA290">
        <v>1</v>
      </c>
      <c r="AB290" t="s">
        <v>7</v>
      </c>
      <c r="AC290">
        <v>51968</v>
      </c>
      <c r="AD290">
        <v>224</v>
      </c>
      <c r="AE290">
        <v>2</v>
      </c>
      <c r="AF290">
        <v>8</v>
      </c>
      <c r="AG290">
        <v>621.64</v>
      </c>
      <c r="AH290" s="20">
        <v>150.52000000000001</v>
      </c>
      <c r="AI290" s="23">
        <v>45554</v>
      </c>
      <c r="AJ290" s="46">
        <v>0.56699074074074074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 s="20">
        <f t="shared" ref="AW290:AW293" si="260">AW289</f>
        <v>150.334</v>
      </c>
    </row>
    <row r="291" spans="1:49">
      <c r="A291" t="s">
        <v>103</v>
      </c>
      <c r="B291">
        <v>2</v>
      </c>
      <c r="C291" t="s">
        <v>7</v>
      </c>
      <c r="D291">
        <v>51968</v>
      </c>
      <c r="E291">
        <v>224</v>
      </c>
      <c r="F291">
        <v>2</v>
      </c>
      <c r="G291">
        <v>8</v>
      </c>
      <c r="H291">
        <v>719.31</v>
      </c>
      <c r="I291" s="54">
        <v>130.08000000000001</v>
      </c>
      <c r="J291" s="23">
        <v>45548</v>
      </c>
      <c r="K291" s="46">
        <v>0.74281249999999999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 s="20">
        <f t="shared" si="259"/>
        <v>129.67799999999997</v>
      </c>
      <c r="Z291" t="s">
        <v>154</v>
      </c>
      <c r="AA291">
        <v>2</v>
      </c>
      <c r="AB291" t="s">
        <v>7</v>
      </c>
      <c r="AC291">
        <v>51968</v>
      </c>
      <c r="AD291">
        <v>224</v>
      </c>
      <c r="AE291">
        <v>2</v>
      </c>
      <c r="AF291">
        <v>8</v>
      </c>
      <c r="AG291">
        <v>622.36</v>
      </c>
      <c r="AH291" s="20">
        <v>150.35</v>
      </c>
      <c r="AI291" s="23">
        <v>45555</v>
      </c>
      <c r="AJ291" s="46">
        <v>0.51938657407407407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 s="20">
        <f t="shared" si="260"/>
        <v>150.334</v>
      </c>
    </row>
    <row r="292" spans="1:49">
      <c r="A292" t="s">
        <v>103</v>
      </c>
      <c r="B292">
        <v>3</v>
      </c>
      <c r="C292" t="s">
        <v>7</v>
      </c>
      <c r="D292">
        <v>51968</v>
      </c>
      <c r="E292">
        <v>224</v>
      </c>
      <c r="F292">
        <v>2</v>
      </c>
      <c r="G292">
        <v>8</v>
      </c>
      <c r="H292" s="1">
        <v>717.44</v>
      </c>
      <c r="I292" s="54">
        <v>130.41999999999999</v>
      </c>
      <c r="J292" s="23">
        <v>45549</v>
      </c>
      <c r="K292" s="46">
        <v>0.83193287037037034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 s="20">
        <f t="shared" si="259"/>
        <v>129.67799999999997</v>
      </c>
      <c r="Z292" t="s">
        <v>154</v>
      </c>
      <c r="AA292">
        <v>3</v>
      </c>
      <c r="AB292" t="s">
        <v>7</v>
      </c>
      <c r="AC292">
        <v>51968</v>
      </c>
      <c r="AD292">
        <v>224</v>
      </c>
      <c r="AE292">
        <v>2</v>
      </c>
      <c r="AF292">
        <v>8</v>
      </c>
      <c r="AG292">
        <v>623.34</v>
      </c>
      <c r="AH292" s="20">
        <v>150.11000000000001</v>
      </c>
      <c r="AI292" s="23">
        <v>45556</v>
      </c>
      <c r="AJ292" s="46">
        <v>0.47239583333333335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 s="20">
        <f t="shared" si="260"/>
        <v>150.334</v>
      </c>
    </row>
    <row r="293" spans="1:49">
      <c r="A293" t="s">
        <v>103</v>
      </c>
      <c r="B293">
        <v>4</v>
      </c>
      <c r="C293" t="s">
        <v>7</v>
      </c>
      <c r="D293">
        <v>51968</v>
      </c>
      <c r="E293">
        <v>224</v>
      </c>
      <c r="F293">
        <v>2</v>
      </c>
      <c r="G293">
        <v>8</v>
      </c>
      <c r="H293">
        <v>719.45</v>
      </c>
      <c r="I293" s="54">
        <v>130.06</v>
      </c>
      <c r="J293" s="23">
        <v>45550</v>
      </c>
      <c r="K293" s="46">
        <v>0.92137731481481477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 s="20">
        <f t="shared" si="259"/>
        <v>129.67799999999997</v>
      </c>
      <c r="Z293" t="s">
        <v>154</v>
      </c>
      <c r="AA293">
        <v>4</v>
      </c>
      <c r="AB293" t="s">
        <v>7</v>
      </c>
      <c r="AC293">
        <v>51968</v>
      </c>
      <c r="AD293">
        <v>224</v>
      </c>
      <c r="AE293">
        <v>2</v>
      </c>
      <c r="AF293">
        <v>8</v>
      </c>
      <c r="AG293">
        <v>621.66</v>
      </c>
      <c r="AH293" s="20">
        <v>150.52000000000001</v>
      </c>
      <c r="AI293" s="23">
        <v>45557</v>
      </c>
      <c r="AJ293" s="46">
        <v>0.4253587962962963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 s="20">
        <f t="shared" si="260"/>
        <v>150.334</v>
      </c>
    </row>
    <row r="294" spans="1:49">
      <c r="A294" t="s">
        <v>103</v>
      </c>
      <c r="B294">
        <v>0</v>
      </c>
      <c r="C294" t="s">
        <v>7</v>
      </c>
      <c r="D294">
        <v>55104</v>
      </c>
      <c r="E294">
        <v>224</v>
      </c>
      <c r="F294">
        <v>2</v>
      </c>
      <c r="G294">
        <v>8</v>
      </c>
      <c r="H294">
        <v>874</v>
      </c>
      <c r="I294" s="54">
        <v>127.63</v>
      </c>
      <c r="J294" s="23">
        <v>45546</v>
      </c>
      <c r="K294" s="46">
        <v>0.91481481481481486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 s="51">
        <f t="shared" ref="X294" si="261">AVERAGE(I294:I298)</f>
        <v>128.64600000000002</v>
      </c>
      <c r="Z294" t="s">
        <v>154</v>
      </c>
      <c r="AA294">
        <v>0</v>
      </c>
      <c r="AB294" t="s">
        <v>7</v>
      </c>
      <c r="AC294">
        <v>55104</v>
      </c>
      <c r="AD294">
        <v>224</v>
      </c>
      <c r="AE294">
        <v>2</v>
      </c>
      <c r="AF294">
        <v>8</v>
      </c>
      <c r="AG294">
        <v>747.23</v>
      </c>
      <c r="AH294" s="20">
        <v>149.29</v>
      </c>
      <c r="AI294" s="23">
        <v>45553</v>
      </c>
      <c r="AJ294" s="46">
        <v>0.92614583333333333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 s="51">
        <f t="shared" ref="AW294" si="262">AVERAGE(AH294:AH298)</f>
        <v>149.41399999999999</v>
      </c>
    </row>
    <row r="295" spans="1:49">
      <c r="A295" t="s">
        <v>103</v>
      </c>
      <c r="B295">
        <v>1</v>
      </c>
      <c r="C295" t="s">
        <v>7</v>
      </c>
      <c r="D295">
        <v>55104</v>
      </c>
      <c r="E295">
        <v>224</v>
      </c>
      <c r="F295">
        <v>2</v>
      </c>
      <c r="G295">
        <v>8</v>
      </c>
      <c r="H295" s="1">
        <v>871.15</v>
      </c>
      <c r="I295" s="54">
        <v>128.05000000000001</v>
      </c>
      <c r="J295" s="23">
        <v>45548</v>
      </c>
      <c r="K295" s="46">
        <v>7.3958333333333333E-3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 s="20">
        <f t="shared" ref="X295:X298" si="263">X294</f>
        <v>128.64600000000002</v>
      </c>
      <c r="Z295" t="s">
        <v>154</v>
      </c>
      <c r="AA295">
        <v>1</v>
      </c>
      <c r="AB295" t="s">
        <v>7</v>
      </c>
      <c r="AC295">
        <v>55104</v>
      </c>
      <c r="AD295">
        <v>224</v>
      </c>
      <c r="AE295">
        <v>2</v>
      </c>
      <c r="AF295">
        <v>8</v>
      </c>
      <c r="AG295">
        <v>745.36</v>
      </c>
      <c r="AH295" s="20">
        <v>149.66</v>
      </c>
      <c r="AI295" s="23">
        <v>45554</v>
      </c>
      <c r="AJ295" s="46">
        <v>0.87840277777777775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 s="20">
        <f t="shared" ref="AW295:AW298" si="264">AW294</f>
        <v>149.41399999999999</v>
      </c>
    </row>
    <row r="296" spans="1:49">
      <c r="A296" t="s">
        <v>103</v>
      </c>
      <c r="B296">
        <v>2</v>
      </c>
      <c r="C296" t="s">
        <v>7</v>
      </c>
      <c r="D296">
        <v>55104</v>
      </c>
      <c r="E296">
        <v>224</v>
      </c>
      <c r="F296">
        <v>2</v>
      </c>
      <c r="G296">
        <v>8</v>
      </c>
      <c r="H296">
        <v>862.97</v>
      </c>
      <c r="I296" s="54">
        <v>129.26</v>
      </c>
      <c r="J296" s="23">
        <v>45549</v>
      </c>
      <c r="K296" s="46">
        <v>9.7893518518518519E-2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 s="20">
        <f t="shared" si="263"/>
        <v>128.64600000000002</v>
      </c>
      <c r="Z296" t="s">
        <v>154</v>
      </c>
      <c r="AA296">
        <v>2</v>
      </c>
      <c r="AB296" t="s">
        <v>7</v>
      </c>
      <c r="AC296">
        <v>55104</v>
      </c>
      <c r="AD296">
        <v>224</v>
      </c>
      <c r="AE296">
        <v>2</v>
      </c>
      <c r="AF296">
        <v>8</v>
      </c>
      <c r="AG296">
        <v>745.02</v>
      </c>
      <c r="AH296" s="20">
        <v>149.72999999999999</v>
      </c>
      <c r="AI296" s="23">
        <v>45555</v>
      </c>
      <c r="AJ296" s="46">
        <v>0.83053240740740741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 s="20">
        <f t="shared" si="264"/>
        <v>149.41399999999999</v>
      </c>
    </row>
    <row r="297" spans="1:49">
      <c r="A297" t="s">
        <v>103</v>
      </c>
      <c r="B297">
        <v>3</v>
      </c>
      <c r="C297" t="s">
        <v>7</v>
      </c>
      <c r="D297">
        <v>55104</v>
      </c>
      <c r="E297">
        <v>224</v>
      </c>
      <c r="F297">
        <v>2</v>
      </c>
      <c r="G297">
        <v>8</v>
      </c>
      <c r="H297">
        <v>865.27</v>
      </c>
      <c r="I297" s="54">
        <v>128.91999999999999</v>
      </c>
      <c r="J297" s="23">
        <v>45550</v>
      </c>
      <c r="K297" s="46">
        <v>0.18677083333333333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 s="20">
        <f t="shared" si="263"/>
        <v>128.64600000000002</v>
      </c>
      <c r="Z297" t="s">
        <v>154</v>
      </c>
      <c r="AA297">
        <v>3</v>
      </c>
      <c r="AB297" t="s">
        <v>7</v>
      </c>
      <c r="AC297">
        <v>55104</v>
      </c>
      <c r="AD297">
        <v>224</v>
      </c>
      <c r="AE297">
        <v>2</v>
      </c>
      <c r="AF297">
        <v>8</v>
      </c>
      <c r="AG297">
        <v>750.7</v>
      </c>
      <c r="AH297" s="20">
        <v>148.6</v>
      </c>
      <c r="AI297" s="23">
        <v>45556</v>
      </c>
      <c r="AJ297" s="46">
        <v>0.78388888888888886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 s="20">
        <f t="shared" si="264"/>
        <v>149.41399999999999</v>
      </c>
    </row>
    <row r="298" spans="1:49">
      <c r="A298" t="s">
        <v>103</v>
      </c>
      <c r="B298">
        <v>4</v>
      </c>
      <c r="C298" t="s">
        <v>7</v>
      </c>
      <c r="D298">
        <v>55104</v>
      </c>
      <c r="E298">
        <v>224</v>
      </c>
      <c r="F298">
        <v>2</v>
      </c>
      <c r="G298">
        <v>8</v>
      </c>
      <c r="H298">
        <v>862.23</v>
      </c>
      <c r="I298" s="54">
        <v>129.37</v>
      </c>
      <c r="J298" s="23">
        <v>45551</v>
      </c>
      <c r="K298" s="46">
        <v>0.27534722222222224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 s="20">
        <f t="shared" si="263"/>
        <v>128.64600000000002</v>
      </c>
      <c r="Z298" t="s">
        <v>154</v>
      </c>
      <c r="AA298">
        <v>4</v>
      </c>
      <c r="AB298" t="s">
        <v>7</v>
      </c>
      <c r="AC298">
        <v>55104</v>
      </c>
      <c r="AD298">
        <v>224</v>
      </c>
      <c r="AE298">
        <v>2</v>
      </c>
      <c r="AF298">
        <v>8</v>
      </c>
      <c r="AG298">
        <v>744.74</v>
      </c>
      <c r="AH298" s="20">
        <v>149.79</v>
      </c>
      <c r="AI298" s="23">
        <v>45557</v>
      </c>
      <c r="AJ298" s="46">
        <v>0.73614583333333339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 s="20">
        <f t="shared" si="264"/>
        <v>149.41399999999999</v>
      </c>
    </row>
    <row r="299" spans="1:49">
      <c r="A299" t="s">
        <v>103</v>
      </c>
      <c r="B299">
        <v>0</v>
      </c>
      <c r="C299" t="s">
        <v>7</v>
      </c>
      <c r="D299">
        <v>58464</v>
      </c>
      <c r="E299">
        <v>224</v>
      </c>
      <c r="F299">
        <v>2</v>
      </c>
      <c r="G299">
        <v>8</v>
      </c>
      <c r="H299">
        <v>1057.5999999999999</v>
      </c>
      <c r="I299" s="54">
        <v>125.97</v>
      </c>
      <c r="J299" s="23">
        <v>45547</v>
      </c>
      <c r="K299" s="46">
        <v>0.33680555555555558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 s="51">
        <f t="shared" ref="X299" si="265">AVERAGE(I299:I303)</f>
        <v>127.44399999999999</v>
      </c>
      <c r="Z299" t="s">
        <v>154</v>
      </c>
      <c r="AA299">
        <v>0</v>
      </c>
      <c r="AB299" t="s">
        <v>7</v>
      </c>
      <c r="AC299">
        <v>58464</v>
      </c>
      <c r="AD299">
        <v>224</v>
      </c>
      <c r="AE299">
        <v>2</v>
      </c>
      <c r="AF299">
        <v>8</v>
      </c>
      <c r="AG299">
        <v>893.1</v>
      </c>
      <c r="AH299" s="20">
        <v>149.16999999999999</v>
      </c>
      <c r="AI299" s="23">
        <v>45554</v>
      </c>
      <c r="AJ299" s="46">
        <v>0.2923263888888889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 s="51">
        <f t="shared" ref="AW299" si="266">AVERAGE(AH299:AH303)</f>
        <v>148.58200000000002</v>
      </c>
    </row>
    <row r="300" spans="1:49">
      <c r="A300" t="s">
        <v>103</v>
      </c>
      <c r="B300">
        <v>1</v>
      </c>
      <c r="C300" t="s">
        <v>7</v>
      </c>
      <c r="D300">
        <v>58464</v>
      </c>
      <c r="E300">
        <v>224</v>
      </c>
      <c r="F300">
        <v>2</v>
      </c>
      <c r="G300">
        <v>8</v>
      </c>
      <c r="H300">
        <v>1044.55</v>
      </c>
      <c r="I300" s="54">
        <v>127.54</v>
      </c>
      <c r="J300" s="23">
        <v>45548</v>
      </c>
      <c r="K300" s="46">
        <v>0.42921296296296296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 s="20">
        <f t="shared" ref="X300:X303" si="267">X299</f>
        <v>127.44399999999999</v>
      </c>
      <c r="Z300" t="s">
        <v>154</v>
      </c>
      <c r="AA300">
        <v>1</v>
      </c>
      <c r="AB300" t="s">
        <v>7</v>
      </c>
      <c r="AC300">
        <v>58464</v>
      </c>
      <c r="AD300">
        <v>224</v>
      </c>
      <c r="AE300">
        <v>2</v>
      </c>
      <c r="AF300">
        <v>8</v>
      </c>
      <c r="AG300">
        <v>895.3</v>
      </c>
      <c r="AH300" s="20">
        <v>148.81</v>
      </c>
      <c r="AI300" s="23">
        <v>45555</v>
      </c>
      <c r="AJ300" s="46">
        <v>0.24478009259259259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 s="20">
        <f t="shared" ref="AW300:AW303" si="268">AW299</f>
        <v>148.58200000000002</v>
      </c>
    </row>
    <row r="301" spans="1:49">
      <c r="A301" t="s">
        <v>103</v>
      </c>
      <c r="B301">
        <v>2</v>
      </c>
      <c r="C301" t="s">
        <v>7</v>
      </c>
      <c r="D301">
        <v>58464</v>
      </c>
      <c r="E301">
        <v>224</v>
      </c>
      <c r="F301">
        <v>2</v>
      </c>
      <c r="G301">
        <v>8</v>
      </c>
      <c r="H301">
        <v>1044.69</v>
      </c>
      <c r="I301" s="54">
        <v>127.53</v>
      </c>
      <c r="J301" s="23">
        <v>45549</v>
      </c>
      <c r="K301" s="46">
        <v>0.51848379629629626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 s="20">
        <f t="shared" si="267"/>
        <v>127.44399999999999</v>
      </c>
      <c r="Z301" t="s">
        <v>154</v>
      </c>
      <c r="AA301">
        <v>2</v>
      </c>
      <c r="AB301" t="s">
        <v>7</v>
      </c>
      <c r="AC301">
        <v>58464</v>
      </c>
      <c r="AD301">
        <v>224</v>
      </c>
      <c r="AE301">
        <v>2</v>
      </c>
      <c r="AF301">
        <v>8</v>
      </c>
      <c r="AG301">
        <v>896.94</v>
      </c>
      <c r="AH301" s="20">
        <v>148.54</v>
      </c>
      <c r="AI301" s="23">
        <v>45556</v>
      </c>
      <c r="AJ301" s="46">
        <v>0.19769675925925925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 s="20">
        <f t="shared" si="268"/>
        <v>148.58200000000002</v>
      </c>
    </row>
    <row r="302" spans="1:49">
      <c r="A302" t="s">
        <v>103</v>
      </c>
      <c r="B302">
        <v>3</v>
      </c>
      <c r="C302" t="s">
        <v>7</v>
      </c>
      <c r="D302">
        <v>58464</v>
      </c>
      <c r="E302">
        <v>224</v>
      </c>
      <c r="F302">
        <v>2</v>
      </c>
      <c r="G302">
        <v>8</v>
      </c>
      <c r="H302">
        <v>1040.5</v>
      </c>
      <c r="I302" s="54">
        <v>128.04</v>
      </c>
      <c r="J302" s="23">
        <v>45550</v>
      </c>
      <c r="K302" s="46">
        <v>0.60787037037037039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 s="20">
        <f t="shared" si="267"/>
        <v>127.44399999999999</v>
      </c>
      <c r="Z302" t="s">
        <v>154</v>
      </c>
      <c r="AA302">
        <v>3</v>
      </c>
      <c r="AB302" t="s">
        <v>7</v>
      </c>
      <c r="AC302">
        <v>58464</v>
      </c>
      <c r="AD302">
        <v>224</v>
      </c>
      <c r="AE302">
        <v>2</v>
      </c>
      <c r="AF302">
        <v>8</v>
      </c>
      <c r="AG302">
        <v>905.05</v>
      </c>
      <c r="AH302" s="20">
        <v>147.19999999999999</v>
      </c>
      <c r="AI302" s="23">
        <v>45557</v>
      </c>
      <c r="AJ302" s="46">
        <v>0.15064814814814814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 s="20">
        <f t="shared" si="268"/>
        <v>148.58200000000002</v>
      </c>
    </row>
    <row r="303" spans="1:49">
      <c r="A303" t="s">
        <v>103</v>
      </c>
      <c r="B303">
        <v>4</v>
      </c>
      <c r="C303" t="s">
        <v>7</v>
      </c>
      <c r="D303">
        <v>58464</v>
      </c>
      <c r="E303">
        <v>224</v>
      </c>
      <c r="F303">
        <v>2</v>
      </c>
      <c r="G303">
        <v>8</v>
      </c>
      <c r="H303" s="1">
        <v>1039.67</v>
      </c>
      <c r="I303" s="54">
        <v>128.13999999999999</v>
      </c>
      <c r="J303" s="23">
        <v>45551</v>
      </c>
      <c r="K303" s="46">
        <v>0.69623842592592589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 s="20">
        <f t="shared" si="267"/>
        <v>127.44399999999999</v>
      </c>
      <c r="Z303" t="s">
        <v>154</v>
      </c>
      <c r="AA303">
        <v>4</v>
      </c>
      <c r="AB303" t="s">
        <v>7</v>
      </c>
      <c r="AC303">
        <v>58464</v>
      </c>
      <c r="AD303">
        <v>224</v>
      </c>
      <c r="AE303">
        <v>2</v>
      </c>
      <c r="AF303">
        <v>8</v>
      </c>
      <c r="AG303">
        <v>893.03</v>
      </c>
      <c r="AH303" s="20">
        <v>149.19</v>
      </c>
      <c r="AI303" s="23">
        <v>45558</v>
      </c>
      <c r="AJ303" s="46">
        <v>0.10275462962962963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 s="20">
        <f t="shared" si="268"/>
        <v>148.58200000000002</v>
      </c>
    </row>
    <row r="304" spans="1:49">
      <c r="A304" t="s">
        <v>103</v>
      </c>
      <c r="B304">
        <v>0</v>
      </c>
      <c r="C304" t="s">
        <v>7</v>
      </c>
      <c r="D304">
        <v>51968</v>
      </c>
      <c r="E304">
        <v>224</v>
      </c>
      <c r="F304">
        <v>4</v>
      </c>
      <c r="G304">
        <v>4</v>
      </c>
      <c r="H304" s="1">
        <v>794.75</v>
      </c>
      <c r="I304" s="54">
        <v>117.74</v>
      </c>
      <c r="J304" s="23">
        <v>45546</v>
      </c>
      <c r="K304" s="46">
        <v>0.5690277777777778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 s="51">
        <f t="shared" ref="X304" si="269">AVERAGE(I304:I308)</f>
        <v>118.48799999999999</v>
      </c>
      <c r="Z304" t="s">
        <v>154</v>
      </c>
      <c r="AA304">
        <v>0</v>
      </c>
      <c r="AB304" t="s">
        <v>7</v>
      </c>
      <c r="AC304">
        <v>51968</v>
      </c>
      <c r="AD304">
        <v>224</v>
      </c>
      <c r="AE304">
        <v>4</v>
      </c>
      <c r="AF304">
        <v>4</v>
      </c>
      <c r="AG304">
        <v>705.8</v>
      </c>
      <c r="AH304" s="20">
        <v>132.57</v>
      </c>
      <c r="AI304" s="23">
        <v>45553</v>
      </c>
      <c r="AJ304" s="46">
        <v>0.62368055555555557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 s="51">
        <f t="shared" ref="AW304" si="270">AVERAGE(AH304:AH308)</f>
        <v>132.94400000000002</v>
      </c>
    </row>
    <row r="305" spans="1:49">
      <c r="A305" t="s">
        <v>103</v>
      </c>
      <c r="B305">
        <v>1</v>
      </c>
      <c r="C305" t="s">
        <v>7</v>
      </c>
      <c r="D305">
        <v>51968</v>
      </c>
      <c r="E305">
        <v>224</v>
      </c>
      <c r="F305">
        <v>4</v>
      </c>
      <c r="G305">
        <v>4</v>
      </c>
      <c r="H305">
        <v>795.67</v>
      </c>
      <c r="I305" s="54">
        <v>117.6</v>
      </c>
      <c r="J305" s="23">
        <v>45547</v>
      </c>
      <c r="K305" s="46">
        <v>0.66112268518518513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 s="20">
        <f t="shared" ref="X305:X308" si="271">X304</f>
        <v>118.48799999999999</v>
      </c>
      <c r="Z305" t="s">
        <v>154</v>
      </c>
      <c r="AA305">
        <v>1</v>
      </c>
      <c r="AB305" t="s">
        <v>7</v>
      </c>
      <c r="AC305">
        <v>51968</v>
      </c>
      <c r="AD305">
        <v>224</v>
      </c>
      <c r="AE305">
        <v>4</v>
      </c>
      <c r="AF305">
        <v>4</v>
      </c>
      <c r="AG305">
        <v>706.51</v>
      </c>
      <c r="AH305" s="20">
        <v>132.44</v>
      </c>
      <c r="AI305" s="23">
        <v>45554</v>
      </c>
      <c r="AJ305" s="46">
        <v>0.57538194444444446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 s="20">
        <f t="shared" ref="AW305:AW308" si="272">AW304</f>
        <v>132.94400000000002</v>
      </c>
    </row>
    <row r="306" spans="1:49">
      <c r="A306" t="s">
        <v>103</v>
      </c>
      <c r="B306">
        <v>2</v>
      </c>
      <c r="C306" t="s">
        <v>7</v>
      </c>
      <c r="D306">
        <v>51968</v>
      </c>
      <c r="E306">
        <v>224</v>
      </c>
      <c r="F306">
        <v>4</v>
      </c>
      <c r="G306">
        <v>4</v>
      </c>
      <c r="H306">
        <v>788.19</v>
      </c>
      <c r="I306" s="54">
        <v>118.71</v>
      </c>
      <c r="J306" s="23">
        <v>45548</v>
      </c>
      <c r="K306" s="46">
        <v>0.75260416666666663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 s="20">
        <f t="shared" si="271"/>
        <v>118.48799999999999</v>
      </c>
      <c r="Z306" t="s">
        <v>154</v>
      </c>
      <c r="AA306">
        <v>2</v>
      </c>
      <c r="AB306" t="s">
        <v>7</v>
      </c>
      <c r="AC306">
        <v>51968</v>
      </c>
      <c r="AD306">
        <v>224</v>
      </c>
      <c r="AE306">
        <v>4</v>
      </c>
      <c r="AF306">
        <v>4</v>
      </c>
      <c r="AG306">
        <v>700.86</v>
      </c>
      <c r="AH306" s="20">
        <v>133.51</v>
      </c>
      <c r="AI306" s="23">
        <v>45555</v>
      </c>
      <c r="AJ306" s="46">
        <v>0.52771990740740737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 s="20">
        <f t="shared" si="272"/>
        <v>132.94400000000002</v>
      </c>
    </row>
    <row r="307" spans="1:49">
      <c r="A307" t="s">
        <v>103</v>
      </c>
      <c r="B307">
        <v>3</v>
      </c>
      <c r="C307" t="s">
        <v>7</v>
      </c>
      <c r="D307">
        <v>51968</v>
      </c>
      <c r="E307">
        <v>224</v>
      </c>
      <c r="F307">
        <v>4</v>
      </c>
      <c r="G307">
        <v>4</v>
      </c>
      <c r="H307">
        <v>787.27</v>
      </c>
      <c r="I307" s="54">
        <v>118.85</v>
      </c>
      <c r="J307" s="23">
        <v>45549</v>
      </c>
      <c r="K307" s="46">
        <v>0.84171296296296294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 s="20">
        <f t="shared" si="271"/>
        <v>118.48799999999999</v>
      </c>
      <c r="Z307" t="s">
        <v>154</v>
      </c>
      <c r="AA307">
        <v>3</v>
      </c>
      <c r="AB307" t="s">
        <v>7</v>
      </c>
      <c r="AC307">
        <v>51968</v>
      </c>
      <c r="AD307">
        <v>224</v>
      </c>
      <c r="AE307">
        <v>4</v>
      </c>
      <c r="AF307">
        <v>4</v>
      </c>
      <c r="AG307">
        <v>700.1</v>
      </c>
      <c r="AH307" s="20">
        <v>133.65</v>
      </c>
      <c r="AI307" s="23">
        <v>45556</v>
      </c>
      <c r="AJ307" s="46">
        <v>0.48071759259259261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 s="20">
        <f t="shared" si="272"/>
        <v>132.94400000000002</v>
      </c>
    </row>
    <row r="308" spans="1:49">
      <c r="A308" t="s">
        <v>103</v>
      </c>
      <c r="B308">
        <v>4</v>
      </c>
      <c r="C308" t="s">
        <v>7</v>
      </c>
      <c r="D308">
        <v>51968</v>
      </c>
      <c r="E308">
        <v>224</v>
      </c>
      <c r="F308">
        <v>4</v>
      </c>
      <c r="G308">
        <v>4</v>
      </c>
      <c r="H308">
        <v>782.74</v>
      </c>
      <c r="I308" s="54">
        <v>119.54</v>
      </c>
      <c r="J308" s="23">
        <v>45550</v>
      </c>
      <c r="K308" s="46">
        <v>0.93109953703703707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 s="20">
        <f t="shared" si="271"/>
        <v>118.48799999999999</v>
      </c>
      <c r="Z308" t="s">
        <v>154</v>
      </c>
      <c r="AA308">
        <v>4</v>
      </c>
      <c r="AB308" t="s">
        <v>7</v>
      </c>
      <c r="AC308">
        <v>51968</v>
      </c>
      <c r="AD308">
        <v>224</v>
      </c>
      <c r="AE308">
        <v>4</v>
      </c>
      <c r="AF308">
        <v>4</v>
      </c>
      <c r="AG308">
        <v>705.94</v>
      </c>
      <c r="AH308" s="20">
        <v>132.55000000000001</v>
      </c>
      <c r="AI308" s="23">
        <v>45557</v>
      </c>
      <c r="AJ308" s="46">
        <v>0.43375000000000002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 s="20">
        <f t="shared" si="272"/>
        <v>132.94400000000002</v>
      </c>
    </row>
    <row r="309" spans="1:49">
      <c r="A309" t="s">
        <v>103</v>
      </c>
      <c r="B309">
        <v>0</v>
      </c>
      <c r="C309" t="s">
        <v>7</v>
      </c>
      <c r="D309">
        <v>55104</v>
      </c>
      <c r="E309">
        <v>224</v>
      </c>
      <c r="F309">
        <v>4</v>
      </c>
      <c r="G309">
        <v>4</v>
      </c>
      <c r="H309">
        <v>946.4</v>
      </c>
      <c r="I309" s="54">
        <v>117.87</v>
      </c>
      <c r="J309" s="23">
        <v>45546</v>
      </c>
      <c r="K309" s="46">
        <v>0.92652777777777773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 s="51">
        <f t="shared" ref="X309" si="273">AVERAGE(I309:I313)</f>
        <v>118.89400000000001</v>
      </c>
      <c r="Z309" t="s">
        <v>154</v>
      </c>
      <c r="AA309">
        <v>0</v>
      </c>
      <c r="AB309" t="s">
        <v>7</v>
      </c>
      <c r="AC309">
        <v>55104</v>
      </c>
      <c r="AD309">
        <v>224</v>
      </c>
      <c r="AE309">
        <v>4</v>
      </c>
      <c r="AF309">
        <v>4</v>
      </c>
      <c r="AG309">
        <v>841.75</v>
      </c>
      <c r="AH309" s="20">
        <v>132.52000000000001</v>
      </c>
      <c r="AI309" s="23">
        <v>45553</v>
      </c>
      <c r="AJ309" s="46">
        <v>0.93614583333333334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 s="51">
        <f t="shared" ref="AW309" si="274">AVERAGE(AH309:AH313)</f>
        <v>132.70599999999999</v>
      </c>
    </row>
    <row r="310" spans="1:49">
      <c r="A310" t="s">
        <v>103</v>
      </c>
      <c r="B310">
        <v>1</v>
      </c>
      <c r="C310" t="s">
        <v>7</v>
      </c>
      <c r="D310">
        <v>55104</v>
      </c>
      <c r="E310">
        <v>224</v>
      </c>
      <c r="F310">
        <v>4</v>
      </c>
      <c r="G310">
        <v>4</v>
      </c>
      <c r="H310">
        <v>943.09</v>
      </c>
      <c r="I310" s="54">
        <v>118.28</v>
      </c>
      <c r="J310" s="23">
        <v>45548</v>
      </c>
      <c r="K310" s="46">
        <v>1.90625E-2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 s="20">
        <f t="shared" ref="X310:X313" si="275">X309</f>
        <v>118.89400000000001</v>
      </c>
      <c r="Z310" t="s">
        <v>154</v>
      </c>
      <c r="AA310">
        <v>1</v>
      </c>
      <c r="AB310" t="s">
        <v>7</v>
      </c>
      <c r="AC310">
        <v>55104</v>
      </c>
      <c r="AD310">
        <v>224</v>
      </c>
      <c r="AE310">
        <v>4</v>
      </c>
      <c r="AF310">
        <v>4</v>
      </c>
      <c r="AG310">
        <v>834.37</v>
      </c>
      <c r="AH310" s="20">
        <v>133.69999999999999</v>
      </c>
      <c r="AI310" s="23">
        <v>45554</v>
      </c>
      <c r="AJ310" s="46">
        <v>0.88831018518518523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 s="20">
        <f t="shared" ref="AW310:AW313" si="276">AW309</f>
        <v>132.70599999999999</v>
      </c>
    </row>
    <row r="311" spans="1:49">
      <c r="A311" t="s">
        <v>103</v>
      </c>
      <c r="B311">
        <v>2</v>
      </c>
      <c r="C311" t="s">
        <v>7</v>
      </c>
      <c r="D311">
        <v>55104</v>
      </c>
      <c r="E311">
        <v>224</v>
      </c>
      <c r="F311">
        <v>4</v>
      </c>
      <c r="G311">
        <v>4</v>
      </c>
      <c r="H311">
        <v>933.3</v>
      </c>
      <c r="I311" s="54">
        <v>119.52</v>
      </c>
      <c r="J311" s="23">
        <v>45549</v>
      </c>
      <c r="K311" s="46">
        <v>0.10945601851851852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 s="20">
        <f t="shared" si="275"/>
        <v>118.89400000000001</v>
      </c>
      <c r="Z311" t="s">
        <v>154</v>
      </c>
      <c r="AA311">
        <v>2</v>
      </c>
      <c r="AB311" t="s">
        <v>7</v>
      </c>
      <c r="AC311">
        <v>55104</v>
      </c>
      <c r="AD311">
        <v>224</v>
      </c>
      <c r="AE311">
        <v>4</v>
      </c>
      <c r="AF311">
        <v>4</v>
      </c>
      <c r="AG311">
        <v>846.66</v>
      </c>
      <c r="AH311" s="20">
        <v>131.76</v>
      </c>
      <c r="AI311" s="23">
        <v>45555</v>
      </c>
      <c r="AJ311" s="46">
        <v>0.84057870370370369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 s="20">
        <f t="shared" si="276"/>
        <v>132.70599999999999</v>
      </c>
    </row>
    <row r="312" spans="1:49">
      <c r="A312" t="s">
        <v>103</v>
      </c>
      <c r="B312">
        <v>3</v>
      </c>
      <c r="C312" t="s">
        <v>7</v>
      </c>
      <c r="D312">
        <v>55104</v>
      </c>
      <c r="E312">
        <v>224</v>
      </c>
      <c r="F312">
        <v>4</v>
      </c>
      <c r="G312">
        <v>4</v>
      </c>
      <c r="H312" s="1">
        <v>939.24</v>
      </c>
      <c r="I312" s="54">
        <v>118.77</v>
      </c>
      <c r="J312" s="23">
        <v>45550</v>
      </c>
      <c r="K312" s="46">
        <v>0.19839120370370369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 s="20">
        <f t="shared" si="275"/>
        <v>118.89400000000001</v>
      </c>
      <c r="Z312" t="s">
        <v>154</v>
      </c>
      <c r="AA312">
        <v>3</v>
      </c>
      <c r="AB312" t="s">
        <v>7</v>
      </c>
      <c r="AC312">
        <v>55104</v>
      </c>
      <c r="AD312">
        <v>224</v>
      </c>
      <c r="AE312">
        <v>4</v>
      </c>
      <c r="AF312">
        <v>4</v>
      </c>
      <c r="AG312">
        <v>844.88</v>
      </c>
      <c r="AH312" s="20">
        <v>132.03</v>
      </c>
      <c r="AI312" s="23">
        <v>45556</v>
      </c>
      <c r="AJ312" s="46">
        <v>0.79392361111111109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 s="20">
        <f t="shared" si="276"/>
        <v>132.70599999999999</v>
      </c>
    </row>
    <row r="313" spans="1:49">
      <c r="A313" t="s">
        <v>103</v>
      </c>
      <c r="B313">
        <v>4</v>
      </c>
      <c r="C313" t="s">
        <v>7</v>
      </c>
      <c r="D313">
        <v>55104</v>
      </c>
      <c r="E313">
        <v>224</v>
      </c>
      <c r="F313">
        <v>4</v>
      </c>
      <c r="G313">
        <v>4</v>
      </c>
      <c r="H313">
        <v>929.38</v>
      </c>
      <c r="I313" s="54">
        <v>120.03</v>
      </c>
      <c r="J313" s="23">
        <v>45551</v>
      </c>
      <c r="K313" s="46">
        <v>0.28685185185185186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 s="20">
        <f t="shared" si="275"/>
        <v>118.89400000000001</v>
      </c>
      <c r="Z313" t="s">
        <v>154</v>
      </c>
      <c r="AA313">
        <v>4</v>
      </c>
      <c r="AB313" t="s">
        <v>7</v>
      </c>
      <c r="AC313">
        <v>55104</v>
      </c>
      <c r="AD313">
        <v>224</v>
      </c>
      <c r="AE313">
        <v>4</v>
      </c>
      <c r="AF313">
        <v>4</v>
      </c>
      <c r="AG313">
        <v>835.45</v>
      </c>
      <c r="AH313" s="20">
        <v>133.52000000000001</v>
      </c>
      <c r="AI313" s="23">
        <v>45557</v>
      </c>
      <c r="AJ313" s="46">
        <v>0.74606481481481479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 s="20">
        <f t="shared" si="276"/>
        <v>132.70599999999999</v>
      </c>
    </row>
    <row r="314" spans="1:49">
      <c r="A314" t="s">
        <v>103</v>
      </c>
      <c r="B314">
        <v>0</v>
      </c>
      <c r="C314" t="s">
        <v>7</v>
      </c>
      <c r="D314">
        <v>58464</v>
      </c>
      <c r="E314">
        <v>224</v>
      </c>
      <c r="F314">
        <v>4</v>
      </c>
      <c r="G314">
        <v>4</v>
      </c>
      <c r="H314">
        <v>1131.79</v>
      </c>
      <c r="I314" s="54">
        <v>117.71</v>
      </c>
      <c r="J314" s="23">
        <v>45547</v>
      </c>
      <c r="K314" s="46">
        <v>0.35075231481481484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 s="51">
        <f t="shared" ref="X314" si="277">AVERAGE(I314:I318)</f>
        <v>118.928</v>
      </c>
      <c r="Z314" t="s">
        <v>154</v>
      </c>
      <c r="AA314">
        <v>0</v>
      </c>
      <c r="AB314" t="s">
        <v>7</v>
      </c>
      <c r="AC314">
        <v>58464</v>
      </c>
      <c r="AD314">
        <v>224</v>
      </c>
      <c r="AE314">
        <v>4</v>
      </c>
      <c r="AF314">
        <v>4</v>
      </c>
      <c r="AG314">
        <v>986.27</v>
      </c>
      <c r="AH314" s="20">
        <v>135.08000000000001</v>
      </c>
      <c r="AI314" s="23">
        <v>45554</v>
      </c>
      <c r="AJ314" s="46">
        <v>0.30401620370370369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 s="51">
        <f t="shared" ref="AW314" si="278">AVERAGE(AH314:AH318)</f>
        <v>134.26599999999999</v>
      </c>
    </row>
    <row r="315" spans="1:49">
      <c r="A315" t="s">
        <v>103</v>
      </c>
      <c r="B315">
        <v>1</v>
      </c>
      <c r="C315" t="s">
        <v>7</v>
      </c>
      <c r="D315">
        <v>58464</v>
      </c>
      <c r="E315">
        <v>224</v>
      </c>
      <c r="F315">
        <v>4</v>
      </c>
      <c r="G315">
        <v>4</v>
      </c>
      <c r="H315" s="1">
        <v>1121.8</v>
      </c>
      <c r="I315" s="54">
        <v>118.76</v>
      </c>
      <c r="J315" s="23">
        <v>45548</v>
      </c>
      <c r="K315" s="46">
        <v>0.44305555555555554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 s="20">
        <f t="shared" ref="X315:X318" si="279">X314</f>
        <v>118.928</v>
      </c>
      <c r="Z315" t="s">
        <v>154</v>
      </c>
      <c r="AA315">
        <v>1</v>
      </c>
      <c r="AB315" t="s">
        <v>7</v>
      </c>
      <c r="AC315">
        <v>58464</v>
      </c>
      <c r="AD315">
        <v>224</v>
      </c>
      <c r="AE315">
        <v>4</v>
      </c>
      <c r="AF315">
        <v>4</v>
      </c>
      <c r="AG315">
        <v>1008.23</v>
      </c>
      <c r="AH315" s="20">
        <v>132.13999999999999</v>
      </c>
      <c r="AI315" s="23">
        <v>45555</v>
      </c>
      <c r="AJ315" s="46">
        <v>0.25673611111111111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 s="20">
        <f t="shared" ref="AW315:AW318" si="280">AW314</f>
        <v>134.26599999999999</v>
      </c>
    </row>
    <row r="316" spans="1:49">
      <c r="A316" t="s">
        <v>103</v>
      </c>
      <c r="B316">
        <v>2</v>
      </c>
      <c r="C316" t="s">
        <v>7</v>
      </c>
      <c r="D316">
        <v>58464</v>
      </c>
      <c r="E316">
        <v>224</v>
      </c>
      <c r="F316">
        <v>4</v>
      </c>
      <c r="G316">
        <v>4</v>
      </c>
      <c r="H316">
        <v>1123.28</v>
      </c>
      <c r="I316" s="54">
        <v>118.61</v>
      </c>
      <c r="J316" s="23">
        <v>45549</v>
      </c>
      <c r="K316" s="46">
        <v>0.53233796296296299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 s="20">
        <f t="shared" si="279"/>
        <v>118.928</v>
      </c>
      <c r="Z316" t="s">
        <v>154</v>
      </c>
      <c r="AA316">
        <v>2</v>
      </c>
      <c r="AB316" t="s">
        <v>7</v>
      </c>
      <c r="AC316">
        <v>58464</v>
      </c>
      <c r="AD316">
        <v>224</v>
      </c>
      <c r="AE316">
        <v>4</v>
      </c>
      <c r="AF316">
        <v>4</v>
      </c>
      <c r="AG316">
        <v>991.05</v>
      </c>
      <c r="AH316" s="20">
        <v>134.43</v>
      </c>
      <c r="AI316" s="23">
        <v>45556</v>
      </c>
      <c r="AJ316" s="46">
        <v>0.20945601851851853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 s="20">
        <f t="shared" si="280"/>
        <v>134.26599999999999</v>
      </c>
    </row>
    <row r="317" spans="1:49">
      <c r="A317" t="s">
        <v>103</v>
      </c>
      <c r="B317">
        <v>3</v>
      </c>
      <c r="C317" t="s">
        <v>7</v>
      </c>
      <c r="D317">
        <v>58464</v>
      </c>
      <c r="E317">
        <v>224</v>
      </c>
      <c r="F317">
        <v>4</v>
      </c>
      <c r="G317">
        <v>4</v>
      </c>
      <c r="H317">
        <v>1111.57</v>
      </c>
      <c r="I317" s="54">
        <v>119.85</v>
      </c>
      <c r="J317" s="23">
        <v>45550</v>
      </c>
      <c r="K317" s="46">
        <v>0.6215856481481481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 s="20">
        <f t="shared" si="279"/>
        <v>118.928</v>
      </c>
      <c r="Z317" t="s">
        <v>154</v>
      </c>
      <c r="AA317">
        <v>3</v>
      </c>
      <c r="AB317" t="s">
        <v>7</v>
      </c>
      <c r="AC317">
        <v>58464</v>
      </c>
      <c r="AD317">
        <v>224</v>
      </c>
      <c r="AE317">
        <v>4</v>
      </c>
      <c r="AF317">
        <v>4</v>
      </c>
      <c r="AG317">
        <v>992.5</v>
      </c>
      <c r="AH317" s="20">
        <v>134.22999999999999</v>
      </c>
      <c r="AI317" s="23">
        <v>45557</v>
      </c>
      <c r="AJ317" s="46">
        <v>0.16241898148148148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 s="20">
        <f t="shared" si="280"/>
        <v>134.26599999999999</v>
      </c>
    </row>
    <row r="318" spans="1:49">
      <c r="A318" t="s">
        <v>103</v>
      </c>
      <c r="B318">
        <v>4</v>
      </c>
      <c r="C318" t="s">
        <v>7</v>
      </c>
      <c r="D318">
        <v>58464</v>
      </c>
      <c r="E318">
        <v>224</v>
      </c>
      <c r="F318">
        <v>4</v>
      </c>
      <c r="G318">
        <v>4</v>
      </c>
      <c r="H318">
        <v>1112.9000000000001</v>
      </c>
      <c r="I318" s="54">
        <v>119.71</v>
      </c>
      <c r="J318" s="23">
        <v>45551</v>
      </c>
      <c r="K318" s="46">
        <v>0.70997685185185189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 s="20">
        <f t="shared" si="279"/>
        <v>118.928</v>
      </c>
      <c r="Z318" t="s">
        <v>154</v>
      </c>
      <c r="AA318">
        <v>4</v>
      </c>
      <c r="AB318" t="s">
        <v>7</v>
      </c>
      <c r="AC318">
        <v>58464</v>
      </c>
      <c r="AD318">
        <v>224</v>
      </c>
      <c r="AE318">
        <v>4</v>
      </c>
      <c r="AF318">
        <v>4</v>
      </c>
      <c r="AG318">
        <v>983.6</v>
      </c>
      <c r="AH318" s="20">
        <v>135.44999999999999</v>
      </c>
      <c r="AI318" s="23">
        <v>45558</v>
      </c>
      <c r="AJ318" s="46">
        <v>0.1144212962962963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 s="20">
        <f t="shared" si="280"/>
        <v>134.26599999999999</v>
      </c>
    </row>
    <row r="319" spans="1:49">
      <c r="A319" t="s">
        <v>103</v>
      </c>
      <c r="B319">
        <v>0</v>
      </c>
      <c r="C319" t="s">
        <v>7</v>
      </c>
      <c r="D319">
        <v>51968</v>
      </c>
      <c r="E319">
        <v>256</v>
      </c>
      <c r="F319">
        <v>1</v>
      </c>
      <c r="G319">
        <v>16</v>
      </c>
      <c r="H319">
        <v>820.06</v>
      </c>
      <c r="I319" s="54">
        <v>114.1</v>
      </c>
      <c r="J319" s="23">
        <v>45546</v>
      </c>
      <c r="K319" s="46">
        <v>0.57920138888888884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 s="51">
        <f t="shared" ref="X319" si="281">AVERAGE(I319:I323)</f>
        <v>114.354</v>
      </c>
      <c r="Z319" t="s">
        <v>154</v>
      </c>
      <c r="AA319">
        <v>0</v>
      </c>
      <c r="AB319" t="s">
        <v>7</v>
      </c>
      <c r="AC319">
        <v>51968</v>
      </c>
      <c r="AD319">
        <v>256</v>
      </c>
      <c r="AE319">
        <v>1</v>
      </c>
      <c r="AF319">
        <v>16</v>
      </c>
      <c r="AG319">
        <v>695.12</v>
      </c>
      <c r="AH319" s="20">
        <v>134.61000000000001</v>
      </c>
      <c r="AI319" s="23">
        <v>45553</v>
      </c>
      <c r="AJ319" s="46">
        <v>0.63197916666666665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 s="51">
        <f t="shared" ref="AW319" si="282">AVERAGE(AH319:AH323)</f>
        <v>134.71</v>
      </c>
    </row>
    <row r="320" spans="1:49">
      <c r="A320" t="s">
        <v>103</v>
      </c>
      <c r="B320">
        <v>1</v>
      </c>
      <c r="C320" t="s">
        <v>7</v>
      </c>
      <c r="D320">
        <v>51968</v>
      </c>
      <c r="E320">
        <v>256</v>
      </c>
      <c r="F320">
        <v>1</v>
      </c>
      <c r="G320">
        <v>16</v>
      </c>
      <c r="H320">
        <v>829.75</v>
      </c>
      <c r="I320" s="54">
        <v>112.77</v>
      </c>
      <c r="J320" s="23">
        <v>45547</v>
      </c>
      <c r="K320" s="46">
        <v>0.671412037037037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 s="20">
        <f t="shared" ref="X320:X323" si="283">X319</f>
        <v>114.354</v>
      </c>
      <c r="Z320" t="s">
        <v>154</v>
      </c>
      <c r="AA320">
        <v>1</v>
      </c>
      <c r="AB320" t="s">
        <v>7</v>
      </c>
      <c r="AC320">
        <v>51968</v>
      </c>
      <c r="AD320">
        <v>256</v>
      </c>
      <c r="AE320">
        <v>1</v>
      </c>
      <c r="AF320">
        <v>16</v>
      </c>
      <c r="AG320">
        <v>695.04</v>
      </c>
      <c r="AH320" s="20">
        <v>134.63</v>
      </c>
      <c r="AI320" s="23">
        <v>45554</v>
      </c>
      <c r="AJ320" s="46">
        <v>0.58368055555555554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 s="20">
        <f t="shared" ref="AW320:AW323" si="284">AW319</f>
        <v>134.71</v>
      </c>
    </row>
    <row r="321" spans="1:49">
      <c r="A321" t="s">
        <v>103</v>
      </c>
      <c r="B321">
        <v>2</v>
      </c>
      <c r="C321" t="s">
        <v>7</v>
      </c>
      <c r="D321">
        <v>51968</v>
      </c>
      <c r="E321">
        <v>256</v>
      </c>
      <c r="F321">
        <v>1</v>
      </c>
      <c r="G321">
        <v>16</v>
      </c>
      <c r="H321" s="1">
        <v>818.29</v>
      </c>
      <c r="I321" s="54">
        <v>114.35</v>
      </c>
      <c r="J321" s="23">
        <v>45548</v>
      </c>
      <c r="K321" s="46">
        <v>0.76275462962962959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 s="20">
        <f t="shared" si="283"/>
        <v>114.354</v>
      </c>
      <c r="Z321" t="s">
        <v>154</v>
      </c>
      <c r="AA321">
        <v>2</v>
      </c>
      <c r="AB321" t="s">
        <v>7</v>
      </c>
      <c r="AC321">
        <v>51968</v>
      </c>
      <c r="AD321">
        <v>256</v>
      </c>
      <c r="AE321">
        <v>1</v>
      </c>
      <c r="AF321">
        <v>16</v>
      </c>
      <c r="AG321">
        <v>696.74</v>
      </c>
      <c r="AH321" s="20">
        <v>134.30000000000001</v>
      </c>
      <c r="AI321" s="23">
        <v>45555</v>
      </c>
      <c r="AJ321" s="46">
        <v>0.53604166666666664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 s="20">
        <f t="shared" si="284"/>
        <v>134.71</v>
      </c>
    </row>
    <row r="322" spans="1:49">
      <c r="A322" t="s">
        <v>103</v>
      </c>
      <c r="B322">
        <v>3</v>
      </c>
      <c r="C322" t="s">
        <v>7</v>
      </c>
      <c r="D322">
        <v>51968</v>
      </c>
      <c r="E322">
        <v>256</v>
      </c>
      <c r="F322">
        <v>1</v>
      </c>
      <c r="G322">
        <v>16</v>
      </c>
      <c r="H322">
        <v>814.16</v>
      </c>
      <c r="I322" s="54">
        <v>114.93</v>
      </c>
      <c r="J322" s="23">
        <v>45549</v>
      </c>
      <c r="K322" s="46">
        <v>0.85181712962962963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 s="20">
        <f t="shared" si="283"/>
        <v>114.354</v>
      </c>
      <c r="Z322" t="s">
        <v>154</v>
      </c>
      <c r="AA322">
        <v>3</v>
      </c>
      <c r="AB322" t="s">
        <v>7</v>
      </c>
      <c r="AC322">
        <v>51968</v>
      </c>
      <c r="AD322">
        <v>256</v>
      </c>
      <c r="AE322">
        <v>1</v>
      </c>
      <c r="AF322">
        <v>16</v>
      </c>
      <c r="AG322">
        <v>693.59</v>
      </c>
      <c r="AH322" s="20">
        <v>134.91</v>
      </c>
      <c r="AI322" s="23">
        <v>45556</v>
      </c>
      <c r="AJ322" s="46">
        <v>0.48899305555555556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 s="20">
        <f t="shared" si="284"/>
        <v>134.71</v>
      </c>
    </row>
    <row r="323" spans="1:49">
      <c r="A323" t="s">
        <v>103</v>
      </c>
      <c r="B323">
        <v>4</v>
      </c>
      <c r="C323" t="s">
        <v>7</v>
      </c>
      <c r="D323">
        <v>51968</v>
      </c>
      <c r="E323">
        <v>256</v>
      </c>
      <c r="F323">
        <v>1</v>
      </c>
      <c r="G323">
        <v>16</v>
      </c>
      <c r="H323">
        <v>809.26</v>
      </c>
      <c r="I323" s="54">
        <v>115.62</v>
      </c>
      <c r="J323" s="23">
        <v>45550</v>
      </c>
      <c r="K323" s="46">
        <v>0.94114583333333335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 s="20">
        <f t="shared" si="283"/>
        <v>114.354</v>
      </c>
      <c r="Z323" t="s">
        <v>154</v>
      </c>
      <c r="AA323">
        <v>4</v>
      </c>
      <c r="AB323" t="s">
        <v>7</v>
      </c>
      <c r="AC323">
        <v>51968</v>
      </c>
      <c r="AD323">
        <v>256</v>
      </c>
      <c r="AE323">
        <v>1</v>
      </c>
      <c r="AF323">
        <v>16</v>
      </c>
      <c r="AG323">
        <v>692.59</v>
      </c>
      <c r="AH323" s="20">
        <v>135.1</v>
      </c>
      <c r="AI323" s="23">
        <v>45557</v>
      </c>
      <c r="AJ323" s="46">
        <v>0.44201388888888887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 s="20">
        <f t="shared" si="284"/>
        <v>134.71</v>
      </c>
    </row>
    <row r="324" spans="1:49">
      <c r="A324" t="s">
        <v>103</v>
      </c>
      <c r="B324">
        <v>0</v>
      </c>
      <c r="C324" t="s">
        <v>7</v>
      </c>
      <c r="D324">
        <v>55296</v>
      </c>
      <c r="E324">
        <v>256</v>
      </c>
      <c r="F324">
        <v>1</v>
      </c>
      <c r="G324">
        <v>16</v>
      </c>
      <c r="H324" s="1">
        <v>1308.83</v>
      </c>
      <c r="I324" s="54">
        <v>86.123999999999995</v>
      </c>
      <c r="J324" s="23">
        <v>45546</v>
      </c>
      <c r="K324" s="46">
        <v>0.94245370370370374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 s="51">
        <f t="shared" ref="X324" si="285">AVERAGE(I324:I328)</f>
        <v>86.410199999999989</v>
      </c>
      <c r="Z324" t="s">
        <v>154</v>
      </c>
      <c r="AA324">
        <v>0</v>
      </c>
      <c r="AB324" t="s">
        <v>7</v>
      </c>
      <c r="AC324">
        <v>55296</v>
      </c>
      <c r="AD324">
        <v>256</v>
      </c>
      <c r="AE324">
        <v>1</v>
      </c>
      <c r="AF324">
        <v>16</v>
      </c>
      <c r="AG324">
        <v>876.73</v>
      </c>
      <c r="AH324" s="20">
        <v>128.57</v>
      </c>
      <c r="AI324" s="23">
        <v>45553</v>
      </c>
      <c r="AJ324" s="46">
        <v>0.94658564814814816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 s="51">
        <f t="shared" ref="AW324" si="286">AVERAGE(AH324:AH328)</f>
        <v>130.17600000000002</v>
      </c>
    </row>
    <row r="325" spans="1:49">
      <c r="A325" t="s">
        <v>103</v>
      </c>
      <c r="B325">
        <v>1</v>
      </c>
      <c r="C325" t="s">
        <v>7</v>
      </c>
      <c r="D325">
        <v>55296</v>
      </c>
      <c r="E325">
        <v>256</v>
      </c>
      <c r="F325">
        <v>1</v>
      </c>
      <c r="G325">
        <v>16</v>
      </c>
      <c r="H325">
        <v>1317.39</v>
      </c>
      <c r="I325" s="54">
        <v>85.564999999999998</v>
      </c>
      <c r="J325" s="23">
        <v>45548</v>
      </c>
      <c r="K325" s="46">
        <v>3.5092592592592592E-2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 s="20">
        <f t="shared" ref="X325:X328" si="287">X324</f>
        <v>86.410199999999989</v>
      </c>
      <c r="Z325" t="s">
        <v>154</v>
      </c>
      <c r="AA325">
        <v>1</v>
      </c>
      <c r="AB325" t="s">
        <v>7</v>
      </c>
      <c r="AC325">
        <v>55296</v>
      </c>
      <c r="AD325">
        <v>256</v>
      </c>
      <c r="AE325">
        <v>1</v>
      </c>
      <c r="AF325">
        <v>16</v>
      </c>
      <c r="AG325">
        <v>866.97</v>
      </c>
      <c r="AH325" s="20">
        <v>130.02000000000001</v>
      </c>
      <c r="AI325" s="23">
        <v>45554</v>
      </c>
      <c r="AJ325" s="46">
        <v>0.89863425925925922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 s="20">
        <f t="shared" ref="AW325:AW328" si="288">AW324</f>
        <v>130.17600000000002</v>
      </c>
    </row>
    <row r="326" spans="1:49">
      <c r="A326" t="s">
        <v>103</v>
      </c>
      <c r="B326">
        <v>2</v>
      </c>
      <c r="C326" t="s">
        <v>7</v>
      </c>
      <c r="D326">
        <v>55296</v>
      </c>
      <c r="E326">
        <v>256</v>
      </c>
      <c r="F326">
        <v>1</v>
      </c>
      <c r="G326">
        <v>16</v>
      </c>
      <c r="H326">
        <v>1281.57</v>
      </c>
      <c r="I326" s="54">
        <v>87.956000000000003</v>
      </c>
      <c r="J326" s="23">
        <v>45549</v>
      </c>
      <c r="K326" s="46">
        <v>0.12505787037037036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 s="20">
        <f t="shared" si="287"/>
        <v>86.410199999999989</v>
      </c>
      <c r="Z326" t="s">
        <v>154</v>
      </c>
      <c r="AA326">
        <v>2</v>
      </c>
      <c r="AB326" t="s">
        <v>7</v>
      </c>
      <c r="AC326">
        <v>55296</v>
      </c>
      <c r="AD326">
        <v>256</v>
      </c>
      <c r="AE326">
        <v>1</v>
      </c>
      <c r="AF326">
        <v>16</v>
      </c>
      <c r="AG326">
        <v>868.9</v>
      </c>
      <c r="AH326" s="20">
        <v>129.72999999999999</v>
      </c>
      <c r="AI326" s="23">
        <v>45555</v>
      </c>
      <c r="AJ326" s="46">
        <v>0.85092592592592597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 s="20">
        <f t="shared" si="288"/>
        <v>130.17600000000002</v>
      </c>
    </row>
    <row r="327" spans="1:49">
      <c r="A327" t="s">
        <v>103</v>
      </c>
      <c r="B327">
        <v>3</v>
      </c>
      <c r="C327" t="s">
        <v>7</v>
      </c>
      <c r="D327">
        <v>55296</v>
      </c>
      <c r="E327">
        <v>256</v>
      </c>
      <c r="F327">
        <v>1</v>
      </c>
      <c r="G327">
        <v>16</v>
      </c>
      <c r="H327">
        <v>1319.56</v>
      </c>
      <c r="I327" s="54">
        <v>85.424000000000007</v>
      </c>
      <c r="J327" s="23">
        <v>45550</v>
      </c>
      <c r="K327" s="46">
        <v>0.21444444444444444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 s="20">
        <f t="shared" si="287"/>
        <v>86.410199999999989</v>
      </c>
      <c r="Z327" t="s">
        <v>154</v>
      </c>
      <c r="AA327">
        <v>3</v>
      </c>
      <c r="AB327" t="s">
        <v>7</v>
      </c>
      <c r="AC327">
        <v>55296</v>
      </c>
      <c r="AD327">
        <v>256</v>
      </c>
      <c r="AE327">
        <v>1</v>
      </c>
      <c r="AF327">
        <v>16</v>
      </c>
      <c r="AG327">
        <v>858.26</v>
      </c>
      <c r="AH327" s="20">
        <v>131.34</v>
      </c>
      <c r="AI327" s="23">
        <v>45556</v>
      </c>
      <c r="AJ327" s="46">
        <v>0.80414351851851851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 s="20">
        <f t="shared" si="288"/>
        <v>130.17600000000002</v>
      </c>
    </row>
    <row r="328" spans="1:49">
      <c r="A328" t="s">
        <v>103</v>
      </c>
      <c r="B328">
        <v>4</v>
      </c>
      <c r="C328" t="s">
        <v>7</v>
      </c>
      <c r="D328">
        <v>55296</v>
      </c>
      <c r="E328">
        <v>256</v>
      </c>
      <c r="F328">
        <v>1</v>
      </c>
      <c r="G328">
        <v>16</v>
      </c>
      <c r="H328">
        <v>1295.92</v>
      </c>
      <c r="I328" s="54">
        <v>86.981999999999999</v>
      </c>
      <c r="J328" s="23">
        <v>45551</v>
      </c>
      <c r="K328" s="46">
        <v>0.3026388888888889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 s="20">
        <f t="shared" si="287"/>
        <v>86.410199999999989</v>
      </c>
      <c r="Z328" t="s">
        <v>154</v>
      </c>
      <c r="AA328">
        <v>4</v>
      </c>
      <c r="AB328" t="s">
        <v>7</v>
      </c>
      <c r="AC328">
        <v>55296</v>
      </c>
      <c r="AD328">
        <v>256</v>
      </c>
      <c r="AE328">
        <v>1</v>
      </c>
      <c r="AF328">
        <v>16</v>
      </c>
      <c r="AG328">
        <v>859.03</v>
      </c>
      <c r="AH328" s="20">
        <v>131.22</v>
      </c>
      <c r="AI328" s="23">
        <v>45557</v>
      </c>
      <c r="AJ328" s="46">
        <v>0.75629629629629624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 s="20">
        <f t="shared" si="288"/>
        <v>130.17600000000002</v>
      </c>
    </row>
    <row r="329" spans="1:49">
      <c r="A329" t="s">
        <v>103</v>
      </c>
      <c r="B329">
        <v>0</v>
      </c>
      <c r="C329" t="s">
        <v>7</v>
      </c>
      <c r="D329">
        <v>58368</v>
      </c>
      <c r="E329">
        <v>256</v>
      </c>
      <c r="F329">
        <v>1</v>
      </c>
      <c r="G329">
        <v>16</v>
      </c>
      <c r="H329">
        <v>1266.97</v>
      </c>
      <c r="I329" s="54">
        <v>104.64</v>
      </c>
      <c r="J329" s="23">
        <v>45547</v>
      </c>
      <c r="K329" s="46">
        <v>0.36629629629629629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 s="51">
        <f t="shared" ref="X329" si="289">AVERAGE(I329:I333)</f>
        <v>105.02200000000001</v>
      </c>
      <c r="Z329" t="s">
        <v>154</v>
      </c>
      <c r="AA329">
        <v>0</v>
      </c>
      <c r="AB329" t="s">
        <v>7</v>
      </c>
      <c r="AC329">
        <v>58368</v>
      </c>
      <c r="AD329">
        <v>256</v>
      </c>
      <c r="AE329">
        <v>1</v>
      </c>
      <c r="AF329">
        <v>16</v>
      </c>
      <c r="AG329">
        <v>967.51</v>
      </c>
      <c r="AH329" s="20">
        <v>137.02000000000001</v>
      </c>
      <c r="AI329" s="23">
        <v>45554</v>
      </c>
      <c r="AJ329" s="46">
        <v>0.31554398148148149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 s="51">
        <f t="shared" ref="AW329" si="290">AVERAGE(AH329:AH333)</f>
        <v>137.64000000000001</v>
      </c>
    </row>
    <row r="330" spans="1:49">
      <c r="A330" t="s">
        <v>103</v>
      </c>
      <c r="B330">
        <v>1</v>
      </c>
      <c r="C330" t="s">
        <v>7</v>
      </c>
      <c r="D330">
        <v>58368</v>
      </c>
      <c r="E330">
        <v>256</v>
      </c>
      <c r="F330">
        <v>1</v>
      </c>
      <c r="G330">
        <v>16</v>
      </c>
      <c r="H330">
        <v>1250.69</v>
      </c>
      <c r="I330" s="54">
        <v>106</v>
      </c>
      <c r="J330" s="23">
        <v>45548</v>
      </c>
      <c r="K330" s="46">
        <v>0.45840277777777777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 s="20">
        <f t="shared" ref="X330:X333" si="291">X329</f>
        <v>105.02200000000001</v>
      </c>
      <c r="Z330" t="s">
        <v>154</v>
      </c>
      <c r="AA330">
        <v>1</v>
      </c>
      <c r="AB330" t="s">
        <v>7</v>
      </c>
      <c r="AC330">
        <v>58368</v>
      </c>
      <c r="AD330">
        <v>256</v>
      </c>
      <c r="AE330">
        <v>1</v>
      </c>
      <c r="AF330">
        <v>16</v>
      </c>
      <c r="AG330">
        <v>953.48</v>
      </c>
      <c r="AH330" s="20">
        <v>139.04</v>
      </c>
      <c r="AI330" s="23">
        <v>45555</v>
      </c>
      <c r="AJ330" s="46">
        <v>0.26809027777777777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 s="20">
        <f t="shared" ref="AW330:AW333" si="292">AW329</f>
        <v>137.64000000000001</v>
      </c>
    </row>
    <row r="331" spans="1:49">
      <c r="A331" t="s">
        <v>103</v>
      </c>
      <c r="B331">
        <v>2</v>
      </c>
      <c r="C331" t="s">
        <v>7</v>
      </c>
      <c r="D331">
        <v>58368</v>
      </c>
      <c r="E331">
        <v>256</v>
      </c>
      <c r="F331">
        <v>1</v>
      </c>
      <c r="G331">
        <v>16</v>
      </c>
      <c r="H331">
        <v>1258.8599999999999</v>
      </c>
      <c r="I331" s="54">
        <v>105.31</v>
      </c>
      <c r="J331" s="23">
        <v>45549</v>
      </c>
      <c r="K331" s="46">
        <v>0.54777777777777781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 s="20">
        <f t="shared" si="291"/>
        <v>105.02200000000001</v>
      </c>
      <c r="Z331" t="s">
        <v>154</v>
      </c>
      <c r="AA331">
        <v>2</v>
      </c>
      <c r="AB331" t="s">
        <v>7</v>
      </c>
      <c r="AC331">
        <v>58368</v>
      </c>
      <c r="AD331">
        <v>256</v>
      </c>
      <c r="AE331">
        <v>1</v>
      </c>
      <c r="AF331">
        <v>16</v>
      </c>
      <c r="AG331">
        <v>964.13</v>
      </c>
      <c r="AH331" s="20">
        <v>137.5</v>
      </c>
      <c r="AI331" s="23">
        <v>45556</v>
      </c>
      <c r="AJ331" s="46">
        <v>0.22093750000000001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 s="20">
        <f t="shared" si="292"/>
        <v>137.64000000000001</v>
      </c>
    </row>
    <row r="332" spans="1:49">
      <c r="A332" t="s">
        <v>103</v>
      </c>
      <c r="B332">
        <v>3</v>
      </c>
      <c r="C332" t="s">
        <v>7</v>
      </c>
      <c r="D332">
        <v>58368</v>
      </c>
      <c r="E332">
        <v>256</v>
      </c>
      <c r="F332">
        <v>1</v>
      </c>
      <c r="G332">
        <v>16</v>
      </c>
      <c r="H332" s="1">
        <v>1262.58</v>
      </c>
      <c r="I332" s="54">
        <v>105</v>
      </c>
      <c r="J332" s="23">
        <v>45550</v>
      </c>
      <c r="K332" s="46">
        <v>0.63708333333333333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 s="20">
        <f t="shared" si="291"/>
        <v>105.02200000000001</v>
      </c>
      <c r="Z332" t="s">
        <v>154</v>
      </c>
      <c r="AA332">
        <v>3</v>
      </c>
      <c r="AB332" t="s">
        <v>7</v>
      </c>
      <c r="AC332">
        <v>58368</v>
      </c>
      <c r="AD332">
        <v>256</v>
      </c>
      <c r="AE332">
        <v>1</v>
      </c>
      <c r="AF332">
        <v>16</v>
      </c>
      <c r="AG332">
        <v>968.01</v>
      </c>
      <c r="AH332" s="20">
        <v>136.94999999999999</v>
      </c>
      <c r="AI332" s="23">
        <v>45557</v>
      </c>
      <c r="AJ332" s="46">
        <v>0.17394675925925926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 s="20">
        <f t="shared" si="292"/>
        <v>137.64000000000001</v>
      </c>
    </row>
    <row r="333" spans="1:49">
      <c r="A333" t="s">
        <v>103</v>
      </c>
      <c r="B333">
        <v>4</v>
      </c>
      <c r="C333" t="s">
        <v>7</v>
      </c>
      <c r="D333">
        <v>58368</v>
      </c>
      <c r="E333">
        <v>256</v>
      </c>
      <c r="F333">
        <v>1</v>
      </c>
      <c r="G333">
        <v>16</v>
      </c>
      <c r="H333">
        <v>1272.76</v>
      </c>
      <c r="I333" s="54">
        <v>104.16</v>
      </c>
      <c r="J333" s="23">
        <v>45551</v>
      </c>
      <c r="K333" s="46">
        <v>0.7255787037037037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 s="20">
        <f t="shared" si="291"/>
        <v>105.02200000000001</v>
      </c>
      <c r="Z333" t="s">
        <v>154</v>
      </c>
      <c r="AA333">
        <v>4</v>
      </c>
      <c r="AB333" t="s">
        <v>7</v>
      </c>
      <c r="AC333">
        <v>58368</v>
      </c>
      <c r="AD333">
        <v>256</v>
      </c>
      <c r="AE333">
        <v>1</v>
      </c>
      <c r="AF333">
        <v>16</v>
      </c>
      <c r="AG333">
        <v>962.81</v>
      </c>
      <c r="AH333" s="20">
        <v>137.69</v>
      </c>
      <c r="AI333" s="23">
        <v>45558</v>
      </c>
      <c r="AJ333" s="46">
        <v>0.12589120370370371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 s="20">
        <f t="shared" si="292"/>
        <v>137.64000000000001</v>
      </c>
    </row>
    <row r="334" spans="1:49">
      <c r="A334" t="s">
        <v>103</v>
      </c>
      <c r="B334">
        <v>0</v>
      </c>
      <c r="C334" t="s">
        <v>7</v>
      </c>
      <c r="D334">
        <v>51968</v>
      </c>
      <c r="E334">
        <v>256</v>
      </c>
      <c r="F334">
        <v>2</v>
      </c>
      <c r="G334">
        <v>8</v>
      </c>
      <c r="H334">
        <v>793.21</v>
      </c>
      <c r="I334" s="54">
        <v>117.96</v>
      </c>
      <c r="J334" s="23">
        <v>45546</v>
      </c>
      <c r="K334" s="46">
        <v>0.58906250000000004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 s="51">
        <f t="shared" ref="X334" si="293">AVERAGE(I334:I338)</f>
        <v>119.92999999999999</v>
      </c>
      <c r="Z334" t="s">
        <v>154</v>
      </c>
      <c r="AA334">
        <v>0</v>
      </c>
      <c r="AB334" t="s">
        <v>7</v>
      </c>
      <c r="AC334">
        <v>51968</v>
      </c>
      <c r="AD334">
        <v>256</v>
      </c>
      <c r="AE334">
        <v>2</v>
      </c>
      <c r="AF334">
        <v>8</v>
      </c>
      <c r="AG334">
        <v>638.95000000000005</v>
      </c>
      <c r="AH334" s="20">
        <v>146.44</v>
      </c>
      <c r="AI334" s="23">
        <v>45553</v>
      </c>
      <c r="AJ334" s="46">
        <v>0.63961805555555551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 s="51">
        <f t="shared" ref="AW334" si="294">AVERAGE(AH334:AH338)</f>
        <v>146.26799999999997</v>
      </c>
    </row>
    <row r="335" spans="1:49">
      <c r="A335" t="s">
        <v>103</v>
      </c>
      <c r="B335">
        <v>1</v>
      </c>
      <c r="C335" t="s">
        <v>7</v>
      </c>
      <c r="D335">
        <v>51968</v>
      </c>
      <c r="E335">
        <v>256</v>
      </c>
      <c r="F335">
        <v>2</v>
      </c>
      <c r="G335">
        <v>8</v>
      </c>
      <c r="H335">
        <v>784.18</v>
      </c>
      <c r="I335" s="54">
        <v>119.32</v>
      </c>
      <c r="J335" s="23">
        <v>45547</v>
      </c>
      <c r="K335" s="46">
        <v>0.68116898148148153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 s="20">
        <f t="shared" ref="X335:X338" si="295">X334</f>
        <v>119.92999999999999</v>
      </c>
      <c r="Z335" t="s">
        <v>154</v>
      </c>
      <c r="AA335">
        <v>1</v>
      </c>
      <c r="AB335" t="s">
        <v>7</v>
      </c>
      <c r="AC335">
        <v>51968</v>
      </c>
      <c r="AD335">
        <v>256</v>
      </c>
      <c r="AE335">
        <v>2</v>
      </c>
      <c r="AF335">
        <v>8</v>
      </c>
      <c r="AG335">
        <v>644.29999999999995</v>
      </c>
      <c r="AH335" s="20">
        <v>145.22999999999999</v>
      </c>
      <c r="AI335" s="23">
        <v>45554</v>
      </c>
      <c r="AJ335" s="46">
        <v>0.59137731481481481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 s="20">
        <f t="shared" ref="AW335:AW338" si="296">AW334</f>
        <v>146.26799999999997</v>
      </c>
    </row>
    <row r="336" spans="1:49">
      <c r="A336" t="s">
        <v>103</v>
      </c>
      <c r="B336">
        <v>2</v>
      </c>
      <c r="C336" t="s">
        <v>7</v>
      </c>
      <c r="D336">
        <v>51968</v>
      </c>
      <c r="E336">
        <v>256</v>
      </c>
      <c r="F336">
        <v>2</v>
      </c>
      <c r="G336">
        <v>8</v>
      </c>
      <c r="H336">
        <v>777.12</v>
      </c>
      <c r="I336" s="54">
        <v>120.41</v>
      </c>
      <c r="J336" s="23">
        <v>45548</v>
      </c>
      <c r="K336" s="46">
        <v>0.77243055555555551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 s="20">
        <f t="shared" si="295"/>
        <v>119.92999999999999</v>
      </c>
      <c r="Z336" t="s">
        <v>154</v>
      </c>
      <c r="AA336">
        <v>2</v>
      </c>
      <c r="AB336" t="s">
        <v>7</v>
      </c>
      <c r="AC336">
        <v>51968</v>
      </c>
      <c r="AD336">
        <v>256</v>
      </c>
      <c r="AE336">
        <v>2</v>
      </c>
      <c r="AF336">
        <v>8</v>
      </c>
      <c r="AG336">
        <v>643.52</v>
      </c>
      <c r="AH336" s="20">
        <v>145.4</v>
      </c>
      <c r="AI336" s="23">
        <v>45555</v>
      </c>
      <c r="AJ336" s="46">
        <v>0.54372685185185188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 s="20">
        <f t="shared" si="296"/>
        <v>146.26799999999997</v>
      </c>
    </row>
    <row r="337" spans="1:49">
      <c r="A337" t="s">
        <v>103</v>
      </c>
      <c r="B337">
        <v>3</v>
      </c>
      <c r="C337" t="s">
        <v>7</v>
      </c>
      <c r="D337">
        <v>51968</v>
      </c>
      <c r="E337">
        <v>256</v>
      </c>
      <c r="F337">
        <v>2</v>
      </c>
      <c r="G337">
        <v>8</v>
      </c>
      <c r="H337">
        <v>774.5</v>
      </c>
      <c r="I337" s="54">
        <v>120.81</v>
      </c>
      <c r="J337" s="23">
        <v>45549</v>
      </c>
      <c r="K337" s="46">
        <v>0.86146990740740736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 s="20">
        <f t="shared" si="295"/>
        <v>119.92999999999999</v>
      </c>
      <c r="Z337" t="s">
        <v>154</v>
      </c>
      <c r="AA337">
        <v>3</v>
      </c>
      <c r="AB337" t="s">
        <v>7</v>
      </c>
      <c r="AC337">
        <v>51968</v>
      </c>
      <c r="AD337">
        <v>256</v>
      </c>
      <c r="AE337">
        <v>2</v>
      </c>
      <c r="AF337">
        <v>8</v>
      </c>
      <c r="AG337">
        <v>638.24</v>
      </c>
      <c r="AH337" s="20">
        <v>146.61000000000001</v>
      </c>
      <c r="AI337" s="23">
        <v>45556</v>
      </c>
      <c r="AJ337" s="46">
        <v>0.49662037037037038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 s="20">
        <f t="shared" si="296"/>
        <v>146.26799999999997</v>
      </c>
    </row>
    <row r="338" spans="1:49">
      <c r="A338" t="s">
        <v>103</v>
      </c>
      <c r="B338">
        <v>4</v>
      </c>
      <c r="C338" t="s">
        <v>7</v>
      </c>
      <c r="D338">
        <v>51968</v>
      </c>
      <c r="E338">
        <v>256</v>
      </c>
      <c r="F338">
        <v>2</v>
      </c>
      <c r="G338">
        <v>8</v>
      </c>
      <c r="H338" s="1">
        <v>772.36</v>
      </c>
      <c r="I338" s="54">
        <v>121.15</v>
      </c>
      <c r="J338" s="23">
        <v>45550</v>
      </c>
      <c r="K338" s="46">
        <v>0.950775462962963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 s="20">
        <f t="shared" si="295"/>
        <v>119.92999999999999</v>
      </c>
      <c r="Z338" t="s">
        <v>154</v>
      </c>
      <c r="AA338">
        <v>4</v>
      </c>
      <c r="AB338" t="s">
        <v>7</v>
      </c>
      <c r="AC338">
        <v>51968</v>
      </c>
      <c r="AD338">
        <v>256</v>
      </c>
      <c r="AE338">
        <v>2</v>
      </c>
      <c r="AF338">
        <v>8</v>
      </c>
      <c r="AG338">
        <v>633.69000000000005</v>
      </c>
      <c r="AH338" s="20">
        <v>147.66</v>
      </c>
      <c r="AI338" s="23">
        <v>45557</v>
      </c>
      <c r="AJ338" s="46">
        <v>0.44959490740740743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 s="20">
        <f t="shared" si="296"/>
        <v>146.26799999999997</v>
      </c>
    </row>
    <row r="339" spans="1:49">
      <c r="A339" t="s">
        <v>103</v>
      </c>
      <c r="B339">
        <v>0</v>
      </c>
      <c r="C339" t="s">
        <v>7</v>
      </c>
      <c r="D339">
        <v>55296</v>
      </c>
      <c r="E339">
        <v>256</v>
      </c>
      <c r="F339">
        <v>2</v>
      </c>
      <c r="G339">
        <v>8</v>
      </c>
      <c r="H339">
        <v>998.43</v>
      </c>
      <c r="I339" s="54">
        <v>112.9</v>
      </c>
      <c r="J339" s="23">
        <v>45546</v>
      </c>
      <c r="K339" s="46">
        <v>0.95475694444444448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 s="51">
        <f t="shared" ref="X339" si="297">AVERAGE(I339:I343)</f>
        <v>112.28800000000001</v>
      </c>
      <c r="Z339" t="s">
        <v>154</v>
      </c>
      <c r="AA339">
        <v>0</v>
      </c>
      <c r="AB339" t="s">
        <v>7</v>
      </c>
      <c r="AC339">
        <v>55296</v>
      </c>
      <c r="AD339">
        <v>256</v>
      </c>
      <c r="AE339">
        <v>2</v>
      </c>
      <c r="AF339">
        <v>8</v>
      </c>
      <c r="AG339">
        <v>754.01</v>
      </c>
      <c r="AH339" s="20">
        <v>149.5</v>
      </c>
      <c r="AI339" s="23">
        <v>45553</v>
      </c>
      <c r="AJ339" s="46">
        <v>0.95557870370370368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 s="51">
        <f t="shared" ref="AW339" si="298">AVERAGE(AH339:AH343)</f>
        <v>148.73399999999998</v>
      </c>
    </row>
    <row r="340" spans="1:49">
      <c r="A340" t="s">
        <v>103</v>
      </c>
      <c r="B340">
        <v>1</v>
      </c>
      <c r="C340" t="s">
        <v>7</v>
      </c>
      <c r="D340">
        <v>55296</v>
      </c>
      <c r="E340">
        <v>256</v>
      </c>
      <c r="F340">
        <v>2</v>
      </c>
      <c r="G340">
        <v>8</v>
      </c>
      <c r="H340">
        <v>1004.47</v>
      </c>
      <c r="I340" s="54">
        <v>112.22</v>
      </c>
      <c r="J340" s="23">
        <v>45548</v>
      </c>
      <c r="K340" s="46">
        <v>4.746527777777778E-2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 s="20">
        <f t="shared" ref="X340:X343" si="299">X339</f>
        <v>112.28800000000001</v>
      </c>
      <c r="Z340" t="s">
        <v>154</v>
      </c>
      <c r="AA340">
        <v>1</v>
      </c>
      <c r="AB340" t="s">
        <v>7</v>
      </c>
      <c r="AC340">
        <v>55296</v>
      </c>
      <c r="AD340">
        <v>256</v>
      </c>
      <c r="AE340">
        <v>2</v>
      </c>
      <c r="AF340">
        <v>8</v>
      </c>
      <c r="AG340">
        <v>753.22</v>
      </c>
      <c r="AH340" s="20">
        <v>149.65</v>
      </c>
      <c r="AI340" s="23">
        <v>45554</v>
      </c>
      <c r="AJ340" s="46">
        <v>0.90762731481481485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 s="20">
        <f t="shared" ref="AW340:AW343" si="300">AW339</f>
        <v>148.73399999999998</v>
      </c>
    </row>
    <row r="341" spans="1:49">
      <c r="A341" t="s">
        <v>103</v>
      </c>
      <c r="B341">
        <v>2</v>
      </c>
      <c r="C341" t="s">
        <v>7</v>
      </c>
      <c r="D341">
        <v>55296</v>
      </c>
      <c r="E341">
        <v>256</v>
      </c>
      <c r="F341">
        <v>2</v>
      </c>
      <c r="G341">
        <v>8</v>
      </c>
      <c r="H341" s="1">
        <v>1001.57</v>
      </c>
      <c r="I341" s="54">
        <v>112.54</v>
      </c>
      <c r="J341" s="23">
        <v>45549</v>
      </c>
      <c r="K341" s="46">
        <v>0.13740740740740739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 s="20">
        <f t="shared" si="299"/>
        <v>112.28800000000001</v>
      </c>
      <c r="Z341" t="s">
        <v>154</v>
      </c>
      <c r="AA341">
        <v>2</v>
      </c>
      <c r="AB341" t="s">
        <v>7</v>
      </c>
      <c r="AC341">
        <v>55296</v>
      </c>
      <c r="AD341">
        <v>256</v>
      </c>
      <c r="AE341">
        <v>2</v>
      </c>
      <c r="AF341">
        <v>8</v>
      </c>
      <c r="AG341">
        <v>759.97</v>
      </c>
      <c r="AH341" s="20">
        <v>148.32</v>
      </c>
      <c r="AI341" s="23">
        <v>45555</v>
      </c>
      <c r="AJ341" s="46">
        <v>0.85998842592592595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 s="20">
        <f t="shared" si="300"/>
        <v>148.73399999999998</v>
      </c>
    </row>
    <row r="342" spans="1:49">
      <c r="A342" t="s">
        <v>103</v>
      </c>
      <c r="B342">
        <v>3</v>
      </c>
      <c r="C342" t="s">
        <v>7</v>
      </c>
      <c r="D342">
        <v>55296</v>
      </c>
      <c r="E342">
        <v>256</v>
      </c>
      <c r="F342">
        <v>2</v>
      </c>
      <c r="G342">
        <v>8</v>
      </c>
      <c r="H342">
        <v>1006.78</v>
      </c>
      <c r="I342" s="54">
        <v>111.96</v>
      </c>
      <c r="J342" s="23">
        <v>45550</v>
      </c>
      <c r="K342" s="46">
        <v>0.22684027777777777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 s="20">
        <f t="shared" si="299"/>
        <v>112.28800000000001</v>
      </c>
      <c r="Z342" t="s">
        <v>154</v>
      </c>
      <c r="AA342">
        <v>3</v>
      </c>
      <c r="AB342" t="s">
        <v>7</v>
      </c>
      <c r="AC342">
        <v>55296</v>
      </c>
      <c r="AD342">
        <v>256</v>
      </c>
      <c r="AE342">
        <v>2</v>
      </c>
      <c r="AF342">
        <v>8</v>
      </c>
      <c r="AG342">
        <v>762.26</v>
      </c>
      <c r="AH342" s="20">
        <v>147.88</v>
      </c>
      <c r="AI342" s="23">
        <v>45556</v>
      </c>
      <c r="AJ342" s="46">
        <v>0.81322916666666667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 s="20">
        <f t="shared" si="300"/>
        <v>148.73399999999998</v>
      </c>
    </row>
    <row r="343" spans="1:49">
      <c r="A343" t="s">
        <v>103</v>
      </c>
      <c r="B343">
        <v>4</v>
      </c>
      <c r="C343" t="s">
        <v>7</v>
      </c>
      <c r="D343">
        <v>55296</v>
      </c>
      <c r="E343">
        <v>256</v>
      </c>
      <c r="F343">
        <v>2</v>
      </c>
      <c r="G343">
        <v>8</v>
      </c>
      <c r="H343">
        <v>1008.04</v>
      </c>
      <c r="I343" s="54">
        <v>111.82</v>
      </c>
      <c r="J343" s="23">
        <v>45551</v>
      </c>
      <c r="K343" s="46">
        <v>0.31504629629629627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 s="20">
        <f t="shared" si="299"/>
        <v>112.28800000000001</v>
      </c>
      <c r="Z343" t="s">
        <v>154</v>
      </c>
      <c r="AA343">
        <v>4</v>
      </c>
      <c r="AB343" t="s">
        <v>7</v>
      </c>
      <c r="AC343">
        <v>55296</v>
      </c>
      <c r="AD343">
        <v>256</v>
      </c>
      <c r="AE343">
        <v>2</v>
      </c>
      <c r="AF343">
        <v>8</v>
      </c>
      <c r="AG343">
        <v>759.97</v>
      </c>
      <c r="AH343" s="20">
        <v>148.32</v>
      </c>
      <c r="AI343" s="23">
        <v>45557</v>
      </c>
      <c r="AJ343" s="46">
        <v>0.76535879629629633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 s="20">
        <f t="shared" si="300"/>
        <v>148.73399999999998</v>
      </c>
    </row>
    <row r="344" spans="1:49">
      <c r="A344" t="s">
        <v>103</v>
      </c>
      <c r="B344">
        <v>0</v>
      </c>
      <c r="C344" t="s">
        <v>7</v>
      </c>
      <c r="D344">
        <v>58368</v>
      </c>
      <c r="E344">
        <v>256</v>
      </c>
      <c r="F344">
        <v>2</v>
      </c>
      <c r="G344">
        <v>8</v>
      </c>
      <c r="H344" s="1">
        <v>1120.46</v>
      </c>
      <c r="I344" s="54">
        <v>118.32</v>
      </c>
      <c r="J344" s="23">
        <v>45547</v>
      </c>
      <c r="K344" s="46">
        <v>0.38010416666666669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 s="51">
        <f t="shared" ref="X344" si="301">AVERAGE(I344:I348)</f>
        <v>119.91</v>
      </c>
      <c r="Z344" t="s">
        <v>154</v>
      </c>
      <c r="AA344">
        <v>0</v>
      </c>
      <c r="AB344" t="s">
        <v>7</v>
      </c>
      <c r="AC344">
        <v>58368</v>
      </c>
      <c r="AD344">
        <v>256</v>
      </c>
      <c r="AE344">
        <v>2</v>
      </c>
      <c r="AF344">
        <v>8</v>
      </c>
      <c r="AG344">
        <v>895.5</v>
      </c>
      <c r="AH344" s="20">
        <v>148.04</v>
      </c>
      <c r="AI344" s="23">
        <v>45554</v>
      </c>
      <c r="AJ344" s="46">
        <v>0.32620370370370372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 s="51">
        <f t="shared" ref="AW344" si="302">AVERAGE(AH344:AH348)</f>
        <v>149.07599999999999</v>
      </c>
    </row>
    <row r="345" spans="1:49">
      <c r="A345" t="s">
        <v>103</v>
      </c>
      <c r="B345">
        <v>1</v>
      </c>
      <c r="C345" t="s">
        <v>7</v>
      </c>
      <c r="D345">
        <v>58368</v>
      </c>
      <c r="E345">
        <v>256</v>
      </c>
      <c r="F345">
        <v>2</v>
      </c>
      <c r="G345">
        <v>8</v>
      </c>
      <c r="H345">
        <v>1104.0899999999999</v>
      </c>
      <c r="I345" s="54">
        <v>120.07</v>
      </c>
      <c r="J345" s="23">
        <v>45548</v>
      </c>
      <c r="K345" s="46">
        <v>0.47202546296296294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 s="20">
        <f t="shared" ref="X345:X348" si="303">X344</f>
        <v>119.91</v>
      </c>
      <c r="Z345" t="s">
        <v>154</v>
      </c>
      <c r="AA345">
        <v>1</v>
      </c>
      <c r="AB345" t="s">
        <v>7</v>
      </c>
      <c r="AC345">
        <v>58368</v>
      </c>
      <c r="AD345">
        <v>256</v>
      </c>
      <c r="AE345">
        <v>2</v>
      </c>
      <c r="AF345">
        <v>8</v>
      </c>
      <c r="AG345">
        <v>889.85</v>
      </c>
      <c r="AH345" s="20">
        <v>148.97999999999999</v>
      </c>
      <c r="AI345" s="23">
        <v>45555</v>
      </c>
      <c r="AJ345" s="46">
        <v>0.27869212962962964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 s="20">
        <f t="shared" ref="AW345:AW348" si="304">AW344</f>
        <v>149.07599999999999</v>
      </c>
    </row>
    <row r="346" spans="1:49">
      <c r="A346" t="s">
        <v>103</v>
      </c>
      <c r="B346">
        <v>2</v>
      </c>
      <c r="C346" t="s">
        <v>7</v>
      </c>
      <c r="D346">
        <v>58368</v>
      </c>
      <c r="E346">
        <v>256</v>
      </c>
      <c r="F346">
        <v>2</v>
      </c>
      <c r="G346">
        <v>8</v>
      </c>
      <c r="H346">
        <v>1104.03</v>
      </c>
      <c r="I346" s="54">
        <v>120.08</v>
      </c>
      <c r="J346" s="23">
        <v>45549</v>
      </c>
      <c r="K346" s="46">
        <v>0.56140046296296298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 s="20">
        <f t="shared" si="303"/>
        <v>119.91</v>
      </c>
      <c r="Z346" t="s">
        <v>154</v>
      </c>
      <c r="AA346">
        <v>2</v>
      </c>
      <c r="AB346" t="s">
        <v>7</v>
      </c>
      <c r="AC346">
        <v>58368</v>
      </c>
      <c r="AD346">
        <v>256</v>
      </c>
      <c r="AE346">
        <v>2</v>
      </c>
      <c r="AF346">
        <v>8</v>
      </c>
      <c r="AG346">
        <v>884.1</v>
      </c>
      <c r="AH346" s="20">
        <v>149.94999999999999</v>
      </c>
      <c r="AI346" s="23">
        <v>45556</v>
      </c>
      <c r="AJ346" s="46">
        <v>0.23146990740740742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 s="20">
        <f t="shared" si="304"/>
        <v>149.07599999999999</v>
      </c>
    </row>
    <row r="347" spans="1:49">
      <c r="A347" t="s">
        <v>103</v>
      </c>
      <c r="B347">
        <v>3</v>
      </c>
      <c r="C347" t="s">
        <v>7</v>
      </c>
      <c r="D347">
        <v>58368</v>
      </c>
      <c r="E347">
        <v>256</v>
      </c>
      <c r="F347">
        <v>2</v>
      </c>
      <c r="G347">
        <v>8</v>
      </c>
      <c r="H347">
        <v>1104.3900000000001</v>
      </c>
      <c r="I347" s="54">
        <v>120.04</v>
      </c>
      <c r="J347" s="23">
        <v>45550</v>
      </c>
      <c r="K347" s="46">
        <v>0.6507060185185185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 s="20">
        <f t="shared" si="303"/>
        <v>119.91</v>
      </c>
      <c r="Z347" t="s">
        <v>154</v>
      </c>
      <c r="AA347">
        <v>3</v>
      </c>
      <c r="AB347" t="s">
        <v>7</v>
      </c>
      <c r="AC347">
        <v>58368</v>
      </c>
      <c r="AD347">
        <v>256</v>
      </c>
      <c r="AE347">
        <v>2</v>
      </c>
      <c r="AF347">
        <v>8</v>
      </c>
      <c r="AG347">
        <v>888.57</v>
      </c>
      <c r="AH347" s="20">
        <v>149.19999999999999</v>
      </c>
      <c r="AI347" s="23">
        <v>45557</v>
      </c>
      <c r="AJ347" s="46">
        <v>0.18453703703703703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 s="20">
        <f t="shared" si="304"/>
        <v>149.07599999999999</v>
      </c>
    </row>
    <row r="348" spans="1:49">
      <c r="A348" t="s">
        <v>103</v>
      </c>
      <c r="B348">
        <v>4</v>
      </c>
      <c r="C348" t="s">
        <v>7</v>
      </c>
      <c r="D348">
        <v>58368</v>
      </c>
      <c r="E348">
        <v>256</v>
      </c>
      <c r="F348">
        <v>2</v>
      </c>
      <c r="G348">
        <v>8</v>
      </c>
      <c r="H348">
        <v>1095.29</v>
      </c>
      <c r="I348" s="54">
        <v>121.04</v>
      </c>
      <c r="J348" s="23">
        <v>45551</v>
      </c>
      <c r="K348" s="46">
        <v>0.73910879629629633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 s="20">
        <f t="shared" si="303"/>
        <v>119.91</v>
      </c>
      <c r="Z348" t="s">
        <v>154</v>
      </c>
      <c r="AA348">
        <v>4</v>
      </c>
      <c r="AB348" t="s">
        <v>7</v>
      </c>
      <c r="AC348">
        <v>58368</v>
      </c>
      <c r="AD348">
        <v>256</v>
      </c>
      <c r="AE348">
        <v>2</v>
      </c>
      <c r="AF348">
        <v>8</v>
      </c>
      <c r="AG348">
        <v>888.49</v>
      </c>
      <c r="AH348" s="20">
        <v>149.21</v>
      </c>
      <c r="AI348" s="23">
        <v>45558</v>
      </c>
      <c r="AJ348" s="46">
        <v>0.13646990740740741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 s="20">
        <f t="shared" si="304"/>
        <v>149.07599999999999</v>
      </c>
    </row>
    <row r="349" spans="1:49">
      <c r="A349" t="s">
        <v>103</v>
      </c>
      <c r="B349">
        <v>0</v>
      </c>
      <c r="C349" t="s">
        <v>7</v>
      </c>
      <c r="D349">
        <v>51968</v>
      </c>
      <c r="E349">
        <v>256</v>
      </c>
      <c r="F349">
        <v>4</v>
      </c>
      <c r="G349">
        <v>4</v>
      </c>
      <c r="H349">
        <v>833.19</v>
      </c>
      <c r="I349" s="54">
        <v>112.3</v>
      </c>
      <c r="J349" s="23">
        <v>45546</v>
      </c>
      <c r="K349" s="46">
        <v>0.59937499999999999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 s="51">
        <f t="shared" ref="X349" si="305">AVERAGE(I349:I353)</f>
        <v>112.66600000000001</v>
      </c>
      <c r="Z349" t="s">
        <v>154</v>
      </c>
      <c r="AA349">
        <v>0</v>
      </c>
      <c r="AB349" t="s">
        <v>7</v>
      </c>
      <c r="AC349">
        <v>51968</v>
      </c>
      <c r="AD349">
        <v>256</v>
      </c>
      <c r="AE349">
        <v>4</v>
      </c>
      <c r="AF349">
        <v>4</v>
      </c>
      <c r="AG349">
        <v>722.52</v>
      </c>
      <c r="AH349" s="20">
        <v>129.5</v>
      </c>
      <c r="AI349" s="23">
        <v>45553</v>
      </c>
      <c r="AJ349" s="46">
        <v>0.64820601851851856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 s="51">
        <f t="shared" ref="AW349" si="306">AVERAGE(AH349:AH353)</f>
        <v>130.48399999999998</v>
      </c>
    </row>
    <row r="350" spans="1:49">
      <c r="A350" t="s">
        <v>103</v>
      </c>
      <c r="B350">
        <v>1</v>
      </c>
      <c r="C350" t="s">
        <v>7</v>
      </c>
      <c r="D350">
        <v>51968</v>
      </c>
      <c r="E350">
        <v>256</v>
      </c>
      <c r="F350">
        <v>4</v>
      </c>
      <c r="G350">
        <v>4</v>
      </c>
      <c r="H350" s="1">
        <v>837.31</v>
      </c>
      <c r="I350" s="54">
        <v>111.75</v>
      </c>
      <c r="J350" s="23">
        <v>45547</v>
      </c>
      <c r="K350" s="46">
        <v>0.69152777777777774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 s="20">
        <f t="shared" ref="X350:X353" si="307">X349</f>
        <v>112.66600000000001</v>
      </c>
      <c r="Z350" t="s">
        <v>154</v>
      </c>
      <c r="AA350">
        <v>1</v>
      </c>
      <c r="AB350" t="s">
        <v>7</v>
      </c>
      <c r="AC350">
        <v>51968</v>
      </c>
      <c r="AD350">
        <v>256</v>
      </c>
      <c r="AE350">
        <v>4</v>
      </c>
      <c r="AF350">
        <v>4</v>
      </c>
      <c r="AG350">
        <v>715.94</v>
      </c>
      <c r="AH350" s="20">
        <v>130.69</v>
      </c>
      <c r="AI350" s="23">
        <v>45554</v>
      </c>
      <c r="AJ350" s="46">
        <v>0.59988425925925926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 s="20">
        <f t="shared" ref="AW350:AW353" si="308">AW349</f>
        <v>130.48399999999998</v>
      </c>
    </row>
    <row r="351" spans="1:49">
      <c r="A351" t="s">
        <v>103</v>
      </c>
      <c r="B351">
        <v>2</v>
      </c>
      <c r="C351" t="s">
        <v>7</v>
      </c>
      <c r="D351">
        <v>51968</v>
      </c>
      <c r="E351">
        <v>256</v>
      </c>
      <c r="F351">
        <v>4</v>
      </c>
      <c r="G351">
        <v>4</v>
      </c>
      <c r="H351">
        <v>827.66</v>
      </c>
      <c r="I351" s="54">
        <v>113.05</v>
      </c>
      <c r="J351" s="23">
        <v>45548</v>
      </c>
      <c r="K351" s="46">
        <v>0.78268518518518515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 s="20">
        <f t="shared" si="307"/>
        <v>112.66600000000001</v>
      </c>
      <c r="Z351" t="s">
        <v>154</v>
      </c>
      <c r="AA351">
        <v>2</v>
      </c>
      <c r="AB351" t="s">
        <v>7</v>
      </c>
      <c r="AC351">
        <v>51968</v>
      </c>
      <c r="AD351">
        <v>256</v>
      </c>
      <c r="AE351">
        <v>4</v>
      </c>
      <c r="AF351">
        <v>4</v>
      </c>
      <c r="AG351">
        <v>717.36</v>
      </c>
      <c r="AH351" s="20">
        <v>130.44</v>
      </c>
      <c r="AI351" s="23">
        <v>45555</v>
      </c>
      <c r="AJ351" s="46">
        <v>0.5522569444444444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 s="20">
        <f t="shared" si="308"/>
        <v>130.48399999999998</v>
      </c>
    </row>
    <row r="352" spans="1:49">
      <c r="A352" t="s">
        <v>103</v>
      </c>
      <c r="B352">
        <v>3</v>
      </c>
      <c r="C352" t="s">
        <v>7</v>
      </c>
      <c r="D352">
        <v>51968</v>
      </c>
      <c r="E352">
        <v>256</v>
      </c>
      <c r="F352">
        <v>4</v>
      </c>
      <c r="G352">
        <v>4</v>
      </c>
      <c r="H352">
        <v>828.34</v>
      </c>
      <c r="I352" s="54">
        <v>112.96</v>
      </c>
      <c r="J352" s="23">
        <v>45549</v>
      </c>
      <c r="K352" s="46">
        <v>0.87172453703703701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 s="20">
        <f t="shared" si="307"/>
        <v>112.66600000000001</v>
      </c>
      <c r="Z352" t="s">
        <v>154</v>
      </c>
      <c r="AA352">
        <v>3</v>
      </c>
      <c r="AB352" t="s">
        <v>7</v>
      </c>
      <c r="AC352">
        <v>51968</v>
      </c>
      <c r="AD352">
        <v>256</v>
      </c>
      <c r="AE352">
        <v>4</v>
      </c>
      <c r="AF352">
        <v>4</v>
      </c>
      <c r="AG352">
        <v>716.04</v>
      </c>
      <c r="AH352" s="20">
        <v>130.68</v>
      </c>
      <c r="AI352" s="23">
        <v>45556</v>
      </c>
      <c r="AJ352" s="46">
        <v>0.50513888888888892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 s="20">
        <f t="shared" si="308"/>
        <v>130.48399999999998</v>
      </c>
    </row>
    <row r="353" spans="1:49">
      <c r="A353" t="s">
        <v>103</v>
      </c>
      <c r="B353">
        <v>4</v>
      </c>
      <c r="C353" t="s">
        <v>7</v>
      </c>
      <c r="D353">
        <v>51968</v>
      </c>
      <c r="E353">
        <v>256</v>
      </c>
      <c r="F353">
        <v>4</v>
      </c>
      <c r="G353">
        <v>4</v>
      </c>
      <c r="H353">
        <v>826.11</v>
      </c>
      <c r="I353" s="54">
        <v>113.27</v>
      </c>
      <c r="J353" s="23">
        <v>45550</v>
      </c>
      <c r="K353" s="46">
        <v>0.96100694444444446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 s="20">
        <f t="shared" si="307"/>
        <v>112.66600000000001</v>
      </c>
      <c r="Z353" t="s">
        <v>154</v>
      </c>
      <c r="AA353">
        <v>4</v>
      </c>
      <c r="AB353" t="s">
        <v>7</v>
      </c>
      <c r="AC353">
        <v>51968</v>
      </c>
      <c r="AD353">
        <v>256</v>
      </c>
      <c r="AE353">
        <v>4</v>
      </c>
      <c r="AF353">
        <v>4</v>
      </c>
      <c r="AG353">
        <v>713.67</v>
      </c>
      <c r="AH353" s="20">
        <v>131.11000000000001</v>
      </c>
      <c r="AI353" s="23">
        <v>45557</v>
      </c>
      <c r="AJ353" s="46">
        <v>0.45807870370370368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 s="20">
        <f t="shared" si="308"/>
        <v>130.48399999999998</v>
      </c>
    </row>
    <row r="354" spans="1:49">
      <c r="A354" t="s">
        <v>103</v>
      </c>
      <c r="B354">
        <v>0</v>
      </c>
      <c r="C354" t="s">
        <v>7</v>
      </c>
      <c r="D354">
        <v>55296</v>
      </c>
      <c r="E354">
        <v>256</v>
      </c>
      <c r="F354">
        <v>4</v>
      </c>
      <c r="G354">
        <v>4</v>
      </c>
      <c r="H354">
        <v>995.5</v>
      </c>
      <c r="I354" s="54">
        <v>113.23</v>
      </c>
      <c r="J354" s="23">
        <v>45546</v>
      </c>
      <c r="K354" s="46">
        <v>0.96702546296296299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 s="51">
        <f t="shared" ref="X354" si="309">AVERAGE(I354:I358)</f>
        <v>113.96</v>
      </c>
      <c r="Z354" t="s">
        <v>154</v>
      </c>
      <c r="AA354">
        <v>0</v>
      </c>
      <c r="AB354" t="s">
        <v>7</v>
      </c>
      <c r="AC354">
        <v>55296</v>
      </c>
      <c r="AD354">
        <v>256</v>
      </c>
      <c r="AE354">
        <v>4</v>
      </c>
      <c r="AF354">
        <v>4</v>
      </c>
      <c r="AG354">
        <v>845.89</v>
      </c>
      <c r="AH354" s="20">
        <v>133.26</v>
      </c>
      <c r="AI354" s="23">
        <v>45553</v>
      </c>
      <c r="AJ354" s="46">
        <v>0.96561342592592592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 s="51">
        <f t="shared" ref="AW354" si="310">AVERAGE(AH354:AH358)</f>
        <v>132.38999999999999</v>
      </c>
    </row>
    <row r="355" spans="1:49">
      <c r="A355" t="s">
        <v>103</v>
      </c>
      <c r="B355">
        <v>1</v>
      </c>
      <c r="C355" t="s">
        <v>7</v>
      </c>
      <c r="D355">
        <v>55296</v>
      </c>
      <c r="E355">
        <v>256</v>
      </c>
      <c r="F355">
        <v>4</v>
      </c>
      <c r="G355">
        <v>4</v>
      </c>
      <c r="H355">
        <v>991.5</v>
      </c>
      <c r="I355" s="54">
        <v>113.69</v>
      </c>
      <c r="J355" s="23">
        <v>45548</v>
      </c>
      <c r="K355" s="46">
        <v>5.9687499999999998E-2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 s="20">
        <f t="shared" ref="X355:X358" si="311">X354</f>
        <v>113.96</v>
      </c>
      <c r="Z355" t="s">
        <v>154</v>
      </c>
      <c r="AA355">
        <v>1</v>
      </c>
      <c r="AB355" t="s">
        <v>7</v>
      </c>
      <c r="AC355">
        <v>55296</v>
      </c>
      <c r="AD355">
        <v>256</v>
      </c>
      <c r="AE355">
        <v>4</v>
      </c>
      <c r="AF355">
        <v>4</v>
      </c>
      <c r="AG355">
        <v>852.29</v>
      </c>
      <c r="AH355" s="20">
        <v>132.26</v>
      </c>
      <c r="AI355" s="23">
        <v>45554</v>
      </c>
      <c r="AJ355" s="46">
        <v>0.91773148148148154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 s="20">
        <f t="shared" ref="AW355:AW358" si="312">AW354</f>
        <v>132.38999999999999</v>
      </c>
    </row>
    <row r="356" spans="1:49">
      <c r="A356" t="s">
        <v>103</v>
      </c>
      <c r="B356">
        <v>2</v>
      </c>
      <c r="C356" t="s">
        <v>7</v>
      </c>
      <c r="D356">
        <v>55296</v>
      </c>
      <c r="E356">
        <v>256</v>
      </c>
      <c r="F356">
        <v>4</v>
      </c>
      <c r="G356">
        <v>4</v>
      </c>
      <c r="H356">
        <v>987.29</v>
      </c>
      <c r="I356" s="54">
        <v>114.17</v>
      </c>
      <c r="J356" s="23">
        <v>45549</v>
      </c>
      <c r="K356" s="46">
        <v>0.14957175925925925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 s="20">
        <f t="shared" si="311"/>
        <v>113.96</v>
      </c>
      <c r="Z356" t="s">
        <v>154</v>
      </c>
      <c r="AA356">
        <v>2</v>
      </c>
      <c r="AB356" t="s">
        <v>7</v>
      </c>
      <c r="AC356">
        <v>55296</v>
      </c>
      <c r="AD356">
        <v>256</v>
      </c>
      <c r="AE356">
        <v>4</v>
      </c>
      <c r="AF356">
        <v>4</v>
      </c>
      <c r="AG356">
        <v>843.97</v>
      </c>
      <c r="AH356" s="20">
        <v>133.56</v>
      </c>
      <c r="AI356" s="23">
        <v>45555</v>
      </c>
      <c r="AJ356" s="46">
        <v>0.87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 s="20">
        <f t="shared" si="312"/>
        <v>132.38999999999999</v>
      </c>
    </row>
    <row r="357" spans="1:49">
      <c r="A357" t="s">
        <v>103</v>
      </c>
      <c r="B357">
        <v>3</v>
      </c>
      <c r="C357" t="s">
        <v>7</v>
      </c>
      <c r="D357">
        <v>55296</v>
      </c>
      <c r="E357">
        <v>256</v>
      </c>
      <c r="F357">
        <v>4</v>
      </c>
      <c r="G357">
        <v>4</v>
      </c>
      <c r="H357">
        <v>986.42</v>
      </c>
      <c r="I357" s="54">
        <v>114.27</v>
      </c>
      <c r="J357" s="23">
        <v>45550</v>
      </c>
      <c r="K357" s="46">
        <v>0.23901620370370372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 s="20">
        <f t="shared" si="311"/>
        <v>113.96</v>
      </c>
      <c r="Z357" t="s">
        <v>154</v>
      </c>
      <c r="AA357">
        <v>3</v>
      </c>
      <c r="AB357" t="s">
        <v>7</v>
      </c>
      <c r="AC357">
        <v>55296</v>
      </c>
      <c r="AD357">
        <v>256</v>
      </c>
      <c r="AE357">
        <v>4</v>
      </c>
      <c r="AF357">
        <v>4</v>
      </c>
      <c r="AG357">
        <v>853.32</v>
      </c>
      <c r="AH357" s="20">
        <v>132.1</v>
      </c>
      <c r="AI357" s="23">
        <v>45556</v>
      </c>
      <c r="AJ357" s="46">
        <v>0.82335648148148144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 s="20">
        <f t="shared" si="312"/>
        <v>132.38999999999999</v>
      </c>
    </row>
    <row r="358" spans="1:49">
      <c r="A358" t="s">
        <v>103</v>
      </c>
      <c r="B358">
        <v>4</v>
      </c>
      <c r="C358" t="s">
        <v>7</v>
      </c>
      <c r="D358">
        <v>55296</v>
      </c>
      <c r="E358">
        <v>256</v>
      </c>
      <c r="F358">
        <v>4</v>
      </c>
      <c r="G358">
        <v>4</v>
      </c>
      <c r="H358" s="1">
        <v>985</v>
      </c>
      <c r="I358" s="54">
        <v>114.44</v>
      </c>
      <c r="J358" s="23">
        <v>45551</v>
      </c>
      <c r="K358" s="46">
        <v>0.32719907407407406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 s="20">
        <f t="shared" si="311"/>
        <v>113.96</v>
      </c>
      <c r="Z358" t="s">
        <v>154</v>
      </c>
      <c r="AA358">
        <v>4</v>
      </c>
      <c r="AB358" t="s">
        <v>7</v>
      </c>
      <c r="AC358">
        <v>55296</v>
      </c>
      <c r="AD358">
        <v>256</v>
      </c>
      <c r="AE358">
        <v>4</v>
      </c>
      <c r="AF358">
        <v>4</v>
      </c>
      <c r="AG358">
        <v>861.97</v>
      </c>
      <c r="AH358" s="20">
        <v>130.77000000000001</v>
      </c>
      <c r="AI358" s="23">
        <v>45557</v>
      </c>
      <c r="AJ358" s="46">
        <v>0.77559027777777778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 s="20">
        <f t="shared" si="312"/>
        <v>132.38999999999999</v>
      </c>
    </row>
    <row r="359" spans="1:49">
      <c r="A359" t="s">
        <v>103</v>
      </c>
      <c r="B359">
        <v>0</v>
      </c>
      <c r="C359" t="s">
        <v>7</v>
      </c>
      <c r="D359">
        <v>58368</v>
      </c>
      <c r="E359">
        <v>256</v>
      </c>
      <c r="F359">
        <v>4</v>
      </c>
      <c r="G359">
        <v>4</v>
      </c>
      <c r="H359">
        <v>1175.6199999999999</v>
      </c>
      <c r="I359" s="54">
        <v>112.77</v>
      </c>
      <c r="J359" s="23">
        <v>45547</v>
      </c>
      <c r="K359" s="46">
        <v>0.39454861111111111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 s="51">
        <f t="shared" ref="X359" si="313">AVERAGE(I359:I363)</f>
        <v>113.502</v>
      </c>
      <c r="Z359" t="s">
        <v>154</v>
      </c>
      <c r="AA359">
        <v>0</v>
      </c>
      <c r="AB359" t="s">
        <v>7</v>
      </c>
      <c r="AC359">
        <v>58368</v>
      </c>
      <c r="AD359">
        <v>256</v>
      </c>
      <c r="AE359">
        <v>4</v>
      </c>
      <c r="AF359">
        <v>4</v>
      </c>
      <c r="AG359">
        <v>999.68</v>
      </c>
      <c r="AH359" s="20">
        <v>132.61000000000001</v>
      </c>
      <c r="AI359" s="23">
        <v>45554</v>
      </c>
      <c r="AJ359" s="46">
        <v>0.33805555555555555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 s="51">
        <f t="shared" ref="AW359" si="314">AVERAGE(AH359:AH363)</f>
        <v>132.202</v>
      </c>
    </row>
    <row r="360" spans="1:49">
      <c r="A360" t="s">
        <v>103</v>
      </c>
      <c r="B360">
        <v>1</v>
      </c>
      <c r="C360" t="s">
        <v>7</v>
      </c>
      <c r="D360">
        <v>58368</v>
      </c>
      <c r="E360">
        <v>256</v>
      </c>
      <c r="F360">
        <v>4</v>
      </c>
      <c r="G360">
        <v>4</v>
      </c>
      <c r="H360">
        <v>1168.97</v>
      </c>
      <c r="I360" s="54">
        <v>113.41</v>
      </c>
      <c r="J360" s="23">
        <v>45548</v>
      </c>
      <c r="K360" s="46">
        <v>0.48638888888888887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 s="20">
        <f t="shared" ref="X360:X363" si="315">X359</f>
        <v>113.502</v>
      </c>
      <c r="Z360" t="s">
        <v>154</v>
      </c>
      <c r="AA360">
        <v>1</v>
      </c>
      <c r="AB360" t="s">
        <v>7</v>
      </c>
      <c r="AC360">
        <v>58368</v>
      </c>
      <c r="AD360">
        <v>256</v>
      </c>
      <c r="AE360">
        <v>4</v>
      </c>
      <c r="AF360">
        <v>4</v>
      </c>
      <c r="AG360">
        <v>994.08</v>
      </c>
      <c r="AH360" s="20">
        <v>133.36000000000001</v>
      </c>
      <c r="AI360" s="23">
        <v>45555</v>
      </c>
      <c r="AJ360" s="46">
        <v>0.29047453703703702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 s="20">
        <f t="shared" ref="AW360:AW363" si="316">AW359</f>
        <v>132.202</v>
      </c>
    </row>
    <row r="361" spans="1:49">
      <c r="A361" t="s">
        <v>103</v>
      </c>
      <c r="B361">
        <v>2</v>
      </c>
      <c r="C361" t="s">
        <v>7</v>
      </c>
      <c r="D361">
        <v>58368</v>
      </c>
      <c r="E361">
        <v>256</v>
      </c>
      <c r="F361">
        <v>4</v>
      </c>
      <c r="G361">
        <v>4</v>
      </c>
      <c r="H361" s="1">
        <v>1165.54</v>
      </c>
      <c r="I361" s="54">
        <v>113.74</v>
      </c>
      <c r="J361" s="23">
        <v>45549</v>
      </c>
      <c r="K361" s="46">
        <v>0.57572916666666663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 s="20">
        <f t="shared" si="315"/>
        <v>113.502</v>
      </c>
      <c r="Z361" t="s">
        <v>154</v>
      </c>
      <c r="AA361">
        <v>2</v>
      </c>
      <c r="AB361" t="s">
        <v>7</v>
      </c>
      <c r="AC361">
        <v>58368</v>
      </c>
      <c r="AD361">
        <v>256</v>
      </c>
      <c r="AE361">
        <v>4</v>
      </c>
      <c r="AF361">
        <v>4</v>
      </c>
      <c r="AG361">
        <v>1004.11</v>
      </c>
      <c r="AH361" s="20">
        <v>132.03</v>
      </c>
      <c r="AI361" s="23">
        <v>45556</v>
      </c>
      <c r="AJ361" s="46">
        <v>0.24336805555555555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 s="20">
        <f t="shared" si="316"/>
        <v>132.202</v>
      </c>
    </row>
    <row r="362" spans="1:49">
      <c r="A362" t="s">
        <v>103</v>
      </c>
      <c r="B362">
        <v>3</v>
      </c>
      <c r="C362" t="s">
        <v>7</v>
      </c>
      <c r="D362">
        <v>58368</v>
      </c>
      <c r="E362">
        <v>256</v>
      </c>
      <c r="F362">
        <v>4</v>
      </c>
      <c r="G362">
        <v>4</v>
      </c>
      <c r="H362">
        <v>1164.21</v>
      </c>
      <c r="I362" s="54">
        <v>113.87</v>
      </c>
      <c r="J362" s="23">
        <v>45550</v>
      </c>
      <c r="K362" s="46">
        <v>0.66501157407407407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 s="20">
        <f t="shared" si="315"/>
        <v>113.502</v>
      </c>
      <c r="Z362" t="s">
        <v>154</v>
      </c>
      <c r="AA362">
        <v>3</v>
      </c>
      <c r="AB362" t="s">
        <v>7</v>
      </c>
      <c r="AC362">
        <v>58368</v>
      </c>
      <c r="AD362">
        <v>256</v>
      </c>
      <c r="AE362">
        <v>4</v>
      </c>
      <c r="AF362">
        <v>4</v>
      </c>
      <c r="AG362">
        <v>1017.39</v>
      </c>
      <c r="AH362" s="20">
        <v>130.31</v>
      </c>
      <c r="AI362" s="23">
        <v>45557</v>
      </c>
      <c r="AJ362" s="46">
        <v>0.19658564814814813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 s="20">
        <f t="shared" si="316"/>
        <v>132.202</v>
      </c>
    </row>
    <row r="363" spans="1:49">
      <c r="A363" t="s">
        <v>103</v>
      </c>
      <c r="B363">
        <v>4</v>
      </c>
      <c r="C363" t="s">
        <v>7</v>
      </c>
      <c r="D363">
        <v>58368</v>
      </c>
      <c r="E363">
        <v>256</v>
      </c>
      <c r="F363">
        <v>4</v>
      </c>
      <c r="G363">
        <v>4</v>
      </c>
      <c r="H363">
        <v>1165.75</v>
      </c>
      <c r="I363" s="54">
        <v>113.72</v>
      </c>
      <c r="J363" s="23">
        <v>45551</v>
      </c>
      <c r="K363" s="46">
        <v>0.75342592592592594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 s="20">
        <f t="shared" si="315"/>
        <v>113.502</v>
      </c>
      <c r="Z363" t="s">
        <v>154</v>
      </c>
      <c r="AA363">
        <v>4</v>
      </c>
      <c r="AB363" t="s">
        <v>7</v>
      </c>
      <c r="AC363">
        <v>58368</v>
      </c>
      <c r="AD363">
        <v>256</v>
      </c>
      <c r="AE363">
        <v>4</v>
      </c>
      <c r="AF363">
        <v>4</v>
      </c>
      <c r="AG363">
        <v>999.07</v>
      </c>
      <c r="AH363" s="20">
        <v>132.69999999999999</v>
      </c>
      <c r="AI363" s="23">
        <v>45558</v>
      </c>
      <c r="AJ363" s="46">
        <v>0.14831018518518518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 s="20">
        <f t="shared" si="316"/>
        <v>132.202</v>
      </c>
    </row>
    <row r="364" spans="1:49">
      <c r="X364" s="62"/>
      <c r="AW364" s="45"/>
    </row>
    <row r="365" spans="1:49">
      <c r="X365" s="62"/>
      <c r="AW365" s="45"/>
    </row>
    <row r="366" spans="1:49">
      <c r="X366" s="62"/>
      <c r="AW366" s="45"/>
    </row>
    <row r="367" spans="1:49">
      <c r="X367" s="62"/>
      <c r="AW367" s="45"/>
    </row>
    <row r="368" spans="1:49">
      <c r="X368" s="62"/>
      <c r="AW368" s="45"/>
    </row>
    <row r="369" spans="24:49">
      <c r="X369" s="62"/>
      <c r="AW369" s="45"/>
    </row>
    <row r="370" spans="24:49">
      <c r="X370" s="62"/>
      <c r="AW370" s="45"/>
    </row>
    <row r="371" spans="24:49">
      <c r="X371" s="62"/>
      <c r="AW371" s="45"/>
    </row>
    <row r="372" spans="24:49">
      <c r="X372" s="62"/>
      <c r="AW372" s="45"/>
    </row>
    <row r="373" spans="24:49">
      <c r="X373" s="62"/>
      <c r="AW373" s="45"/>
    </row>
    <row r="374" spans="24:49">
      <c r="X374" s="62"/>
      <c r="AW374" s="45"/>
    </row>
    <row r="375" spans="24:49">
      <c r="X375" s="62"/>
      <c r="AW375" s="45"/>
    </row>
    <row r="376" spans="24:49">
      <c r="X376" s="62"/>
      <c r="AW376" s="45"/>
    </row>
    <row r="377" spans="24:49">
      <c r="X377" s="62"/>
      <c r="AW377" s="45"/>
    </row>
    <row r="378" spans="24:49">
      <c r="X378" s="62"/>
      <c r="AW378" s="45"/>
    </row>
    <row r="379" spans="24:49">
      <c r="X379" s="62"/>
      <c r="AW379" s="45"/>
    </row>
    <row r="380" spans="24:49">
      <c r="X380" s="62"/>
      <c r="AW380" s="45"/>
    </row>
    <row r="381" spans="24:49">
      <c r="X381" s="62"/>
      <c r="AW381" s="45"/>
    </row>
    <row r="382" spans="24:49">
      <c r="X382" s="62"/>
      <c r="AW382" s="45"/>
    </row>
    <row r="383" spans="24:49">
      <c r="X383" s="62"/>
      <c r="AW383" s="45"/>
    </row>
    <row r="384" spans="24:49">
      <c r="X384" s="62"/>
      <c r="AW384" s="45"/>
    </row>
    <row r="385" spans="24:49">
      <c r="X385" s="62"/>
      <c r="AW385" s="45"/>
    </row>
    <row r="386" spans="24:49">
      <c r="X386" s="62"/>
      <c r="AW386" s="45"/>
    </row>
    <row r="387" spans="24:49">
      <c r="X387" s="62"/>
      <c r="AW387" s="45"/>
    </row>
    <row r="388" spans="24:49">
      <c r="X388" s="62"/>
      <c r="AW388" s="45"/>
    </row>
    <row r="389" spans="24:49">
      <c r="X389" s="62"/>
      <c r="AW389" s="45"/>
    </row>
    <row r="390" spans="24:49">
      <c r="X390" s="62"/>
      <c r="AW390" s="45"/>
    </row>
    <row r="391" spans="24:49">
      <c r="X391" s="62"/>
      <c r="AW391" s="45"/>
    </row>
    <row r="392" spans="24:49">
      <c r="X392" s="62"/>
      <c r="AW392" s="45"/>
    </row>
    <row r="393" spans="24:49">
      <c r="X393" s="62"/>
      <c r="AW393" s="45"/>
    </row>
    <row r="394" spans="24:49">
      <c r="X394" s="62"/>
      <c r="AW394" s="45"/>
    </row>
    <row r="395" spans="24:49">
      <c r="X395" s="62"/>
      <c r="AW395" s="45"/>
    </row>
    <row r="396" spans="24:49">
      <c r="X396" s="62"/>
      <c r="AW396" s="45"/>
    </row>
    <row r="397" spans="24:49">
      <c r="X397" s="62"/>
      <c r="AW397" s="45"/>
    </row>
    <row r="398" spans="24:49">
      <c r="X398" s="62"/>
      <c r="AW398" s="45"/>
    </row>
    <row r="399" spans="24:49">
      <c r="X399" s="62"/>
      <c r="AW399" s="45"/>
    </row>
    <row r="400" spans="24:49">
      <c r="X400" s="62"/>
      <c r="AW400" s="45"/>
    </row>
    <row r="401" spans="24:49">
      <c r="X401" s="62"/>
      <c r="AW401" s="45"/>
    </row>
    <row r="402" spans="24:49">
      <c r="X402" s="62"/>
      <c r="AW402" s="45"/>
    </row>
    <row r="403" spans="24:49">
      <c r="X403" s="62"/>
      <c r="AW403" s="45"/>
    </row>
    <row r="404" spans="24:49">
      <c r="X404" s="62"/>
      <c r="AW404" s="45"/>
    </row>
    <row r="405" spans="24:49">
      <c r="X405" s="62"/>
      <c r="AW405" s="45"/>
    </row>
    <row r="406" spans="24:49">
      <c r="X406" s="62"/>
      <c r="AW406" s="45"/>
    </row>
    <row r="407" spans="24:49">
      <c r="X407" s="62"/>
      <c r="AW407" s="45"/>
    </row>
    <row r="408" spans="24:49">
      <c r="X408" s="62"/>
      <c r="AW408" s="45"/>
    </row>
    <row r="409" spans="24:49">
      <c r="X409" s="62"/>
      <c r="AW409" s="45"/>
    </row>
    <row r="410" spans="24:49">
      <c r="X410" s="62"/>
      <c r="AW410" s="45"/>
    </row>
    <row r="411" spans="24:49">
      <c r="X411" s="62"/>
      <c r="AW411" s="45"/>
    </row>
    <row r="412" spans="24:49">
      <c r="X412" s="62"/>
      <c r="AW412" s="45"/>
    </row>
    <row r="413" spans="24:49">
      <c r="X413" s="62"/>
      <c r="AW413" s="45"/>
    </row>
    <row r="414" spans="24:49">
      <c r="X414" s="62"/>
      <c r="AW414" s="45"/>
    </row>
    <row r="415" spans="24:49">
      <c r="X415" s="62"/>
      <c r="AW415" s="45"/>
    </row>
    <row r="416" spans="24:49">
      <c r="X416" s="62"/>
      <c r="AW416" s="45"/>
    </row>
    <row r="417" spans="24:49">
      <c r="X417" s="62"/>
      <c r="AW417" s="45"/>
    </row>
    <row r="418" spans="24:49">
      <c r="X418" s="62"/>
      <c r="AW418" s="45"/>
    </row>
    <row r="419" spans="24:49">
      <c r="X419" s="62"/>
      <c r="AW419" s="45"/>
    </row>
    <row r="420" spans="24:49">
      <c r="X420" s="62"/>
      <c r="AW420" s="45"/>
    </row>
    <row r="421" spans="24:49">
      <c r="X421" s="62"/>
      <c r="AW421" s="45"/>
    </row>
    <row r="422" spans="24:49">
      <c r="X422" s="62"/>
      <c r="AW422" s="45"/>
    </row>
    <row r="423" spans="24:49">
      <c r="X423" s="62"/>
      <c r="AW423" s="45"/>
    </row>
    <row r="424" spans="24:49">
      <c r="X424" s="62"/>
      <c r="AW424" s="45"/>
    </row>
    <row r="425" spans="24:49">
      <c r="X425" s="62"/>
      <c r="AW425" s="45"/>
    </row>
    <row r="426" spans="24:49">
      <c r="X426" s="62"/>
      <c r="AW426" s="45"/>
    </row>
    <row r="427" spans="24:49">
      <c r="X427" s="62"/>
      <c r="AW427" s="45"/>
    </row>
    <row r="428" spans="24:49">
      <c r="X428" s="62"/>
      <c r="AW428" s="45"/>
    </row>
    <row r="429" spans="24:49">
      <c r="X429" s="62"/>
      <c r="AW429" s="45"/>
    </row>
    <row r="430" spans="24:49">
      <c r="X430" s="62"/>
      <c r="AW430" s="45"/>
    </row>
    <row r="432" spans="24:49">
      <c r="AH432" s="54"/>
      <c r="AI432" s="23"/>
      <c r="AJ432" s="46"/>
      <c r="AW432" s="8"/>
    </row>
    <row r="433" spans="34:49">
      <c r="AH433" s="54"/>
      <c r="AI433" s="23"/>
      <c r="AJ433" s="46"/>
      <c r="AW433" s="8"/>
    </row>
    <row r="434" spans="34:49">
      <c r="AH434" s="54"/>
      <c r="AI434" s="23"/>
      <c r="AJ434" s="46"/>
      <c r="AW434" s="8"/>
    </row>
    <row r="435" spans="34:49">
      <c r="AH435" s="54"/>
      <c r="AI435" s="23"/>
      <c r="AJ435" s="46"/>
      <c r="AW435" s="8"/>
    </row>
    <row r="436" spans="34:49">
      <c r="AH436" s="54"/>
      <c r="AI436" s="23"/>
      <c r="AJ436" s="46"/>
      <c r="AW436" s="8"/>
    </row>
    <row r="437" spans="34:49">
      <c r="AH437" s="54"/>
      <c r="AI437" s="23"/>
      <c r="AJ437" s="46"/>
      <c r="AW437" s="8"/>
    </row>
    <row r="438" spans="34:49">
      <c r="AH438" s="54"/>
      <c r="AI438" s="23"/>
      <c r="AJ438" s="46"/>
      <c r="AW438" s="8"/>
    </row>
    <row r="439" spans="34:49">
      <c r="AH439" s="54"/>
      <c r="AI439" s="23"/>
      <c r="AJ439" s="46"/>
      <c r="AW439" s="8"/>
    </row>
    <row r="440" spans="34:49">
      <c r="AH440" s="54"/>
      <c r="AI440" s="23"/>
      <c r="AJ440" s="46"/>
      <c r="AW440" s="8"/>
    </row>
    <row r="441" spans="34:49">
      <c r="AH441" s="54"/>
      <c r="AI441" s="23"/>
      <c r="AJ441" s="46"/>
      <c r="AW441" s="8"/>
    </row>
    <row r="442" spans="34:49">
      <c r="AH442" s="54"/>
      <c r="AI442" s="23"/>
      <c r="AJ442" s="46"/>
      <c r="AW442" s="8"/>
    </row>
    <row r="443" spans="34:49">
      <c r="AH443" s="54"/>
      <c r="AI443" s="23"/>
      <c r="AJ443" s="46"/>
      <c r="AW443" s="8"/>
    </row>
    <row r="444" spans="34:49">
      <c r="AH444" s="54"/>
      <c r="AI444" s="23"/>
      <c r="AJ444" s="46"/>
      <c r="AW444" s="8"/>
    </row>
    <row r="445" spans="34:49">
      <c r="AH445" s="54"/>
      <c r="AI445" s="23"/>
      <c r="AJ445" s="46"/>
      <c r="AW445" s="8"/>
    </row>
    <row r="446" spans="34:49">
      <c r="AH446" s="54"/>
      <c r="AI446" s="23"/>
      <c r="AJ446" s="46"/>
      <c r="AW446" s="8"/>
    </row>
    <row r="447" spans="34:49">
      <c r="AH447" s="54"/>
      <c r="AI447" s="23"/>
      <c r="AJ447" s="46"/>
      <c r="AW447" s="8"/>
    </row>
    <row r="448" spans="34:49">
      <c r="AH448" s="54"/>
      <c r="AI448" s="23"/>
      <c r="AJ448" s="46"/>
      <c r="AW448" s="8"/>
    </row>
    <row r="449" spans="34:49">
      <c r="AH449" s="54"/>
      <c r="AI449" s="23"/>
      <c r="AJ449" s="46"/>
      <c r="AW449" s="8"/>
    </row>
    <row r="450" spans="34:49">
      <c r="AH450" s="54"/>
      <c r="AI450" s="23"/>
      <c r="AJ450" s="46"/>
      <c r="AW450" s="8"/>
    </row>
    <row r="451" spans="34:49">
      <c r="AH451" s="54"/>
      <c r="AI451" s="23"/>
      <c r="AJ451" s="46"/>
      <c r="AW451" s="8"/>
    </row>
    <row r="452" spans="34:49">
      <c r="AH452" s="54"/>
      <c r="AI452" s="23"/>
      <c r="AJ452" s="46"/>
      <c r="AW452" s="8"/>
    </row>
    <row r="453" spans="34:49">
      <c r="AH453" s="54"/>
      <c r="AI453" s="23"/>
      <c r="AJ453" s="46"/>
      <c r="AW453" s="8"/>
    </row>
    <row r="454" spans="34:49">
      <c r="AH454" s="54"/>
      <c r="AI454" s="23"/>
      <c r="AJ454" s="46"/>
      <c r="AW454" s="8"/>
    </row>
    <row r="455" spans="34:49">
      <c r="AH455" s="54"/>
      <c r="AI455" s="23"/>
      <c r="AJ455" s="46"/>
      <c r="AW455" s="8"/>
    </row>
    <row r="456" spans="34:49">
      <c r="AH456" s="54"/>
      <c r="AI456" s="23"/>
      <c r="AJ456" s="46"/>
      <c r="AW456" s="8"/>
    </row>
    <row r="457" spans="34:49">
      <c r="AH457" s="54"/>
      <c r="AI457" s="23"/>
      <c r="AJ457" s="46"/>
      <c r="AW457" s="8"/>
    </row>
    <row r="458" spans="34:49">
      <c r="AH458" s="54"/>
      <c r="AI458" s="23"/>
      <c r="AJ458" s="46"/>
      <c r="AW458" s="8"/>
    </row>
    <row r="459" spans="34:49">
      <c r="AH459" s="54"/>
      <c r="AI459" s="23"/>
      <c r="AJ459" s="46"/>
      <c r="AW459" s="8"/>
    </row>
    <row r="460" spans="34:49">
      <c r="AH460" s="54"/>
      <c r="AI460" s="23"/>
      <c r="AJ460" s="46"/>
      <c r="AW460" s="8"/>
    </row>
    <row r="461" spans="34:49">
      <c r="AH461" s="54"/>
      <c r="AI461" s="23"/>
      <c r="AJ461" s="46"/>
      <c r="AW461" s="8"/>
    </row>
    <row r="462" spans="34:49">
      <c r="AH462" s="54"/>
      <c r="AI462" s="23"/>
      <c r="AJ462" s="46"/>
      <c r="AW462" s="8"/>
    </row>
    <row r="463" spans="34:49">
      <c r="AH463" s="54"/>
      <c r="AI463" s="23"/>
      <c r="AJ463" s="46"/>
      <c r="AW463" s="8"/>
    </row>
    <row r="464" spans="34:49">
      <c r="AH464" s="54"/>
      <c r="AI464" s="23"/>
      <c r="AJ464" s="46"/>
      <c r="AW464" s="8"/>
    </row>
    <row r="465" spans="34:49">
      <c r="AH465" s="54"/>
      <c r="AI465" s="23"/>
      <c r="AJ465" s="46"/>
      <c r="AW465" s="8"/>
    </row>
    <row r="466" spans="34:49">
      <c r="AH466" s="54"/>
      <c r="AI466" s="23"/>
      <c r="AJ466" s="46"/>
      <c r="AW466" s="8"/>
    </row>
    <row r="467" spans="34:49">
      <c r="AH467" s="54"/>
      <c r="AI467" s="23"/>
      <c r="AJ467" s="46"/>
      <c r="AW467" s="8"/>
    </row>
    <row r="468" spans="34:49">
      <c r="AH468" s="54"/>
      <c r="AI468" s="23"/>
      <c r="AJ468" s="46"/>
      <c r="AW468" s="8"/>
    </row>
    <row r="469" spans="34:49">
      <c r="AH469" s="54"/>
      <c r="AI469" s="23"/>
      <c r="AJ469" s="46"/>
      <c r="AW469" s="8"/>
    </row>
    <row r="470" spans="34:49">
      <c r="AH470" s="54"/>
      <c r="AI470" s="23"/>
      <c r="AJ470" s="46"/>
      <c r="AW470" s="8"/>
    </row>
    <row r="471" spans="34:49">
      <c r="AH471" s="54"/>
      <c r="AI471" s="23"/>
      <c r="AJ471" s="46"/>
      <c r="AW471" s="8"/>
    </row>
    <row r="472" spans="34:49">
      <c r="AH472" s="54"/>
      <c r="AI472" s="23"/>
      <c r="AJ472" s="46"/>
      <c r="AW472" s="8"/>
    </row>
    <row r="473" spans="34:49">
      <c r="AH473" s="54"/>
      <c r="AI473" s="23"/>
      <c r="AJ473" s="46"/>
      <c r="AW473" s="8"/>
    </row>
    <row r="474" spans="34:49">
      <c r="AH474" s="54"/>
      <c r="AI474" s="23"/>
      <c r="AJ474" s="46"/>
      <c r="AW474" s="8"/>
    </row>
    <row r="475" spans="34:49">
      <c r="AH475" s="54"/>
      <c r="AI475" s="23"/>
      <c r="AJ475" s="46"/>
      <c r="AW475" s="8"/>
    </row>
    <row r="476" spans="34:49">
      <c r="AH476" s="54"/>
      <c r="AI476" s="23"/>
      <c r="AJ476" s="46"/>
      <c r="AW476" s="8"/>
    </row>
    <row r="477" spans="34:49">
      <c r="AH477" s="54"/>
      <c r="AI477" s="23"/>
      <c r="AJ477" s="46"/>
      <c r="AW477" s="8"/>
    </row>
    <row r="478" spans="34:49">
      <c r="AH478" s="54"/>
      <c r="AI478" s="23"/>
      <c r="AJ478" s="46"/>
      <c r="AW478" s="8"/>
    </row>
    <row r="479" spans="34:49">
      <c r="AH479" s="54"/>
      <c r="AI479" s="23"/>
      <c r="AJ479" s="46"/>
      <c r="AW479" s="8"/>
    </row>
    <row r="480" spans="34:49">
      <c r="AH480" s="54"/>
      <c r="AI480" s="23"/>
      <c r="AJ480" s="46"/>
      <c r="AW480" s="8"/>
    </row>
    <row r="481" spans="34:49">
      <c r="AH481" s="54"/>
      <c r="AI481" s="23"/>
      <c r="AJ481" s="46"/>
      <c r="AW481" s="8"/>
    </row>
    <row r="482" spans="34:49">
      <c r="AH482" s="54"/>
      <c r="AI482" s="23"/>
      <c r="AJ482" s="46"/>
      <c r="AW482" s="8"/>
    </row>
    <row r="483" spans="34:49">
      <c r="AH483" s="54"/>
      <c r="AI483" s="23"/>
      <c r="AJ483" s="46"/>
      <c r="AW483" s="8"/>
    </row>
    <row r="484" spans="34:49">
      <c r="AH484" s="54"/>
      <c r="AI484" s="23"/>
      <c r="AJ484" s="46"/>
      <c r="AW484" s="8"/>
    </row>
    <row r="485" spans="34:49">
      <c r="AH485" s="54"/>
      <c r="AI485" s="23"/>
      <c r="AJ485" s="46"/>
      <c r="AW485" s="8"/>
    </row>
    <row r="486" spans="34:49">
      <c r="AH486" s="54"/>
      <c r="AI486" s="23"/>
      <c r="AJ486" s="46"/>
      <c r="AW486" s="8"/>
    </row>
    <row r="487" spans="34:49">
      <c r="AH487" s="54"/>
      <c r="AI487" s="23"/>
      <c r="AJ487" s="46"/>
      <c r="AW487" s="8"/>
    </row>
    <row r="488" spans="34:49">
      <c r="AH488" s="54"/>
      <c r="AI488" s="23"/>
      <c r="AJ488" s="46"/>
      <c r="AW488" s="8"/>
    </row>
    <row r="489" spans="34:49">
      <c r="AH489" s="54"/>
      <c r="AI489" s="23"/>
      <c r="AJ489" s="46"/>
      <c r="AW489" s="8"/>
    </row>
    <row r="490" spans="34:49">
      <c r="AH490" s="54"/>
      <c r="AI490" s="23"/>
      <c r="AJ490" s="46"/>
      <c r="AW490" s="8"/>
    </row>
    <row r="491" spans="34:49">
      <c r="AH491" s="54"/>
      <c r="AI491" s="23"/>
      <c r="AJ491" s="46"/>
      <c r="AW491" s="8"/>
    </row>
    <row r="492" spans="34:49">
      <c r="AH492" s="54"/>
      <c r="AI492" s="23"/>
      <c r="AJ492" s="46"/>
      <c r="AW492" s="8"/>
    </row>
    <row r="493" spans="34:49">
      <c r="AH493" s="54"/>
      <c r="AI493" s="23"/>
      <c r="AJ493" s="46"/>
      <c r="AW493" s="8"/>
    </row>
    <row r="494" spans="34:49">
      <c r="AH494" s="54"/>
      <c r="AI494" s="23"/>
      <c r="AJ494" s="46"/>
      <c r="AW494" s="8"/>
    </row>
    <row r="495" spans="34:49">
      <c r="AH495" s="54"/>
      <c r="AI495" s="23"/>
      <c r="AJ495" s="46"/>
      <c r="AW495" s="8"/>
    </row>
    <row r="496" spans="34:49">
      <c r="AH496" s="54"/>
      <c r="AI496" s="23"/>
      <c r="AJ496" s="46"/>
      <c r="AW496" s="8"/>
    </row>
    <row r="497" spans="34:49">
      <c r="AH497" s="54"/>
      <c r="AI497" s="23"/>
      <c r="AJ497" s="46"/>
      <c r="AW497" s="8"/>
    </row>
    <row r="498" spans="34:49">
      <c r="AH498" s="54"/>
      <c r="AI498" s="23"/>
      <c r="AJ498" s="46"/>
      <c r="AW498" s="8"/>
    </row>
    <row r="499" spans="34:49">
      <c r="AH499" s="54"/>
      <c r="AI499" s="23"/>
      <c r="AJ499" s="46"/>
      <c r="AW499" s="8"/>
    </row>
    <row r="500" spans="34:49">
      <c r="AH500" s="54"/>
      <c r="AI500" s="23"/>
      <c r="AJ500" s="46"/>
      <c r="AW500" s="8"/>
    </row>
    <row r="501" spans="34:49">
      <c r="AH501" s="54"/>
      <c r="AI501" s="23"/>
      <c r="AJ501" s="46"/>
      <c r="AW501" s="8"/>
    </row>
    <row r="502" spans="34:49">
      <c r="AH502" s="54"/>
      <c r="AI502" s="23"/>
      <c r="AJ502" s="46"/>
      <c r="AW502" s="8"/>
    </row>
    <row r="503" spans="34:49">
      <c r="AH503" s="54"/>
      <c r="AI503" s="23"/>
      <c r="AJ503" s="46"/>
      <c r="AW503" s="8"/>
    </row>
    <row r="504" spans="34:49">
      <c r="AH504" s="54"/>
      <c r="AI504" s="23"/>
      <c r="AJ504" s="46"/>
      <c r="AW504" s="8"/>
    </row>
    <row r="505" spans="34:49">
      <c r="AH505" s="54"/>
      <c r="AI505" s="23"/>
      <c r="AJ505" s="46"/>
      <c r="AW505" s="8"/>
    </row>
    <row r="506" spans="34:49">
      <c r="AH506" s="54"/>
      <c r="AI506" s="23"/>
      <c r="AJ506" s="46"/>
      <c r="AW506" s="8"/>
    </row>
    <row r="507" spans="34:49">
      <c r="AH507" s="54"/>
      <c r="AI507" s="23"/>
      <c r="AJ507" s="46"/>
      <c r="AW507" s="8"/>
    </row>
    <row r="508" spans="34:49">
      <c r="AH508" s="54"/>
      <c r="AI508" s="23"/>
      <c r="AJ508" s="46"/>
      <c r="AW508" s="8"/>
    </row>
    <row r="509" spans="34:49">
      <c r="AH509" s="54"/>
      <c r="AI509" s="23"/>
      <c r="AJ509" s="46"/>
      <c r="AW509" s="8"/>
    </row>
    <row r="510" spans="34:49">
      <c r="AH510" s="54"/>
      <c r="AI510" s="23"/>
      <c r="AJ510" s="46"/>
      <c r="AW510" s="8"/>
    </row>
    <row r="511" spans="34:49">
      <c r="AH511" s="54"/>
      <c r="AI511" s="23"/>
      <c r="AJ511" s="46"/>
      <c r="AW511" s="8"/>
    </row>
    <row r="512" spans="34:49">
      <c r="AH512" s="54"/>
      <c r="AI512" s="23"/>
      <c r="AJ512" s="46"/>
      <c r="AW512" s="8"/>
    </row>
    <row r="513" spans="34:49">
      <c r="AH513" s="54"/>
      <c r="AI513" s="23"/>
      <c r="AJ513" s="46"/>
      <c r="AW513" s="8"/>
    </row>
    <row r="514" spans="34:49">
      <c r="AH514" s="54"/>
      <c r="AI514" s="23"/>
      <c r="AJ514" s="46"/>
      <c r="AW514" s="8"/>
    </row>
    <row r="515" spans="34:49">
      <c r="AH515" s="54"/>
      <c r="AI515" s="23"/>
      <c r="AJ515" s="46"/>
      <c r="AW515" s="8"/>
    </row>
    <row r="516" spans="34:49">
      <c r="AH516" s="54"/>
      <c r="AI516" s="23"/>
      <c r="AJ516" s="46"/>
      <c r="AW516" s="8"/>
    </row>
    <row r="517" spans="34:49">
      <c r="AH517" s="54"/>
      <c r="AI517" s="23"/>
      <c r="AJ517" s="46"/>
      <c r="AW517" s="8"/>
    </row>
    <row r="518" spans="34:49">
      <c r="AH518" s="54"/>
      <c r="AI518" s="23"/>
      <c r="AJ518" s="46"/>
      <c r="AW518" s="8"/>
    </row>
    <row r="519" spans="34:49">
      <c r="AH519" s="54"/>
      <c r="AI519" s="23"/>
      <c r="AJ519" s="46"/>
      <c r="AW519" s="8"/>
    </row>
    <row r="520" spans="34:49">
      <c r="AH520" s="54"/>
      <c r="AI520" s="23"/>
      <c r="AJ520" s="46"/>
      <c r="AW520" s="8"/>
    </row>
    <row r="521" spans="34:49">
      <c r="AH521" s="54"/>
      <c r="AI521" s="23"/>
      <c r="AJ521" s="46"/>
      <c r="AW521" s="8"/>
    </row>
    <row r="522" spans="34:49">
      <c r="AH522" s="54"/>
      <c r="AI522" s="23"/>
      <c r="AJ522" s="46"/>
      <c r="AW522" s="8"/>
    </row>
    <row r="523" spans="34:49">
      <c r="AH523" s="54"/>
      <c r="AI523" s="23"/>
      <c r="AJ523" s="46"/>
      <c r="AW523" s="8"/>
    </row>
    <row r="524" spans="34:49">
      <c r="AH524" s="54"/>
      <c r="AI524" s="23"/>
      <c r="AJ524" s="46"/>
      <c r="AW524" s="8"/>
    </row>
    <row r="525" spans="34:49">
      <c r="AH525" s="54"/>
      <c r="AI525" s="23"/>
      <c r="AJ525" s="46"/>
      <c r="AW525" s="8"/>
    </row>
    <row r="526" spans="34:49">
      <c r="AH526" s="54"/>
      <c r="AI526" s="23"/>
      <c r="AJ526" s="46"/>
      <c r="AW526" s="8"/>
    </row>
    <row r="527" spans="34:49">
      <c r="AH527" s="54"/>
      <c r="AI527" s="23"/>
      <c r="AJ527" s="46"/>
      <c r="AW527" s="8"/>
    </row>
    <row r="528" spans="34:49">
      <c r="AH528" s="54"/>
      <c r="AI528" s="23"/>
      <c r="AJ528" s="46"/>
      <c r="AW528" s="8"/>
    </row>
    <row r="529" spans="34:49">
      <c r="AH529" s="54"/>
      <c r="AI529" s="23"/>
      <c r="AJ529" s="46"/>
      <c r="AW529" s="8"/>
    </row>
    <row r="530" spans="34:49">
      <c r="AH530" s="54"/>
      <c r="AI530" s="23"/>
      <c r="AJ530" s="46"/>
      <c r="AW530" s="8"/>
    </row>
    <row r="531" spans="34:49">
      <c r="AH531" s="54"/>
      <c r="AI531" s="23"/>
      <c r="AJ531" s="46"/>
      <c r="AW531" s="8"/>
    </row>
    <row r="532" spans="34:49">
      <c r="AH532" s="54"/>
      <c r="AI532" s="23"/>
      <c r="AJ532" s="46"/>
      <c r="AW532" s="8"/>
    </row>
    <row r="533" spans="34:49">
      <c r="AH533" s="54"/>
      <c r="AI533" s="23"/>
      <c r="AJ533" s="46"/>
      <c r="AW533" s="8"/>
    </row>
    <row r="534" spans="34:49">
      <c r="AH534" s="54"/>
      <c r="AI534" s="23"/>
      <c r="AJ534" s="46"/>
      <c r="AW534" s="8"/>
    </row>
    <row r="535" spans="34:49">
      <c r="AH535" s="54"/>
      <c r="AI535" s="23"/>
      <c r="AJ535" s="46"/>
      <c r="AW535" s="8"/>
    </row>
    <row r="536" spans="34:49">
      <c r="AH536" s="54"/>
      <c r="AI536" s="23"/>
      <c r="AJ536" s="46"/>
      <c r="AW536" s="8"/>
    </row>
    <row r="537" spans="34:49">
      <c r="AH537" s="54"/>
      <c r="AI537" s="23"/>
      <c r="AJ537" s="46"/>
      <c r="AW537" s="8"/>
    </row>
    <row r="538" spans="34:49">
      <c r="AH538" s="54"/>
      <c r="AI538" s="23"/>
      <c r="AJ538" s="46"/>
      <c r="AW538" s="8"/>
    </row>
    <row r="539" spans="34:49">
      <c r="AH539" s="54"/>
      <c r="AI539" s="23"/>
      <c r="AJ539" s="46"/>
      <c r="AW539" s="8"/>
    </row>
    <row r="540" spans="34:49">
      <c r="AH540" s="54"/>
      <c r="AI540" s="23"/>
      <c r="AJ540" s="46"/>
      <c r="AW540" s="8"/>
    </row>
    <row r="541" spans="34:49">
      <c r="AH541" s="54"/>
      <c r="AI541" s="23"/>
      <c r="AJ541" s="46"/>
      <c r="AW541" s="8"/>
    </row>
    <row r="542" spans="34:49">
      <c r="AH542" s="54"/>
      <c r="AI542" s="23"/>
      <c r="AJ542" s="46"/>
      <c r="AW542" s="8"/>
    </row>
    <row r="543" spans="34:49">
      <c r="AH543" s="54"/>
      <c r="AI543" s="23"/>
      <c r="AJ543" s="46"/>
      <c r="AW543" s="8"/>
    </row>
    <row r="544" spans="34:49">
      <c r="AH544" s="54"/>
      <c r="AI544" s="23"/>
      <c r="AJ544" s="46"/>
      <c r="AW544" s="8"/>
    </row>
    <row r="545" spans="34:49">
      <c r="AH545" s="54"/>
      <c r="AI545" s="23"/>
      <c r="AJ545" s="46"/>
      <c r="AW545" s="8"/>
    </row>
    <row r="546" spans="34:49">
      <c r="AH546" s="54"/>
      <c r="AI546" s="23"/>
      <c r="AJ546" s="46"/>
      <c r="AW546" s="8"/>
    </row>
    <row r="547" spans="34:49">
      <c r="AH547" s="54"/>
      <c r="AI547" s="23"/>
      <c r="AJ547" s="46"/>
      <c r="AW547" s="8"/>
    </row>
    <row r="548" spans="34:49">
      <c r="AH548" s="54"/>
      <c r="AI548" s="23"/>
      <c r="AJ548" s="46"/>
      <c r="AW548" s="8"/>
    </row>
    <row r="549" spans="34:49">
      <c r="AH549" s="54"/>
      <c r="AI549" s="23"/>
      <c r="AJ549" s="46"/>
      <c r="AW549" s="8"/>
    </row>
    <row r="550" spans="34:49">
      <c r="AH550" s="54"/>
      <c r="AI550" s="23"/>
      <c r="AJ550" s="46"/>
      <c r="AW550" s="8"/>
    </row>
    <row r="551" spans="34:49">
      <c r="AH551" s="54"/>
      <c r="AI551" s="23"/>
      <c r="AJ551" s="46"/>
      <c r="AW551" s="8"/>
    </row>
    <row r="552" spans="34:49">
      <c r="AH552" s="54"/>
      <c r="AI552" s="23"/>
      <c r="AJ552" s="46"/>
      <c r="AW552" s="8"/>
    </row>
    <row r="553" spans="34:49">
      <c r="AH553" s="54"/>
      <c r="AI553" s="23"/>
      <c r="AJ553" s="46"/>
      <c r="AW553" s="8"/>
    </row>
    <row r="554" spans="34:49">
      <c r="AH554" s="54"/>
      <c r="AI554" s="23"/>
      <c r="AJ554" s="46"/>
      <c r="AW554" s="8"/>
    </row>
    <row r="555" spans="34:49">
      <c r="AH555" s="54"/>
      <c r="AI555" s="23"/>
      <c r="AJ555" s="46"/>
      <c r="AW555" s="8"/>
    </row>
    <row r="556" spans="34:49">
      <c r="AH556" s="54"/>
      <c r="AI556" s="23"/>
      <c r="AJ556" s="46"/>
      <c r="AW556" s="8"/>
    </row>
    <row r="557" spans="34:49">
      <c r="AH557" s="54"/>
      <c r="AI557" s="23"/>
      <c r="AJ557" s="46"/>
      <c r="AW557" s="8"/>
    </row>
    <row r="558" spans="34:49">
      <c r="AH558" s="54"/>
      <c r="AI558" s="23"/>
      <c r="AJ558" s="46"/>
      <c r="AW558" s="8"/>
    </row>
    <row r="559" spans="34:49">
      <c r="AH559" s="54"/>
      <c r="AI559" s="23"/>
      <c r="AJ559" s="46"/>
      <c r="AW559" s="8"/>
    </row>
    <row r="560" spans="34:49">
      <c r="AH560" s="54"/>
      <c r="AI560" s="23"/>
      <c r="AJ560" s="46"/>
      <c r="AW560" s="8"/>
    </row>
    <row r="561" spans="34:49">
      <c r="AH561" s="54"/>
      <c r="AI561" s="23"/>
      <c r="AJ561" s="46"/>
      <c r="AW561" s="8"/>
    </row>
    <row r="562" spans="34:49">
      <c r="AH562" s="54"/>
      <c r="AI562" s="23"/>
      <c r="AJ562" s="46"/>
      <c r="AW562" s="8"/>
    </row>
    <row r="563" spans="34:49">
      <c r="AH563" s="54"/>
      <c r="AI563" s="23"/>
      <c r="AJ563" s="46"/>
      <c r="AW563" s="8"/>
    </row>
    <row r="564" spans="34:49">
      <c r="AH564" s="54"/>
      <c r="AI564" s="23"/>
      <c r="AJ564" s="46"/>
      <c r="AW564" s="8"/>
    </row>
    <row r="565" spans="34:49">
      <c r="AH565" s="54"/>
      <c r="AI565" s="23"/>
      <c r="AJ565" s="46"/>
      <c r="AW565" s="8"/>
    </row>
    <row r="566" spans="34:49">
      <c r="AH566" s="54"/>
      <c r="AI566" s="23"/>
      <c r="AJ566" s="46"/>
      <c r="AW566" s="8"/>
    </row>
    <row r="567" spans="34:49">
      <c r="AH567" s="54"/>
      <c r="AI567" s="23"/>
      <c r="AJ567" s="46"/>
      <c r="AW567" s="8"/>
    </row>
    <row r="568" spans="34:49">
      <c r="AH568" s="54"/>
      <c r="AI568" s="23"/>
      <c r="AJ568" s="46"/>
      <c r="AW568" s="8"/>
    </row>
    <row r="569" spans="34:49">
      <c r="AH569" s="54"/>
      <c r="AI569" s="23"/>
      <c r="AJ569" s="46"/>
      <c r="AW569" s="8"/>
    </row>
    <row r="570" spans="34:49">
      <c r="AH570" s="54"/>
      <c r="AI570" s="23"/>
      <c r="AJ570" s="46"/>
      <c r="AW570" s="8"/>
    </row>
    <row r="571" spans="34:49">
      <c r="AH571" s="54"/>
      <c r="AI571" s="23"/>
      <c r="AJ571" s="46"/>
      <c r="AW571" s="8"/>
    </row>
    <row r="572" spans="34:49">
      <c r="AH572" s="54"/>
      <c r="AI572" s="23"/>
      <c r="AJ572" s="46"/>
      <c r="AW572" s="8"/>
    </row>
    <row r="573" spans="34:49">
      <c r="AH573" s="54"/>
      <c r="AI573" s="23"/>
      <c r="AJ573" s="46"/>
      <c r="AW573" s="8"/>
    </row>
    <row r="574" spans="34:49">
      <c r="AH574" s="54"/>
      <c r="AI574" s="23"/>
      <c r="AJ574" s="46"/>
      <c r="AW574" s="8"/>
    </row>
    <row r="575" spans="34:49">
      <c r="AH575" s="54"/>
      <c r="AI575" s="23"/>
      <c r="AJ575" s="46"/>
      <c r="AW575" s="8"/>
    </row>
    <row r="576" spans="34:49">
      <c r="AH576" s="54"/>
      <c r="AI576" s="23"/>
      <c r="AJ576" s="46"/>
      <c r="AW576" s="8"/>
    </row>
    <row r="577" spans="34:49">
      <c r="AH577" s="54"/>
      <c r="AI577" s="23"/>
      <c r="AJ577" s="46"/>
      <c r="AW577" s="8"/>
    </row>
    <row r="578" spans="34:49">
      <c r="AH578" s="54"/>
      <c r="AI578" s="23"/>
      <c r="AJ578" s="46"/>
      <c r="AW578" s="8"/>
    </row>
    <row r="579" spans="34:49">
      <c r="AH579" s="54"/>
      <c r="AI579" s="23"/>
      <c r="AJ579" s="46"/>
      <c r="AW579" s="8"/>
    </row>
    <row r="580" spans="34:49">
      <c r="AH580" s="54"/>
      <c r="AI580" s="23"/>
      <c r="AJ580" s="46"/>
      <c r="AW580" s="8"/>
    </row>
    <row r="581" spans="34:49">
      <c r="AH581" s="54"/>
      <c r="AI581" s="23"/>
      <c r="AJ581" s="46"/>
      <c r="AW581" s="8"/>
    </row>
    <row r="582" spans="34:49">
      <c r="AH582" s="54"/>
      <c r="AI582" s="23"/>
      <c r="AJ582" s="46"/>
      <c r="AW582" s="8"/>
    </row>
    <row r="583" spans="34:49">
      <c r="AH583" s="54"/>
      <c r="AI583" s="23"/>
      <c r="AJ583" s="46"/>
      <c r="AW583" s="8"/>
    </row>
    <row r="584" spans="34:49">
      <c r="AH584" s="54"/>
      <c r="AI584" s="23"/>
      <c r="AJ584" s="46"/>
      <c r="AW584" s="8"/>
    </row>
    <row r="585" spans="34:49">
      <c r="AH585" s="54"/>
      <c r="AI585" s="23"/>
      <c r="AJ585" s="46"/>
      <c r="AW585" s="8"/>
    </row>
    <row r="586" spans="34:49">
      <c r="AH586" s="54"/>
      <c r="AI586" s="23"/>
      <c r="AJ586" s="46"/>
      <c r="AW586" s="8"/>
    </row>
    <row r="587" spans="34:49">
      <c r="AH587" s="54"/>
      <c r="AI587" s="23"/>
      <c r="AJ587" s="46"/>
      <c r="AW587" s="8"/>
    </row>
    <row r="588" spans="34:49">
      <c r="AH588" s="54"/>
      <c r="AI588" s="23"/>
      <c r="AJ588" s="46"/>
      <c r="AW588" s="8"/>
    </row>
    <row r="589" spans="34:49">
      <c r="AH589" s="54"/>
      <c r="AI589" s="23"/>
      <c r="AJ589" s="46"/>
      <c r="AW589" s="8"/>
    </row>
    <row r="590" spans="34:49">
      <c r="AH590" s="54"/>
      <c r="AI590" s="23"/>
      <c r="AJ590" s="46"/>
      <c r="AW590" s="8"/>
    </row>
    <row r="591" spans="34:49">
      <c r="AH591" s="54"/>
      <c r="AI591" s="23"/>
      <c r="AJ591" s="46"/>
      <c r="AW591" s="8"/>
    </row>
    <row r="592" spans="34:49">
      <c r="AH592" s="54"/>
      <c r="AI592" s="23"/>
      <c r="AJ592" s="46"/>
      <c r="AW592" s="8"/>
    </row>
    <row r="593" spans="34:49">
      <c r="AH593" s="54"/>
      <c r="AI593" s="23"/>
      <c r="AJ593" s="46"/>
      <c r="AW593" s="8"/>
    </row>
    <row r="594" spans="34:49">
      <c r="AH594" s="54"/>
      <c r="AI594" s="23"/>
      <c r="AJ594" s="46"/>
      <c r="AW594" s="8"/>
    </row>
    <row r="595" spans="34:49">
      <c r="AH595" s="54"/>
      <c r="AI595" s="23"/>
      <c r="AJ595" s="46"/>
      <c r="AW595" s="8"/>
    </row>
    <row r="596" spans="34:49">
      <c r="AH596" s="54"/>
      <c r="AI596" s="23"/>
      <c r="AJ596" s="46"/>
      <c r="AW596" s="8"/>
    </row>
    <row r="597" spans="34:49">
      <c r="AH597" s="54"/>
      <c r="AI597" s="23"/>
      <c r="AJ597" s="46"/>
      <c r="AW597" s="8"/>
    </row>
    <row r="598" spans="34:49">
      <c r="AH598" s="54"/>
      <c r="AI598" s="23"/>
      <c r="AJ598" s="46"/>
      <c r="AW598" s="8"/>
    </row>
    <row r="599" spans="34:49">
      <c r="AH599" s="54"/>
      <c r="AI599" s="23"/>
      <c r="AJ599" s="46"/>
      <c r="AW599" s="8"/>
    </row>
    <row r="600" spans="34:49">
      <c r="AH600" s="54"/>
      <c r="AI600" s="23"/>
      <c r="AJ600" s="46"/>
      <c r="AW600" s="8"/>
    </row>
    <row r="601" spans="34:49">
      <c r="AH601" s="54"/>
      <c r="AI601" s="23"/>
      <c r="AJ601" s="46"/>
      <c r="AW601" s="8"/>
    </row>
    <row r="602" spans="34:49">
      <c r="AH602" s="54"/>
      <c r="AI602" s="23"/>
      <c r="AJ602" s="46"/>
      <c r="AW602" s="8"/>
    </row>
    <row r="603" spans="34:49">
      <c r="AH603" s="54"/>
      <c r="AI603" s="23"/>
      <c r="AJ603" s="46"/>
      <c r="AW603" s="8"/>
    </row>
    <row r="604" spans="34:49">
      <c r="AH604" s="54"/>
      <c r="AI604" s="23"/>
      <c r="AJ604" s="46"/>
      <c r="AW604" s="8"/>
    </row>
    <row r="605" spans="34:49">
      <c r="AH605" s="54"/>
      <c r="AI605" s="23"/>
      <c r="AJ605" s="46"/>
      <c r="AW605" s="8"/>
    </row>
    <row r="606" spans="34:49">
      <c r="AH606" s="54"/>
      <c r="AI606" s="23"/>
      <c r="AJ606" s="46"/>
      <c r="AW606" s="8"/>
    </row>
    <row r="607" spans="34:49">
      <c r="AH607" s="54"/>
      <c r="AI607" s="23"/>
      <c r="AJ607" s="46"/>
      <c r="AW607" s="8"/>
    </row>
    <row r="608" spans="34:49">
      <c r="AH608" s="54"/>
      <c r="AI608" s="23"/>
      <c r="AJ608" s="46"/>
      <c r="AW608" s="8"/>
    </row>
    <row r="609" spans="34:49">
      <c r="AH609" s="54"/>
      <c r="AI609" s="23"/>
      <c r="AJ609" s="46"/>
      <c r="AW609" s="8"/>
    </row>
    <row r="610" spans="34:49">
      <c r="AH610" s="54"/>
      <c r="AI610" s="23"/>
      <c r="AJ610" s="46"/>
      <c r="AW610" s="8"/>
    </row>
    <row r="611" spans="34:49">
      <c r="AH611" s="54"/>
      <c r="AI611" s="23"/>
      <c r="AJ611" s="46"/>
      <c r="AW611" s="8"/>
    </row>
    <row r="612" spans="34:49">
      <c r="AH612" s="54"/>
      <c r="AI612" s="23"/>
      <c r="AJ612" s="46"/>
      <c r="AW612" s="8"/>
    </row>
    <row r="613" spans="34:49">
      <c r="AH613" s="54"/>
      <c r="AI613" s="23"/>
      <c r="AJ613" s="46"/>
      <c r="AW613" s="8"/>
    </row>
    <row r="614" spans="34:49">
      <c r="AH614" s="54"/>
      <c r="AI614" s="23"/>
      <c r="AJ614" s="46"/>
      <c r="AW614" s="8"/>
    </row>
    <row r="615" spans="34:49">
      <c r="AH615" s="54"/>
      <c r="AI615" s="23"/>
      <c r="AJ615" s="46"/>
      <c r="AW615" s="8"/>
    </row>
    <row r="616" spans="34:49">
      <c r="AH616" s="54"/>
      <c r="AI616" s="23"/>
      <c r="AJ616" s="46"/>
      <c r="AW616" s="8"/>
    </row>
    <row r="617" spans="34:49">
      <c r="AH617" s="54"/>
      <c r="AI617" s="23"/>
      <c r="AJ617" s="46"/>
      <c r="AW617" s="8"/>
    </row>
    <row r="618" spans="34:49">
      <c r="AH618" s="54"/>
      <c r="AI618" s="23"/>
      <c r="AJ618" s="46"/>
      <c r="AW618" s="8"/>
    </row>
    <row r="619" spans="34:49">
      <c r="AH619" s="54"/>
      <c r="AI619" s="23"/>
      <c r="AJ619" s="46"/>
      <c r="AW619" s="8"/>
    </row>
    <row r="620" spans="34:49">
      <c r="AH620" s="54"/>
      <c r="AI620" s="23"/>
      <c r="AJ620" s="46"/>
      <c r="AW620" s="8"/>
    </row>
    <row r="621" spans="34:49">
      <c r="AH621" s="54"/>
      <c r="AI621" s="23"/>
      <c r="AJ621" s="46"/>
      <c r="AW621" s="8"/>
    </row>
    <row r="622" spans="34:49">
      <c r="AH622" s="54"/>
      <c r="AI622" s="23"/>
      <c r="AJ622" s="46"/>
      <c r="AW622" s="8"/>
    </row>
    <row r="623" spans="34:49">
      <c r="AH623" s="54"/>
      <c r="AI623" s="23"/>
      <c r="AJ623" s="46"/>
      <c r="AW623" s="8"/>
    </row>
    <row r="624" spans="34:49">
      <c r="AH624" s="54"/>
      <c r="AI624" s="23"/>
      <c r="AJ624" s="46"/>
      <c r="AW624" s="8"/>
    </row>
    <row r="625" spans="34:49">
      <c r="AH625" s="54"/>
      <c r="AI625" s="23"/>
      <c r="AJ625" s="46"/>
      <c r="AW625" s="8"/>
    </row>
    <row r="626" spans="34:49">
      <c r="AH626" s="54"/>
      <c r="AI626" s="23"/>
      <c r="AJ626" s="46"/>
      <c r="AW626" s="8"/>
    </row>
    <row r="627" spans="34:49">
      <c r="AH627" s="54"/>
      <c r="AI627" s="23"/>
      <c r="AJ627" s="46"/>
      <c r="AW627" s="8"/>
    </row>
    <row r="628" spans="34:49">
      <c r="AH628" s="54"/>
      <c r="AI628" s="23"/>
      <c r="AJ628" s="46"/>
      <c r="AW628" s="8"/>
    </row>
    <row r="629" spans="34:49">
      <c r="AH629" s="54"/>
      <c r="AI629" s="23"/>
      <c r="AJ629" s="46"/>
      <c r="AW629" s="8"/>
    </row>
    <row r="630" spans="34:49">
      <c r="AH630" s="54"/>
      <c r="AI630" s="23"/>
      <c r="AJ630" s="46"/>
      <c r="AW630" s="8"/>
    </row>
    <row r="631" spans="34:49">
      <c r="AH631" s="54"/>
      <c r="AI631" s="23"/>
      <c r="AJ631" s="46"/>
      <c r="AW631" s="8"/>
    </row>
    <row r="632" spans="34:49">
      <c r="AH632" s="54"/>
      <c r="AI632" s="23"/>
      <c r="AJ632" s="46"/>
      <c r="AW632" s="8"/>
    </row>
    <row r="633" spans="34:49">
      <c r="AH633" s="54"/>
      <c r="AI633" s="23"/>
      <c r="AJ633" s="46"/>
      <c r="AW633" s="8"/>
    </row>
    <row r="634" spans="34:49">
      <c r="AH634" s="54"/>
      <c r="AI634" s="23"/>
      <c r="AJ634" s="46"/>
      <c r="AW634" s="8"/>
    </row>
    <row r="635" spans="34:49">
      <c r="AH635" s="54"/>
      <c r="AI635" s="23"/>
      <c r="AJ635" s="46"/>
      <c r="AW635" s="8"/>
    </row>
    <row r="636" spans="34:49">
      <c r="AH636" s="54"/>
      <c r="AI636" s="23"/>
      <c r="AJ636" s="46"/>
      <c r="AW636" s="8"/>
    </row>
    <row r="637" spans="34:49">
      <c r="AH637" s="54"/>
      <c r="AI637" s="23"/>
      <c r="AJ637" s="46"/>
      <c r="AW637" s="8"/>
    </row>
    <row r="638" spans="34:49">
      <c r="AH638" s="54"/>
      <c r="AI638" s="23"/>
      <c r="AJ638" s="46"/>
      <c r="AW638" s="8"/>
    </row>
    <row r="639" spans="34:49">
      <c r="AH639" s="54"/>
      <c r="AI639" s="23"/>
      <c r="AJ639" s="46"/>
      <c r="AW639" s="8"/>
    </row>
    <row r="640" spans="34:49">
      <c r="AH640" s="54"/>
      <c r="AI640" s="23"/>
      <c r="AJ640" s="46"/>
      <c r="AW640" s="8"/>
    </row>
    <row r="641" spans="34:49">
      <c r="AH641" s="54"/>
      <c r="AI641" s="23"/>
      <c r="AJ641" s="46"/>
      <c r="AW641" s="8"/>
    </row>
    <row r="642" spans="34:49">
      <c r="AH642" s="54"/>
      <c r="AI642" s="23"/>
      <c r="AJ642" s="46"/>
      <c r="AW642" s="8"/>
    </row>
    <row r="643" spans="34:49">
      <c r="AH643" s="54"/>
      <c r="AI643" s="23"/>
      <c r="AJ643" s="46"/>
      <c r="AW643" s="8"/>
    </row>
    <row r="644" spans="34:49">
      <c r="AH644" s="54"/>
      <c r="AI644" s="23"/>
      <c r="AJ644" s="46"/>
      <c r="AW644" s="8"/>
    </row>
    <row r="645" spans="34:49">
      <c r="AH645" s="54"/>
      <c r="AI645" s="23"/>
      <c r="AJ645" s="46"/>
      <c r="AW645" s="8"/>
    </row>
    <row r="646" spans="34:49">
      <c r="AH646" s="54"/>
      <c r="AI646" s="23"/>
      <c r="AJ646" s="46"/>
      <c r="AW646" s="8"/>
    </row>
    <row r="647" spans="34:49">
      <c r="AH647" s="54"/>
      <c r="AI647" s="23"/>
      <c r="AJ647" s="46"/>
      <c r="AW647" s="8"/>
    </row>
    <row r="648" spans="34:49">
      <c r="AH648" s="54"/>
      <c r="AI648" s="23"/>
      <c r="AJ648" s="46"/>
      <c r="AW648" s="8"/>
    </row>
    <row r="649" spans="34:49">
      <c r="AH649" s="54"/>
      <c r="AI649" s="23"/>
      <c r="AJ649" s="46"/>
      <c r="AW649" s="8"/>
    </row>
    <row r="650" spans="34:49">
      <c r="AH650" s="54"/>
      <c r="AI650" s="23"/>
      <c r="AJ650" s="46"/>
      <c r="AW650" s="8"/>
    </row>
    <row r="651" spans="34:49">
      <c r="AH651" s="54"/>
      <c r="AI651" s="23"/>
      <c r="AJ651" s="46"/>
      <c r="AW651" s="8"/>
    </row>
    <row r="652" spans="34:49">
      <c r="AH652" s="54"/>
      <c r="AI652" s="23"/>
      <c r="AJ652" s="46"/>
      <c r="AW652" s="8"/>
    </row>
    <row r="653" spans="34:49">
      <c r="AH653" s="54"/>
      <c r="AI653" s="23"/>
      <c r="AJ653" s="46"/>
      <c r="AW653" s="8"/>
    </row>
    <row r="654" spans="34:49">
      <c r="AH654" s="54"/>
      <c r="AI654" s="23"/>
      <c r="AJ654" s="46"/>
      <c r="AW654" s="8"/>
    </row>
    <row r="655" spans="34:49">
      <c r="AH655" s="54"/>
      <c r="AI655" s="23"/>
      <c r="AJ655" s="46"/>
      <c r="AW655" s="8"/>
    </row>
    <row r="656" spans="34:49">
      <c r="AH656" s="54"/>
      <c r="AI656" s="23"/>
      <c r="AJ656" s="46"/>
      <c r="AW656" s="8"/>
    </row>
    <row r="657" spans="34:49">
      <c r="AH657" s="54"/>
      <c r="AI657" s="23"/>
      <c r="AJ657" s="46"/>
      <c r="AW657" s="8"/>
    </row>
    <row r="658" spans="34:49">
      <c r="AH658" s="54"/>
      <c r="AI658" s="23"/>
      <c r="AJ658" s="46"/>
      <c r="AW658" s="8"/>
    </row>
    <row r="659" spans="34:49">
      <c r="AH659" s="54"/>
      <c r="AI659" s="23"/>
      <c r="AJ659" s="46"/>
      <c r="AW659" s="8"/>
    </row>
    <row r="660" spans="34:49">
      <c r="AH660" s="54"/>
      <c r="AI660" s="23"/>
      <c r="AJ660" s="46"/>
      <c r="AW660" s="8"/>
    </row>
    <row r="661" spans="34:49">
      <c r="AH661" s="54"/>
      <c r="AI661" s="23"/>
      <c r="AJ661" s="46"/>
      <c r="AW661" s="8"/>
    </row>
    <row r="662" spans="34:49">
      <c r="AH662" s="54"/>
      <c r="AI662" s="23"/>
      <c r="AJ662" s="46"/>
      <c r="AW662" s="8"/>
    </row>
    <row r="663" spans="34:49">
      <c r="AH663" s="54"/>
      <c r="AI663" s="23"/>
      <c r="AJ663" s="46"/>
      <c r="AW663" s="8"/>
    </row>
    <row r="664" spans="34:49">
      <c r="AH664" s="54"/>
      <c r="AI664" s="23"/>
      <c r="AJ664" s="46"/>
      <c r="AW664" s="8"/>
    </row>
    <row r="665" spans="34:49">
      <c r="AH665" s="54"/>
      <c r="AI665" s="23"/>
      <c r="AJ665" s="46"/>
      <c r="AW665" s="8"/>
    </row>
    <row r="666" spans="34:49">
      <c r="AH666" s="54"/>
      <c r="AI666" s="23"/>
      <c r="AJ666" s="46"/>
      <c r="AW666" s="8"/>
    </row>
    <row r="667" spans="34:49">
      <c r="AH667" s="54"/>
      <c r="AI667" s="23"/>
      <c r="AJ667" s="46"/>
      <c r="AW667" s="8"/>
    </row>
    <row r="668" spans="34:49">
      <c r="AH668" s="54"/>
      <c r="AI668" s="23"/>
      <c r="AJ668" s="46"/>
      <c r="AW668" s="8"/>
    </row>
    <row r="669" spans="34:49">
      <c r="AH669" s="54"/>
      <c r="AI669" s="23"/>
      <c r="AJ669" s="46"/>
      <c r="AW669" s="8"/>
    </row>
    <row r="670" spans="34:49">
      <c r="AH670" s="54"/>
      <c r="AI670" s="23"/>
      <c r="AJ670" s="46"/>
      <c r="AW670" s="8"/>
    </row>
    <row r="671" spans="34:49">
      <c r="AH671" s="54"/>
      <c r="AI671" s="23"/>
      <c r="AJ671" s="46"/>
      <c r="AW671" s="8"/>
    </row>
    <row r="672" spans="34:49">
      <c r="AH672" s="54"/>
      <c r="AI672" s="23"/>
      <c r="AJ672" s="46"/>
      <c r="AW672" s="8"/>
    </row>
    <row r="673" spans="34:49">
      <c r="AH673" s="54"/>
      <c r="AI673" s="23"/>
      <c r="AJ673" s="46"/>
      <c r="AW673" s="8"/>
    </row>
    <row r="674" spans="34:49">
      <c r="AH674" s="54"/>
      <c r="AI674" s="23"/>
      <c r="AJ674" s="46"/>
      <c r="AW674" s="8"/>
    </row>
    <row r="675" spans="34:49">
      <c r="AH675" s="54"/>
      <c r="AI675" s="23"/>
      <c r="AJ675" s="46"/>
      <c r="AW675" s="8"/>
    </row>
    <row r="676" spans="34:49">
      <c r="AH676" s="54"/>
      <c r="AI676" s="23"/>
      <c r="AJ676" s="46"/>
      <c r="AW676" s="8"/>
    </row>
    <row r="677" spans="34:49">
      <c r="AH677" s="54"/>
      <c r="AI677" s="23"/>
      <c r="AJ677" s="46"/>
      <c r="AW677" s="8"/>
    </row>
    <row r="678" spans="34:49">
      <c r="AH678" s="54"/>
      <c r="AI678" s="23"/>
      <c r="AJ678" s="46"/>
      <c r="AW678" s="8"/>
    </row>
    <row r="679" spans="34:49">
      <c r="AH679" s="54"/>
      <c r="AI679" s="23"/>
      <c r="AJ679" s="46"/>
      <c r="AW679" s="8"/>
    </row>
    <row r="680" spans="34:49">
      <c r="AH680" s="54"/>
      <c r="AI680" s="23"/>
      <c r="AJ680" s="46"/>
      <c r="AW680" s="8"/>
    </row>
    <row r="681" spans="34:49">
      <c r="AH681" s="54"/>
      <c r="AI681" s="23"/>
      <c r="AJ681" s="46"/>
      <c r="AW681" s="8"/>
    </row>
    <row r="682" spans="34:49">
      <c r="AH682" s="54"/>
      <c r="AI682" s="23"/>
      <c r="AJ682" s="46"/>
      <c r="AW682" s="8"/>
    </row>
    <row r="683" spans="34:49">
      <c r="AH683" s="54"/>
      <c r="AI683" s="23"/>
      <c r="AJ683" s="46"/>
      <c r="AW683" s="8"/>
    </row>
    <row r="684" spans="34:49">
      <c r="AH684" s="54"/>
      <c r="AI684" s="23"/>
      <c r="AJ684" s="46"/>
      <c r="AW684" s="8"/>
    </row>
    <row r="685" spans="34:49">
      <c r="AH685" s="54"/>
      <c r="AI685" s="23"/>
      <c r="AJ685" s="46"/>
      <c r="AW685" s="8"/>
    </row>
    <row r="686" spans="34:49">
      <c r="AH686" s="54"/>
      <c r="AI686" s="23"/>
      <c r="AJ686" s="46"/>
      <c r="AW686" s="8"/>
    </row>
    <row r="687" spans="34:49">
      <c r="AH687" s="54"/>
      <c r="AI687" s="23"/>
      <c r="AJ687" s="46"/>
      <c r="AW687" s="8"/>
    </row>
    <row r="688" spans="34:49">
      <c r="AH688" s="54"/>
      <c r="AI688" s="23"/>
      <c r="AJ688" s="46"/>
      <c r="AW688" s="8"/>
    </row>
    <row r="689" spans="34:49">
      <c r="AH689" s="54"/>
      <c r="AI689" s="23"/>
      <c r="AJ689" s="46"/>
      <c r="AW689" s="8"/>
    </row>
    <row r="690" spans="34:49">
      <c r="AH690" s="54"/>
      <c r="AI690" s="23"/>
      <c r="AJ690" s="46"/>
      <c r="AW690" s="8"/>
    </row>
    <row r="691" spans="34:49">
      <c r="AH691" s="54"/>
      <c r="AI691" s="23"/>
      <c r="AJ691" s="46"/>
      <c r="AW691" s="8"/>
    </row>
    <row r="692" spans="34:49">
      <c r="AH692" s="54"/>
      <c r="AI692" s="23"/>
      <c r="AJ692" s="46"/>
      <c r="AW692" s="8"/>
    </row>
    <row r="693" spans="34:49">
      <c r="AH693" s="54"/>
      <c r="AI693" s="23"/>
      <c r="AJ693" s="46"/>
      <c r="AW693" s="8"/>
    </row>
    <row r="694" spans="34:49">
      <c r="AH694" s="54"/>
      <c r="AI694" s="23"/>
      <c r="AJ694" s="46"/>
      <c r="AW694" s="8"/>
    </row>
    <row r="695" spans="34:49">
      <c r="AH695" s="54"/>
      <c r="AI695" s="23"/>
      <c r="AJ695" s="46"/>
      <c r="AW695" s="8"/>
    </row>
    <row r="696" spans="34:49">
      <c r="AH696" s="54"/>
      <c r="AI696" s="23"/>
      <c r="AJ696" s="46"/>
      <c r="AW696" s="8"/>
    </row>
    <row r="697" spans="34:49">
      <c r="AH697" s="54"/>
      <c r="AI697" s="23"/>
      <c r="AJ697" s="46"/>
      <c r="AW697" s="8"/>
    </row>
    <row r="698" spans="34:49">
      <c r="AH698" s="54"/>
      <c r="AI698" s="23"/>
      <c r="AJ698" s="46"/>
      <c r="AW698" s="8"/>
    </row>
    <row r="699" spans="34:49">
      <c r="AH699" s="54"/>
      <c r="AI699" s="23"/>
      <c r="AJ699" s="46"/>
      <c r="AW699" s="8"/>
    </row>
    <row r="700" spans="34:49">
      <c r="AH700" s="54"/>
      <c r="AI700" s="23"/>
      <c r="AJ700" s="46"/>
      <c r="AW700" s="8"/>
    </row>
    <row r="701" spans="34:49">
      <c r="AH701" s="54"/>
      <c r="AI701" s="23"/>
      <c r="AJ701" s="46"/>
      <c r="AW701" s="8"/>
    </row>
    <row r="702" spans="34:49">
      <c r="AH702" s="54"/>
      <c r="AI702" s="23"/>
      <c r="AJ702" s="46"/>
      <c r="AW702" s="8"/>
    </row>
    <row r="703" spans="34:49">
      <c r="AH703" s="54"/>
      <c r="AI703" s="23"/>
      <c r="AJ703" s="46"/>
      <c r="AW703" s="8"/>
    </row>
    <row r="704" spans="34:49">
      <c r="AH704" s="54"/>
      <c r="AI704" s="23"/>
      <c r="AJ704" s="46"/>
      <c r="AW704" s="8"/>
    </row>
    <row r="705" spans="34:49">
      <c r="AH705" s="54"/>
      <c r="AI705" s="23"/>
      <c r="AJ705" s="46"/>
      <c r="AW705" s="8"/>
    </row>
    <row r="706" spans="34:49">
      <c r="AH706" s="54"/>
      <c r="AI706" s="23"/>
      <c r="AJ706" s="46"/>
      <c r="AW706" s="8"/>
    </row>
    <row r="707" spans="34:49">
      <c r="AH707" s="54"/>
      <c r="AI707" s="23"/>
      <c r="AJ707" s="46"/>
      <c r="AW707" s="8"/>
    </row>
    <row r="708" spans="34:49">
      <c r="AH708" s="54"/>
      <c r="AI708" s="23"/>
      <c r="AJ708" s="46"/>
      <c r="AW708" s="8"/>
    </row>
    <row r="709" spans="34:49">
      <c r="AH709" s="54"/>
      <c r="AI709" s="23"/>
      <c r="AJ709" s="46"/>
      <c r="AW709" s="8"/>
    </row>
    <row r="710" spans="34:49">
      <c r="AH710" s="54"/>
      <c r="AI710" s="23"/>
      <c r="AJ710" s="46"/>
      <c r="AW710" s="8"/>
    </row>
    <row r="711" spans="34:49">
      <c r="AH711" s="54"/>
      <c r="AI711" s="23"/>
      <c r="AJ711" s="46"/>
      <c r="AW711" s="8"/>
    </row>
    <row r="712" spans="34:49">
      <c r="AH712" s="54"/>
      <c r="AI712" s="23"/>
      <c r="AJ712" s="46"/>
      <c r="AW712" s="8"/>
    </row>
    <row r="713" spans="34:49">
      <c r="AH713" s="54"/>
      <c r="AI713" s="23"/>
      <c r="AJ713" s="46"/>
      <c r="AW713" s="8"/>
    </row>
    <row r="714" spans="34:49">
      <c r="AH714" s="54"/>
      <c r="AI714" s="23"/>
      <c r="AJ714" s="46"/>
      <c r="AW714" s="8"/>
    </row>
    <row r="715" spans="34:49">
      <c r="AH715" s="54"/>
      <c r="AI715" s="23"/>
      <c r="AJ715" s="46"/>
      <c r="AW715" s="8"/>
    </row>
    <row r="716" spans="34:49">
      <c r="AH716" s="54"/>
      <c r="AI716" s="23"/>
      <c r="AJ716" s="46"/>
      <c r="AW716" s="8"/>
    </row>
    <row r="717" spans="34:49">
      <c r="AH717" s="54"/>
      <c r="AI717" s="23"/>
      <c r="AJ717" s="46"/>
      <c r="AW717" s="8"/>
    </row>
    <row r="718" spans="34:49">
      <c r="AH718" s="54"/>
      <c r="AI718" s="23"/>
      <c r="AJ718" s="46"/>
      <c r="AW718" s="8"/>
    </row>
    <row r="719" spans="34:49">
      <c r="AH719" s="54"/>
      <c r="AI719" s="23"/>
      <c r="AJ719" s="46"/>
      <c r="AW719" s="8"/>
    </row>
    <row r="720" spans="34:49">
      <c r="AH720" s="54"/>
      <c r="AI720" s="23"/>
      <c r="AJ720" s="46"/>
      <c r="AW720" s="8"/>
    </row>
    <row r="721" spans="34:49">
      <c r="AH721" s="54"/>
      <c r="AI721" s="23"/>
      <c r="AJ721" s="46"/>
      <c r="AW721" s="8"/>
    </row>
    <row r="722" spans="34:49">
      <c r="AH722" s="54"/>
      <c r="AI722" s="23"/>
      <c r="AJ722" s="46"/>
      <c r="AW722" s="8"/>
    </row>
    <row r="723" spans="34:49">
      <c r="AH723" s="54"/>
      <c r="AI723" s="23"/>
      <c r="AJ723" s="46"/>
      <c r="AW723" s="8"/>
    </row>
    <row r="724" spans="34:49">
      <c r="AH724" s="54"/>
      <c r="AI724" s="23"/>
      <c r="AJ724" s="46"/>
      <c r="AW724" s="8"/>
    </row>
    <row r="725" spans="34:49">
      <c r="AH725" s="54"/>
      <c r="AI725" s="23"/>
      <c r="AJ725" s="46"/>
      <c r="AW725" s="8"/>
    </row>
    <row r="726" spans="34:49">
      <c r="AH726" s="54"/>
      <c r="AI726" s="23"/>
      <c r="AJ726" s="46"/>
      <c r="AW726" s="8"/>
    </row>
    <row r="727" spans="34:49">
      <c r="AH727" s="54"/>
      <c r="AI727" s="23"/>
      <c r="AJ727" s="46"/>
      <c r="AW727" s="8"/>
    </row>
    <row r="728" spans="34:49">
      <c r="AH728" s="54"/>
      <c r="AI728" s="23"/>
      <c r="AJ728" s="46"/>
      <c r="AW728" s="8"/>
    </row>
    <row r="729" spans="34:49">
      <c r="AH729" s="54"/>
      <c r="AI729" s="23"/>
      <c r="AJ729" s="46"/>
      <c r="AW729" s="8"/>
    </row>
    <row r="730" spans="34:49">
      <c r="AH730" s="54"/>
      <c r="AI730" s="23"/>
      <c r="AJ730" s="46"/>
      <c r="AW730" s="8"/>
    </row>
    <row r="731" spans="34:49">
      <c r="AH731" s="54"/>
      <c r="AI731" s="23"/>
      <c r="AJ731" s="46"/>
      <c r="AW731" s="8"/>
    </row>
    <row r="732" spans="34:49">
      <c r="AH732" s="54"/>
      <c r="AI732" s="23"/>
      <c r="AJ732" s="46"/>
      <c r="AW732" s="8"/>
    </row>
    <row r="733" spans="34:49">
      <c r="AH733" s="54"/>
      <c r="AI733" s="23"/>
      <c r="AJ733" s="46"/>
      <c r="AW733" s="8"/>
    </row>
    <row r="734" spans="34:49">
      <c r="AH734" s="54"/>
      <c r="AI734" s="23"/>
      <c r="AJ734" s="46"/>
      <c r="AW734" s="8"/>
    </row>
    <row r="735" spans="34:49">
      <c r="AH735" s="54"/>
      <c r="AI735" s="23"/>
      <c r="AJ735" s="46"/>
      <c r="AW735" s="8"/>
    </row>
    <row r="736" spans="34:49">
      <c r="AH736" s="54"/>
      <c r="AI736" s="23"/>
      <c r="AJ736" s="46"/>
      <c r="AW736" s="8"/>
    </row>
    <row r="737" spans="34:49">
      <c r="AH737" s="54"/>
      <c r="AI737" s="23"/>
      <c r="AJ737" s="46"/>
      <c r="AW737" s="8"/>
    </row>
    <row r="738" spans="34:49">
      <c r="AH738" s="54"/>
      <c r="AI738" s="23"/>
      <c r="AJ738" s="46"/>
      <c r="AW738" s="8"/>
    </row>
    <row r="739" spans="34:49">
      <c r="AH739" s="54"/>
      <c r="AI739" s="23"/>
      <c r="AJ739" s="46"/>
      <c r="AW739" s="8"/>
    </row>
    <row r="740" spans="34:49">
      <c r="AH740" s="54"/>
      <c r="AI740" s="23"/>
      <c r="AJ740" s="46"/>
      <c r="AW740" s="8"/>
    </row>
    <row r="741" spans="34:49">
      <c r="AH741" s="54"/>
      <c r="AI741" s="23"/>
      <c r="AJ741" s="46"/>
      <c r="AW741" s="8"/>
    </row>
    <row r="742" spans="34:49">
      <c r="AH742" s="54"/>
      <c r="AI742" s="23"/>
      <c r="AJ742" s="46"/>
      <c r="AW742" s="8"/>
    </row>
    <row r="743" spans="34:49">
      <c r="AH743" s="54"/>
      <c r="AI743" s="23"/>
      <c r="AJ743" s="46"/>
      <c r="AW743" s="8"/>
    </row>
    <row r="744" spans="34:49">
      <c r="AH744" s="54"/>
      <c r="AI744" s="23"/>
      <c r="AJ744" s="46"/>
      <c r="AW744" s="8"/>
    </row>
    <row r="745" spans="34:49">
      <c r="AH745" s="54"/>
      <c r="AI745" s="23"/>
      <c r="AJ745" s="46"/>
      <c r="AW745" s="8"/>
    </row>
    <row r="746" spans="34:49">
      <c r="AH746" s="54"/>
      <c r="AI746" s="23"/>
      <c r="AJ746" s="46"/>
      <c r="AW746" s="8"/>
    </row>
    <row r="747" spans="34:49">
      <c r="AH747" s="54"/>
      <c r="AI747" s="23"/>
      <c r="AJ747" s="46"/>
      <c r="AW747" s="8"/>
    </row>
    <row r="748" spans="34:49">
      <c r="AH748" s="54"/>
      <c r="AI748" s="23"/>
      <c r="AJ748" s="46"/>
      <c r="AW748" s="8"/>
    </row>
    <row r="749" spans="34:49">
      <c r="AH749" s="54"/>
      <c r="AI749" s="23"/>
      <c r="AJ749" s="46"/>
      <c r="AW749" s="8"/>
    </row>
    <row r="750" spans="34:49">
      <c r="AH750" s="54"/>
      <c r="AI750" s="23"/>
      <c r="AJ750" s="46"/>
      <c r="AW750" s="8"/>
    </row>
    <row r="751" spans="34:49">
      <c r="AH751" s="54"/>
      <c r="AI751" s="23"/>
      <c r="AJ751" s="46"/>
      <c r="AW751" s="8"/>
    </row>
    <row r="752" spans="34:49">
      <c r="AH752" s="54"/>
      <c r="AI752" s="23"/>
      <c r="AJ752" s="46"/>
      <c r="AW752" s="8"/>
    </row>
    <row r="753" spans="34:49">
      <c r="AH753" s="54"/>
      <c r="AI753" s="23"/>
      <c r="AJ753" s="46"/>
      <c r="AW753" s="8"/>
    </row>
    <row r="754" spans="34:49">
      <c r="AH754" s="54"/>
      <c r="AI754" s="23"/>
      <c r="AJ754" s="46"/>
      <c r="AW754" s="8"/>
    </row>
    <row r="755" spans="34:49">
      <c r="AH755" s="54"/>
      <c r="AI755" s="23"/>
      <c r="AJ755" s="46"/>
      <c r="AW755" s="8"/>
    </row>
    <row r="756" spans="34:49">
      <c r="AH756" s="54"/>
      <c r="AI756" s="23"/>
      <c r="AJ756" s="46"/>
      <c r="AW756" s="8"/>
    </row>
    <row r="757" spans="34:49">
      <c r="AH757" s="54"/>
      <c r="AI757" s="23"/>
      <c r="AJ757" s="46"/>
      <c r="AW757" s="8"/>
    </row>
    <row r="758" spans="34:49">
      <c r="AH758" s="54"/>
      <c r="AI758" s="23"/>
      <c r="AJ758" s="46"/>
      <c r="AW758" s="8"/>
    </row>
    <row r="759" spans="34:49">
      <c r="AH759" s="54"/>
      <c r="AI759" s="23"/>
      <c r="AJ759" s="46"/>
      <c r="AW759" s="8"/>
    </row>
    <row r="760" spans="34:49">
      <c r="AH760" s="54"/>
      <c r="AI760" s="23"/>
      <c r="AJ760" s="46"/>
      <c r="AW760" s="8"/>
    </row>
    <row r="761" spans="34:49">
      <c r="AH761" s="54"/>
      <c r="AI761" s="23"/>
      <c r="AJ761" s="46"/>
      <c r="AW761" s="8"/>
    </row>
    <row r="762" spans="34:49">
      <c r="AH762" s="54"/>
      <c r="AI762" s="23"/>
      <c r="AJ762" s="46"/>
      <c r="AW762" s="8"/>
    </row>
    <row r="763" spans="34:49">
      <c r="AH763" s="54"/>
      <c r="AI763" s="23"/>
      <c r="AJ763" s="46"/>
      <c r="AW763" s="8"/>
    </row>
    <row r="764" spans="34:49">
      <c r="AH764" s="54"/>
      <c r="AI764" s="23"/>
      <c r="AJ764" s="46"/>
      <c r="AW764" s="8"/>
    </row>
    <row r="765" spans="34:49">
      <c r="AH765" s="54"/>
      <c r="AI765" s="23"/>
      <c r="AJ765" s="46"/>
      <c r="AW765" s="8"/>
    </row>
    <row r="766" spans="34:49">
      <c r="AH766" s="54"/>
      <c r="AI766" s="23"/>
      <c r="AJ766" s="46"/>
      <c r="AW766" s="8"/>
    </row>
    <row r="767" spans="34:49">
      <c r="AH767" s="54"/>
      <c r="AI767" s="23"/>
      <c r="AJ767" s="46"/>
      <c r="AW767" s="8"/>
    </row>
    <row r="768" spans="34:49">
      <c r="AH768" s="54"/>
      <c r="AI768" s="23"/>
      <c r="AJ768" s="46"/>
      <c r="AW768" s="8"/>
    </row>
    <row r="769" spans="34:49">
      <c r="AH769" s="54"/>
      <c r="AI769" s="23"/>
      <c r="AJ769" s="46"/>
      <c r="AW769" s="8"/>
    </row>
    <row r="770" spans="34:49">
      <c r="AH770" s="54"/>
      <c r="AI770" s="23"/>
      <c r="AJ770" s="46"/>
      <c r="AW770" s="8"/>
    </row>
    <row r="771" spans="34:49">
      <c r="AH771" s="54"/>
      <c r="AI771" s="23"/>
      <c r="AJ771" s="46"/>
      <c r="AW771" s="8"/>
    </row>
    <row r="772" spans="34:49">
      <c r="AH772" s="54"/>
      <c r="AI772" s="23"/>
      <c r="AJ772" s="46"/>
      <c r="AW772" s="8"/>
    </row>
    <row r="773" spans="34:49">
      <c r="AH773" s="54"/>
      <c r="AI773" s="23"/>
      <c r="AJ773" s="46"/>
      <c r="AW773" s="8"/>
    </row>
    <row r="774" spans="34:49">
      <c r="AH774" s="54"/>
      <c r="AI774" s="23"/>
      <c r="AJ774" s="46"/>
      <c r="AW774" s="8"/>
    </row>
    <row r="775" spans="34:49">
      <c r="AH775" s="54"/>
      <c r="AI775" s="23"/>
      <c r="AJ775" s="46"/>
      <c r="AW775" s="8"/>
    </row>
    <row r="776" spans="34:49">
      <c r="AH776" s="54"/>
      <c r="AI776" s="23"/>
      <c r="AJ776" s="46"/>
      <c r="AW776" s="8"/>
    </row>
    <row r="777" spans="34:49">
      <c r="AH777" s="54"/>
      <c r="AI777" s="23"/>
      <c r="AJ777" s="46"/>
      <c r="AW777" s="8"/>
    </row>
    <row r="778" spans="34:49">
      <c r="AH778" s="54"/>
      <c r="AI778" s="23"/>
      <c r="AJ778" s="46"/>
      <c r="AW778" s="8"/>
    </row>
    <row r="779" spans="34:49">
      <c r="AH779" s="54"/>
      <c r="AI779" s="23"/>
      <c r="AJ779" s="46"/>
      <c r="AW779" s="8"/>
    </row>
    <row r="780" spans="34:49">
      <c r="AH780" s="54"/>
      <c r="AI780" s="23"/>
      <c r="AJ780" s="46"/>
      <c r="AW780" s="8"/>
    </row>
    <row r="781" spans="34:49">
      <c r="AH781" s="54"/>
      <c r="AI781" s="23"/>
      <c r="AJ781" s="46"/>
      <c r="AW781" s="8"/>
    </row>
    <row r="782" spans="34:49">
      <c r="AH782" s="54"/>
      <c r="AI782" s="23"/>
      <c r="AJ782" s="46"/>
      <c r="AW782" s="8"/>
    </row>
    <row r="783" spans="34:49">
      <c r="AH783" s="54"/>
      <c r="AI783" s="23"/>
      <c r="AJ783" s="46"/>
      <c r="AW783" s="8"/>
    </row>
    <row r="784" spans="34:49">
      <c r="AH784" s="54"/>
      <c r="AI784" s="23"/>
      <c r="AJ784" s="46"/>
      <c r="AW784" s="8"/>
    </row>
    <row r="785" spans="34:49">
      <c r="AH785" s="54"/>
      <c r="AI785" s="23"/>
      <c r="AJ785" s="46"/>
      <c r="AW785" s="8"/>
    </row>
    <row r="786" spans="34:49">
      <c r="AH786" s="54"/>
      <c r="AI786" s="23"/>
      <c r="AJ786" s="46"/>
      <c r="AW786" s="8"/>
    </row>
    <row r="787" spans="34:49">
      <c r="AH787" s="54"/>
      <c r="AI787" s="23"/>
      <c r="AJ787" s="46"/>
      <c r="AW787" s="8"/>
    </row>
    <row r="788" spans="34:49">
      <c r="AH788" s="54"/>
      <c r="AI788" s="23"/>
      <c r="AJ788" s="46"/>
      <c r="AW788" s="8"/>
    </row>
    <row r="789" spans="34:49">
      <c r="AH789" s="54"/>
      <c r="AI789" s="23"/>
      <c r="AJ789" s="46"/>
      <c r="AW789" s="8"/>
    </row>
    <row r="790" spans="34:49">
      <c r="AH790" s="54"/>
      <c r="AI790" s="23"/>
      <c r="AJ790" s="46"/>
      <c r="AW790" s="8"/>
    </row>
    <row r="791" spans="34:49">
      <c r="AH791" s="54"/>
      <c r="AI791" s="23"/>
      <c r="AJ791" s="46"/>
      <c r="AW791" s="8"/>
    </row>
    <row r="792" spans="34:49">
      <c r="AH792" s="54"/>
      <c r="AI792" s="23"/>
      <c r="AJ792" s="46"/>
      <c r="AW792" s="8"/>
    </row>
    <row r="793" spans="34:49">
      <c r="AH793" s="54"/>
      <c r="AI793" s="23"/>
      <c r="AJ793" s="46"/>
      <c r="AW793" s="8"/>
    </row>
    <row r="794" spans="34:49">
      <c r="AH794" s="54"/>
      <c r="AI794" s="23"/>
      <c r="AJ794" s="46"/>
      <c r="AW794" s="8"/>
    </row>
    <row r="795" spans="34:49">
      <c r="AH795" s="54"/>
      <c r="AI795" s="23"/>
      <c r="AJ795" s="46"/>
      <c r="AW795" s="8"/>
    </row>
    <row r="796" spans="34:49">
      <c r="AH796" s="54"/>
      <c r="AI796" s="23"/>
      <c r="AJ796" s="46"/>
      <c r="AW796" s="8"/>
    </row>
    <row r="797" spans="34:49">
      <c r="AW797" s="8"/>
    </row>
    <row r="798" spans="34:49">
      <c r="AW798" s="8"/>
    </row>
    <row r="799" spans="34:49">
      <c r="AW799" s="8"/>
    </row>
    <row r="800" spans="34:49">
      <c r="AW800" s="8"/>
    </row>
    <row r="801" spans="49:49">
      <c r="AW801" s="8"/>
    </row>
  </sheetData>
  <sortState xmlns:xlrd2="http://schemas.microsoft.com/office/spreadsheetml/2017/richdata2" ref="Z4:AV363">
    <sortCondition ref="AD4:AD363"/>
    <sortCondition ref="AE4:AE363"/>
    <sortCondition ref="AC4:AC363"/>
    <sortCondition ref="AA4:AA363"/>
  </sortState>
  <mergeCells count="25">
    <mergeCell ref="CI3:CS3"/>
    <mergeCell ref="CI2:CS2"/>
    <mergeCell ref="CU2:DE2"/>
    <mergeCell ref="CU3:DE3"/>
    <mergeCell ref="AN2:AP2"/>
    <mergeCell ref="AQ2:AS2"/>
    <mergeCell ref="AT2:AV2"/>
    <mergeCell ref="AY2:BI2"/>
    <mergeCell ref="BK2:BU2"/>
    <mergeCell ref="AY3:BI3"/>
    <mergeCell ref="BK3:BU3"/>
    <mergeCell ref="BW3:CG3"/>
    <mergeCell ref="AK1:AV1"/>
    <mergeCell ref="AW1:AW3"/>
    <mergeCell ref="AK2:AM2"/>
    <mergeCell ref="A2:C2"/>
    <mergeCell ref="A1:E1"/>
    <mergeCell ref="Z2:AB2"/>
    <mergeCell ref="Z1:AD1"/>
    <mergeCell ref="L1:W1"/>
    <mergeCell ref="X1:X3"/>
    <mergeCell ref="L2:N2"/>
    <mergeCell ref="O2:Q2"/>
    <mergeCell ref="R2:T2"/>
    <mergeCell ref="U2:W2"/>
  </mergeCells>
  <conditionalFormatting sqref="X1:X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32:AA796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432:AH50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:AW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4:BI48 BU4:BU48 CG4:CG4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49:BI1048576 BI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S4:CS4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539B-3D16-4E87-A84E-1F467B53BD63}">
  <dimension ref="A1:AB308"/>
  <sheetViews>
    <sheetView zoomScaleNormal="100" workbookViewId="0">
      <selection activeCell="U40" sqref="U40:U48"/>
    </sheetView>
  </sheetViews>
  <sheetFormatPr defaultColWidth="8.85546875" defaultRowHeight="15"/>
  <cols>
    <col min="2" max="2" width="6" bestFit="1" customWidth="1"/>
    <col min="3" max="3" width="4" bestFit="1" customWidth="1"/>
    <col min="4" max="4" width="2.140625" bestFit="1" customWidth="1"/>
    <col min="5" max="5" width="2.42578125" bestFit="1" customWidth="1"/>
    <col min="6" max="6" width="16.42578125" bestFit="1" customWidth="1"/>
    <col min="9" max="9" width="6" bestFit="1" customWidth="1"/>
    <col min="10" max="10" width="4" bestFit="1" customWidth="1"/>
    <col min="11" max="11" width="2.140625" bestFit="1" customWidth="1"/>
    <col min="12" max="12" width="2.42578125" bestFit="1" customWidth="1"/>
    <col min="13" max="13" width="16.42578125" bestFit="1" customWidth="1"/>
    <col min="16" max="16" width="6" bestFit="1" customWidth="1"/>
    <col min="17" max="17" width="4" bestFit="1" customWidth="1"/>
    <col min="18" max="18" width="2.140625" bestFit="1" customWidth="1"/>
    <col min="19" max="19" width="2.42578125" bestFit="1" customWidth="1"/>
    <col min="20" max="20" width="16.42578125" bestFit="1" customWidth="1"/>
    <col min="23" max="23" width="6" bestFit="1" customWidth="1"/>
    <col min="24" max="24" width="4" bestFit="1" customWidth="1"/>
    <col min="25" max="25" width="2.140625" style="41" bestFit="1" customWidth="1"/>
    <col min="26" max="26" width="2.42578125" style="41" bestFit="1" customWidth="1"/>
    <col min="27" max="27" width="16.42578125" style="55" bestFit="1" customWidth="1"/>
    <col min="28" max="28" width="9.140625" style="1"/>
  </cols>
  <sheetData>
    <row r="1" spans="1:28">
      <c r="B1" s="89" t="s">
        <v>159</v>
      </c>
      <c r="C1" s="89"/>
      <c r="D1" s="89"/>
      <c r="E1" s="89"/>
      <c r="F1" s="89"/>
      <c r="I1" s="89" t="s">
        <v>161</v>
      </c>
      <c r="J1" s="89"/>
      <c r="K1" s="89"/>
      <c r="L1" s="89"/>
      <c r="M1" s="89"/>
      <c r="P1" s="89" t="s">
        <v>160</v>
      </c>
      <c r="Q1" s="89"/>
      <c r="R1" s="89"/>
      <c r="S1" s="89"/>
      <c r="T1" s="89"/>
      <c r="W1" s="89" t="s">
        <v>82</v>
      </c>
      <c r="X1" s="89"/>
      <c r="Y1" s="89"/>
      <c r="Z1" s="89"/>
      <c r="AA1" s="89"/>
      <c r="AB1"/>
    </row>
    <row r="2" spans="1:28">
      <c r="B2" s="40">
        <f>INDEX(B4:B500,MATCH(MAX(F4:F500),F4:F500,0))</f>
        <v>26080</v>
      </c>
      <c r="C2" s="40">
        <f>INDEX(C4:C500,MATCH(MAX(F4:F500),F4:F500,0))</f>
        <v>160</v>
      </c>
      <c r="D2" s="40">
        <f>INDEX(D4:D500,MATCH(MAX(F4:F500),F4:F500,0))</f>
        <v>1</v>
      </c>
      <c r="E2" s="40">
        <f>INDEX(E4:E500,MATCH(MAX(F4:F500),F4:F500,0))</f>
        <v>4</v>
      </c>
      <c r="F2" s="26">
        <f>MAX(F4:F500)</f>
        <v>36.402199999999993</v>
      </c>
      <c r="I2" s="40">
        <f>INDEX(I4:I500,MATCH(MAX(M4:M500),M4:M500,0))</f>
        <v>26080</v>
      </c>
      <c r="J2" s="40">
        <f>INDEX(J4:J500,MATCH(MAX(M4:M500),M4:M500,0))</f>
        <v>160</v>
      </c>
      <c r="K2" s="40">
        <f>INDEX(K4:K500,MATCH(MAX(M4:M500),M4:M500,0))</f>
        <v>1</v>
      </c>
      <c r="L2" s="40">
        <f>INDEX(L4:L500,MATCH(MAX(M4:M500),M4:M500,0))</f>
        <v>4</v>
      </c>
      <c r="M2" s="26">
        <f>MAX(M4:M500)</f>
        <v>35.987800000000007</v>
      </c>
      <c r="P2" s="40">
        <f>INDEX(P4:P500,MATCH(MAX(T4:T500),T4:T500,0))</f>
        <v>29120</v>
      </c>
      <c r="Q2" s="40">
        <f>INDEX(Q4:Q500,MATCH(MAX(T4:T500),T4:T500,0))</f>
        <v>224</v>
      </c>
      <c r="R2" s="40">
        <f>INDEX(R4:R500,MATCH(MAX(T4:T500),T4:T500,0))</f>
        <v>1</v>
      </c>
      <c r="S2" s="40">
        <f>INDEX(S4:S500,MATCH(MAX(T4:T500),T4:T500,0))</f>
        <v>4</v>
      </c>
      <c r="T2" s="26">
        <f>MAX(T4:T500)</f>
        <v>42.326000000000001</v>
      </c>
      <c r="W2" s="40">
        <f>INDEX(W4:W500,MATCH(MAX(AA4:AA500),AA4:AA500,0))</f>
        <v>29120</v>
      </c>
      <c r="X2" s="40">
        <f>INDEX(X4:X500,MATCH(MAX(AA4:AA500),AA4:AA500,0))</f>
        <v>224</v>
      </c>
      <c r="Y2" s="40">
        <f>INDEX(Y4:Y500,MATCH(MAX(AA4:AA500),AA4:AA500,0))</f>
        <v>1</v>
      </c>
      <c r="Z2" s="40">
        <f>INDEX(Z4:Z500,MATCH(MAX(AA4:AA500),AA4:AA500,0))</f>
        <v>4</v>
      </c>
      <c r="AA2" s="26">
        <f>MAX(AA4:AA500)</f>
        <v>39.205399999999997</v>
      </c>
      <c r="AB2"/>
    </row>
    <row r="3" spans="1:28">
      <c r="A3" s="63" t="s">
        <v>253</v>
      </c>
      <c r="B3" s="35" t="s">
        <v>1</v>
      </c>
      <c r="C3" s="35" t="s">
        <v>2</v>
      </c>
      <c r="D3" s="35" t="s">
        <v>3</v>
      </c>
      <c r="E3" s="40" t="s">
        <v>4</v>
      </c>
      <c r="F3" s="35" t="s">
        <v>81</v>
      </c>
      <c r="H3" s="63" t="s">
        <v>253</v>
      </c>
      <c r="I3" s="35" t="s">
        <v>1</v>
      </c>
      <c r="J3" s="35" t="s">
        <v>2</v>
      </c>
      <c r="K3" s="35" t="s">
        <v>3</v>
      </c>
      <c r="L3" s="40" t="s">
        <v>4</v>
      </c>
      <c r="M3" s="35" t="s">
        <v>81</v>
      </c>
      <c r="O3" s="63" t="s">
        <v>253</v>
      </c>
      <c r="P3" s="35" t="s">
        <v>1</v>
      </c>
      <c r="Q3" s="35" t="s">
        <v>2</v>
      </c>
      <c r="R3" s="35" t="s">
        <v>3</v>
      </c>
      <c r="S3" s="40" t="s">
        <v>4</v>
      </c>
      <c r="T3" s="35" t="s">
        <v>81</v>
      </c>
      <c r="V3" s="63" t="s">
        <v>253</v>
      </c>
      <c r="W3" s="35" t="s">
        <v>1</v>
      </c>
      <c r="X3" s="35" t="s">
        <v>2</v>
      </c>
      <c r="Y3" s="40" t="s">
        <v>3</v>
      </c>
      <c r="Z3" s="40" t="s">
        <v>4</v>
      </c>
      <c r="AA3" s="35" t="s">
        <v>81</v>
      </c>
      <c r="AB3"/>
    </row>
    <row r="4" spans="1:28">
      <c r="A4">
        <f>IF(ABS(B4-26048)&lt;ABS(B4-27584),IF(ABS(B4-26048)&lt;ABS(B4-29120),26048,29120),IF(ABS(B4-27584)&lt;ABS(B4-29120),27584,29120))</f>
        <v>26048</v>
      </c>
      <c r="B4" cm="1">
        <f t="array" ref="B4:F308">_xlfn.CHOOSECOLS(_xlfn._xlws.FILTER('1 node, params, RAW'!A4:O500,'1 node, params, RAW'!B4:B500=0),4,5,6,7,15)</f>
        <v>26048</v>
      </c>
      <c r="C4">
        <v>32</v>
      </c>
      <c r="D4">
        <v>1</v>
      </c>
      <c r="E4">
        <v>4</v>
      </c>
      <c r="F4">
        <v>12.5252</v>
      </c>
      <c r="H4">
        <f>IF(ABS(I4-26048)&lt;ABS(I4-27584),IF(ABS(I4-26048)&lt;ABS(I4-29120),26048,29120),IF(ABS(I4-27584)&lt;ABS(I4-29120),27584,29120))</f>
        <v>26048</v>
      </c>
      <c r="I4" cm="1">
        <f t="array" ref="I4:M308">_xlfn.CHOOSECOLS(_xlfn._xlws.FILTER('1 node, params, RAW'!R4:AF500,'1 node, params, RAW'!S4:S500=0),4,5,6,7,15)</f>
        <v>26048</v>
      </c>
      <c r="J4">
        <v>32</v>
      </c>
      <c r="K4">
        <v>1</v>
      </c>
      <c r="L4">
        <v>4</v>
      </c>
      <c r="M4">
        <v>12.535799999999998</v>
      </c>
      <c r="O4">
        <f>IF(ABS(P4-26048)&lt;ABS(P4-27584),IF(ABS(P4-26048)&lt;ABS(P4-29120),26048,29120),IF(ABS(P4-27584)&lt;ABS(P4-29120),27584,29120))</f>
        <v>26048</v>
      </c>
      <c r="P4" cm="1">
        <f t="array" ref="P4:T308">_xlfn.CHOOSECOLS(_xlfn._xlws.FILTER('1 node, params, RAW'!AI4:AW500,'1 node, params, RAW'!AJ4:AJ500=0),4,5,6,7,15)</f>
        <v>26048</v>
      </c>
      <c r="Q4">
        <v>32</v>
      </c>
      <c r="R4">
        <v>1</v>
      </c>
      <c r="S4">
        <v>4</v>
      </c>
      <c r="T4">
        <v>12.621799999999999</v>
      </c>
      <c r="V4">
        <f>IF(ABS(W4-26048)&lt;ABS(W4-27584),IF(ABS(W4-26048)&lt;ABS(W4-29120),26048,29120),IF(ABS(W4-27584)&lt;ABS(W4-29120),27584,29120))</f>
        <v>26048</v>
      </c>
      <c r="W4" cm="1">
        <f t="array" ref="W4:AA308">_xlfn.CHOOSECOLS(_xlfn._xlws.FILTER('1 node, params, RAW'!AZ4:BN500,'1 node, params, RAW'!BA4:BA500=0),4,5,6,7,15)</f>
        <v>26048</v>
      </c>
      <c r="X4">
        <v>32</v>
      </c>
      <c r="Y4" s="41">
        <v>1</v>
      </c>
      <c r="Z4" s="41">
        <v>4</v>
      </c>
      <c r="AA4">
        <v>12.3224</v>
      </c>
      <c r="AB4"/>
    </row>
    <row r="5" spans="1:28">
      <c r="A5">
        <f t="shared" ref="A5:A68" si="0">IF(ABS(B5-26048)&lt;ABS(B5-27584),IF(ABS(B5-26048)&lt;ABS(B5-29120),26048,29120),IF(ABS(B5-27584)&lt;ABS(B5-29120),27584,29120))</f>
        <v>27584</v>
      </c>
      <c r="B5">
        <v>27584</v>
      </c>
      <c r="C5">
        <v>32</v>
      </c>
      <c r="D5">
        <v>1</v>
      </c>
      <c r="E5">
        <v>4</v>
      </c>
      <c r="F5">
        <v>12.228</v>
      </c>
      <c r="H5">
        <f t="shared" ref="H5:H68" si="1">IF(ABS(I5-26048)&lt;ABS(I5-27584),IF(ABS(I5-26048)&lt;ABS(I5-29120),26048,29120),IF(ABS(I5-27584)&lt;ABS(I5-29120),27584,29120))</f>
        <v>27584</v>
      </c>
      <c r="I5">
        <v>27584</v>
      </c>
      <c r="J5">
        <v>32</v>
      </c>
      <c r="K5">
        <v>1</v>
      </c>
      <c r="L5">
        <v>4</v>
      </c>
      <c r="M5">
        <v>12.267800000000001</v>
      </c>
      <c r="O5">
        <f t="shared" ref="O5:O68" si="2">IF(ABS(P5-26048)&lt;ABS(P5-27584),IF(ABS(P5-26048)&lt;ABS(P5-29120),26048,29120),IF(ABS(P5-27584)&lt;ABS(P5-29120),27584,29120))</f>
        <v>27584</v>
      </c>
      <c r="P5">
        <v>27584</v>
      </c>
      <c r="Q5">
        <v>32</v>
      </c>
      <c r="R5">
        <v>1</v>
      </c>
      <c r="S5">
        <v>4</v>
      </c>
      <c r="T5">
        <v>12.356799999999998</v>
      </c>
      <c r="V5">
        <f t="shared" ref="V5:V68" si="3">IF(ABS(W5-26048)&lt;ABS(W5-27584),IF(ABS(W5-26048)&lt;ABS(W5-29120),26048,29120),IF(ABS(W5-27584)&lt;ABS(W5-29120),27584,29120))</f>
        <v>27584</v>
      </c>
      <c r="W5">
        <v>27584</v>
      </c>
      <c r="X5">
        <v>32</v>
      </c>
      <c r="Y5" s="41">
        <v>1</v>
      </c>
      <c r="Z5" s="41">
        <v>4</v>
      </c>
      <c r="AA5">
        <v>12.221399999999999</v>
      </c>
      <c r="AB5"/>
    </row>
    <row r="6" spans="1:28">
      <c r="A6">
        <f t="shared" si="0"/>
        <v>29120</v>
      </c>
      <c r="B6">
        <v>29120</v>
      </c>
      <c r="C6">
        <v>32</v>
      </c>
      <c r="D6">
        <v>1</v>
      </c>
      <c r="E6">
        <v>4</v>
      </c>
      <c r="F6">
        <v>12.223800000000001</v>
      </c>
      <c r="H6">
        <f t="shared" si="1"/>
        <v>29120</v>
      </c>
      <c r="I6">
        <v>29120</v>
      </c>
      <c r="J6">
        <v>32</v>
      </c>
      <c r="K6">
        <v>1</v>
      </c>
      <c r="L6">
        <v>4</v>
      </c>
      <c r="M6">
        <v>12.261800000000001</v>
      </c>
      <c r="O6">
        <f t="shared" si="2"/>
        <v>29120</v>
      </c>
      <c r="P6">
        <v>29120</v>
      </c>
      <c r="Q6">
        <v>32</v>
      </c>
      <c r="R6">
        <v>1</v>
      </c>
      <c r="S6">
        <v>4</v>
      </c>
      <c r="T6">
        <v>12.504799999999999</v>
      </c>
      <c r="V6">
        <f t="shared" si="3"/>
        <v>29120</v>
      </c>
      <c r="W6">
        <v>29120</v>
      </c>
      <c r="X6">
        <v>32</v>
      </c>
      <c r="Y6" s="41">
        <v>1</v>
      </c>
      <c r="Z6" s="41">
        <v>4</v>
      </c>
      <c r="AA6">
        <v>12.427800000000001</v>
      </c>
      <c r="AB6"/>
    </row>
    <row r="7" spans="1:28">
      <c r="A7">
        <f t="shared" si="0"/>
        <v>26048</v>
      </c>
      <c r="B7">
        <v>26048</v>
      </c>
      <c r="C7">
        <v>32</v>
      </c>
      <c r="D7">
        <v>2</v>
      </c>
      <c r="E7">
        <v>2</v>
      </c>
      <c r="F7">
        <v>12.291799999999999</v>
      </c>
      <c r="H7">
        <f t="shared" si="1"/>
        <v>26048</v>
      </c>
      <c r="I7">
        <v>26048</v>
      </c>
      <c r="J7">
        <v>32</v>
      </c>
      <c r="K7">
        <v>2</v>
      </c>
      <c r="L7">
        <v>2</v>
      </c>
      <c r="M7">
        <v>12.329599999999999</v>
      </c>
      <c r="O7">
        <f t="shared" si="2"/>
        <v>26048</v>
      </c>
      <c r="P7">
        <v>26048</v>
      </c>
      <c r="Q7">
        <v>32</v>
      </c>
      <c r="R7">
        <v>2</v>
      </c>
      <c r="S7">
        <v>2</v>
      </c>
      <c r="T7">
        <v>11.678799999999999</v>
      </c>
      <c r="V7">
        <f t="shared" si="3"/>
        <v>26048</v>
      </c>
      <c r="W7">
        <v>26048</v>
      </c>
      <c r="X7">
        <v>32</v>
      </c>
      <c r="Y7" s="41">
        <v>2</v>
      </c>
      <c r="Z7" s="41">
        <v>2</v>
      </c>
      <c r="AA7">
        <v>11.818999999999999</v>
      </c>
      <c r="AB7"/>
    </row>
    <row r="8" spans="1:28">
      <c r="A8">
        <f t="shared" si="0"/>
        <v>27584</v>
      </c>
      <c r="B8">
        <v>27584</v>
      </c>
      <c r="C8">
        <v>32</v>
      </c>
      <c r="D8">
        <v>2</v>
      </c>
      <c r="E8">
        <v>2</v>
      </c>
      <c r="F8">
        <v>12.1714</v>
      </c>
      <c r="H8">
        <f t="shared" si="1"/>
        <v>27584</v>
      </c>
      <c r="I8">
        <v>27584</v>
      </c>
      <c r="J8">
        <v>32</v>
      </c>
      <c r="K8">
        <v>2</v>
      </c>
      <c r="L8">
        <v>2</v>
      </c>
      <c r="M8">
        <v>12.210400000000002</v>
      </c>
      <c r="O8">
        <f t="shared" si="2"/>
        <v>27584</v>
      </c>
      <c r="P8">
        <v>27584</v>
      </c>
      <c r="Q8">
        <v>32</v>
      </c>
      <c r="R8">
        <v>2</v>
      </c>
      <c r="S8">
        <v>2</v>
      </c>
      <c r="T8">
        <v>11.844000000000001</v>
      </c>
      <c r="V8">
        <f t="shared" si="3"/>
        <v>27584</v>
      </c>
      <c r="W8">
        <v>27584</v>
      </c>
      <c r="X8">
        <v>32</v>
      </c>
      <c r="Y8" s="41">
        <v>2</v>
      </c>
      <c r="Z8" s="41">
        <v>2</v>
      </c>
      <c r="AA8">
        <v>12.125</v>
      </c>
      <c r="AB8"/>
    </row>
    <row r="9" spans="1:28">
      <c r="A9">
        <f t="shared" si="0"/>
        <v>29120</v>
      </c>
      <c r="B9">
        <v>29120</v>
      </c>
      <c r="C9">
        <v>32</v>
      </c>
      <c r="D9">
        <v>2</v>
      </c>
      <c r="E9">
        <v>2</v>
      </c>
      <c r="F9">
        <v>12.037800000000001</v>
      </c>
      <c r="H9">
        <f t="shared" si="1"/>
        <v>29120</v>
      </c>
      <c r="I9">
        <v>29120</v>
      </c>
      <c r="J9">
        <v>32</v>
      </c>
      <c r="K9">
        <v>2</v>
      </c>
      <c r="L9">
        <v>2</v>
      </c>
      <c r="M9">
        <v>12.037600000000001</v>
      </c>
      <c r="O9">
        <f t="shared" si="2"/>
        <v>29120</v>
      </c>
      <c r="P9">
        <v>29120</v>
      </c>
      <c r="Q9">
        <v>32</v>
      </c>
      <c r="R9">
        <v>2</v>
      </c>
      <c r="S9">
        <v>2</v>
      </c>
      <c r="T9">
        <v>11.324999999999999</v>
      </c>
      <c r="V9">
        <f t="shared" si="3"/>
        <v>29120</v>
      </c>
      <c r="W9">
        <v>29120</v>
      </c>
      <c r="X9">
        <v>32</v>
      </c>
      <c r="Y9" s="41">
        <v>2</v>
      </c>
      <c r="Z9" s="41">
        <v>2</v>
      </c>
      <c r="AA9" s="55">
        <v>11.6706</v>
      </c>
    </row>
    <row r="10" spans="1:28">
      <c r="A10">
        <f t="shared" si="0"/>
        <v>26048</v>
      </c>
      <c r="B10">
        <v>26048</v>
      </c>
      <c r="C10">
        <v>64</v>
      </c>
      <c r="D10">
        <v>1</v>
      </c>
      <c r="E10">
        <v>4</v>
      </c>
      <c r="F10">
        <v>23.489200000000004</v>
      </c>
      <c r="H10">
        <f t="shared" si="1"/>
        <v>26048</v>
      </c>
      <c r="I10">
        <v>26048</v>
      </c>
      <c r="J10">
        <v>64</v>
      </c>
      <c r="K10">
        <v>1</v>
      </c>
      <c r="L10">
        <v>4</v>
      </c>
      <c r="M10">
        <v>23.475200000000001</v>
      </c>
      <c r="O10">
        <f t="shared" si="2"/>
        <v>26048</v>
      </c>
      <c r="P10">
        <v>26048</v>
      </c>
      <c r="Q10">
        <v>64</v>
      </c>
      <c r="R10">
        <v>1</v>
      </c>
      <c r="S10">
        <v>4</v>
      </c>
      <c r="T10">
        <v>24.142599999999998</v>
      </c>
      <c r="V10">
        <f t="shared" si="3"/>
        <v>26048</v>
      </c>
      <c r="W10">
        <v>26048</v>
      </c>
      <c r="X10">
        <v>64</v>
      </c>
      <c r="Y10" s="41">
        <v>1</v>
      </c>
      <c r="Z10" s="41">
        <v>4</v>
      </c>
      <c r="AA10" s="55">
        <v>22.845400000000001</v>
      </c>
    </row>
    <row r="11" spans="1:28">
      <c r="A11">
        <f t="shared" si="0"/>
        <v>27584</v>
      </c>
      <c r="B11">
        <v>27584</v>
      </c>
      <c r="C11">
        <v>64</v>
      </c>
      <c r="D11">
        <v>1</v>
      </c>
      <c r="E11">
        <v>4</v>
      </c>
      <c r="F11">
        <v>22.976599999999998</v>
      </c>
      <c r="H11">
        <f t="shared" si="1"/>
        <v>27584</v>
      </c>
      <c r="I11">
        <v>27584</v>
      </c>
      <c r="J11">
        <v>64</v>
      </c>
      <c r="K11">
        <v>1</v>
      </c>
      <c r="L11">
        <v>4</v>
      </c>
      <c r="M11">
        <v>22.991199999999999</v>
      </c>
      <c r="O11">
        <f t="shared" si="2"/>
        <v>27584</v>
      </c>
      <c r="P11">
        <v>27584</v>
      </c>
      <c r="Q11">
        <v>64</v>
      </c>
      <c r="R11">
        <v>1</v>
      </c>
      <c r="S11">
        <v>4</v>
      </c>
      <c r="T11">
        <v>23.339599999999997</v>
      </c>
      <c r="V11">
        <f t="shared" si="3"/>
        <v>27584</v>
      </c>
      <c r="W11">
        <v>27584</v>
      </c>
      <c r="X11">
        <v>64</v>
      </c>
      <c r="Y11" s="41">
        <v>1</v>
      </c>
      <c r="Z11" s="41">
        <v>4</v>
      </c>
      <c r="AA11" s="55">
        <v>22.535800000000002</v>
      </c>
    </row>
    <row r="12" spans="1:28">
      <c r="A12">
        <f t="shared" si="0"/>
        <v>29120</v>
      </c>
      <c r="B12">
        <v>29120</v>
      </c>
      <c r="C12">
        <v>64</v>
      </c>
      <c r="D12">
        <v>1</v>
      </c>
      <c r="E12">
        <v>4</v>
      </c>
      <c r="F12">
        <v>22.8004</v>
      </c>
      <c r="H12">
        <f t="shared" si="1"/>
        <v>29120</v>
      </c>
      <c r="I12">
        <v>29120</v>
      </c>
      <c r="J12">
        <v>64</v>
      </c>
      <c r="K12">
        <v>1</v>
      </c>
      <c r="L12">
        <v>4</v>
      </c>
      <c r="M12">
        <v>22.8414</v>
      </c>
      <c r="O12">
        <f t="shared" si="2"/>
        <v>29120</v>
      </c>
      <c r="P12">
        <v>29120</v>
      </c>
      <c r="Q12">
        <v>64</v>
      </c>
      <c r="R12">
        <v>1</v>
      </c>
      <c r="S12">
        <v>4</v>
      </c>
      <c r="T12">
        <v>23.683600000000002</v>
      </c>
      <c r="V12">
        <f t="shared" si="3"/>
        <v>29120</v>
      </c>
      <c r="W12">
        <v>29120</v>
      </c>
      <c r="X12">
        <v>64</v>
      </c>
      <c r="Y12" s="41">
        <v>1</v>
      </c>
      <c r="Z12" s="41">
        <v>4</v>
      </c>
      <c r="AA12" s="55">
        <v>22.937799999999999</v>
      </c>
    </row>
    <row r="13" spans="1:28">
      <c r="A13">
        <f t="shared" si="0"/>
        <v>26048</v>
      </c>
      <c r="B13">
        <v>26048</v>
      </c>
      <c r="C13">
        <v>64</v>
      </c>
      <c r="D13">
        <v>2</v>
      </c>
      <c r="E13">
        <v>2</v>
      </c>
      <c r="F13">
        <v>22.555799999999998</v>
      </c>
      <c r="H13">
        <f t="shared" si="1"/>
        <v>26048</v>
      </c>
      <c r="I13">
        <v>26048</v>
      </c>
      <c r="J13">
        <v>64</v>
      </c>
      <c r="K13">
        <v>2</v>
      </c>
      <c r="L13">
        <v>2</v>
      </c>
      <c r="M13">
        <v>22.623799999999999</v>
      </c>
      <c r="O13">
        <f t="shared" si="2"/>
        <v>26048</v>
      </c>
      <c r="P13">
        <v>26048</v>
      </c>
      <c r="Q13">
        <v>64</v>
      </c>
      <c r="R13">
        <v>2</v>
      </c>
      <c r="S13">
        <v>2</v>
      </c>
      <c r="T13">
        <v>22.287599999999998</v>
      </c>
      <c r="V13">
        <f t="shared" si="3"/>
        <v>26048</v>
      </c>
      <c r="W13">
        <v>26048</v>
      </c>
      <c r="X13">
        <v>64</v>
      </c>
      <c r="Y13" s="41">
        <v>2</v>
      </c>
      <c r="Z13" s="41">
        <v>2</v>
      </c>
      <c r="AA13" s="55">
        <v>21.136000000000003</v>
      </c>
    </row>
    <row r="14" spans="1:28">
      <c r="A14">
        <f t="shared" si="0"/>
        <v>27584</v>
      </c>
      <c r="B14">
        <v>27584</v>
      </c>
      <c r="C14">
        <v>64</v>
      </c>
      <c r="D14">
        <v>2</v>
      </c>
      <c r="E14">
        <v>2</v>
      </c>
      <c r="F14">
        <v>22.458400000000001</v>
      </c>
      <c r="H14">
        <f t="shared" si="1"/>
        <v>27584</v>
      </c>
      <c r="I14">
        <v>27584</v>
      </c>
      <c r="J14">
        <v>64</v>
      </c>
      <c r="K14">
        <v>2</v>
      </c>
      <c r="L14">
        <v>2</v>
      </c>
      <c r="M14">
        <v>22.490400000000001</v>
      </c>
      <c r="O14">
        <f t="shared" si="2"/>
        <v>27584</v>
      </c>
      <c r="P14">
        <v>27584</v>
      </c>
      <c r="Q14">
        <v>64</v>
      </c>
      <c r="R14">
        <v>2</v>
      </c>
      <c r="S14">
        <v>2</v>
      </c>
      <c r="T14">
        <v>22.638200000000001</v>
      </c>
      <c r="V14">
        <f t="shared" si="3"/>
        <v>27584</v>
      </c>
      <c r="W14">
        <v>27584</v>
      </c>
      <c r="X14">
        <v>64</v>
      </c>
      <c r="Y14" s="41">
        <v>2</v>
      </c>
      <c r="Z14" s="41">
        <v>2</v>
      </c>
      <c r="AA14" s="55">
        <v>21.700600000000001</v>
      </c>
    </row>
    <row r="15" spans="1:28">
      <c r="A15">
        <f t="shared" si="0"/>
        <v>29120</v>
      </c>
      <c r="B15">
        <v>29120</v>
      </c>
      <c r="C15">
        <v>64</v>
      </c>
      <c r="D15">
        <v>2</v>
      </c>
      <c r="E15">
        <v>2</v>
      </c>
      <c r="F15">
        <v>21.767199999999999</v>
      </c>
      <c r="H15">
        <f t="shared" si="1"/>
        <v>29120</v>
      </c>
      <c r="I15">
        <v>29120</v>
      </c>
      <c r="J15">
        <v>64</v>
      </c>
      <c r="K15">
        <v>2</v>
      </c>
      <c r="L15">
        <v>2</v>
      </c>
      <c r="M15">
        <v>21.806600000000003</v>
      </c>
      <c r="O15">
        <f t="shared" si="2"/>
        <v>29120</v>
      </c>
      <c r="P15">
        <v>29120</v>
      </c>
      <c r="Q15">
        <v>64</v>
      </c>
      <c r="R15">
        <v>2</v>
      </c>
      <c r="S15">
        <v>2</v>
      </c>
      <c r="T15">
        <v>21.437999999999999</v>
      </c>
      <c r="V15">
        <f t="shared" si="3"/>
        <v>29120</v>
      </c>
      <c r="W15">
        <v>29120</v>
      </c>
      <c r="X15">
        <v>64</v>
      </c>
      <c r="Y15" s="41">
        <v>2</v>
      </c>
      <c r="Z15" s="41">
        <v>2</v>
      </c>
      <c r="AA15" s="55">
        <v>20.8644</v>
      </c>
    </row>
    <row r="16" spans="1:28">
      <c r="A16">
        <f t="shared" si="0"/>
        <v>26048</v>
      </c>
      <c r="B16">
        <v>26016</v>
      </c>
      <c r="C16">
        <v>96</v>
      </c>
      <c r="D16">
        <v>1</v>
      </c>
      <c r="E16">
        <v>4</v>
      </c>
      <c r="F16">
        <v>26.185399999999998</v>
      </c>
      <c r="H16">
        <f t="shared" si="1"/>
        <v>26048</v>
      </c>
      <c r="I16">
        <v>26016</v>
      </c>
      <c r="J16">
        <v>96</v>
      </c>
      <c r="K16">
        <v>1</v>
      </c>
      <c r="L16">
        <v>4</v>
      </c>
      <c r="M16">
        <v>26.1736</v>
      </c>
      <c r="O16">
        <f t="shared" si="2"/>
        <v>26048</v>
      </c>
      <c r="P16">
        <v>26016</v>
      </c>
      <c r="Q16">
        <v>96</v>
      </c>
      <c r="R16">
        <v>1</v>
      </c>
      <c r="S16">
        <v>4</v>
      </c>
      <c r="T16">
        <v>33.066999999999993</v>
      </c>
      <c r="V16">
        <f t="shared" si="3"/>
        <v>26048</v>
      </c>
      <c r="W16">
        <v>26016</v>
      </c>
      <c r="X16">
        <v>96</v>
      </c>
      <c r="Y16" s="41">
        <v>1</v>
      </c>
      <c r="Z16" s="41">
        <v>4</v>
      </c>
      <c r="AA16" s="55">
        <v>30.005800000000001</v>
      </c>
    </row>
    <row r="17" spans="1:27">
      <c r="A17">
        <f t="shared" si="0"/>
        <v>27584</v>
      </c>
      <c r="B17">
        <v>27552</v>
      </c>
      <c r="C17">
        <v>96</v>
      </c>
      <c r="D17">
        <v>1</v>
      </c>
      <c r="E17">
        <v>4</v>
      </c>
      <c r="F17">
        <v>25.7072</v>
      </c>
      <c r="H17">
        <f t="shared" si="1"/>
        <v>27584</v>
      </c>
      <c r="I17">
        <v>27552</v>
      </c>
      <c r="J17">
        <v>96</v>
      </c>
      <c r="K17">
        <v>1</v>
      </c>
      <c r="L17">
        <v>4</v>
      </c>
      <c r="M17">
        <v>25.795999999999999</v>
      </c>
      <c r="O17">
        <f t="shared" si="2"/>
        <v>27584</v>
      </c>
      <c r="P17">
        <v>27552</v>
      </c>
      <c r="Q17">
        <v>96</v>
      </c>
      <c r="R17">
        <v>1</v>
      </c>
      <c r="S17">
        <v>4</v>
      </c>
      <c r="T17">
        <v>32.559400000000004</v>
      </c>
      <c r="V17">
        <f t="shared" si="3"/>
        <v>27584</v>
      </c>
      <c r="W17">
        <v>27552</v>
      </c>
      <c r="X17">
        <v>96</v>
      </c>
      <c r="Y17" s="41">
        <v>1</v>
      </c>
      <c r="Z17" s="41">
        <v>4</v>
      </c>
      <c r="AA17" s="55">
        <v>30.092000000000002</v>
      </c>
    </row>
    <row r="18" spans="1:27">
      <c r="A18">
        <f t="shared" si="0"/>
        <v>29120</v>
      </c>
      <c r="B18">
        <v>29088</v>
      </c>
      <c r="C18">
        <v>96</v>
      </c>
      <c r="D18">
        <v>1</v>
      </c>
      <c r="E18">
        <v>4</v>
      </c>
      <c r="F18">
        <v>25.344800000000003</v>
      </c>
      <c r="H18">
        <f t="shared" si="1"/>
        <v>29120</v>
      </c>
      <c r="I18">
        <v>29088</v>
      </c>
      <c r="J18">
        <v>96</v>
      </c>
      <c r="K18">
        <v>1</v>
      </c>
      <c r="L18">
        <v>4</v>
      </c>
      <c r="M18">
        <v>25.374199999999995</v>
      </c>
      <c r="O18">
        <f t="shared" si="2"/>
        <v>29120</v>
      </c>
      <c r="P18">
        <v>29088</v>
      </c>
      <c r="Q18">
        <v>96</v>
      </c>
      <c r="R18">
        <v>1</v>
      </c>
      <c r="S18">
        <v>4</v>
      </c>
      <c r="T18">
        <v>32.364999999999995</v>
      </c>
      <c r="V18">
        <f t="shared" si="3"/>
        <v>29120</v>
      </c>
      <c r="W18">
        <v>29088</v>
      </c>
      <c r="X18">
        <v>96</v>
      </c>
      <c r="Y18" s="41">
        <v>1</v>
      </c>
      <c r="Z18" s="41">
        <v>4</v>
      </c>
      <c r="AA18" s="55">
        <v>30.256400000000003</v>
      </c>
    </row>
    <row r="19" spans="1:27">
      <c r="A19">
        <f t="shared" si="0"/>
        <v>26048</v>
      </c>
      <c r="B19">
        <v>26016</v>
      </c>
      <c r="C19">
        <v>96</v>
      </c>
      <c r="D19">
        <v>2</v>
      </c>
      <c r="E19">
        <v>2</v>
      </c>
      <c r="F19">
        <v>25.45</v>
      </c>
      <c r="H19">
        <f t="shared" si="1"/>
        <v>26048</v>
      </c>
      <c r="I19">
        <v>26016</v>
      </c>
      <c r="J19">
        <v>96</v>
      </c>
      <c r="K19">
        <v>2</v>
      </c>
      <c r="L19">
        <v>2</v>
      </c>
      <c r="M19">
        <v>25.421199999999999</v>
      </c>
      <c r="O19">
        <f t="shared" si="2"/>
        <v>26048</v>
      </c>
      <c r="P19">
        <v>26016</v>
      </c>
      <c r="Q19">
        <v>96</v>
      </c>
      <c r="R19">
        <v>2</v>
      </c>
      <c r="S19">
        <v>2</v>
      </c>
      <c r="T19">
        <v>30.906600000000005</v>
      </c>
      <c r="V19">
        <f t="shared" si="3"/>
        <v>26048</v>
      </c>
      <c r="W19">
        <v>26016</v>
      </c>
      <c r="X19">
        <v>96</v>
      </c>
      <c r="Y19" s="41">
        <v>2</v>
      </c>
      <c r="Z19" s="41">
        <v>2</v>
      </c>
      <c r="AA19" s="55">
        <v>27.645199999999999</v>
      </c>
    </row>
    <row r="20" spans="1:27">
      <c r="A20">
        <f t="shared" si="0"/>
        <v>27584</v>
      </c>
      <c r="B20">
        <v>27552</v>
      </c>
      <c r="C20">
        <v>96</v>
      </c>
      <c r="D20">
        <v>2</v>
      </c>
      <c r="E20">
        <v>2</v>
      </c>
      <c r="F20">
        <v>25.564399999999999</v>
      </c>
      <c r="H20">
        <f t="shared" si="1"/>
        <v>27584</v>
      </c>
      <c r="I20">
        <v>27552</v>
      </c>
      <c r="J20">
        <v>96</v>
      </c>
      <c r="K20">
        <v>2</v>
      </c>
      <c r="L20">
        <v>2</v>
      </c>
      <c r="M20">
        <v>25.6004</v>
      </c>
      <c r="O20">
        <f t="shared" si="2"/>
        <v>27584</v>
      </c>
      <c r="P20">
        <v>27552</v>
      </c>
      <c r="Q20">
        <v>96</v>
      </c>
      <c r="R20">
        <v>2</v>
      </c>
      <c r="S20">
        <v>2</v>
      </c>
      <c r="T20">
        <v>31.145</v>
      </c>
      <c r="V20">
        <f t="shared" si="3"/>
        <v>27584</v>
      </c>
      <c r="W20">
        <v>27552</v>
      </c>
      <c r="X20">
        <v>96</v>
      </c>
      <c r="Y20" s="41">
        <v>2</v>
      </c>
      <c r="Z20" s="41">
        <v>2</v>
      </c>
      <c r="AA20" s="55">
        <v>28.319200000000002</v>
      </c>
    </row>
    <row r="21" spans="1:27">
      <c r="A21">
        <f t="shared" si="0"/>
        <v>29120</v>
      </c>
      <c r="B21">
        <v>29088</v>
      </c>
      <c r="C21">
        <v>96</v>
      </c>
      <c r="D21">
        <v>2</v>
      </c>
      <c r="E21">
        <v>2</v>
      </c>
      <c r="F21">
        <v>24.779400000000003</v>
      </c>
      <c r="H21">
        <f t="shared" si="1"/>
        <v>29120</v>
      </c>
      <c r="I21">
        <v>29088</v>
      </c>
      <c r="J21">
        <v>96</v>
      </c>
      <c r="K21">
        <v>2</v>
      </c>
      <c r="L21">
        <v>2</v>
      </c>
      <c r="M21">
        <v>24.785399999999999</v>
      </c>
      <c r="O21">
        <f t="shared" si="2"/>
        <v>29120</v>
      </c>
      <c r="P21">
        <v>29088</v>
      </c>
      <c r="Q21">
        <v>96</v>
      </c>
      <c r="R21">
        <v>2</v>
      </c>
      <c r="S21">
        <v>2</v>
      </c>
      <c r="T21">
        <v>29.785599999999999</v>
      </c>
      <c r="V21">
        <f t="shared" si="3"/>
        <v>29120</v>
      </c>
      <c r="W21">
        <v>29088</v>
      </c>
      <c r="X21">
        <v>96</v>
      </c>
      <c r="Y21" s="41">
        <v>2</v>
      </c>
      <c r="Z21" s="41">
        <v>2</v>
      </c>
      <c r="AA21" s="55">
        <v>27.6082</v>
      </c>
    </row>
    <row r="22" spans="1:27">
      <c r="A22">
        <f t="shared" si="0"/>
        <v>26048</v>
      </c>
      <c r="B22">
        <v>26112</v>
      </c>
      <c r="C22">
        <v>128</v>
      </c>
      <c r="D22">
        <v>1</v>
      </c>
      <c r="E22">
        <v>4</v>
      </c>
      <c r="F22">
        <v>32.779399999999995</v>
      </c>
      <c r="H22">
        <f t="shared" si="1"/>
        <v>26048</v>
      </c>
      <c r="I22">
        <v>26112</v>
      </c>
      <c r="J22">
        <v>128</v>
      </c>
      <c r="K22">
        <v>1</v>
      </c>
      <c r="L22">
        <v>4</v>
      </c>
      <c r="M22">
        <v>32.4786</v>
      </c>
      <c r="O22">
        <f t="shared" si="2"/>
        <v>26048</v>
      </c>
      <c r="P22">
        <v>26112</v>
      </c>
      <c r="Q22">
        <v>128</v>
      </c>
      <c r="R22">
        <v>1</v>
      </c>
      <c r="S22">
        <v>4</v>
      </c>
      <c r="T22">
        <v>38.689399999999999</v>
      </c>
      <c r="V22">
        <f t="shared" si="3"/>
        <v>26048</v>
      </c>
      <c r="W22">
        <v>26112</v>
      </c>
      <c r="X22">
        <v>128</v>
      </c>
      <c r="Y22" s="41">
        <v>1</v>
      </c>
      <c r="Z22" s="41">
        <v>4</v>
      </c>
      <c r="AA22" s="55">
        <v>34.516000000000005</v>
      </c>
    </row>
    <row r="23" spans="1:27">
      <c r="A23">
        <f t="shared" si="0"/>
        <v>27584</v>
      </c>
      <c r="B23">
        <v>27648</v>
      </c>
      <c r="C23">
        <v>128</v>
      </c>
      <c r="D23">
        <v>1</v>
      </c>
      <c r="E23">
        <v>4</v>
      </c>
      <c r="F23">
        <v>31.525200000000002</v>
      </c>
      <c r="H23">
        <f t="shared" si="1"/>
        <v>27584</v>
      </c>
      <c r="I23">
        <v>27648</v>
      </c>
      <c r="J23">
        <v>128</v>
      </c>
      <c r="K23">
        <v>1</v>
      </c>
      <c r="L23">
        <v>4</v>
      </c>
      <c r="M23">
        <v>31.388999999999999</v>
      </c>
      <c r="O23">
        <f t="shared" si="2"/>
        <v>27584</v>
      </c>
      <c r="P23">
        <v>27648</v>
      </c>
      <c r="Q23">
        <v>128</v>
      </c>
      <c r="R23">
        <v>1</v>
      </c>
      <c r="S23">
        <v>4</v>
      </c>
      <c r="T23">
        <v>36.5336</v>
      </c>
      <c r="V23">
        <f t="shared" si="3"/>
        <v>27584</v>
      </c>
      <c r="W23">
        <v>27648</v>
      </c>
      <c r="X23">
        <v>128</v>
      </c>
      <c r="Y23" s="41">
        <v>1</v>
      </c>
      <c r="Z23" s="41">
        <v>4</v>
      </c>
      <c r="AA23" s="55">
        <v>33.395599999999995</v>
      </c>
    </row>
    <row r="24" spans="1:27">
      <c r="A24">
        <f t="shared" si="0"/>
        <v>29120</v>
      </c>
      <c r="B24">
        <v>29184</v>
      </c>
      <c r="C24">
        <v>128</v>
      </c>
      <c r="D24">
        <v>1</v>
      </c>
      <c r="E24">
        <v>4</v>
      </c>
      <c r="F24">
        <v>31.927799999999998</v>
      </c>
      <c r="H24">
        <f t="shared" si="1"/>
        <v>29120</v>
      </c>
      <c r="I24">
        <v>29184</v>
      </c>
      <c r="J24">
        <v>128</v>
      </c>
      <c r="K24">
        <v>1</v>
      </c>
      <c r="L24">
        <v>4</v>
      </c>
      <c r="M24">
        <v>31.708199999999998</v>
      </c>
      <c r="O24">
        <f t="shared" si="2"/>
        <v>29120</v>
      </c>
      <c r="P24">
        <v>29184</v>
      </c>
      <c r="Q24">
        <v>128</v>
      </c>
      <c r="R24">
        <v>1</v>
      </c>
      <c r="S24">
        <v>4</v>
      </c>
      <c r="T24">
        <v>38.209199999999996</v>
      </c>
      <c r="V24">
        <f t="shared" si="3"/>
        <v>29120</v>
      </c>
      <c r="W24">
        <v>29184</v>
      </c>
      <c r="X24">
        <v>128</v>
      </c>
      <c r="Y24" s="41">
        <v>1</v>
      </c>
      <c r="Z24" s="41">
        <v>4</v>
      </c>
      <c r="AA24" s="55">
        <v>35.074599999999997</v>
      </c>
    </row>
    <row r="25" spans="1:27">
      <c r="A25">
        <f t="shared" si="0"/>
        <v>26048</v>
      </c>
      <c r="B25">
        <v>26112</v>
      </c>
      <c r="C25">
        <v>128</v>
      </c>
      <c r="D25">
        <v>2</v>
      </c>
      <c r="E25">
        <v>2</v>
      </c>
      <c r="F25">
        <v>31.725999999999999</v>
      </c>
      <c r="H25">
        <f t="shared" si="1"/>
        <v>26048</v>
      </c>
      <c r="I25">
        <v>26112</v>
      </c>
      <c r="J25">
        <v>128</v>
      </c>
      <c r="K25">
        <v>2</v>
      </c>
      <c r="L25">
        <v>2</v>
      </c>
      <c r="M25">
        <v>31.589199999999998</v>
      </c>
      <c r="O25">
        <f t="shared" si="2"/>
        <v>26048</v>
      </c>
      <c r="P25">
        <v>26112</v>
      </c>
      <c r="Q25">
        <v>128</v>
      </c>
      <c r="R25">
        <v>2</v>
      </c>
      <c r="S25">
        <v>2</v>
      </c>
      <c r="T25">
        <v>36.85</v>
      </c>
      <c r="V25">
        <f t="shared" si="3"/>
        <v>26048</v>
      </c>
      <c r="W25">
        <v>26112</v>
      </c>
      <c r="X25">
        <v>128</v>
      </c>
      <c r="Y25" s="41">
        <v>2</v>
      </c>
      <c r="Z25" s="41">
        <v>2</v>
      </c>
      <c r="AA25" s="55">
        <v>31.2546</v>
      </c>
    </row>
    <row r="26" spans="1:27">
      <c r="A26">
        <f t="shared" si="0"/>
        <v>27584</v>
      </c>
      <c r="B26">
        <v>27648</v>
      </c>
      <c r="C26">
        <v>128</v>
      </c>
      <c r="D26">
        <v>2</v>
      </c>
      <c r="E26">
        <v>2</v>
      </c>
      <c r="F26">
        <v>31.5702</v>
      </c>
      <c r="H26">
        <f t="shared" si="1"/>
        <v>27584</v>
      </c>
      <c r="I26">
        <v>27648</v>
      </c>
      <c r="J26">
        <v>128</v>
      </c>
      <c r="K26">
        <v>2</v>
      </c>
      <c r="L26">
        <v>2</v>
      </c>
      <c r="M26">
        <v>31.404800000000002</v>
      </c>
      <c r="O26">
        <f t="shared" si="2"/>
        <v>27584</v>
      </c>
      <c r="P26">
        <v>27648</v>
      </c>
      <c r="Q26">
        <v>128</v>
      </c>
      <c r="R26">
        <v>2</v>
      </c>
      <c r="S26">
        <v>2</v>
      </c>
      <c r="T26">
        <v>36.450800000000001</v>
      </c>
      <c r="V26">
        <f t="shared" si="3"/>
        <v>27584</v>
      </c>
      <c r="W26">
        <v>27648</v>
      </c>
      <c r="X26">
        <v>128</v>
      </c>
      <c r="Y26" s="41">
        <v>2</v>
      </c>
      <c r="Z26" s="41">
        <v>2</v>
      </c>
      <c r="AA26" s="55">
        <v>31.8462</v>
      </c>
    </row>
    <row r="27" spans="1:27">
      <c r="A27">
        <f t="shared" si="0"/>
        <v>29120</v>
      </c>
      <c r="B27">
        <v>29184</v>
      </c>
      <c r="C27">
        <v>128</v>
      </c>
      <c r="D27">
        <v>2</v>
      </c>
      <c r="E27">
        <v>2</v>
      </c>
      <c r="F27">
        <v>30.688200000000002</v>
      </c>
      <c r="H27">
        <f t="shared" si="1"/>
        <v>29120</v>
      </c>
      <c r="I27">
        <v>29184</v>
      </c>
      <c r="J27">
        <v>128</v>
      </c>
      <c r="K27">
        <v>2</v>
      </c>
      <c r="L27">
        <v>2</v>
      </c>
      <c r="M27">
        <v>30.605</v>
      </c>
      <c r="O27">
        <f t="shared" si="2"/>
        <v>29120</v>
      </c>
      <c r="P27">
        <v>29184</v>
      </c>
      <c r="Q27">
        <v>128</v>
      </c>
      <c r="R27">
        <v>2</v>
      </c>
      <c r="S27">
        <v>2</v>
      </c>
      <c r="T27">
        <v>35.894600000000004</v>
      </c>
      <c r="V27">
        <f t="shared" si="3"/>
        <v>29120</v>
      </c>
      <c r="W27">
        <v>29184</v>
      </c>
      <c r="X27">
        <v>128</v>
      </c>
      <c r="Y27" s="41">
        <v>2</v>
      </c>
      <c r="Z27" s="41">
        <v>2</v>
      </c>
      <c r="AA27" s="55">
        <v>31.532</v>
      </c>
    </row>
    <row r="28" spans="1:27">
      <c r="A28">
        <f t="shared" si="0"/>
        <v>26048</v>
      </c>
      <c r="B28">
        <v>26080</v>
      </c>
      <c r="C28">
        <v>160</v>
      </c>
      <c r="D28">
        <v>1</v>
      </c>
      <c r="E28">
        <v>4</v>
      </c>
      <c r="F28">
        <v>36.402199999999993</v>
      </c>
      <c r="H28">
        <f t="shared" si="1"/>
        <v>26048</v>
      </c>
      <c r="I28">
        <v>26080</v>
      </c>
      <c r="J28">
        <v>160</v>
      </c>
      <c r="K28">
        <v>1</v>
      </c>
      <c r="L28">
        <v>4</v>
      </c>
      <c r="M28">
        <v>35.987800000000007</v>
      </c>
      <c r="O28">
        <f t="shared" si="2"/>
        <v>26048</v>
      </c>
      <c r="P28">
        <v>26080</v>
      </c>
      <c r="Q28">
        <v>160</v>
      </c>
      <c r="R28">
        <v>1</v>
      </c>
      <c r="S28">
        <v>4</v>
      </c>
      <c r="T28">
        <v>40.962400000000002</v>
      </c>
      <c r="V28">
        <f t="shared" si="3"/>
        <v>26048</v>
      </c>
      <c r="W28">
        <v>26080</v>
      </c>
      <c r="X28">
        <v>160</v>
      </c>
      <c r="Y28" s="41">
        <v>1</v>
      </c>
      <c r="Z28" s="41">
        <v>4</v>
      </c>
      <c r="AA28" s="55">
        <v>36.616200000000006</v>
      </c>
    </row>
    <row r="29" spans="1:27">
      <c r="A29">
        <f t="shared" si="0"/>
        <v>27584</v>
      </c>
      <c r="B29">
        <v>27520</v>
      </c>
      <c r="C29">
        <v>160</v>
      </c>
      <c r="D29">
        <v>1</v>
      </c>
      <c r="E29">
        <v>4</v>
      </c>
      <c r="F29">
        <v>36.129399999999997</v>
      </c>
      <c r="H29">
        <f t="shared" si="1"/>
        <v>27584</v>
      </c>
      <c r="I29">
        <v>27520</v>
      </c>
      <c r="J29">
        <v>160</v>
      </c>
      <c r="K29">
        <v>1</v>
      </c>
      <c r="L29">
        <v>4</v>
      </c>
      <c r="M29">
        <v>35.859399999999994</v>
      </c>
      <c r="O29">
        <f t="shared" si="2"/>
        <v>27584</v>
      </c>
      <c r="P29">
        <v>27520</v>
      </c>
      <c r="Q29">
        <v>160</v>
      </c>
      <c r="R29">
        <v>1</v>
      </c>
      <c r="S29">
        <v>4</v>
      </c>
      <c r="T29">
        <v>40.546399999999998</v>
      </c>
      <c r="V29">
        <f t="shared" si="3"/>
        <v>27584</v>
      </c>
      <c r="W29">
        <v>27520</v>
      </c>
      <c r="X29">
        <v>160</v>
      </c>
      <c r="Y29" s="41">
        <v>1</v>
      </c>
      <c r="Z29" s="41">
        <v>4</v>
      </c>
      <c r="AA29" s="55">
        <v>36.838000000000001</v>
      </c>
    </row>
    <row r="30" spans="1:27">
      <c r="A30">
        <f t="shared" si="0"/>
        <v>29120</v>
      </c>
      <c r="B30">
        <v>29120</v>
      </c>
      <c r="C30">
        <v>160</v>
      </c>
      <c r="D30">
        <v>1</v>
      </c>
      <c r="E30">
        <v>4</v>
      </c>
      <c r="F30">
        <v>35.976399999999998</v>
      </c>
      <c r="H30">
        <f t="shared" si="1"/>
        <v>29120</v>
      </c>
      <c r="I30">
        <v>29120</v>
      </c>
      <c r="J30">
        <v>160</v>
      </c>
      <c r="K30">
        <v>1</v>
      </c>
      <c r="L30">
        <v>4</v>
      </c>
      <c r="M30">
        <v>35.600999999999999</v>
      </c>
      <c r="O30">
        <f t="shared" si="2"/>
        <v>29120</v>
      </c>
      <c r="P30">
        <v>29120</v>
      </c>
      <c r="Q30">
        <v>160</v>
      </c>
      <c r="R30">
        <v>1</v>
      </c>
      <c r="S30">
        <v>4</v>
      </c>
      <c r="T30">
        <v>40.4664</v>
      </c>
      <c r="V30">
        <f t="shared" si="3"/>
        <v>29120</v>
      </c>
      <c r="W30">
        <v>29120</v>
      </c>
      <c r="X30">
        <v>160</v>
      </c>
      <c r="Y30" s="41">
        <v>1</v>
      </c>
      <c r="Z30" s="41">
        <v>4</v>
      </c>
      <c r="AA30" s="55">
        <v>37.12080000000001</v>
      </c>
    </row>
    <row r="31" spans="1:27">
      <c r="A31">
        <f t="shared" si="0"/>
        <v>26048</v>
      </c>
      <c r="B31">
        <v>26080</v>
      </c>
      <c r="C31">
        <v>160</v>
      </c>
      <c r="D31">
        <v>2</v>
      </c>
      <c r="E31">
        <v>2</v>
      </c>
      <c r="F31">
        <v>35.144999999999996</v>
      </c>
      <c r="H31">
        <f t="shared" si="1"/>
        <v>26048</v>
      </c>
      <c r="I31">
        <v>26080</v>
      </c>
      <c r="J31">
        <v>160</v>
      </c>
      <c r="K31">
        <v>2</v>
      </c>
      <c r="L31">
        <v>2</v>
      </c>
      <c r="M31">
        <v>34.773799999999994</v>
      </c>
      <c r="O31">
        <f t="shared" si="2"/>
        <v>26048</v>
      </c>
      <c r="P31">
        <v>26080</v>
      </c>
      <c r="Q31">
        <v>160</v>
      </c>
      <c r="R31">
        <v>2</v>
      </c>
      <c r="S31">
        <v>2</v>
      </c>
      <c r="T31">
        <v>39.380600000000001</v>
      </c>
      <c r="V31">
        <f t="shared" si="3"/>
        <v>26048</v>
      </c>
      <c r="W31">
        <v>26080</v>
      </c>
      <c r="X31">
        <v>160</v>
      </c>
      <c r="Y31" s="41">
        <v>2</v>
      </c>
      <c r="Z31" s="41">
        <v>2</v>
      </c>
      <c r="AA31" s="55">
        <v>32.795400000000001</v>
      </c>
    </row>
    <row r="32" spans="1:27">
      <c r="A32">
        <f t="shared" si="0"/>
        <v>27584</v>
      </c>
      <c r="B32">
        <v>27520</v>
      </c>
      <c r="C32">
        <v>160</v>
      </c>
      <c r="D32">
        <v>2</v>
      </c>
      <c r="E32">
        <v>2</v>
      </c>
      <c r="F32">
        <v>35.0884</v>
      </c>
      <c r="H32">
        <f t="shared" si="1"/>
        <v>27584</v>
      </c>
      <c r="I32">
        <v>27520</v>
      </c>
      <c r="J32">
        <v>160</v>
      </c>
      <c r="K32">
        <v>2</v>
      </c>
      <c r="L32">
        <v>2</v>
      </c>
      <c r="M32">
        <v>34.79</v>
      </c>
      <c r="O32">
        <f t="shared" si="2"/>
        <v>27584</v>
      </c>
      <c r="P32">
        <v>27520</v>
      </c>
      <c r="Q32">
        <v>160</v>
      </c>
      <c r="R32">
        <v>2</v>
      </c>
      <c r="S32">
        <v>2</v>
      </c>
      <c r="T32">
        <v>39.329000000000001</v>
      </c>
      <c r="V32">
        <f t="shared" si="3"/>
        <v>27584</v>
      </c>
      <c r="W32">
        <v>27520</v>
      </c>
      <c r="X32">
        <v>160</v>
      </c>
      <c r="Y32" s="41">
        <v>2</v>
      </c>
      <c r="Z32" s="41">
        <v>2</v>
      </c>
      <c r="AA32" s="55">
        <v>33.281999999999996</v>
      </c>
    </row>
    <row r="33" spans="1:27">
      <c r="A33">
        <f t="shared" si="0"/>
        <v>29120</v>
      </c>
      <c r="B33">
        <v>29120</v>
      </c>
      <c r="C33">
        <v>160</v>
      </c>
      <c r="D33">
        <v>2</v>
      </c>
      <c r="E33">
        <v>2</v>
      </c>
      <c r="F33">
        <v>34.842600000000004</v>
      </c>
      <c r="H33">
        <f t="shared" si="1"/>
        <v>29120</v>
      </c>
      <c r="I33">
        <v>29120</v>
      </c>
      <c r="J33">
        <v>160</v>
      </c>
      <c r="K33">
        <v>2</v>
      </c>
      <c r="L33">
        <v>2</v>
      </c>
      <c r="M33">
        <v>34.541600000000003</v>
      </c>
      <c r="O33">
        <f t="shared" si="2"/>
        <v>29120</v>
      </c>
      <c r="P33">
        <v>29120</v>
      </c>
      <c r="Q33">
        <v>160</v>
      </c>
      <c r="R33">
        <v>2</v>
      </c>
      <c r="S33">
        <v>2</v>
      </c>
      <c r="T33">
        <v>38.780999999999999</v>
      </c>
      <c r="V33">
        <f t="shared" si="3"/>
        <v>29120</v>
      </c>
      <c r="W33">
        <v>29120</v>
      </c>
      <c r="X33">
        <v>160</v>
      </c>
      <c r="Y33" s="41">
        <v>2</v>
      </c>
      <c r="Z33" s="41">
        <v>2</v>
      </c>
      <c r="AA33" s="55">
        <v>33.431200000000004</v>
      </c>
    </row>
    <row r="34" spans="1:27">
      <c r="A34">
        <f t="shared" si="0"/>
        <v>26048</v>
      </c>
      <c r="B34">
        <v>26112</v>
      </c>
      <c r="C34">
        <v>192</v>
      </c>
      <c r="D34">
        <v>1</v>
      </c>
      <c r="E34">
        <v>4</v>
      </c>
      <c r="F34">
        <v>33.806399999999996</v>
      </c>
      <c r="H34">
        <f t="shared" si="1"/>
        <v>26048</v>
      </c>
      <c r="I34">
        <v>26112</v>
      </c>
      <c r="J34">
        <v>192</v>
      </c>
      <c r="K34">
        <v>1</v>
      </c>
      <c r="L34">
        <v>4</v>
      </c>
      <c r="M34">
        <v>33.317999999999998</v>
      </c>
      <c r="O34">
        <f t="shared" si="2"/>
        <v>26048</v>
      </c>
      <c r="P34">
        <v>26112</v>
      </c>
      <c r="Q34">
        <v>192</v>
      </c>
      <c r="R34">
        <v>1</v>
      </c>
      <c r="S34">
        <v>4</v>
      </c>
      <c r="T34">
        <v>42.094000000000001</v>
      </c>
      <c r="V34">
        <f t="shared" si="3"/>
        <v>26048</v>
      </c>
      <c r="W34">
        <v>26112</v>
      </c>
      <c r="X34">
        <v>192</v>
      </c>
      <c r="Y34" s="41">
        <v>1</v>
      </c>
      <c r="Z34" s="41">
        <v>4</v>
      </c>
      <c r="AA34" s="55">
        <v>38.132400000000004</v>
      </c>
    </row>
    <row r="35" spans="1:27">
      <c r="A35">
        <f t="shared" si="0"/>
        <v>27584</v>
      </c>
      <c r="B35">
        <v>27648</v>
      </c>
      <c r="C35">
        <v>192</v>
      </c>
      <c r="D35">
        <v>1</v>
      </c>
      <c r="E35">
        <v>4</v>
      </c>
      <c r="F35">
        <v>29.786999999999999</v>
      </c>
      <c r="H35">
        <f t="shared" si="1"/>
        <v>27584</v>
      </c>
      <c r="I35">
        <v>27648</v>
      </c>
      <c r="J35">
        <v>192</v>
      </c>
      <c r="K35">
        <v>1</v>
      </c>
      <c r="L35">
        <v>4</v>
      </c>
      <c r="M35">
        <v>29.753800000000002</v>
      </c>
      <c r="O35">
        <f t="shared" si="2"/>
        <v>27584</v>
      </c>
      <c r="P35">
        <v>27648</v>
      </c>
      <c r="Q35">
        <v>192</v>
      </c>
      <c r="R35">
        <v>1</v>
      </c>
      <c r="S35">
        <v>4</v>
      </c>
      <c r="T35">
        <v>41.099200000000003</v>
      </c>
      <c r="V35">
        <f t="shared" si="3"/>
        <v>27584</v>
      </c>
      <c r="W35">
        <v>27648</v>
      </c>
      <c r="X35">
        <v>192</v>
      </c>
      <c r="Y35" s="41">
        <v>1</v>
      </c>
      <c r="Z35" s="41">
        <v>4</v>
      </c>
      <c r="AA35" s="55">
        <v>37.698599999999999</v>
      </c>
    </row>
    <row r="36" spans="1:27">
      <c r="A36">
        <f t="shared" si="0"/>
        <v>29120</v>
      </c>
      <c r="B36">
        <v>29184</v>
      </c>
      <c r="C36">
        <v>192</v>
      </c>
      <c r="D36">
        <v>1</v>
      </c>
      <c r="E36">
        <v>4</v>
      </c>
      <c r="F36">
        <v>32.8964</v>
      </c>
      <c r="H36">
        <f t="shared" si="1"/>
        <v>29120</v>
      </c>
      <c r="I36">
        <v>29184</v>
      </c>
      <c r="J36">
        <v>192</v>
      </c>
      <c r="K36">
        <v>1</v>
      </c>
      <c r="L36">
        <v>4</v>
      </c>
      <c r="M36">
        <v>32.651400000000002</v>
      </c>
      <c r="O36">
        <f t="shared" si="2"/>
        <v>29120</v>
      </c>
      <c r="P36">
        <v>29184</v>
      </c>
      <c r="Q36">
        <v>192</v>
      </c>
      <c r="R36">
        <v>1</v>
      </c>
      <c r="S36">
        <v>4</v>
      </c>
      <c r="T36">
        <v>41.850999999999999</v>
      </c>
      <c r="V36">
        <f t="shared" si="3"/>
        <v>29120</v>
      </c>
      <c r="W36">
        <v>29184</v>
      </c>
      <c r="X36">
        <v>192</v>
      </c>
      <c r="Y36" s="41">
        <v>1</v>
      </c>
      <c r="Z36" s="41">
        <v>4</v>
      </c>
      <c r="AA36" s="55">
        <v>38.7378</v>
      </c>
    </row>
    <row r="37" spans="1:27">
      <c r="A37">
        <f t="shared" si="0"/>
        <v>26048</v>
      </c>
      <c r="B37">
        <v>26112</v>
      </c>
      <c r="C37">
        <v>192</v>
      </c>
      <c r="D37">
        <v>2</v>
      </c>
      <c r="E37">
        <v>2</v>
      </c>
      <c r="F37">
        <v>34.605600000000003</v>
      </c>
      <c r="H37">
        <f t="shared" si="1"/>
        <v>26048</v>
      </c>
      <c r="I37">
        <v>26112</v>
      </c>
      <c r="J37">
        <v>192</v>
      </c>
      <c r="K37">
        <v>2</v>
      </c>
      <c r="L37">
        <v>2</v>
      </c>
      <c r="M37">
        <v>34.229400000000005</v>
      </c>
      <c r="O37">
        <f t="shared" si="2"/>
        <v>26048</v>
      </c>
      <c r="P37">
        <v>26112</v>
      </c>
      <c r="Q37">
        <v>192</v>
      </c>
      <c r="R37">
        <v>2</v>
      </c>
      <c r="S37">
        <v>2</v>
      </c>
      <c r="T37">
        <v>40.2864</v>
      </c>
      <c r="V37">
        <f t="shared" si="3"/>
        <v>26048</v>
      </c>
      <c r="W37">
        <v>26112</v>
      </c>
      <c r="X37">
        <v>192</v>
      </c>
      <c r="Y37" s="41">
        <v>2</v>
      </c>
      <c r="Z37" s="41">
        <v>2</v>
      </c>
      <c r="AA37" s="55">
        <v>34.202200000000005</v>
      </c>
    </row>
    <row r="38" spans="1:27">
      <c r="A38">
        <f t="shared" si="0"/>
        <v>27584</v>
      </c>
      <c r="B38">
        <v>27648</v>
      </c>
      <c r="C38">
        <v>192</v>
      </c>
      <c r="D38">
        <v>2</v>
      </c>
      <c r="E38">
        <v>2</v>
      </c>
      <c r="F38">
        <v>34.383600000000001</v>
      </c>
      <c r="H38">
        <f t="shared" si="1"/>
        <v>27584</v>
      </c>
      <c r="I38">
        <v>27648</v>
      </c>
      <c r="J38">
        <v>192</v>
      </c>
      <c r="K38">
        <v>2</v>
      </c>
      <c r="L38">
        <v>2</v>
      </c>
      <c r="M38">
        <v>34.078800000000001</v>
      </c>
      <c r="O38">
        <f t="shared" si="2"/>
        <v>27584</v>
      </c>
      <c r="P38">
        <v>27648</v>
      </c>
      <c r="Q38">
        <v>192</v>
      </c>
      <c r="R38">
        <v>2</v>
      </c>
      <c r="S38">
        <v>2</v>
      </c>
      <c r="T38">
        <v>40.951999999999998</v>
      </c>
      <c r="V38">
        <f t="shared" si="3"/>
        <v>27584</v>
      </c>
      <c r="W38">
        <v>27648</v>
      </c>
      <c r="X38">
        <v>192</v>
      </c>
      <c r="Y38" s="41">
        <v>2</v>
      </c>
      <c r="Z38" s="41">
        <v>2</v>
      </c>
      <c r="AA38" s="55">
        <v>35.059199999999997</v>
      </c>
    </row>
    <row r="39" spans="1:27">
      <c r="A39">
        <f t="shared" si="0"/>
        <v>29120</v>
      </c>
      <c r="B39">
        <v>29184</v>
      </c>
      <c r="C39">
        <v>192</v>
      </c>
      <c r="D39">
        <v>2</v>
      </c>
      <c r="E39">
        <v>2</v>
      </c>
      <c r="F39">
        <v>33.980399999999996</v>
      </c>
      <c r="H39">
        <f t="shared" si="1"/>
        <v>29120</v>
      </c>
      <c r="I39">
        <v>29184</v>
      </c>
      <c r="J39">
        <v>192</v>
      </c>
      <c r="K39">
        <v>2</v>
      </c>
      <c r="L39">
        <v>2</v>
      </c>
      <c r="M39">
        <v>33.703600000000002</v>
      </c>
      <c r="O39">
        <f t="shared" si="2"/>
        <v>29120</v>
      </c>
      <c r="P39">
        <v>29184</v>
      </c>
      <c r="Q39">
        <v>192</v>
      </c>
      <c r="R39">
        <v>2</v>
      </c>
      <c r="S39">
        <v>2</v>
      </c>
      <c r="T39">
        <v>39.823</v>
      </c>
      <c r="V39">
        <f t="shared" si="3"/>
        <v>29120</v>
      </c>
      <c r="W39">
        <v>29184</v>
      </c>
      <c r="X39">
        <v>192</v>
      </c>
      <c r="Y39" s="41">
        <v>2</v>
      </c>
      <c r="Z39" s="41">
        <v>2</v>
      </c>
      <c r="AA39" s="55">
        <v>34.718599999999995</v>
      </c>
    </row>
    <row r="40" spans="1:27">
      <c r="A40">
        <f t="shared" si="0"/>
        <v>26048</v>
      </c>
      <c r="B40">
        <v>25984</v>
      </c>
      <c r="C40">
        <v>224</v>
      </c>
      <c r="D40">
        <v>1</v>
      </c>
      <c r="E40">
        <v>4</v>
      </c>
      <c r="F40">
        <v>35.639200000000002</v>
      </c>
      <c r="H40">
        <f t="shared" si="1"/>
        <v>26048</v>
      </c>
      <c r="I40">
        <v>25984</v>
      </c>
      <c r="J40">
        <v>224</v>
      </c>
      <c r="K40">
        <v>1</v>
      </c>
      <c r="L40">
        <v>4</v>
      </c>
      <c r="M40">
        <v>35.263800000000003</v>
      </c>
      <c r="O40">
        <f t="shared" si="2"/>
        <v>26048</v>
      </c>
      <c r="P40">
        <v>25984</v>
      </c>
      <c r="Q40">
        <v>224</v>
      </c>
      <c r="R40">
        <v>1</v>
      </c>
      <c r="S40">
        <v>4</v>
      </c>
      <c r="T40">
        <v>42.206000000000003</v>
      </c>
      <c r="V40">
        <f t="shared" si="3"/>
        <v>26048</v>
      </c>
      <c r="W40">
        <v>25984</v>
      </c>
      <c r="X40">
        <v>224</v>
      </c>
      <c r="Y40" s="41">
        <v>1</v>
      </c>
      <c r="Z40" s="41">
        <v>4</v>
      </c>
      <c r="AA40" s="55">
        <v>38.784399999999998</v>
      </c>
    </row>
    <row r="41" spans="1:27">
      <c r="A41">
        <f t="shared" si="0"/>
        <v>27584</v>
      </c>
      <c r="B41">
        <v>27552</v>
      </c>
      <c r="C41">
        <v>224</v>
      </c>
      <c r="D41">
        <v>1</v>
      </c>
      <c r="E41">
        <v>4</v>
      </c>
      <c r="F41">
        <v>35.366</v>
      </c>
      <c r="H41">
        <f t="shared" si="1"/>
        <v>27584</v>
      </c>
      <c r="I41">
        <v>27552</v>
      </c>
      <c r="J41">
        <v>224</v>
      </c>
      <c r="K41">
        <v>1</v>
      </c>
      <c r="L41">
        <v>4</v>
      </c>
      <c r="M41">
        <v>34.938400000000001</v>
      </c>
      <c r="O41">
        <f t="shared" si="2"/>
        <v>27584</v>
      </c>
      <c r="P41">
        <v>27552</v>
      </c>
      <c r="Q41">
        <v>224</v>
      </c>
      <c r="R41">
        <v>1</v>
      </c>
      <c r="S41">
        <v>4</v>
      </c>
      <c r="T41">
        <v>42.1648</v>
      </c>
      <c r="V41">
        <f t="shared" si="3"/>
        <v>27584</v>
      </c>
      <c r="W41">
        <v>27552</v>
      </c>
      <c r="X41">
        <v>224</v>
      </c>
      <c r="Y41" s="41">
        <v>1</v>
      </c>
      <c r="Z41" s="41">
        <v>4</v>
      </c>
      <c r="AA41" s="55">
        <v>38.907600000000002</v>
      </c>
    </row>
    <row r="42" spans="1:27">
      <c r="A42">
        <f t="shared" si="0"/>
        <v>29120</v>
      </c>
      <c r="B42">
        <v>29120</v>
      </c>
      <c r="C42">
        <v>224</v>
      </c>
      <c r="D42">
        <v>1</v>
      </c>
      <c r="E42">
        <v>4</v>
      </c>
      <c r="F42">
        <v>35.116199999999992</v>
      </c>
      <c r="H42">
        <f t="shared" si="1"/>
        <v>29120</v>
      </c>
      <c r="I42">
        <v>29120</v>
      </c>
      <c r="J42">
        <v>224</v>
      </c>
      <c r="K42">
        <v>1</v>
      </c>
      <c r="L42">
        <v>4</v>
      </c>
      <c r="M42">
        <v>34.74</v>
      </c>
      <c r="O42">
        <f t="shared" si="2"/>
        <v>29120</v>
      </c>
      <c r="P42">
        <v>29120</v>
      </c>
      <c r="Q42">
        <v>224</v>
      </c>
      <c r="R42">
        <v>1</v>
      </c>
      <c r="S42">
        <v>4</v>
      </c>
      <c r="T42">
        <v>42.326000000000001</v>
      </c>
      <c r="V42">
        <f t="shared" si="3"/>
        <v>29120</v>
      </c>
      <c r="W42">
        <v>29120</v>
      </c>
      <c r="X42">
        <v>224</v>
      </c>
      <c r="Y42" s="41">
        <v>1</v>
      </c>
      <c r="Z42" s="41">
        <v>4</v>
      </c>
      <c r="AA42" s="55">
        <v>39.205399999999997</v>
      </c>
    </row>
    <row r="43" spans="1:27">
      <c r="A43">
        <f t="shared" si="0"/>
        <v>26048</v>
      </c>
      <c r="B43">
        <v>25984</v>
      </c>
      <c r="C43">
        <v>224</v>
      </c>
      <c r="D43">
        <v>2</v>
      </c>
      <c r="E43">
        <v>2</v>
      </c>
      <c r="F43">
        <v>36.046199999999999</v>
      </c>
      <c r="H43">
        <f t="shared" si="1"/>
        <v>26048</v>
      </c>
      <c r="I43">
        <v>25984</v>
      </c>
      <c r="J43">
        <v>224</v>
      </c>
      <c r="K43">
        <v>2</v>
      </c>
      <c r="L43">
        <v>2</v>
      </c>
      <c r="M43">
        <v>35.672199999999997</v>
      </c>
      <c r="O43">
        <f t="shared" si="2"/>
        <v>26048</v>
      </c>
      <c r="P43">
        <v>25984</v>
      </c>
      <c r="Q43">
        <v>224</v>
      </c>
      <c r="R43">
        <v>2</v>
      </c>
      <c r="S43">
        <v>2</v>
      </c>
      <c r="T43">
        <v>40.903600000000004</v>
      </c>
      <c r="V43">
        <f t="shared" si="3"/>
        <v>26048</v>
      </c>
      <c r="W43">
        <v>25984</v>
      </c>
      <c r="X43">
        <v>224</v>
      </c>
      <c r="Y43" s="41">
        <v>2</v>
      </c>
      <c r="Z43" s="41">
        <v>2</v>
      </c>
      <c r="AA43" s="55">
        <v>34.917400000000001</v>
      </c>
    </row>
    <row r="44" spans="1:27">
      <c r="A44">
        <f t="shared" si="0"/>
        <v>27584</v>
      </c>
      <c r="B44">
        <v>27552</v>
      </c>
      <c r="C44">
        <v>224</v>
      </c>
      <c r="D44">
        <v>2</v>
      </c>
      <c r="E44">
        <v>2</v>
      </c>
      <c r="F44">
        <v>36.043399999999998</v>
      </c>
      <c r="H44">
        <f t="shared" si="1"/>
        <v>27584</v>
      </c>
      <c r="I44">
        <v>27552</v>
      </c>
      <c r="J44">
        <v>224</v>
      </c>
      <c r="K44">
        <v>2</v>
      </c>
      <c r="L44">
        <v>2</v>
      </c>
      <c r="M44">
        <v>35.672800000000002</v>
      </c>
      <c r="O44">
        <f t="shared" si="2"/>
        <v>27584</v>
      </c>
      <c r="P44">
        <v>27552</v>
      </c>
      <c r="Q44">
        <v>224</v>
      </c>
      <c r="R44">
        <v>2</v>
      </c>
      <c r="S44">
        <v>2</v>
      </c>
      <c r="T44">
        <v>40.734599999999993</v>
      </c>
      <c r="V44">
        <f t="shared" si="3"/>
        <v>27584</v>
      </c>
      <c r="W44">
        <v>27552</v>
      </c>
      <c r="X44">
        <v>224</v>
      </c>
      <c r="Y44" s="41">
        <v>2</v>
      </c>
      <c r="Z44" s="41">
        <v>2</v>
      </c>
      <c r="AA44" s="55">
        <v>35.047600000000003</v>
      </c>
    </row>
    <row r="45" spans="1:27">
      <c r="A45">
        <f t="shared" si="0"/>
        <v>29120</v>
      </c>
      <c r="B45">
        <v>29120</v>
      </c>
      <c r="C45">
        <v>224</v>
      </c>
      <c r="D45">
        <v>2</v>
      </c>
      <c r="E45">
        <v>2</v>
      </c>
      <c r="F45">
        <v>35.922399999999996</v>
      </c>
      <c r="H45">
        <f t="shared" si="1"/>
        <v>29120</v>
      </c>
      <c r="I45">
        <v>29120</v>
      </c>
      <c r="J45">
        <v>224</v>
      </c>
      <c r="K45">
        <v>2</v>
      </c>
      <c r="L45">
        <v>2</v>
      </c>
      <c r="M45">
        <v>35.560199999999995</v>
      </c>
      <c r="O45">
        <f t="shared" si="2"/>
        <v>29120</v>
      </c>
      <c r="P45">
        <v>29120</v>
      </c>
      <c r="Q45">
        <v>224</v>
      </c>
      <c r="R45">
        <v>2</v>
      </c>
      <c r="S45">
        <v>2</v>
      </c>
      <c r="T45">
        <v>40.862400000000001</v>
      </c>
      <c r="V45">
        <f t="shared" si="3"/>
        <v>29120</v>
      </c>
      <c r="W45">
        <v>29120</v>
      </c>
      <c r="X45">
        <v>224</v>
      </c>
      <c r="Y45" s="41">
        <v>2</v>
      </c>
      <c r="Z45" s="41">
        <v>2</v>
      </c>
      <c r="AA45" s="55">
        <v>35.448999999999998</v>
      </c>
    </row>
    <row r="46" spans="1:27">
      <c r="A46">
        <f t="shared" si="0"/>
        <v>26048</v>
      </c>
      <c r="B46">
        <v>26112</v>
      </c>
      <c r="C46">
        <v>256</v>
      </c>
      <c r="D46">
        <v>1</v>
      </c>
      <c r="E46">
        <v>4</v>
      </c>
      <c r="F46">
        <v>33.241399999999999</v>
      </c>
      <c r="H46">
        <f t="shared" si="1"/>
        <v>26048</v>
      </c>
      <c r="I46">
        <v>26112</v>
      </c>
      <c r="J46">
        <v>256</v>
      </c>
      <c r="K46">
        <v>1</v>
      </c>
      <c r="L46">
        <v>4</v>
      </c>
      <c r="M46">
        <v>33.017600000000002</v>
      </c>
      <c r="O46">
        <f t="shared" si="2"/>
        <v>26048</v>
      </c>
      <c r="P46">
        <v>26112</v>
      </c>
      <c r="Q46">
        <v>256</v>
      </c>
      <c r="R46">
        <v>1</v>
      </c>
      <c r="S46">
        <v>4</v>
      </c>
      <c r="T46">
        <v>42.068799999999996</v>
      </c>
      <c r="V46">
        <f t="shared" si="3"/>
        <v>26048</v>
      </c>
      <c r="W46">
        <v>26112</v>
      </c>
      <c r="X46">
        <v>256</v>
      </c>
      <c r="Y46" s="41">
        <v>1</v>
      </c>
      <c r="Z46" s="41">
        <v>4</v>
      </c>
      <c r="AA46" s="55">
        <v>38.442799999999998</v>
      </c>
    </row>
    <row r="47" spans="1:27">
      <c r="A47">
        <f t="shared" si="0"/>
        <v>27584</v>
      </c>
      <c r="B47">
        <v>27648</v>
      </c>
      <c r="C47">
        <v>256</v>
      </c>
      <c r="D47">
        <v>1</v>
      </c>
      <c r="E47">
        <v>4</v>
      </c>
      <c r="F47">
        <v>30.217200000000002</v>
      </c>
      <c r="H47">
        <f t="shared" si="1"/>
        <v>27584</v>
      </c>
      <c r="I47">
        <v>27648</v>
      </c>
      <c r="J47">
        <v>256</v>
      </c>
      <c r="K47">
        <v>1</v>
      </c>
      <c r="L47">
        <v>4</v>
      </c>
      <c r="M47">
        <v>30.026999999999997</v>
      </c>
      <c r="O47">
        <f t="shared" si="2"/>
        <v>27584</v>
      </c>
      <c r="P47">
        <v>27648</v>
      </c>
      <c r="Q47">
        <v>256</v>
      </c>
      <c r="R47">
        <v>1</v>
      </c>
      <c r="S47">
        <v>4</v>
      </c>
      <c r="T47">
        <v>41.422199999999997</v>
      </c>
      <c r="V47">
        <f t="shared" si="3"/>
        <v>27584</v>
      </c>
      <c r="W47">
        <v>27648</v>
      </c>
      <c r="X47">
        <v>256</v>
      </c>
      <c r="Y47" s="41">
        <v>1</v>
      </c>
      <c r="Z47" s="41">
        <v>4</v>
      </c>
      <c r="AA47" s="55">
        <v>38.438200000000002</v>
      </c>
    </row>
    <row r="48" spans="1:27">
      <c r="A48">
        <f t="shared" si="0"/>
        <v>29120</v>
      </c>
      <c r="B48">
        <v>29184</v>
      </c>
      <c r="C48">
        <v>256</v>
      </c>
      <c r="D48">
        <v>1</v>
      </c>
      <c r="E48">
        <v>4</v>
      </c>
      <c r="F48">
        <v>32.614199999999997</v>
      </c>
      <c r="H48">
        <f t="shared" si="1"/>
        <v>29120</v>
      </c>
      <c r="I48">
        <v>29184</v>
      </c>
      <c r="J48">
        <v>256</v>
      </c>
      <c r="K48">
        <v>1</v>
      </c>
      <c r="L48">
        <v>4</v>
      </c>
      <c r="M48">
        <v>32.333800000000004</v>
      </c>
      <c r="O48">
        <f t="shared" si="2"/>
        <v>29120</v>
      </c>
      <c r="P48">
        <v>29184</v>
      </c>
      <c r="Q48">
        <v>256</v>
      </c>
      <c r="R48">
        <v>1</v>
      </c>
      <c r="S48">
        <v>4</v>
      </c>
      <c r="T48">
        <v>41.564</v>
      </c>
      <c r="V48">
        <f t="shared" si="3"/>
        <v>29120</v>
      </c>
      <c r="W48">
        <v>29184</v>
      </c>
      <c r="X48">
        <v>256</v>
      </c>
      <c r="Y48" s="41">
        <v>1</v>
      </c>
      <c r="Z48" s="41">
        <v>4</v>
      </c>
      <c r="AA48" s="55">
        <v>38.783799999999999</v>
      </c>
    </row>
    <row r="49" spans="1:27">
      <c r="A49">
        <f t="shared" si="0"/>
        <v>26048</v>
      </c>
      <c r="B49">
        <v>26112</v>
      </c>
      <c r="C49">
        <v>256</v>
      </c>
      <c r="D49">
        <v>2</v>
      </c>
      <c r="E49">
        <v>2</v>
      </c>
      <c r="F49">
        <v>34.282799999999995</v>
      </c>
      <c r="H49">
        <f t="shared" si="1"/>
        <v>26048</v>
      </c>
      <c r="I49">
        <v>26112</v>
      </c>
      <c r="J49">
        <v>256</v>
      </c>
      <c r="K49">
        <v>2</v>
      </c>
      <c r="L49">
        <v>2</v>
      </c>
      <c r="M49">
        <v>33.998000000000005</v>
      </c>
      <c r="O49">
        <f t="shared" si="2"/>
        <v>26048</v>
      </c>
      <c r="P49">
        <v>26112</v>
      </c>
      <c r="Q49">
        <v>256</v>
      </c>
      <c r="R49">
        <v>2</v>
      </c>
      <c r="S49">
        <v>2</v>
      </c>
      <c r="T49">
        <v>39.7318</v>
      </c>
      <c r="V49">
        <f t="shared" si="3"/>
        <v>26048</v>
      </c>
      <c r="W49">
        <v>26112</v>
      </c>
      <c r="X49">
        <v>256</v>
      </c>
      <c r="Y49" s="41">
        <v>2</v>
      </c>
      <c r="Z49" s="41">
        <v>2</v>
      </c>
      <c r="AA49" s="55">
        <v>33.476999999999997</v>
      </c>
    </row>
    <row r="50" spans="1:27">
      <c r="A50">
        <f t="shared" si="0"/>
        <v>27584</v>
      </c>
      <c r="B50">
        <v>27648</v>
      </c>
      <c r="C50">
        <v>256</v>
      </c>
      <c r="D50">
        <v>2</v>
      </c>
      <c r="E50">
        <v>2</v>
      </c>
      <c r="F50">
        <v>34.221600000000002</v>
      </c>
      <c r="H50">
        <f t="shared" si="1"/>
        <v>27584</v>
      </c>
      <c r="I50">
        <v>27648</v>
      </c>
      <c r="J50">
        <v>256</v>
      </c>
      <c r="K50">
        <v>2</v>
      </c>
      <c r="L50">
        <v>2</v>
      </c>
      <c r="M50">
        <v>33.884</v>
      </c>
      <c r="O50">
        <f t="shared" si="2"/>
        <v>27584</v>
      </c>
      <c r="P50">
        <v>27648</v>
      </c>
      <c r="Q50">
        <v>256</v>
      </c>
      <c r="R50">
        <v>2</v>
      </c>
      <c r="S50">
        <v>2</v>
      </c>
      <c r="T50">
        <v>40.196199999999997</v>
      </c>
      <c r="V50">
        <f t="shared" si="3"/>
        <v>27584</v>
      </c>
      <c r="W50">
        <v>27648</v>
      </c>
      <c r="X50">
        <v>256</v>
      </c>
      <c r="Y50" s="41">
        <v>2</v>
      </c>
      <c r="Z50" s="41">
        <v>2</v>
      </c>
      <c r="AA50" s="55">
        <v>34.0304</v>
      </c>
    </row>
    <row r="51" spans="1:27">
      <c r="A51">
        <f t="shared" si="0"/>
        <v>29120</v>
      </c>
      <c r="B51">
        <v>29184</v>
      </c>
      <c r="C51">
        <v>256</v>
      </c>
      <c r="D51">
        <v>2</v>
      </c>
      <c r="E51">
        <v>2</v>
      </c>
      <c r="F51">
        <v>33.758600000000001</v>
      </c>
      <c r="H51">
        <f t="shared" si="1"/>
        <v>29120</v>
      </c>
      <c r="I51">
        <v>29184</v>
      </c>
      <c r="J51">
        <v>256</v>
      </c>
      <c r="K51">
        <v>2</v>
      </c>
      <c r="L51">
        <v>2</v>
      </c>
      <c r="M51">
        <v>33.521799999999999</v>
      </c>
      <c r="O51">
        <f t="shared" si="2"/>
        <v>29120</v>
      </c>
      <c r="P51">
        <v>29184</v>
      </c>
      <c r="Q51">
        <v>256</v>
      </c>
      <c r="R51">
        <v>2</v>
      </c>
      <c r="S51">
        <v>2</v>
      </c>
      <c r="T51">
        <v>39.465800000000002</v>
      </c>
      <c r="V51">
        <f t="shared" si="3"/>
        <v>29120</v>
      </c>
      <c r="W51">
        <v>29184</v>
      </c>
      <c r="X51">
        <v>256</v>
      </c>
      <c r="Y51" s="41">
        <v>2</v>
      </c>
      <c r="Z51" s="41">
        <v>2</v>
      </c>
      <c r="AA51" s="55">
        <v>34.342199999999998</v>
      </c>
    </row>
    <row r="52" spans="1:27">
      <c r="A52">
        <f t="shared" si="0"/>
        <v>26048</v>
      </c>
      <c r="B52">
        <v>0</v>
      </c>
      <c r="C52">
        <v>0</v>
      </c>
      <c r="D52">
        <v>0</v>
      </c>
      <c r="E52">
        <v>0</v>
      </c>
      <c r="F52">
        <v>28.71429583333332</v>
      </c>
      <c r="H52">
        <f t="shared" si="1"/>
        <v>26048</v>
      </c>
      <c r="I52">
        <v>0</v>
      </c>
      <c r="J52">
        <v>0</v>
      </c>
      <c r="K52">
        <v>0</v>
      </c>
      <c r="L52">
        <v>0</v>
      </c>
      <c r="M52">
        <v>28.544070833333329</v>
      </c>
      <c r="O52">
        <f t="shared" si="2"/>
        <v>26048</v>
      </c>
      <c r="P52">
        <v>0</v>
      </c>
      <c r="Q52">
        <v>0</v>
      </c>
      <c r="R52">
        <v>0</v>
      </c>
      <c r="S52">
        <v>0</v>
      </c>
      <c r="T52">
        <v>33.365304166666654</v>
      </c>
      <c r="V52">
        <f t="shared" si="3"/>
        <v>26048</v>
      </c>
      <c r="W52">
        <v>0</v>
      </c>
      <c r="X52">
        <v>0</v>
      </c>
      <c r="Y52" s="41">
        <v>0</v>
      </c>
      <c r="Z52" s="41">
        <v>0</v>
      </c>
      <c r="AA52" s="55">
        <v>30.096045833333289</v>
      </c>
    </row>
    <row r="53" spans="1:27">
      <c r="A53">
        <f t="shared" si="0"/>
        <v>26048</v>
      </c>
      <c r="B53">
        <v>0</v>
      </c>
      <c r="C53">
        <v>0</v>
      </c>
      <c r="D53">
        <v>0</v>
      </c>
      <c r="E53">
        <v>0</v>
      </c>
      <c r="F53">
        <v>0</v>
      </c>
      <c r="H53">
        <f t="shared" si="1"/>
        <v>26048</v>
      </c>
      <c r="I53">
        <v>0</v>
      </c>
      <c r="J53">
        <v>0</v>
      </c>
      <c r="K53">
        <v>0</v>
      </c>
      <c r="L53">
        <v>0</v>
      </c>
      <c r="M53">
        <v>0</v>
      </c>
      <c r="O53">
        <f t="shared" si="2"/>
        <v>26048</v>
      </c>
      <c r="P53">
        <v>0</v>
      </c>
      <c r="Q53">
        <v>0</v>
      </c>
      <c r="R53">
        <v>0</v>
      </c>
      <c r="S53">
        <v>0</v>
      </c>
      <c r="T53">
        <v>0</v>
      </c>
      <c r="V53">
        <f t="shared" si="3"/>
        <v>26048</v>
      </c>
      <c r="W53">
        <v>0</v>
      </c>
      <c r="X53">
        <v>0</v>
      </c>
      <c r="Y53" s="41">
        <v>0</v>
      </c>
      <c r="Z53" s="41">
        <v>0</v>
      </c>
      <c r="AA53" s="55">
        <v>0</v>
      </c>
    </row>
    <row r="54" spans="1:27">
      <c r="A54">
        <f t="shared" si="0"/>
        <v>26048</v>
      </c>
      <c r="B54">
        <v>0</v>
      </c>
      <c r="C54">
        <v>0</v>
      </c>
      <c r="D54">
        <v>0</v>
      </c>
      <c r="E54">
        <v>0</v>
      </c>
      <c r="F54">
        <v>0</v>
      </c>
      <c r="H54">
        <f t="shared" si="1"/>
        <v>26048</v>
      </c>
      <c r="I54">
        <v>0</v>
      </c>
      <c r="J54">
        <v>0</v>
      </c>
      <c r="K54">
        <v>0</v>
      </c>
      <c r="L54">
        <v>0</v>
      </c>
      <c r="M54">
        <v>0</v>
      </c>
      <c r="O54">
        <f t="shared" si="2"/>
        <v>26048</v>
      </c>
      <c r="P54">
        <v>0</v>
      </c>
      <c r="Q54">
        <v>0</v>
      </c>
      <c r="R54">
        <v>0</v>
      </c>
      <c r="S54">
        <v>0</v>
      </c>
      <c r="T54">
        <v>0</v>
      </c>
      <c r="V54">
        <f t="shared" si="3"/>
        <v>26048</v>
      </c>
      <c r="W54">
        <v>0</v>
      </c>
      <c r="X54">
        <v>0</v>
      </c>
      <c r="Y54" s="41">
        <v>0</v>
      </c>
      <c r="Z54" s="41">
        <v>0</v>
      </c>
      <c r="AA54" s="55">
        <v>0</v>
      </c>
    </row>
    <row r="55" spans="1:27">
      <c r="A55">
        <f t="shared" si="0"/>
        <v>26048</v>
      </c>
      <c r="B55">
        <v>0</v>
      </c>
      <c r="C55">
        <v>0</v>
      </c>
      <c r="D55">
        <v>0</v>
      </c>
      <c r="E55">
        <v>0</v>
      </c>
      <c r="F55">
        <v>0</v>
      </c>
      <c r="H55">
        <f t="shared" si="1"/>
        <v>26048</v>
      </c>
      <c r="I55">
        <v>0</v>
      </c>
      <c r="J55">
        <v>0</v>
      </c>
      <c r="K55">
        <v>0</v>
      </c>
      <c r="L55">
        <v>0</v>
      </c>
      <c r="M55">
        <v>0</v>
      </c>
      <c r="O55">
        <f t="shared" si="2"/>
        <v>26048</v>
      </c>
      <c r="P55">
        <v>0</v>
      </c>
      <c r="Q55">
        <v>0</v>
      </c>
      <c r="R55">
        <v>0</v>
      </c>
      <c r="S55">
        <v>0</v>
      </c>
      <c r="T55">
        <v>0</v>
      </c>
      <c r="V55">
        <f t="shared" si="3"/>
        <v>26048</v>
      </c>
      <c r="W55">
        <v>0</v>
      </c>
      <c r="X55">
        <v>0</v>
      </c>
      <c r="Y55" s="41">
        <v>0</v>
      </c>
      <c r="Z55" s="41">
        <v>0</v>
      </c>
      <c r="AA55" s="55">
        <v>0</v>
      </c>
    </row>
    <row r="56" spans="1:27">
      <c r="A56">
        <f t="shared" si="0"/>
        <v>26048</v>
      </c>
      <c r="B56">
        <v>0</v>
      </c>
      <c r="C56">
        <v>0</v>
      </c>
      <c r="D56">
        <v>0</v>
      </c>
      <c r="E56">
        <v>0</v>
      </c>
      <c r="F56">
        <v>0</v>
      </c>
      <c r="H56">
        <f t="shared" si="1"/>
        <v>26048</v>
      </c>
      <c r="I56">
        <v>0</v>
      </c>
      <c r="J56">
        <v>0</v>
      </c>
      <c r="K56">
        <v>0</v>
      </c>
      <c r="L56">
        <v>0</v>
      </c>
      <c r="M56">
        <v>0</v>
      </c>
      <c r="O56">
        <f t="shared" si="2"/>
        <v>26048</v>
      </c>
      <c r="P56">
        <v>0</v>
      </c>
      <c r="Q56">
        <v>0</v>
      </c>
      <c r="R56">
        <v>0</v>
      </c>
      <c r="S56">
        <v>0</v>
      </c>
      <c r="T56">
        <v>0</v>
      </c>
      <c r="V56">
        <f t="shared" si="3"/>
        <v>26048</v>
      </c>
      <c r="W56">
        <v>0</v>
      </c>
      <c r="X56">
        <v>0</v>
      </c>
      <c r="Y56" s="41">
        <v>0</v>
      </c>
      <c r="Z56" s="41">
        <v>0</v>
      </c>
      <c r="AA56" s="55">
        <v>0</v>
      </c>
    </row>
    <row r="57" spans="1:27">
      <c r="A57">
        <f t="shared" si="0"/>
        <v>26048</v>
      </c>
      <c r="B57">
        <v>0</v>
      </c>
      <c r="C57">
        <v>0</v>
      </c>
      <c r="D57">
        <v>0</v>
      </c>
      <c r="E57">
        <v>0</v>
      </c>
      <c r="F57">
        <v>0</v>
      </c>
      <c r="H57">
        <f t="shared" si="1"/>
        <v>26048</v>
      </c>
      <c r="I57">
        <v>0</v>
      </c>
      <c r="J57">
        <v>0</v>
      </c>
      <c r="K57">
        <v>0</v>
      </c>
      <c r="L57">
        <v>0</v>
      </c>
      <c r="M57">
        <v>0</v>
      </c>
      <c r="O57">
        <f t="shared" si="2"/>
        <v>26048</v>
      </c>
      <c r="P57">
        <v>0</v>
      </c>
      <c r="Q57">
        <v>0</v>
      </c>
      <c r="R57">
        <v>0</v>
      </c>
      <c r="S57">
        <v>0</v>
      </c>
      <c r="T57">
        <v>0</v>
      </c>
      <c r="V57">
        <f t="shared" si="3"/>
        <v>26048</v>
      </c>
      <c r="W57">
        <v>0</v>
      </c>
      <c r="X57">
        <v>0</v>
      </c>
      <c r="Y57" s="41">
        <v>0</v>
      </c>
      <c r="Z57" s="41">
        <v>0</v>
      </c>
      <c r="AA57" s="55">
        <v>0</v>
      </c>
    </row>
    <row r="58" spans="1:27">
      <c r="A58">
        <f t="shared" si="0"/>
        <v>26048</v>
      </c>
      <c r="B58">
        <v>0</v>
      </c>
      <c r="C58">
        <v>0</v>
      </c>
      <c r="D58">
        <v>0</v>
      </c>
      <c r="E58">
        <v>0</v>
      </c>
      <c r="F58">
        <v>0</v>
      </c>
      <c r="H58">
        <f t="shared" si="1"/>
        <v>26048</v>
      </c>
      <c r="I58">
        <v>0</v>
      </c>
      <c r="J58">
        <v>0</v>
      </c>
      <c r="K58">
        <v>0</v>
      </c>
      <c r="L58">
        <v>0</v>
      </c>
      <c r="M58">
        <v>0</v>
      </c>
      <c r="O58">
        <f t="shared" si="2"/>
        <v>26048</v>
      </c>
      <c r="P58">
        <v>0</v>
      </c>
      <c r="Q58">
        <v>0</v>
      </c>
      <c r="R58">
        <v>0</v>
      </c>
      <c r="S58">
        <v>0</v>
      </c>
      <c r="T58">
        <v>0</v>
      </c>
      <c r="V58">
        <f t="shared" si="3"/>
        <v>26048</v>
      </c>
      <c r="W58">
        <v>0</v>
      </c>
      <c r="X58">
        <v>0</v>
      </c>
      <c r="Y58" s="41">
        <v>0</v>
      </c>
      <c r="Z58" s="41">
        <v>0</v>
      </c>
      <c r="AA58" s="55">
        <v>0</v>
      </c>
    </row>
    <row r="59" spans="1:27">
      <c r="A59">
        <f t="shared" si="0"/>
        <v>26048</v>
      </c>
      <c r="B59">
        <v>0</v>
      </c>
      <c r="C59">
        <v>0</v>
      </c>
      <c r="D59">
        <v>0</v>
      </c>
      <c r="E59">
        <v>0</v>
      </c>
      <c r="F59">
        <v>0</v>
      </c>
      <c r="H59">
        <f t="shared" si="1"/>
        <v>26048</v>
      </c>
      <c r="I59">
        <v>0</v>
      </c>
      <c r="J59">
        <v>0</v>
      </c>
      <c r="K59">
        <v>0</v>
      </c>
      <c r="L59">
        <v>0</v>
      </c>
      <c r="M59">
        <v>0</v>
      </c>
      <c r="O59">
        <f t="shared" si="2"/>
        <v>26048</v>
      </c>
      <c r="P59">
        <v>0</v>
      </c>
      <c r="Q59">
        <v>0</v>
      </c>
      <c r="R59">
        <v>0</v>
      </c>
      <c r="S59">
        <v>0</v>
      </c>
      <c r="T59">
        <v>0</v>
      </c>
      <c r="V59">
        <f t="shared" si="3"/>
        <v>26048</v>
      </c>
      <c r="W59">
        <v>0</v>
      </c>
      <c r="X59">
        <v>0</v>
      </c>
      <c r="Y59" s="41">
        <v>0</v>
      </c>
      <c r="Z59" s="41">
        <v>0</v>
      </c>
      <c r="AA59" s="55">
        <v>0</v>
      </c>
    </row>
    <row r="60" spans="1:27">
      <c r="A60">
        <f t="shared" si="0"/>
        <v>26048</v>
      </c>
      <c r="B60">
        <v>0</v>
      </c>
      <c r="C60">
        <v>0</v>
      </c>
      <c r="D60">
        <v>0</v>
      </c>
      <c r="E60">
        <v>0</v>
      </c>
      <c r="F60">
        <v>0</v>
      </c>
      <c r="H60">
        <f t="shared" si="1"/>
        <v>26048</v>
      </c>
      <c r="I60">
        <v>0</v>
      </c>
      <c r="J60">
        <v>0</v>
      </c>
      <c r="K60">
        <v>0</v>
      </c>
      <c r="L60">
        <v>0</v>
      </c>
      <c r="M60">
        <v>0</v>
      </c>
      <c r="O60">
        <f t="shared" si="2"/>
        <v>26048</v>
      </c>
      <c r="P60">
        <v>0</v>
      </c>
      <c r="Q60">
        <v>0</v>
      </c>
      <c r="R60">
        <v>0</v>
      </c>
      <c r="S60">
        <v>0</v>
      </c>
      <c r="T60">
        <v>0</v>
      </c>
      <c r="V60">
        <f t="shared" si="3"/>
        <v>26048</v>
      </c>
      <c r="W60">
        <v>0</v>
      </c>
      <c r="X60">
        <v>0</v>
      </c>
      <c r="Y60" s="41">
        <v>0</v>
      </c>
      <c r="Z60" s="41">
        <v>0</v>
      </c>
      <c r="AA60" s="55">
        <v>0</v>
      </c>
    </row>
    <row r="61" spans="1:27">
      <c r="A61">
        <f t="shared" si="0"/>
        <v>26048</v>
      </c>
      <c r="B61">
        <v>0</v>
      </c>
      <c r="C61">
        <v>0</v>
      </c>
      <c r="D61">
        <v>0</v>
      </c>
      <c r="E61">
        <v>0</v>
      </c>
      <c r="F61">
        <v>0</v>
      </c>
      <c r="H61">
        <f t="shared" si="1"/>
        <v>26048</v>
      </c>
      <c r="I61">
        <v>0</v>
      </c>
      <c r="J61">
        <v>0</v>
      </c>
      <c r="K61">
        <v>0</v>
      </c>
      <c r="L61">
        <v>0</v>
      </c>
      <c r="M61">
        <v>0</v>
      </c>
      <c r="O61">
        <f t="shared" si="2"/>
        <v>26048</v>
      </c>
      <c r="P61">
        <v>0</v>
      </c>
      <c r="Q61">
        <v>0</v>
      </c>
      <c r="R61">
        <v>0</v>
      </c>
      <c r="S61">
        <v>0</v>
      </c>
      <c r="T61">
        <v>0</v>
      </c>
      <c r="V61">
        <f t="shared" si="3"/>
        <v>26048</v>
      </c>
      <c r="W61">
        <v>0</v>
      </c>
      <c r="X61">
        <v>0</v>
      </c>
      <c r="Y61" s="41">
        <v>0</v>
      </c>
      <c r="Z61" s="41">
        <v>0</v>
      </c>
      <c r="AA61" s="55">
        <v>0</v>
      </c>
    </row>
    <row r="62" spans="1:27">
      <c r="A62">
        <f t="shared" si="0"/>
        <v>26048</v>
      </c>
      <c r="B62">
        <v>0</v>
      </c>
      <c r="C62">
        <v>0</v>
      </c>
      <c r="D62">
        <v>0</v>
      </c>
      <c r="E62">
        <v>0</v>
      </c>
      <c r="F62">
        <v>0</v>
      </c>
      <c r="H62">
        <f t="shared" si="1"/>
        <v>26048</v>
      </c>
      <c r="I62">
        <v>0</v>
      </c>
      <c r="J62">
        <v>0</v>
      </c>
      <c r="K62">
        <v>0</v>
      </c>
      <c r="L62">
        <v>0</v>
      </c>
      <c r="M62">
        <v>0</v>
      </c>
      <c r="O62">
        <f t="shared" si="2"/>
        <v>26048</v>
      </c>
      <c r="P62">
        <v>0</v>
      </c>
      <c r="Q62">
        <v>0</v>
      </c>
      <c r="R62">
        <v>0</v>
      </c>
      <c r="S62">
        <v>0</v>
      </c>
      <c r="T62">
        <v>0</v>
      </c>
      <c r="V62">
        <f t="shared" si="3"/>
        <v>26048</v>
      </c>
      <c r="W62">
        <v>0</v>
      </c>
      <c r="X62">
        <v>0</v>
      </c>
      <c r="Y62" s="41">
        <v>0</v>
      </c>
      <c r="Z62" s="41">
        <v>0</v>
      </c>
      <c r="AA62" s="55">
        <v>0</v>
      </c>
    </row>
    <row r="63" spans="1:27">
      <c r="A63">
        <f t="shared" si="0"/>
        <v>26048</v>
      </c>
      <c r="B63">
        <v>0</v>
      </c>
      <c r="C63">
        <v>0</v>
      </c>
      <c r="D63">
        <v>0</v>
      </c>
      <c r="E63">
        <v>0</v>
      </c>
      <c r="F63">
        <v>0</v>
      </c>
      <c r="H63">
        <f t="shared" si="1"/>
        <v>26048</v>
      </c>
      <c r="I63">
        <v>0</v>
      </c>
      <c r="J63">
        <v>0</v>
      </c>
      <c r="K63">
        <v>0</v>
      </c>
      <c r="L63">
        <v>0</v>
      </c>
      <c r="M63">
        <v>0</v>
      </c>
      <c r="O63">
        <f t="shared" si="2"/>
        <v>26048</v>
      </c>
      <c r="P63">
        <v>0</v>
      </c>
      <c r="Q63">
        <v>0</v>
      </c>
      <c r="R63">
        <v>0</v>
      </c>
      <c r="S63">
        <v>0</v>
      </c>
      <c r="T63">
        <v>0</v>
      </c>
      <c r="V63">
        <f t="shared" si="3"/>
        <v>26048</v>
      </c>
      <c r="W63">
        <v>0</v>
      </c>
      <c r="X63">
        <v>0</v>
      </c>
      <c r="Y63" s="41">
        <v>0</v>
      </c>
      <c r="Z63" s="41">
        <v>0</v>
      </c>
      <c r="AA63" s="55">
        <v>0</v>
      </c>
    </row>
    <row r="64" spans="1:27">
      <c r="A64">
        <f t="shared" si="0"/>
        <v>26048</v>
      </c>
      <c r="B64">
        <v>0</v>
      </c>
      <c r="C64">
        <v>0</v>
      </c>
      <c r="D64">
        <v>0</v>
      </c>
      <c r="E64">
        <v>0</v>
      </c>
      <c r="F64">
        <v>0</v>
      </c>
      <c r="H64">
        <f t="shared" si="1"/>
        <v>26048</v>
      </c>
      <c r="I64">
        <v>0</v>
      </c>
      <c r="J64">
        <v>0</v>
      </c>
      <c r="K64">
        <v>0</v>
      </c>
      <c r="L64">
        <v>0</v>
      </c>
      <c r="M64">
        <v>0</v>
      </c>
      <c r="O64">
        <f t="shared" si="2"/>
        <v>26048</v>
      </c>
      <c r="P64">
        <v>0</v>
      </c>
      <c r="Q64">
        <v>0</v>
      </c>
      <c r="R64">
        <v>0</v>
      </c>
      <c r="S64">
        <v>0</v>
      </c>
      <c r="T64">
        <v>0</v>
      </c>
      <c r="V64">
        <f t="shared" si="3"/>
        <v>26048</v>
      </c>
      <c r="W64">
        <v>0</v>
      </c>
      <c r="X64">
        <v>0</v>
      </c>
      <c r="Y64" s="41">
        <v>0</v>
      </c>
      <c r="Z64" s="41">
        <v>0</v>
      </c>
      <c r="AA64" s="55">
        <v>0</v>
      </c>
    </row>
    <row r="65" spans="1:27">
      <c r="A65">
        <f t="shared" si="0"/>
        <v>26048</v>
      </c>
      <c r="B65">
        <v>0</v>
      </c>
      <c r="C65">
        <v>0</v>
      </c>
      <c r="D65">
        <v>0</v>
      </c>
      <c r="E65">
        <v>0</v>
      </c>
      <c r="F65">
        <v>0</v>
      </c>
      <c r="H65">
        <f t="shared" si="1"/>
        <v>26048</v>
      </c>
      <c r="I65">
        <v>0</v>
      </c>
      <c r="J65">
        <v>0</v>
      </c>
      <c r="K65">
        <v>0</v>
      </c>
      <c r="L65">
        <v>0</v>
      </c>
      <c r="M65">
        <v>0</v>
      </c>
      <c r="O65">
        <f t="shared" si="2"/>
        <v>26048</v>
      </c>
      <c r="P65">
        <v>0</v>
      </c>
      <c r="Q65">
        <v>0</v>
      </c>
      <c r="R65">
        <v>0</v>
      </c>
      <c r="S65">
        <v>0</v>
      </c>
      <c r="T65">
        <v>0</v>
      </c>
      <c r="V65">
        <f t="shared" si="3"/>
        <v>26048</v>
      </c>
      <c r="W65">
        <v>0</v>
      </c>
      <c r="X65">
        <v>0</v>
      </c>
      <c r="Y65" s="41">
        <v>0</v>
      </c>
      <c r="Z65" s="41">
        <v>0</v>
      </c>
      <c r="AA65" s="55">
        <v>0</v>
      </c>
    </row>
    <row r="66" spans="1:27">
      <c r="A66">
        <f t="shared" si="0"/>
        <v>26048</v>
      </c>
      <c r="B66">
        <v>0</v>
      </c>
      <c r="C66">
        <v>0</v>
      </c>
      <c r="D66">
        <v>0</v>
      </c>
      <c r="E66">
        <v>0</v>
      </c>
      <c r="F66">
        <v>0</v>
      </c>
      <c r="H66">
        <f t="shared" si="1"/>
        <v>26048</v>
      </c>
      <c r="I66">
        <v>0</v>
      </c>
      <c r="J66">
        <v>0</v>
      </c>
      <c r="K66">
        <v>0</v>
      </c>
      <c r="L66">
        <v>0</v>
      </c>
      <c r="M66">
        <v>0</v>
      </c>
      <c r="O66">
        <f t="shared" si="2"/>
        <v>26048</v>
      </c>
      <c r="P66">
        <v>0</v>
      </c>
      <c r="Q66">
        <v>0</v>
      </c>
      <c r="R66">
        <v>0</v>
      </c>
      <c r="S66">
        <v>0</v>
      </c>
      <c r="T66">
        <v>0</v>
      </c>
      <c r="V66">
        <f t="shared" si="3"/>
        <v>26048</v>
      </c>
      <c r="W66">
        <v>0</v>
      </c>
      <c r="X66">
        <v>0</v>
      </c>
      <c r="Y66" s="41">
        <v>0</v>
      </c>
      <c r="Z66" s="41">
        <v>0</v>
      </c>
      <c r="AA66" s="55">
        <v>0</v>
      </c>
    </row>
    <row r="67" spans="1:27">
      <c r="A67">
        <f t="shared" si="0"/>
        <v>26048</v>
      </c>
      <c r="B67">
        <v>0</v>
      </c>
      <c r="C67">
        <v>0</v>
      </c>
      <c r="D67">
        <v>0</v>
      </c>
      <c r="E67">
        <v>0</v>
      </c>
      <c r="F67">
        <v>0</v>
      </c>
      <c r="H67">
        <f t="shared" si="1"/>
        <v>26048</v>
      </c>
      <c r="I67">
        <v>0</v>
      </c>
      <c r="J67">
        <v>0</v>
      </c>
      <c r="K67">
        <v>0</v>
      </c>
      <c r="L67">
        <v>0</v>
      </c>
      <c r="M67">
        <v>0</v>
      </c>
      <c r="O67">
        <f t="shared" si="2"/>
        <v>26048</v>
      </c>
      <c r="P67">
        <v>0</v>
      </c>
      <c r="Q67">
        <v>0</v>
      </c>
      <c r="R67">
        <v>0</v>
      </c>
      <c r="S67">
        <v>0</v>
      </c>
      <c r="T67">
        <v>0</v>
      </c>
      <c r="V67">
        <f t="shared" si="3"/>
        <v>26048</v>
      </c>
      <c r="W67">
        <v>0</v>
      </c>
      <c r="X67">
        <v>0</v>
      </c>
      <c r="Y67" s="41">
        <v>0</v>
      </c>
      <c r="Z67" s="41">
        <v>0</v>
      </c>
      <c r="AA67" s="55">
        <v>0</v>
      </c>
    </row>
    <row r="68" spans="1:27">
      <c r="A68">
        <f t="shared" si="0"/>
        <v>26048</v>
      </c>
      <c r="B68">
        <v>0</v>
      </c>
      <c r="C68">
        <v>0</v>
      </c>
      <c r="D68">
        <v>0</v>
      </c>
      <c r="E68">
        <v>0</v>
      </c>
      <c r="F68">
        <v>0</v>
      </c>
      <c r="H68">
        <f t="shared" si="1"/>
        <v>26048</v>
      </c>
      <c r="I68">
        <v>0</v>
      </c>
      <c r="J68">
        <v>0</v>
      </c>
      <c r="K68">
        <v>0</v>
      </c>
      <c r="L68">
        <v>0</v>
      </c>
      <c r="M68">
        <v>0</v>
      </c>
      <c r="O68">
        <f t="shared" si="2"/>
        <v>26048</v>
      </c>
      <c r="P68">
        <v>0</v>
      </c>
      <c r="Q68">
        <v>0</v>
      </c>
      <c r="R68">
        <v>0</v>
      </c>
      <c r="S68">
        <v>0</v>
      </c>
      <c r="T68">
        <v>0</v>
      </c>
      <c r="V68">
        <f t="shared" si="3"/>
        <v>26048</v>
      </c>
      <c r="W68">
        <v>0</v>
      </c>
      <c r="X68">
        <v>0</v>
      </c>
      <c r="Y68" s="41">
        <v>0</v>
      </c>
      <c r="Z68" s="41">
        <v>0</v>
      </c>
      <c r="AA68" s="55">
        <v>0</v>
      </c>
    </row>
    <row r="69" spans="1:27">
      <c r="A69">
        <f t="shared" ref="A69:A132" si="4">IF(ABS(B69-26048)&lt;ABS(B69-27584),IF(ABS(B69-26048)&lt;ABS(B69-29120),26048,29120),IF(ABS(B69-27584)&lt;ABS(B69-29120),27584,29120))</f>
        <v>26048</v>
      </c>
      <c r="B69">
        <v>0</v>
      </c>
      <c r="C69">
        <v>0</v>
      </c>
      <c r="D69">
        <v>0</v>
      </c>
      <c r="E69">
        <v>0</v>
      </c>
      <c r="F69">
        <v>0</v>
      </c>
      <c r="H69">
        <f t="shared" ref="H69:H132" si="5">IF(ABS(I69-26048)&lt;ABS(I69-27584),IF(ABS(I69-26048)&lt;ABS(I69-29120),26048,29120),IF(ABS(I69-27584)&lt;ABS(I69-29120),27584,29120))</f>
        <v>26048</v>
      </c>
      <c r="I69">
        <v>0</v>
      </c>
      <c r="J69">
        <v>0</v>
      </c>
      <c r="K69">
        <v>0</v>
      </c>
      <c r="L69">
        <v>0</v>
      </c>
      <c r="M69">
        <v>0</v>
      </c>
      <c r="O69">
        <f t="shared" ref="O69:O132" si="6">IF(ABS(P69-26048)&lt;ABS(P69-27584),IF(ABS(P69-26048)&lt;ABS(P69-29120),26048,29120),IF(ABS(P69-27584)&lt;ABS(P69-29120),27584,29120))</f>
        <v>26048</v>
      </c>
      <c r="P69">
        <v>0</v>
      </c>
      <c r="Q69">
        <v>0</v>
      </c>
      <c r="R69">
        <v>0</v>
      </c>
      <c r="S69">
        <v>0</v>
      </c>
      <c r="T69">
        <v>0</v>
      </c>
      <c r="V69">
        <f t="shared" ref="V69:V132" si="7">IF(ABS(W69-26048)&lt;ABS(W69-27584),IF(ABS(W69-26048)&lt;ABS(W69-29120),26048,29120),IF(ABS(W69-27584)&lt;ABS(W69-29120),27584,29120))</f>
        <v>26048</v>
      </c>
      <c r="W69">
        <v>0</v>
      </c>
      <c r="X69">
        <v>0</v>
      </c>
      <c r="Y69" s="41">
        <v>0</v>
      </c>
      <c r="Z69" s="41">
        <v>0</v>
      </c>
      <c r="AA69" s="55">
        <v>0</v>
      </c>
    </row>
    <row r="70" spans="1:27">
      <c r="A70">
        <f t="shared" si="4"/>
        <v>26048</v>
      </c>
      <c r="B70">
        <v>0</v>
      </c>
      <c r="C70">
        <v>0</v>
      </c>
      <c r="D70">
        <v>0</v>
      </c>
      <c r="E70">
        <v>0</v>
      </c>
      <c r="F70">
        <v>0</v>
      </c>
      <c r="H70">
        <f t="shared" si="5"/>
        <v>26048</v>
      </c>
      <c r="I70">
        <v>0</v>
      </c>
      <c r="J70">
        <v>0</v>
      </c>
      <c r="K70">
        <v>0</v>
      </c>
      <c r="L70">
        <v>0</v>
      </c>
      <c r="M70">
        <v>0</v>
      </c>
      <c r="O70">
        <f t="shared" si="6"/>
        <v>26048</v>
      </c>
      <c r="P70">
        <v>0</v>
      </c>
      <c r="Q70">
        <v>0</v>
      </c>
      <c r="R70">
        <v>0</v>
      </c>
      <c r="S70">
        <v>0</v>
      </c>
      <c r="T70">
        <v>0</v>
      </c>
      <c r="V70">
        <f t="shared" si="7"/>
        <v>26048</v>
      </c>
      <c r="W70">
        <v>0</v>
      </c>
      <c r="X70">
        <v>0</v>
      </c>
      <c r="Y70" s="41">
        <v>0</v>
      </c>
      <c r="Z70" s="41">
        <v>0</v>
      </c>
      <c r="AA70" s="55">
        <v>0</v>
      </c>
    </row>
    <row r="71" spans="1:27">
      <c r="A71">
        <f t="shared" si="4"/>
        <v>26048</v>
      </c>
      <c r="B71">
        <v>0</v>
      </c>
      <c r="C71">
        <v>0</v>
      </c>
      <c r="D71">
        <v>0</v>
      </c>
      <c r="E71">
        <v>0</v>
      </c>
      <c r="F71">
        <v>0</v>
      </c>
      <c r="H71">
        <f t="shared" si="5"/>
        <v>26048</v>
      </c>
      <c r="I71">
        <v>0</v>
      </c>
      <c r="J71">
        <v>0</v>
      </c>
      <c r="K71">
        <v>0</v>
      </c>
      <c r="L71">
        <v>0</v>
      </c>
      <c r="M71">
        <v>0</v>
      </c>
      <c r="O71">
        <f t="shared" si="6"/>
        <v>26048</v>
      </c>
      <c r="P71">
        <v>0</v>
      </c>
      <c r="Q71">
        <v>0</v>
      </c>
      <c r="R71">
        <v>0</v>
      </c>
      <c r="S71">
        <v>0</v>
      </c>
      <c r="T71">
        <v>0</v>
      </c>
      <c r="V71">
        <f t="shared" si="7"/>
        <v>26048</v>
      </c>
      <c r="W71">
        <v>0</v>
      </c>
      <c r="X71">
        <v>0</v>
      </c>
      <c r="Y71" s="41">
        <v>0</v>
      </c>
      <c r="Z71" s="41">
        <v>0</v>
      </c>
      <c r="AA71" s="55">
        <v>0</v>
      </c>
    </row>
    <row r="72" spans="1:27">
      <c r="A72">
        <f t="shared" si="4"/>
        <v>26048</v>
      </c>
      <c r="B72">
        <v>0</v>
      </c>
      <c r="C72">
        <v>0</v>
      </c>
      <c r="D72">
        <v>0</v>
      </c>
      <c r="E72">
        <v>0</v>
      </c>
      <c r="F72">
        <v>0</v>
      </c>
      <c r="H72">
        <f t="shared" si="5"/>
        <v>26048</v>
      </c>
      <c r="I72">
        <v>0</v>
      </c>
      <c r="J72">
        <v>0</v>
      </c>
      <c r="K72">
        <v>0</v>
      </c>
      <c r="L72">
        <v>0</v>
      </c>
      <c r="M72">
        <v>0</v>
      </c>
      <c r="O72">
        <f t="shared" si="6"/>
        <v>26048</v>
      </c>
      <c r="P72">
        <v>0</v>
      </c>
      <c r="Q72">
        <v>0</v>
      </c>
      <c r="R72">
        <v>0</v>
      </c>
      <c r="S72">
        <v>0</v>
      </c>
      <c r="T72">
        <v>0</v>
      </c>
      <c r="V72">
        <f t="shared" si="7"/>
        <v>26048</v>
      </c>
      <c r="W72">
        <v>0</v>
      </c>
      <c r="X72">
        <v>0</v>
      </c>
      <c r="Y72" s="41">
        <v>0</v>
      </c>
      <c r="Z72" s="41">
        <v>0</v>
      </c>
      <c r="AA72" s="55">
        <v>0</v>
      </c>
    </row>
    <row r="73" spans="1:27">
      <c r="A73">
        <f t="shared" si="4"/>
        <v>26048</v>
      </c>
      <c r="B73">
        <v>0</v>
      </c>
      <c r="C73">
        <v>0</v>
      </c>
      <c r="D73">
        <v>0</v>
      </c>
      <c r="E73">
        <v>0</v>
      </c>
      <c r="F73">
        <v>0</v>
      </c>
      <c r="H73">
        <f t="shared" si="5"/>
        <v>26048</v>
      </c>
      <c r="I73">
        <v>0</v>
      </c>
      <c r="J73">
        <v>0</v>
      </c>
      <c r="K73">
        <v>0</v>
      </c>
      <c r="L73">
        <v>0</v>
      </c>
      <c r="M73">
        <v>0</v>
      </c>
      <c r="O73">
        <f t="shared" si="6"/>
        <v>26048</v>
      </c>
      <c r="P73">
        <v>0</v>
      </c>
      <c r="Q73">
        <v>0</v>
      </c>
      <c r="R73">
        <v>0</v>
      </c>
      <c r="S73">
        <v>0</v>
      </c>
      <c r="T73">
        <v>0</v>
      </c>
      <c r="V73">
        <f t="shared" si="7"/>
        <v>26048</v>
      </c>
      <c r="W73">
        <v>0</v>
      </c>
      <c r="X73">
        <v>0</v>
      </c>
      <c r="Y73" s="41">
        <v>0</v>
      </c>
      <c r="Z73" s="41">
        <v>0</v>
      </c>
      <c r="AA73" s="55">
        <v>0</v>
      </c>
    </row>
    <row r="74" spans="1:27">
      <c r="A74">
        <f t="shared" si="4"/>
        <v>26048</v>
      </c>
      <c r="B74">
        <v>0</v>
      </c>
      <c r="C74">
        <v>0</v>
      </c>
      <c r="D74">
        <v>0</v>
      </c>
      <c r="E74">
        <v>0</v>
      </c>
      <c r="F74">
        <v>0</v>
      </c>
      <c r="H74">
        <f t="shared" si="5"/>
        <v>26048</v>
      </c>
      <c r="I74">
        <v>0</v>
      </c>
      <c r="J74">
        <v>0</v>
      </c>
      <c r="K74">
        <v>0</v>
      </c>
      <c r="L74">
        <v>0</v>
      </c>
      <c r="M74">
        <v>0</v>
      </c>
      <c r="O74">
        <f t="shared" si="6"/>
        <v>26048</v>
      </c>
      <c r="P74">
        <v>0</v>
      </c>
      <c r="Q74">
        <v>0</v>
      </c>
      <c r="R74">
        <v>0</v>
      </c>
      <c r="S74">
        <v>0</v>
      </c>
      <c r="T74">
        <v>0</v>
      </c>
      <c r="V74">
        <f t="shared" si="7"/>
        <v>26048</v>
      </c>
      <c r="W74">
        <v>0</v>
      </c>
      <c r="X74">
        <v>0</v>
      </c>
      <c r="Y74" s="41">
        <v>0</v>
      </c>
      <c r="Z74" s="41">
        <v>0</v>
      </c>
      <c r="AA74" s="55">
        <v>0</v>
      </c>
    </row>
    <row r="75" spans="1:27">
      <c r="A75">
        <f t="shared" si="4"/>
        <v>26048</v>
      </c>
      <c r="B75">
        <v>0</v>
      </c>
      <c r="C75">
        <v>0</v>
      </c>
      <c r="D75">
        <v>0</v>
      </c>
      <c r="E75">
        <v>0</v>
      </c>
      <c r="F75">
        <v>0</v>
      </c>
      <c r="H75">
        <f t="shared" si="5"/>
        <v>26048</v>
      </c>
      <c r="I75">
        <v>0</v>
      </c>
      <c r="J75">
        <v>0</v>
      </c>
      <c r="K75">
        <v>0</v>
      </c>
      <c r="L75">
        <v>0</v>
      </c>
      <c r="M75">
        <v>0</v>
      </c>
      <c r="O75">
        <f t="shared" si="6"/>
        <v>26048</v>
      </c>
      <c r="P75">
        <v>0</v>
      </c>
      <c r="Q75">
        <v>0</v>
      </c>
      <c r="R75">
        <v>0</v>
      </c>
      <c r="S75">
        <v>0</v>
      </c>
      <c r="T75">
        <v>0</v>
      </c>
      <c r="V75">
        <f t="shared" si="7"/>
        <v>26048</v>
      </c>
      <c r="W75">
        <v>0</v>
      </c>
      <c r="X75">
        <v>0</v>
      </c>
      <c r="Y75" s="41">
        <v>0</v>
      </c>
      <c r="Z75" s="41">
        <v>0</v>
      </c>
      <c r="AA75" s="55">
        <v>0</v>
      </c>
    </row>
    <row r="76" spans="1:27">
      <c r="A76">
        <f t="shared" si="4"/>
        <v>26048</v>
      </c>
      <c r="B76">
        <v>0</v>
      </c>
      <c r="C76">
        <v>0</v>
      </c>
      <c r="D76">
        <v>0</v>
      </c>
      <c r="E76">
        <v>0</v>
      </c>
      <c r="F76">
        <v>0</v>
      </c>
      <c r="H76">
        <f t="shared" si="5"/>
        <v>26048</v>
      </c>
      <c r="I76">
        <v>0</v>
      </c>
      <c r="J76">
        <v>0</v>
      </c>
      <c r="K76">
        <v>0</v>
      </c>
      <c r="L76">
        <v>0</v>
      </c>
      <c r="M76">
        <v>0</v>
      </c>
      <c r="O76">
        <f t="shared" si="6"/>
        <v>26048</v>
      </c>
      <c r="P76">
        <v>0</v>
      </c>
      <c r="Q76">
        <v>0</v>
      </c>
      <c r="R76">
        <v>0</v>
      </c>
      <c r="S76">
        <v>0</v>
      </c>
      <c r="T76">
        <v>0</v>
      </c>
      <c r="V76">
        <f t="shared" si="7"/>
        <v>26048</v>
      </c>
      <c r="W76">
        <v>0</v>
      </c>
      <c r="X76">
        <v>0</v>
      </c>
      <c r="Y76" s="41">
        <v>0</v>
      </c>
      <c r="Z76" s="41">
        <v>0</v>
      </c>
      <c r="AA76" s="55">
        <v>0</v>
      </c>
    </row>
    <row r="77" spans="1:27">
      <c r="A77">
        <f t="shared" si="4"/>
        <v>26048</v>
      </c>
      <c r="B77">
        <v>0</v>
      </c>
      <c r="C77">
        <v>0</v>
      </c>
      <c r="D77">
        <v>0</v>
      </c>
      <c r="E77">
        <v>0</v>
      </c>
      <c r="F77">
        <v>0</v>
      </c>
      <c r="H77">
        <f t="shared" si="5"/>
        <v>26048</v>
      </c>
      <c r="I77">
        <v>0</v>
      </c>
      <c r="J77">
        <v>0</v>
      </c>
      <c r="K77">
        <v>0</v>
      </c>
      <c r="L77">
        <v>0</v>
      </c>
      <c r="M77">
        <v>0</v>
      </c>
      <c r="O77">
        <f t="shared" si="6"/>
        <v>26048</v>
      </c>
      <c r="P77">
        <v>0</v>
      </c>
      <c r="Q77">
        <v>0</v>
      </c>
      <c r="R77">
        <v>0</v>
      </c>
      <c r="S77">
        <v>0</v>
      </c>
      <c r="T77">
        <v>0</v>
      </c>
      <c r="V77">
        <f t="shared" si="7"/>
        <v>26048</v>
      </c>
      <c r="W77">
        <v>0</v>
      </c>
      <c r="X77">
        <v>0</v>
      </c>
      <c r="Y77" s="41">
        <v>0</v>
      </c>
      <c r="Z77" s="41">
        <v>0</v>
      </c>
      <c r="AA77" s="55">
        <v>0</v>
      </c>
    </row>
    <row r="78" spans="1:27">
      <c r="A78">
        <f t="shared" si="4"/>
        <v>26048</v>
      </c>
      <c r="B78">
        <v>0</v>
      </c>
      <c r="C78">
        <v>0</v>
      </c>
      <c r="D78">
        <v>0</v>
      </c>
      <c r="E78">
        <v>0</v>
      </c>
      <c r="F78">
        <v>0</v>
      </c>
      <c r="H78">
        <f t="shared" si="5"/>
        <v>26048</v>
      </c>
      <c r="I78">
        <v>0</v>
      </c>
      <c r="J78">
        <v>0</v>
      </c>
      <c r="K78">
        <v>0</v>
      </c>
      <c r="L78">
        <v>0</v>
      </c>
      <c r="M78">
        <v>0</v>
      </c>
      <c r="O78">
        <f t="shared" si="6"/>
        <v>26048</v>
      </c>
      <c r="P78">
        <v>0</v>
      </c>
      <c r="Q78">
        <v>0</v>
      </c>
      <c r="R78">
        <v>0</v>
      </c>
      <c r="S78">
        <v>0</v>
      </c>
      <c r="T78">
        <v>0</v>
      </c>
      <c r="V78">
        <f t="shared" si="7"/>
        <v>26048</v>
      </c>
      <c r="W78">
        <v>0</v>
      </c>
      <c r="X78">
        <v>0</v>
      </c>
      <c r="Y78" s="41">
        <v>0</v>
      </c>
      <c r="Z78" s="41">
        <v>0</v>
      </c>
      <c r="AA78" s="55">
        <v>0</v>
      </c>
    </row>
    <row r="79" spans="1:27">
      <c r="A79">
        <f t="shared" si="4"/>
        <v>26048</v>
      </c>
      <c r="B79">
        <v>0</v>
      </c>
      <c r="C79">
        <v>0</v>
      </c>
      <c r="D79">
        <v>0</v>
      </c>
      <c r="E79">
        <v>0</v>
      </c>
      <c r="F79">
        <v>0</v>
      </c>
      <c r="H79">
        <f t="shared" si="5"/>
        <v>26048</v>
      </c>
      <c r="I79">
        <v>0</v>
      </c>
      <c r="J79">
        <v>0</v>
      </c>
      <c r="K79">
        <v>0</v>
      </c>
      <c r="L79">
        <v>0</v>
      </c>
      <c r="M79">
        <v>0</v>
      </c>
      <c r="O79">
        <f t="shared" si="6"/>
        <v>26048</v>
      </c>
      <c r="P79">
        <v>0</v>
      </c>
      <c r="Q79">
        <v>0</v>
      </c>
      <c r="R79">
        <v>0</v>
      </c>
      <c r="S79">
        <v>0</v>
      </c>
      <c r="T79">
        <v>0</v>
      </c>
      <c r="V79">
        <f t="shared" si="7"/>
        <v>26048</v>
      </c>
      <c r="W79">
        <v>0</v>
      </c>
      <c r="X79">
        <v>0</v>
      </c>
      <c r="Y79" s="41">
        <v>0</v>
      </c>
      <c r="Z79" s="41">
        <v>0</v>
      </c>
      <c r="AA79" s="55">
        <v>0</v>
      </c>
    </row>
    <row r="80" spans="1:27">
      <c r="A80">
        <f t="shared" si="4"/>
        <v>26048</v>
      </c>
      <c r="B80">
        <v>0</v>
      </c>
      <c r="C80">
        <v>0</v>
      </c>
      <c r="D80">
        <v>0</v>
      </c>
      <c r="E80">
        <v>0</v>
      </c>
      <c r="F80">
        <v>0</v>
      </c>
      <c r="H80">
        <f t="shared" si="5"/>
        <v>26048</v>
      </c>
      <c r="I80">
        <v>0</v>
      </c>
      <c r="J80">
        <v>0</v>
      </c>
      <c r="K80">
        <v>0</v>
      </c>
      <c r="L80">
        <v>0</v>
      </c>
      <c r="M80">
        <v>0</v>
      </c>
      <c r="O80">
        <f t="shared" si="6"/>
        <v>26048</v>
      </c>
      <c r="P80">
        <v>0</v>
      </c>
      <c r="Q80">
        <v>0</v>
      </c>
      <c r="R80">
        <v>0</v>
      </c>
      <c r="S80">
        <v>0</v>
      </c>
      <c r="T80">
        <v>0</v>
      </c>
      <c r="V80">
        <f t="shared" si="7"/>
        <v>26048</v>
      </c>
      <c r="W80">
        <v>0</v>
      </c>
      <c r="X80">
        <v>0</v>
      </c>
      <c r="Y80" s="41">
        <v>0</v>
      </c>
      <c r="Z80" s="41">
        <v>0</v>
      </c>
      <c r="AA80" s="55">
        <v>0</v>
      </c>
    </row>
    <row r="81" spans="1:27">
      <c r="A81">
        <f t="shared" si="4"/>
        <v>26048</v>
      </c>
      <c r="B81">
        <v>0</v>
      </c>
      <c r="C81">
        <v>0</v>
      </c>
      <c r="D81">
        <v>0</v>
      </c>
      <c r="E81">
        <v>0</v>
      </c>
      <c r="F81">
        <v>0</v>
      </c>
      <c r="H81">
        <f t="shared" si="5"/>
        <v>26048</v>
      </c>
      <c r="I81">
        <v>0</v>
      </c>
      <c r="J81">
        <v>0</v>
      </c>
      <c r="K81">
        <v>0</v>
      </c>
      <c r="L81">
        <v>0</v>
      </c>
      <c r="M81">
        <v>0</v>
      </c>
      <c r="O81">
        <f t="shared" si="6"/>
        <v>26048</v>
      </c>
      <c r="P81">
        <v>0</v>
      </c>
      <c r="Q81">
        <v>0</v>
      </c>
      <c r="R81">
        <v>0</v>
      </c>
      <c r="S81">
        <v>0</v>
      </c>
      <c r="T81">
        <v>0</v>
      </c>
      <c r="V81">
        <f t="shared" si="7"/>
        <v>26048</v>
      </c>
      <c r="W81">
        <v>0</v>
      </c>
      <c r="X81">
        <v>0</v>
      </c>
      <c r="Y81" s="41">
        <v>0</v>
      </c>
      <c r="Z81" s="41">
        <v>0</v>
      </c>
      <c r="AA81" s="55">
        <v>0</v>
      </c>
    </row>
    <row r="82" spans="1:27">
      <c r="A82">
        <f t="shared" si="4"/>
        <v>26048</v>
      </c>
      <c r="B82">
        <v>0</v>
      </c>
      <c r="C82">
        <v>0</v>
      </c>
      <c r="D82">
        <v>0</v>
      </c>
      <c r="E82">
        <v>0</v>
      </c>
      <c r="F82">
        <v>0</v>
      </c>
      <c r="H82">
        <f t="shared" si="5"/>
        <v>26048</v>
      </c>
      <c r="I82">
        <v>0</v>
      </c>
      <c r="J82">
        <v>0</v>
      </c>
      <c r="K82">
        <v>0</v>
      </c>
      <c r="L82">
        <v>0</v>
      </c>
      <c r="M82">
        <v>0</v>
      </c>
      <c r="O82">
        <f t="shared" si="6"/>
        <v>26048</v>
      </c>
      <c r="P82">
        <v>0</v>
      </c>
      <c r="Q82">
        <v>0</v>
      </c>
      <c r="R82">
        <v>0</v>
      </c>
      <c r="S82">
        <v>0</v>
      </c>
      <c r="T82">
        <v>0</v>
      </c>
      <c r="V82">
        <f t="shared" si="7"/>
        <v>26048</v>
      </c>
      <c r="W82">
        <v>0</v>
      </c>
      <c r="X82">
        <v>0</v>
      </c>
      <c r="Y82" s="41">
        <v>0</v>
      </c>
      <c r="Z82" s="41">
        <v>0</v>
      </c>
      <c r="AA82" s="55">
        <v>0</v>
      </c>
    </row>
    <row r="83" spans="1:27">
      <c r="A83">
        <f t="shared" si="4"/>
        <v>26048</v>
      </c>
      <c r="B83">
        <v>0</v>
      </c>
      <c r="C83">
        <v>0</v>
      </c>
      <c r="D83">
        <v>0</v>
      </c>
      <c r="E83">
        <v>0</v>
      </c>
      <c r="F83">
        <v>0</v>
      </c>
      <c r="H83">
        <f t="shared" si="5"/>
        <v>26048</v>
      </c>
      <c r="I83">
        <v>0</v>
      </c>
      <c r="J83">
        <v>0</v>
      </c>
      <c r="K83">
        <v>0</v>
      </c>
      <c r="L83">
        <v>0</v>
      </c>
      <c r="M83">
        <v>0</v>
      </c>
      <c r="O83">
        <f t="shared" si="6"/>
        <v>26048</v>
      </c>
      <c r="P83">
        <v>0</v>
      </c>
      <c r="Q83">
        <v>0</v>
      </c>
      <c r="R83">
        <v>0</v>
      </c>
      <c r="S83">
        <v>0</v>
      </c>
      <c r="T83">
        <v>0</v>
      </c>
      <c r="V83">
        <f t="shared" si="7"/>
        <v>26048</v>
      </c>
      <c r="W83">
        <v>0</v>
      </c>
      <c r="X83">
        <v>0</v>
      </c>
      <c r="Y83" s="41">
        <v>0</v>
      </c>
      <c r="Z83" s="41">
        <v>0</v>
      </c>
      <c r="AA83" s="55">
        <v>0</v>
      </c>
    </row>
    <row r="84" spans="1:27">
      <c r="A84">
        <f t="shared" si="4"/>
        <v>26048</v>
      </c>
      <c r="B84">
        <v>0</v>
      </c>
      <c r="C84">
        <v>0</v>
      </c>
      <c r="D84">
        <v>0</v>
      </c>
      <c r="E84">
        <v>0</v>
      </c>
      <c r="F84">
        <v>0</v>
      </c>
      <c r="H84">
        <f t="shared" si="5"/>
        <v>26048</v>
      </c>
      <c r="I84">
        <v>0</v>
      </c>
      <c r="J84">
        <v>0</v>
      </c>
      <c r="K84">
        <v>0</v>
      </c>
      <c r="L84">
        <v>0</v>
      </c>
      <c r="M84">
        <v>0</v>
      </c>
      <c r="O84">
        <f t="shared" si="6"/>
        <v>26048</v>
      </c>
      <c r="P84">
        <v>0</v>
      </c>
      <c r="Q84">
        <v>0</v>
      </c>
      <c r="R84">
        <v>0</v>
      </c>
      <c r="S84">
        <v>0</v>
      </c>
      <c r="T84">
        <v>0</v>
      </c>
      <c r="V84">
        <f t="shared" si="7"/>
        <v>26048</v>
      </c>
      <c r="W84">
        <v>0</v>
      </c>
      <c r="X84">
        <v>0</v>
      </c>
      <c r="Y84" s="41">
        <v>0</v>
      </c>
      <c r="Z84" s="41">
        <v>0</v>
      </c>
      <c r="AA84" s="55">
        <v>0</v>
      </c>
    </row>
    <row r="85" spans="1:27">
      <c r="A85">
        <f t="shared" si="4"/>
        <v>26048</v>
      </c>
      <c r="B85">
        <v>0</v>
      </c>
      <c r="C85">
        <v>0</v>
      </c>
      <c r="D85">
        <v>0</v>
      </c>
      <c r="E85">
        <v>0</v>
      </c>
      <c r="F85">
        <v>0</v>
      </c>
      <c r="H85">
        <f t="shared" si="5"/>
        <v>26048</v>
      </c>
      <c r="I85">
        <v>0</v>
      </c>
      <c r="J85">
        <v>0</v>
      </c>
      <c r="K85">
        <v>0</v>
      </c>
      <c r="L85">
        <v>0</v>
      </c>
      <c r="M85">
        <v>0</v>
      </c>
      <c r="O85">
        <f t="shared" si="6"/>
        <v>26048</v>
      </c>
      <c r="P85">
        <v>0</v>
      </c>
      <c r="Q85">
        <v>0</v>
      </c>
      <c r="R85">
        <v>0</v>
      </c>
      <c r="S85">
        <v>0</v>
      </c>
      <c r="T85">
        <v>0</v>
      </c>
      <c r="V85">
        <f t="shared" si="7"/>
        <v>26048</v>
      </c>
      <c r="W85">
        <v>0</v>
      </c>
      <c r="X85">
        <v>0</v>
      </c>
      <c r="Y85" s="41">
        <v>0</v>
      </c>
      <c r="Z85" s="41">
        <v>0</v>
      </c>
      <c r="AA85" s="55">
        <v>0</v>
      </c>
    </row>
    <row r="86" spans="1:27">
      <c r="A86">
        <f t="shared" si="4"/>
        <v>26048</v>
      </c>
      <c r="B86">
        <v>0</v>
      </c>
      <c r="C86">
        <v>0</v>
      </c>
      <c r="D86">
        <v>0</v>
      </c>
      <c r="E86">
        <v>0</v>
      </c>
      <c r="F86">
        <v>0</v>
      </c>
      <c r="H86">
        <f t="shared" si="5"/>
        <v>26048</v>
      </c>
      <c r="I86">
        <v>0</v>
      </c>
      <c r="J86">
        <v>0</v>
      </c>
      <c r="K86">
        <v>0</v>
      </c>
      <c r="L86">
        <v>0</v>
      </c>
      <c r="M86">
        <v>0</v>
      </c>
      <c r="O86">
        <f t="shared" si="6"/>
        <v>26048</v>
      </c>
      <c r="P86">
        <v>0</v>
      </c>
      <c r="Q86">
        <v>0</v>
      </c>
      <c r="R86">
        <v>0</v>
      </c>
      <c r="S86">
        <v>0</v>
      </c>
      <c r="T86">
        <v>0</v>
      </c>
      <c r="V86">
        <f t="shared" si="7"/>
        <v>26048</v>
      </c>
      <c r="W86">
        <v>0</v>
      </c>
      <c r="X86">
        <v>0</v>
      </c>
      <c r="Y86" s="41">
        <v>0</v>
      </c>
      <c r="Z86" s="41">
        <v>0</v>
      </c>
      <c r="AA86" s="55">
        <v>0</v>
      </c>
    </row>
    <row r="87" spans="1:27">
      <c r="A87">
        <f t="shared" si="4"/>
        <v>26048</v>
      </c>
      <c r="B87">
        <v>0</v>
      </c>
      <c r="C87">
        <v>0</v>
      </c>
      <c r="D87">
        <v>0</v>
      </c>
      <c r="E87">
        <v>0</v>
      </c>
      <c r="F87">
        <v>0</v>
      </c>
      <c r="H87">
        <f t="shared" si="5"/>
        <v>26048</v>
      </c>
      <c r="I87">
        <v>0</v>
      </c>
      <c r="J87">
        <v>0</v>
      </c>
      <c r="K87">
        <v>0</v>
      </c>
      <c r="L87">
        <v>0</v>
      </c>
      <c r="M87">
        <v>0</v>
      </c>
      <c r="O87">
        <f t="shared" si="6"/>
        <v>26048</v>
      </c>
      <c r="P87">
        <v>0</v>
      </c>
      <c r="Q87">
        <v>0</v>
      </c>
      <c r="R87">
        <v>0</v>
      </c>
      <c r="S87">
        <v>0</v>
      </c>
      <c r="T87">
        <v>0</v>
      </c>
      <c r="V87">
        <f t="shared" si="7"/>
        <v>26048</v>
      </c>
      <c r="W87">
        <v>0</v>
      </c>
      <c r="X87">
        <v>0</v>
      </c>
      <c r="Y87" s="41">
        <v>0</v>
      </c>
      <c r="Z87" s="41">
        <v>0</v>
      </c>
      <c r="AA87" s="55">
        <v>0</v>
      </c>
    </row>
    <row r="88" spans="1:27">
      <c r="A88">
        <f t="shared" si="4"/>
        <v>26048</v>
      </c>
      <c r="B88">
        <v>0</v>
      </c>
      <c r="C88">
        <v>0</v>
      </c>
      <c r="D88">
        <v>0</v>
      </c>
      <c r="E88">
        <v>0</v>
      </c>
      <c r="F88">
        <v>0</v>
      </c>
      <c r="H88">
        <f t="shared" si="5"/>
        <v>26048</v>
      </c>
      <c r="I88">
        <v>0</v>
      </c>
      <c r="J88">
        <v>0</v>
      </c>
      <c r="K88">
        <v>0</v>
      </c>
      <c r="L88">
        <v>0</v>
      </c>
      <c r="M88">
        <v>0</v>
      </c>
      <c r="O88">
        <f t="shared" si="6"/>
        <v>26048</v>
      </c>
      <c r="P88">
        <v>0</v>
      </c>
      <c r="Q88">
        <v>0</v>
      </c>
      <c r="R88">
        <v>0</v>
      </c>
      <c r="S88">
        <v>0</v>
      </c>
      <c r="T88">
        <v>0</v>
      </c>
      <c r="V88">
        <f t="shared" si="7"/>
        <v>26048</v>
      </c>
      <c r="W88">
        <v>0</v>
      </c>
      <c r="X88">
        <v>0</v>
      </c>
      <c r="Y88" s="41">
        <v>0</v>
      </c>
      <c r="Z88" s="41">
        <v>0</v>
      </c>
      <c r="AA88" s="55">
        <v>0</v>
      </c>
    </row>
    <row r="89" spans="1:27">
      <c r="A89">
        <f t="shared" si="4"/>
        <v>26048</v>
      </c>
      <c r="B89">
        <v>0</v>
      </c>
      <c r="C89">
        <v>0</v>
      </c>
      <c r="D89">
        <v>0</v>
      </c>
      <c r="E89">
        <v>0</v>
      </c>
      <c r="F89">
        <v>0</v>
      </c>
      <c r="H89">
        <f t="shared" si="5"/>
        <v>26048</v>
      </c>
      <c r="I89">
        <v>0</v>
      </c>
      <c r="J89">
        <v>0</v>
      </c>
      <c r="K89">
        <v>0</v>
      </c>
      <c r="L89">
        <v>0</v>
      </c>
      <c r="M89">
        <v>0</v>
      </c>
      <c r="O89">
        <f t="shared" si="6"/>
        <v>26048</v>
      </c>
      <c r="P89">
        <v>0</v>
      </c>
      <c r="Q89">
        <v>0</v>
      </c>
      <c r="R89">
        <v>0</v>
      </c>
      <c r="S89">
        <v>0</v>
      </c>
      <c r="T89">
        <v>0</v>
      </c>
      <c r="V89">
        <f t="shared" si="7"/>
        <v>26048</v>
      </c>
      <c r="W89">
        <v>0</v>
      </c>
      <c r="X89">
        <v>0</v>
      </c>
      <c r="Y89" s="41">
        <v>0</v>
      </c>
      <c r="Z89" s="41">
        <v>0</v>
      </c>
      <c r="AA89" s="55">
        <v>0</v>
      </c>
    </row>
    <row r="90" spans="1:27">
      <c r="A90">
        <f t="shared" si="4"/>
        <v>26048</v>
      </c>
      <c r="B90">
        <v>0</v>
      </c>
      <c r="C90">
        <v>0</v>
      </c>
      <c r="D90">
        <v>0</v>
      </c>
      <c r="E90">
        <v>0</v>
      </c>
      <c r="F90">
        <v>0</v>
      </c>
      <c r="H90">
        <f t="shared" si="5"/>
        <v>26048</v>
      </c>
      <c r="I90">
        <v>0</v>
      </c>
      <c r="J90">
        <v>0</v>
      </c>
      <c r="K90">
        <v>0</v>
      </c>
      <c r="L90">
        <v>0</v>
      </c>
      <c r="M90">
        <v>0</v>
      </c>
      <c r="O90">
        <f t="shared" si="6"/>
        <v>26048</v>
      </c>
      <c r="P90">
        <v>0</v>
      </c>
      <c r="Q90">
        <v>0</v>
      </c>
      <c r="R90">
        <v>0</v>
      </c>
      <c r="S90">
        <v>0</v>
      </c>
      <c r="T90">
        <v>0</v>
      </c>
      <c r="V90">
        <f t="shared" si="7"/>
        <v>26048</v>
      </c>
      <c r="W90">
        <v>0</v>
      </c>
      <c r="X90">
        <v>0</v>
      </c>
      <c r="Y90" s="41">
        <v>0</v>
      </c>
      <c r="Z90" s="41">
        <v>0</v>
      </c>
      <c r="AA90" s="55">
        <v>0</v>
      </c>
    </row>
    <row r="91" spans="1:27">
      <c r="A91">
        <f t="shared" si="4"/>
        <v>26048</v>
      </c>
      <c r="B91">
        <v>0</v>
      </c>
      <c r="C91">
        <v>0</v>
      </c>
      <c r="D91">
        <v>0</v>
      </c>
      <c r="E91">
        <v>0</v>
      </c>
      <c r="F91">
        <v>0</v>
      </c>
      <c r="H91">
        <f t="shared" si="5"/>
        <v>26048</v>
      </c>
      <c r="I91">
        <v>0</v>
      </c>
      <c r="J91">
        <v>0</v>
      </c>
      <c r="K91">
        <v>0</v>
      </c>
      <c r="L91">
        <v>0</v>
      </c>
      <c r="M91">
        <v>0</v>
      </c>
      <c r="O91">
        <f t="shared" si="6"/>
        <v>26048</v>
      </c>
      <c r="P91">
        <v>0</v>
      </c>
      <c r="Q91">
        <v>0</v>
      </c>
      <c r="R91">
        <v>0</v>
      </c>
      <c r="S91">
        <v>0</v>
      </c>
      <c r="T91">
        <v>0</v>
      </c>
      <c r="V91">
        <f t="shared" si="7"/>
        <v>26048</v>
      </c>
      <c r="W91">
        <v>0</v>
      </c>
      <c r="X91">
        <v>0</v>
      </c>
      <c r="Y91" s="41">
        <v>0</v>
      </c>
      <c r="Z91" s="41">
        <v>0</v>
      </c>
      <c r="AA91" s="55">
        <v>0</v>
      </c>
    </row>
    <row r="92" spans="1:27">
      <c r="A92">
        <f t="shared" si="4"/>
        <v>26048</v>
      </c>
      <c r="B92">
        <v>0</v>
      </c>
      <c r="C92">
        <v>0</v>
      </c>
      <c r="D92">
        <v>0</v>
      </c>
      <c r="E92">
        <v>0</v>
      </c>
      <c r="F92">
        <v>0</v>
      </c>
      <c r="H92">
        <f t="shared" si="5"/>
        <v>26048</v>
      </c>
      <c r="I92">
        <v>0</v>
      </c>
      <c r="J92">
        <v>0</v>
      </c>
      <c r="K92">
        <v>0</v>
      </c>
      <c r="L92">
        <v>0</v>
      </c>
      <c r="M92">
        <v>0</v>
      </c>
      <c r="O92">
        <f t="shared" si="6"/>
        <v>26048</v>
      </c>
      <c r="P92">
        <v>0</v>
      </c>
      <c r="Q92">
        <v>0</v>
      </c>
      <c r="R92">
        <v>0</v>
      </c>
      <c r="S92">
        <v>0</v>
      </c>
      <c r="T92">
        <v>0</v>
      </c>
      <c r="V92">
        <f t="shared" si="7"/>
        <v>26048</v>
      </c>
      <c r="W92">
        <v>0</v>
      </c>
      <c r="X92">
        <v>0</v>
      </c>
      <c r="Y92" s="41">
        <v>0</v>
      </c>
      <c r="Z92" s="41">
        <v>0</v>
      </c>
      <c r="AA92" s="55">
        <v>0</v>
      </c>
    </row>
    <row r="93" spans="1:27">
      <c r="A93">
        <f t="shared" si="4"/>
        <v>26048</v>
      </c>
      <c r="B93">
        <v>0</v>
      </c>
      <c r="C93">
        <v>0</v>
      </c>
      <c r="D93">
        <v>0</v>
      </c>
      <c r="E93">
        <v>0</v>
      </c>
      <c r="F93">
        <v>0</v>
      </c>
      <c r="H93">
        <f t="shared" si="5"/>
        <v>26048</v>
      </c>
      <c r="I93">
        <v>0</v>
      </c>
      <c r="J93">
        <v>0</v>
      </c>
      <c r="K93">
        <v>0</v>
      </c>
      <c r="L93">
        <v>0</v>
      </c>
      <c r="M93">
        <v>0</v>
      </c>
      <c r="O93">
        <f t="shared" si="6"/>
        <v>26048</v>
      </c>
      <c r="P93">
        <v>0</v>
      </c>
      <c r="Q93">
        <v>0</v>
      </c>
      <c r="R93">
        <v>0</v>
      </c>
      <c r="S93">
        <v>0</v>
      </c>
      <c r="T93">
        <v>0</v>
      </c>
      <c r="V93">
        <f t="shared" si="7"/>
        <v>26048</v>
      </c>
      <c r="W93">
        <v>0</v>
      </c>
      <c r="X93">
        <v>0</v>
      </c>
      <c r="Y93" s="41">
        <v>0</v>
      </c>
      <c r="Z93" s="41">
        <v>0</v>
      </c>
      <c r="AA93" s="55">
        <v>0</v>
      </c>
    </row>
    <row r="94" spans="1:27">
      <c r="A94">
        <f t="shared" si="4"/>
        <v>26048</v>
      </c>
      <c r="B94">
        <v>0</v>
      </c>
      <c r="C94">
        <v>0</v>
      </c>
      <c r="D94">
        <v>0</v>
      </c>
      <c r="E94">
        <v>0</v>
      </c>
      <c r="F94">
        <v>0</v>
      </c>
      <c r="H94">
        <f t="shared" si="5"/>
        <v>26048</v>
      </c>
      <c r="I94">
        <v>0</v>
      </c>
      <c r="J94">
        <v>0</v>
      </c>
      <c r="K94">
        <v>0</v>
      </c>
      <c r="L94">
        <v>0</v>
      </c>
      <c r="M94">
        <v>0</v>
      </c>
      <c r="O94">
        <f t="shared" si="6"/>
        <v>26048</v>
      </c>
      <c r="P94">
        <v>0</v>
      </c>
      <c r="Q94">
        <v>0</v>
      </c>
      <c r="R94">
        <v>0</v>
      </c>
      <c r="S94">
        <v>0</v>
      </c>
      <c r="T94">
        <v>0</v>
      </c>
      <c r="V94">
        <f t="shared" si="7"/>
        <v>26048</v>
      </c>
      <c r="W94">
        <v>0</v>
      </c>
      <c r="X94">
        <v>0</v>
      </c>
      <c r="Y94" s="41">
        <v>0</v>
      </c>
      <c r="Z94" s="41">
        <v>0</v>
      </c>
      <c r="AA94" s="55">
        <v>0</v>
      </c>
    </row>
    <row r="95" spans="1:27">
      <c r="A95">
        <f t="shared" si="4"/>
        <v>26048</v>
      </c>
      <c r="B95">
        <v>0</v>
      </c>
      <c r="C95">
        <v>0</v>
      </c>
      <c r="D95">
        <v>0</v>
      </c>
      <c r="E95">
        <v>0</v>
      </c>
      <c r="F95">
        <v>0</v>
      </c>
      <c r="H95">
        <f t="shared" si="5"/>
        <v>26048</v>
      </c>
      <c r="I95">
        <v>0</v>
      </c>
      <c r="J95">
        <v>0</v>
      </c>
      <c r="K95">
        <v>0</v>
      </c>
      <c r="L95">
        <v>0</v>
      </c>
      <c r="M95">
        <v>0</v>
      </c>
      <c r="O95">
        <f t="shared" si="6"/>
        <v>26048</v>
      </c>
      <c r="P95">
        <v>0</v>
      </c>
      <c r="Q95">
        <v>0</v>
      </c>
      <c r="R95">
        <v>0</v>
      </c>
      <c r="S95">
        <v>0</v>
      </c>
      <c r="T95">
        <v>0</v>
      </c>
      <c r="V95">
        <f t="shared" si="7"/>
        <v>26048</v>
      </c>
      <c r="W95">
        <v>0</v>
      </c>
      <c r="X95">
        <v>0</v>
      </c>
      <c r="Y95" s="41">
        <v>0</v>
      </c>
      <c r="Z95" s="41">
        <v>0</v>
      </c>
      <c r="AA95" s="55">
        <v>0</v>
      </c>
    </row>
    <row r="96" spans="1:27">
      <c r="A96">
        <f t="shared" si="4"/>
        <v>26048</v>
      </c>
      <c r="B96">
        <v>0</v>
      </c>
      <c r="C96">
        <v>0</v>
      </c>
      <c r="D96">
        <v>0</v>
      </c>
      <c r="E96">
        <v>0</v>
      </c>
      <c r="F96">
        <v>0</v>
      </c>
      <c r="H96">
        <f t="shared" si="5"/>
        <v>26048</v>
      </c>
      <c r="I96">
        <v>0</v>
      </c>
      <c r="J96">
        <v>0</v>
      </c>
      <c r="K96">
        <v>0</v>
      </c>
      <c r="L96">
        <v>0</v>
      </c>
      <c r="M96">
        <v>0</v>
      </c>
      <c r="O96">
        <f t="shared" si="6"/>
        <v>26048</v>
      </c>
      <c r="P96">
        <v>0</v>
      </c>
      <c r="Q96">
        <v>0</v>
      </c>
      <c r="R96">
        <v>0</v>
      </c>
      <c r="S96">
        <v>0</v>
      </c>
      <c r="T96">
        <v>0</v>
      </c>
      <c r="V96">
        <f t="shared" si="7"/>
        <v>26048</v>
      </c>
      <c r="W96">
        <v>0</v>
      </c>
      <c r="X96">
        <v>0</v>
      </c>
      <c r="Y96" s="41">
        <v>0</v>
      </c>
      <c r="Z96" s="41">
        <v>0</v>
      </c>
      <c r="AA96" s="55">
        <v>0</v>
      </c>
    </row>
    <row r="97" spans="1:27">
      <c r="A97">
        <f t="shared" si="4"/>
        <v>26048</v>
      </c>
      <c r="B97">
        <v>0</v>
      </c>
      <c r="C97">
        <v>0</v>
      </c>
      <c r="D97">
        <v>0</v>
      </c>
      <c r="E97">
        <v>0</v>
      </c>
      <c r="F97">
        <v>0</v>
      </c>
      <c r="H97">
        <f t="shared" si="5"/>
        <v>26048</v>
      </c>
      <c r="I97">
        <v>0</v>
      </c>
      <c r="J97">
        <v>0</v>
      </c>
      <c r="K97">
        <v>0</v>
      </c>
      <c r="L97">
        <v>0</v>
      </c>
      <c r="M97">
        <v>0</v>
      </c>
      <c r="O97">
        <f t="shared" si="6"/>
        <v>26048</v>
      </c>
      <c r="P97">
        <v>0</v>
      </c>
      <c r="Q97">
        <v>0</v>
      </c>
      <c r="R97">
        <v>0</v>
      </c>
      <c r="S97">
        <v>0</v>
      </c>
      <c r="T97">
        <v>0</v>
      </c>
      <c r="V97">
        <f t="shared" si="7"/>
        <v>26048</v>
      </c>
      <c r="W97">
        <v>0</v>
      </c>
      <c r="X97">
        <v>0</v>
      </c>
      <c r="Y97" s="41">
        <v>0</v>
      </c>
      <c r="Z97" s="41">
        <v>0</v>
      </c>
      <c r="AA97" s="55">
        <v>0</v>
      </c>
    </row>
    <row r="98" spans="1:27">
      <c r="A98">
        <f t="shared" si="4"/>
        <v>26048</v>
      </c>
      <c r="B98">
        <v>0</v>
      </c>
      <c r="C98">
        <v>0</v>
      </c>
      <c r="D98">
        <v>0</v>
      </c>
      <c r="E98">
        <v>0</v>
      </c>
      <c r="F98">
        <v>0</v>
      </c>
      <c r="H98">
        <f t="shared" si="5"/>
        <v>26048</v>
      </c>
      <c r="I98">
        <v>0</v>
      </c>
      <c r="J98">
        <v>0</v>
      </c>
      <c r="K98">
        <v>0</v>
      </c>
      <c r="L98">
        <v>0</v>
      </c>
      <c r="M98">
        <v>0</v>
      </c>
      <c r="O98">
        <f t="shared" si="6"/>
        <v>26048</v>
      </c>
      <c r="P98">
        <v>0</v>
      </c>
      <c r="Q98">
        <v>0</v>
      </c>
      <c r="R98">
        <v>0</v>
      </c>
      <c r="S98">
        <v>0</v>
      </c>
      <c r="T98">
        <v>0</v>
      </c>
      <c r="V98">
        <f t="shared" si="7"/>
        <v>26048</v>
      </c>
      <c r="W98">
        <v>0</v>
      </c>
      <c r="X98">
        <v>0</v>
      </c>
      <c r="Y98" s="41">
        <v>0</v>
      </c>
      <c r="Z98" s="41">
        <v>0</v>
      </c>
      <c r="AA98" s="55">
        <v>0</v>
      </c>
    </row>
    <row r="99" spans="1:27">
      <c r="A99">
        <f t="shared" si="4"/>
        <v>26048</v>
      </c>
      <c r="B99">
        <v>0</v>
      </c>
      <c r="C99">
        <v>0</v>
      </c>
      <c r="D99">
        <v>0</v>
      </c>
      <c r="E99">
        <v>0</v>
      </c>
      <c r="F99">
        <v>0</v>
      </c>
      <c r="H99">
        <f t="shared" si="5"/>
        <v>26048</v>
      </c>
      <c r="I99">
        <v>0</v>
      </c>
      <c r="J99">
        <v>0</v>
      </c>
      <c r="K99">
        <v>0</v>
      </c>
      <c r="L99">
        <v>0</v>
      </c>
      <c r="M99">
        <v>0</v>
      </c>
      <c r="O99">
        <f t="shared" si="6"/>
        <v>26048</v>
      </c>
      <c r="P99">
        <v>0</v>
      </c>
      <c r="Q99">
        <v>0</v>
      </c>
      <c r="R99">
        <v>0</v>
      </c>
      <c r="S99">
        <v>0</v>
      </c>
      <c r="T99">
        <v>0</v>
      </c>
      <c r="V99">
        <f t="shared" si="7"/>
        <v>26048</v>
      </c>
      <c r="W99">
        <v>0</v>
      </c>
      <c r="X99">
        <v>0</v>
      </c>
      <c r="Y99" s="41">
        <v>0</v>
      </c>
      <c r="Z99" s="41">
        <v>0</v>
      </c>
      <c r="AA99" s="55">
        <v>0</v>
      </c>
    </row>
    <row r="100" spans="1:27">
      <c r="A100">
        <f t="shared" si="4"/>
        <v>26048</v>
      </c>
      <c r="B100">
        <v>0</v>
      </c>
      <c r="C100">
        <v>0</v>
      </c>
      <c r="D100">
        <v>0</v>
      </c>
      <c r="E100">
        <v>0</v>
      </c>
      <c r="F100">
        <v>0</v>
      </c>
      <c r="H100">
        <f t="shared" si="5"/>
        <v>26048</v>
      </c>
      <c r="I100">
        <v>0</v>
      </c>
      <c r="J100">
        <v>0</v>
      </c>
      <c r="K100">
        <v>0</v>
      </c>
      <c r="L100">
        <v>0</v>
      </c>
      <c r="M100">
        <v>0</v>
      </c>
      <c r="O100">
        <f t="shared" si="6"/>
        <v>26048</v>
      </c>
      <c r="P100">
        <v>0</v>
      </c>
      <c r="Q100">
        <v>0</v>
      </c>
      <c r="R100">
        <v>0</v>
      </c>
      <c r="S100">
        <v>0</v>
      </c>
      <c r="T100">
        <v>0</v>
      </c>
      <c r="V100">
        <f t="shared" si="7"/>
        <v>26048</v>
      </c>
      <c r="W100">
        <v>0</v>
      </c>
      <c r="X100">
        <v>0</v>
      </c>
      <c r="Y100" s="41">
        <v>0</v>
      </c>
      <c r="Z100" s="41">
        <v>0</v>
      </c>
      <c r="AA100" s="55">
        <v>0</v>
      </c>
    </row>
    <row r="101" spans="1:27">
      <c r="A101">
        <f t="shared" si="4"/>
        <v>26048</v>
      </c>
      <c r="B101">
        <v>0</v>
      </c>
      <c r="C101">
        <v>0</v>
      </c>
      <c r="D101">
        <v>0</v>
      </c>
      <c r="E101">
        <v>0</v>
      </c>
      <c r="F101">
        <v>0</v>
      </c>
      <c r="H101">
        <f t="shared" si="5"/>
        <v>26048</v>
      </c>
      <c r="I101">
        <v>0</v>
      </c>
      <c r="J101">
        <v>0</v>
      </c>
      <c r="K101">
        <v>0</v>
      </c>
      <c r="L101">
        <v>0</v>
      </c>
      <c r="M101">
        <v>0</v>
      </c>
      <c r="O101">
        <f t="shared" si="6"/>
        <v>26048</v>
      </c>
      <c r="P101">
        <v>0</v>
      </c>
      <c r="Q101">
        <v>0</v>
      </c>
      <c r="R101">
        <v>0</v>
      </c>
      <c r="S101">
        <v>0</v>
      </c>
      <c r="T101">
        <v>0</v>
      </c>
      <c r="V101">
        <f t="shared" si="7"/>
        <v>26048</v>
      </c>
      <c r="W101">
        <v>0</v>
      </c>
      <c r="X101">
        <v>0</v>
      </c>
      <c r="Y101" s="41">
        <v>0</v>
      </c>
      <c r="Z101" s="41">
        <v>0</v>
      </c>
      <c r="AA101" s="55">
        <v>0</v>
      </c>
    </row>
    <row r="102" spans="1:27">
      <c r="A102">
        <f t="shared" si="4"/>
        <v>26048</v>
      </c>
      <c r="B102">
        <v>0</v>
      </c>
      <c r="C102">
        <v>0</v>
      </c>
      <c r="D102">
        <v>0</v>
      </c>
      <c r="E102">
        <v>0</v>
      </c>
      <c r="F102">
        <v>0</v>
      </c>
      <c r="H102">
        <f t="shared" si="5"/>
        <v>26048</v>
      </c>
      <c r="I102">
        <v>0</v>
      </c>
      <c r="J102">
        <v>0</v>
      </c>
      <c r="K102">
        <v>0</v>
      </c>
      <c r="L102">
        <v>0</v>
      </c>
      <c r="M102">
        <v>0</v>
      </c>
      <c r="O102">
        <f t="shared" si="6"/>
        <v>26048</v>
      </c>
      <c r="P102">
        <v>0</v>
      </c>
      <c r="Q102">
        <v>0</v>
      </c>
      <c r="R102">
        <v>0</v>
      </c>
      <c r="S102">
        <v>0</v>
      </c>
      <c r="T102">
        <v>0</v>
      </c>
      <c r="V102">
        <f t="shared" si="7"/>
        <v>26048</v>
      </c>
      <c r="W102">
        <v>0</v>
      </c>
      <c r="X102">
        <v>0</v>
      </c>
      <c r="Y102" s="41">
        <v>0</v>
      </c>
      <c r="Z102" s="41">
        <v>0</v>
      </c>
      <c r="AA102" s="55">
        <v>0</v>
      </c>
    </row>
    <row r="103" spans="1:27">
      <c r="A103">
        <f t="shared" si="4"/>
        <v>26048</v>
      </c>
      <c r="B103">
        <v>0</v>
      </c>
      <c r="C103">
        <v>0</v>
      </c>
      <c r="D103">
        <v>0</v>
      </c>
      <c r="E103">
        <v>0</v>
      </c>
      <c r="F103">
        <v>0</v>
      </c>
      <c r="H103">
        <f t="shared" si="5"/>
        <v>26048</v>
      </c>
      <c r="I103">
        <v>0</v>
      </c>
      <c r="J103">
        <v>0</v>
      </c>
      <c r="K103">
        <v>0</v>
      </c>
      <c r="L103">
        <v>0</v>
      </c>
      <c r="M103">
        <v>0</v>
      </c>
      <c r="O103">
        <f t="shared" si="6"/>
        <v>26048</v>
      </c>
      <c r="P103">
        <v>0</v>
      </c>
      <c r="Q103">
        <v>0</v>
      </c>
      <c r="R103">
        <v>0</v>
      </c>
      <c r="S103">
        <v>0</v>
      </c>
      <c r="T103">
        <v>0</v>
      </c>
      <c r="V103">
        <f t="shared" si="7"/>
        <v>26048</v>
      </c>
      <c r="W103">
        <v>0</v>
      </c>
      <c r="X103">
        <v>0</v>
      </c>
      <c r="Y103" s="41">
        <v>0</v>
      </c>
      <c r="Z103" s="41">
        <v>0</v>
      </c>
      <c r="AA103" s="55">
        <v>0</v>
      </c>
    </row>
    <row r="104" spans="1:27">
      <c r="A104">
        <f t="shared" si="4"/>
        <v>26048</v>
      </c>
      <c r="B104">
        <v>0</v>
      </c>
      <c r="C104">
        <v>0</v>
      </c>
      <c r="D104">
        <v>0</v>
      </c>
      <c r="E104">
        <v>0</v>
      </c>
      <c r="F104">
        <v>0</v>
      </c>
      <c r="H104">
        <f t="shared" si="5"/>
        <v>26048</v>
      </c>
      <c r="I104">
        <v>0</v>
      </c>
      <c r="J104">
        <v>0</v>
      </c>
      <c r="K104">
        <v>0</v>
      </c>
      <c r="L104">
        <v>0</v>
      </c>
      <c r="M104">
        <v>0</v>
      </c>
      <c r="O104">
        <f t="shared" si="6"/>
        <v>26048</v>
      </c>
      <c r="P104">
        <v>0</v>
      </c>
      <c r="Q104">
        <v>0</v>
      </c>
      <c r="R104">
        <v>0</v>
      </c>
      <c r="S104">
        <v>0</v>
      </c>
      <c r="T104">
        <v>0</v>
      </c>
      <c r="V104">
        <f t="shared" si="7"/>
        <v>26048</v>
      </c>
      <c r="W104">
        <v>0</v>
      </c>
      <c r="X104">
        <v>0</v>
      </c>
      <c r="Y104" s="41">
        <v>0</v>
      </c>
      <c r="Z104" s="41">
        <v>0</v>
      </c>
      <c r="AA104" s="55">
        <v>0</v>
      </c>
    </row>
    <row r="105" spans="1:27">
      <c r="A105">
        <f t="shared" si="4"/>
        <v>26048</v>
      </c>
      <c r="B105">
        <v>0</v>
      </c>
      <c r="C105">
        <v>0</v>
      </c>
      <c r="D105">
        <v>0</v>
      </c>
      <c r="E105">
        <v>0</v>
      </c>
      <c r="F105">
        <v>0</v>
      </c>
      <c r="H105">
        <f t="shared" si="5"/>
        <v>26048</v>
      </c>
      <c r="I105">
        <v>0</v>
      </c>
      <c r="J105">
        <v>0</v>
      </c>
      <c r="K105">
        <v>0</v>
      </c>
      <c r="L105">
        <v>0</v>
      </c>
      <c r="M105">
        <v>0</v>
      </c>
      <c r="O105">
        <f t="shared" si="6"/>
        <v>26048</v>
      </c>
      <c r="P105">
        <v>0</v>
      </c>
      <c r="Q105">
        <v>0</v>
      </c>
      <c r="R105">
        <v>0</v>
      </c>
      <c r="S105">
        <v>0</v>
      </c>
      <c r="T105">
        <v>0</v>
      </c>
      <c r="V105">
        <f t="shared" si="7"/>
        <v>26048</v>
      </c>
      <c r="W105">
        <v>0</v>
      </c>
      <c r="X105">
        <v>0</v>
      </c>
      <c r="Y105" s="41">
        <v>0</v>
      </c>
      <c r="Z105" s="41">
        <v>0</v>
      </c>
      <c r="AA105" s="55">
        <v>0</v>
      </c>
    </row>
    <row r="106" spans="1:27">
      <c r="A106">
        <f t="shared" si="4"/>
        <v>26048</v>
      </c>
      <c r="B106">
        <v>0</v>
      </c>
      <c r="C106">
        <v>0</v>
      </c>
      <c r="D106">
        <v>0</v>
      </c>
      <c r="E106">
        <v>0</v>
      </c>
      <c r="F106">
        <v>0</v>
      </c>
      <c r="H106">
        <f t="shared" si="5"/>
        <v>26048</v>
      </c>
      <c r="I106">
        <v>0</v>
      </c>
      <c r="J106">
        <v>0</v>
      </c>
      <c r="K106">
        <v>0</v>
      </c>
      <c r="L106">
        <v>0</v>
      </c>
      <c r="M106">
        <v>0</v>
      </c>
      <c r="O106">
        <f t="shared" si="6"/>
        <v>26048</v>
      </c>
      <c r="P106">
        <v>0</v>
      </c>
      <c r="Q106">
        <v>0</v>
      </c>
      <c r="R106">
        <v>0</v>
      </c>
      <c r="S106">
        <v>0</v>
      </c>
      <c r="T106">
        <v>0</v>
      </c>
      <c r="V106">
        <f t="shared" si="7"/>
        <v>26048</v>
      </c>
      <c r="W106">
        <v>0</v>
      </c>
      <c r="X106">
        <v>0</v>
      </c>
      <c r="Y106" s="41">
        <v>0</v>
      </c>
      <c r="Z106" s="41">
        <v>0</v>
      </c>
      <c r="AA106" s="55">
        <v>0</v>
      </c>
    </row>
    <row r="107" spans="1:27">
      <c r="A107">
        <f t="shared" si="4"/>
        <v>26048</v>
      </c>
      <c r="B107">
        <v>0</v>
      </c>
      <c r="C107">
        <v>0</v>
      </c>
      <c r="D107">
        <v>0</v>
      </c>
      <c r="E107">
        <v>0</v>
      </c>
      <c r="F107">
        <v>0</v>
      </c>
      <c r="H107">
        <f t="shared" si="5"/>
        <v>26048</v>
      </c>
      <c r="I107">
        <v>0</v>
      </c>
      <c r="J107">
        <v>0</v>
      </c>
      <c r="K107">
        <v>0</v>
      </c>
      <c r="L107">
        <v>0</v>
      </c>
      <c r="M107">
        <v>0</v>
      </c>
      <c r="O107">
        <f t="shared" si="6"/>
        <v>26048</v>
      </c>
      <c r="P107">
        <v>0</v>
      </c>
      <c r="Q107">
        <v>0</v>
      </c>
      <c r="R107">
        <v>0</v>
      </c>
      <c r="S107">
        <v>0</v>
      </c>
      <c r="T107">
        <v>0</v>
      </c>
      <c r="V107">
        <f t="shared" si="7"/>
        <v>26048</v>
      </c>
      <c r="W107">
        <v>0</v>
      </c>
      <c r="X107">
        <v>0</v>
      </c>
      <c r="Y107" s="41">
        <v>0</v>
      </c>
      <c r="Z107" s="41">
        <v>0</v>
      </c>
      <c r="AA107" s="55">
        <v>0</v>
      </c>
    </row>
    <row r="108" spans="1:27">
      <c r="A108">
        <f t="shared" si="4"/>
        <v>26048</v>
      </c>
      <c r="B108">
        <v>0</v>
      </c>
      <c r="C108">
        <v>0</v>
      </c>
      <c r="D108">
        <v>0</v>
      </c>
      <c r="E108">
        <v>0</v>
      </c>
      <c r="F108">
        <v>0</v>
      </c>
      <c r="H108">
        <f t="shared" si="5"/>
        <v>26048</v>
      </c>
      <c r="I108">
        <v>0</v>
      </c>
      <c r="J108">
        <v>0</v>
      </c>
      <c r="K108">
        <v>0</v>
      </c>
      <c r="L108">
        <v>0</v>
      </c>
      <c r="M108">
        <v>0</v>
      </c>
      <c r="O108">
        <f t="shared" si="6"/>
        <v>26048</v>
      </c>
      <c r="P108">
        <v>0</v>
      </c>
      <c r="Q108">
        <v>0</v>
      </c>
      <c r="R108">
        <v>0</v>
      </c>
      <c r="S108">
        <v>0</v>
      </c>
      <c r="T108">
        <v>0</v>
      </c>
      <c r="V108">
        <f t="shared" si="7"/>
        <v>26048</v>
      </c>
      <c r="W108">
        <v>0</v>
      </c>
      <c r="X108">
        <v>0</v>
      </c>
      <c r="Y108" s="41">
        <v>0</v>
      </c>
      <c r="Z108" s="41">
        <v>0</v>
      </c>
      <c r="AA108" s="55">
        <v>0</v>
      </c>
    </row>
    <row r="109" spans="1:27">
      <c r="A109">
        <f t="shared" si="4"/>
        <v>26048</v>
      </c>
      <c r="B109">
        <v>0</v>
      </c>
      <c r="C109">
        <v>0</v>
      </c>
      <c r="D109">
        <v>0</v>
      </c>
      <c r="E109">
        <v>0</v>
      </c>
      <c r="F109">
        <v>0</v>
      </c>
      <c r="H109">
        <f t="shared" si="5"/>
        <v>26048</v>
      </c>
      <c r="I109">
        <v>0</v>
      </c>
      <c r="J109">
        <v>0</v>
      </c>
      <c r="K109">
        <v>0</v>
      </c>
      <c r="L109">
        <v>0</v>
      </c>
      <c r="M109">
        <v>0</v>
      </c>
      <c r="O109">
        <f t="shared" si="6"/>
        <v>26048</v>
      </c>
      <c r="P109">
        <v>0</v>
      </c>
      <c r="Q109">
        <v>0</v>
      </c>
      <c r="R109">
        <v>0</v>
      </c>
      <c r="S109">
        <v>0</v>
      </c>
      <c r="T109">
        <v>0</v>
      </c>
      <c r="V109">
        <f t="shared" si="7"/>
        <v>26048</v>
      </c>
      <c r="W109">
        <v>0</v>
      </c>
      <c r="X109">
        <v>0</v>
      </c>
      <c r="Y109" s="41">
        <v>0</v>
      </c>
      <c r="Z109" s="41">
        <v>0</v>
      </c>
      <c r="AA109" s="55">
        <v>0</v>
      </c>
    </row>
    <row r="110" spans="1:27">
      <c r="A110">
        <f t="shared" si="4"/>
        <v>26048</v>
      </c>
      <c r="B110">
        <v>0</v>
      </c>
      <c r="C110">
        <v>0</v>
      </c>
      <c r="D110">
        <v>0</v>
      </c>
      <c r="E110">
        <v>0</v>
      </c>
      <c r="F110">
        <v>0</v>
      </c>
      <c r="H110">
        <f t="shared" si="5"/>
        <v>26048</v>
      </c>
      <c r="I110">
        <v>0</v>
      </c>
      <c r="J110">
        <v>0</v>
      </c>
      <c r="K110">
        <v>0</v>
      </c>
      <c r="L110">
        <v>0</v>
      </c>
      <c r="M110">
        <v>0</v>
      </c>
      <c r="O110">
        <f t="shared" si="6"/>
        <v>26048</v>
      </c>
      <c r="P110">
        <v>0</v>
      </c>
      <c r="Q110">
        <v>0</v>
      </c>
      <c r="R110">
        <v>0</v>
      </c>
      <c r="S110">
        <v>0</v>
      </c>
      <c r="T110">
        <v>0</v>
      </c>
      <c r="V110">
        <f t="shared" si="7"/>
        <v>26048</v>
      </c>
      <c r="W110">
        <v>0</v>
      </c>
      <c r="X110">
        <v>0</v>
      </c>
      <c r="Y110" s="41">
        <v>0</v>
      </c>
      <c r="Z110" s="41">
        <v>0</v>
      </c>
      <c r="AA110" s="55">
        <v>0</v>
      </c>
    </row>
    <row r="111" spans="1:27">
      <c r="A111">
        <f t="shared" si="4"/>
        <v>26048</v>
      </c>
      <c r="B111">
        <v>0</v>
      </c>
      <c r="C111">
        <v>0</v>
      </c>
      <c r="D111">
        <v>0</v>
      </c>
      <c r="E111">
        <v>0</v>
      </c>
      <c r="F111">
        <v>0</v>
      </c>
      <c r="H111">
        <f t="shared" si="5"/>
        <v>26048</v>
      </c>
      <c r="I111">
        <v>0</v>
      </c>
      <c r="J111">
        <v>0</v>
      </c>
      <c r="K111">
        <v>0</v>
      </c>
      <c r="L111">
        <v>0</v>
      </c>
      <c r="M111">
        <v>0</v>
      </c>
      <c r="O111">
        <f t="shared" si="6"/>
        <v>26048</v>
      </c>
      <c r="P111">
        <v>0</v>
      </c>
      <c r="Q111">
        <v>0</v>
      </c>
      <c r="R111">
        <v>0</v>
      </c>
      <c r="S111">
        <v>0</v>
      </c>
      <c r="T111">
        <v>0</v>
      </c>
      <c r="V111">
        <f t="shared" si="7"/>
        <v>26048</v>
      </c>
      <c r="W111">
        <v>0</v>
      </c>
      <c r="X111">
        <v>0</v>
      </c>
      <c r="Y111" s="41">
        <v>0</v>
      </c>
      <c r="Z111" s="41">
        <v>0</v>
      </c>
      <c r="AA111" s="55">
        <v>0</v>
      </c>
    </row>
    <row r="112" spans="1:27">
      <c r="A112">
        <f t="shared" si="4"/>
        <v>26048</v>
      </c>
      <c r="B112">
        <v>0</v>
      </c>
      <c r="C112">
        <v>0</v>
      </c>
      <c r="D112">
        <v>0</v>
      </c>
      <c r="E112">
        <v>0</v>
      </c>
      <c r="F112">
        <v>0</v>
      </c>
      <c r="H112">
        <f t="shared" si="5"/>
        <v>26048</v>
      </c>
      <c r="I112">
        <v>0</v>
      </c>
      <c r="J112">
        <v>0</v>
      </c>
      <c r="K112">
        <v>0</v>
      </c>
      <c r="L112">
        <v>0</v>
      </c>
      <c r="M112">
        <v>0</v>
      </c>
      <c r="O112">
        <f t="shared" si="6"/>
        <v>26048</v>
      </c>
      <c r="P112">
        <v>0</v>
      </c>
      <c r="Q112">
        <v>0</v>
      </c>
      <c r="R112">
        <v>0</v>
      </c>
      <c r="S112">
        <v>0</v>
      </c>
      <c r="T112">
        <v>0</v>
      </c>
      <c r="V112">
        <f t="shared" si="7"/>
        <v>26048</v>
      </c>
      <c r="W112">
        <v>0</v>
      </c>
      <c r="X112">
        <v>0</v>
      </c>
      <c r="Y112" s="41">
        <v>0</v>
      </c>
      <c r="Z112" s="41">
        <v>0</v>
      </c>
      <c r="AA112" s="55">
        <v>0</v>
      </c>
    </row>
    <row r="113" spans="1:27">
      <c r="A113">
        <f t="shared" si="4"/>
        <v>26048</v>
      </c>
      <c r="B113">
        <v>0</v>
      </c>
      <c r="C113">
        <v>0</v>
      </c>
      <c r="D113">
        <v>0</v>
      </c>
      <c r="E113">
        <v>0</v>
      </c>
      <c r="F113">
        <v>0</v>
      </c>
      <c r="H113">
        <f t="shared" si="5"/>
        <v>26048</v>
      </c>
      <c r="I113">
        <v>0</v>
      </c>
      <c r="J113">
        <v>0</v>
      </c>
      <c r="K113">
        <v>0</v>
      </c>
      <c r="L113">
        <v>0</v>
      </c>
      <c r="M113">
        <v>0</v>
      </c>
      <c r="O113">
        <f t="shared" si="6"/>
        <v>26048</v>
      </c>
      <c r="P113">
        <v>0</v>
      </c>
      <c r="Q113">
        <v>0</v>
      </c>
      <c r="R113">
        <v>0</v>
      </c>
      <c r="S113">
        <v>0</v>
      </c>
      <c r="T113">
        <v>0</v>
      </c>
      <c r="V113">
        <f t="shared" si="7"/>
        <v>26048</v>
      </c>
      <c r="W113">
        <v>0</v>
      </c>
      <c r="X113">
        <v>0</v>
      </c>
      <c r="Y113" s="41">
        <v>0</v>
      </c>
      <c r="Z113" s="41">
        <v>0</v>
      </c>
      <c r="AA113" s="55">
        <v>0</v>
      </c>
    </row>
    <row r="114" spans="1:27">
      <c r="A114">
        <f t="shared" si="4"/>
        <v>26048</v>
      </c>
      <c r="B114">
        <v>0</v>
      </c>
      <c r="C114">
        <v>0</v>
      </c>
      <c r="D114">
        <v>0</v>
      </c>
      <c r="E114">
        <v>0</v>
      </c>
      <c r="F114">
        <v>0</v>
      </c>
      <c r="H114">
        <f t="shared" si="5"/>
        <v>26048</v>
      </c>
      <c r="I114">
        <v>0</v>
      </c>
      <c r="J114">
        <v>0</v>
      </c>
      <c r="K114">
        <v>0</v>
      </c>
      <c r="L114">
        <v>0</v>
      </c>
      <c r="M114">
        <v>0</v>
      </c>
      <c r="O114">
        <f t="shared" si="6"/>
        <v>26048</v>
      </c>
      <c r="P114">
        <v>0</v>
      </c>
      <c r="Q114">
        <v>0</v>
      </c>
      <c r="R114">
        <v>0</v>
      </c>
      <c r="S114">
        <v>0</v>
      </c>
      <c r="T114">
        <v>0</v>
      </c>
      <c r="V114">
        <f t="shared" si="7"/>
        <v>26048</v>
      </c>
      <c r="W114">
        <v>0</v>
      </c>
      <c r="X114">
        <v>0</v>
      </c>
      <c r="Y114" s="41">
        <v>0</v>
      </c>
      <c r="Z114" s="41">
        <v>0</v>
      </c>
      <c r="AA114" s="55">
        <v>0</v>
      </c>
    </row>
    <row r="115" spans="1:27">
      <c r="A115">
        <f t="shared" si="4"/>
        <v>26048</v>
      </c>
      <c r="B115">
        <v>0</v>
      </c>
      <c r="C115">
        <v>0</v>
      </c>
      <c r="D115">
        <v>0</v>
      </c>
      <c r="E115">
        <v>0</v>
      </c>
      <c r="F115">
        <v>0</v>
      </c>
      <c r="H115">
        <f t="shared" si="5"/>
        <v>26048</v>
      </c>
      <c r="I115">
        <v>0</v>
      </c>
      <c r="J115">
        <v>0</v>
      </c>
      <c r="K115">
        <v>0</v>
      </c>
      <c r="L115">
        <v>0</v>
      </c>
      <c r="M115">
        <v>0</v>
      </c>
      <c r="O115">
        <f t="shared" si="6"/>
        <v>26048</v>
      </c>
      <c r="P115">
        <v>0</v>
      </c>
      <c r="Q115">
        <v>0</v>
      </c>
      <c r="R115">
        <v>0</v>
      </c>
      <c r="S115">
        <v>0</v>
      </c>
      <c r="T115">
        <v>0</v>
      </c>
      <c r="V115">
        <f t="shared" si="7"/>
        <v>26048</v>
      </c>
      <c r="W115">
        <v>0</v>
      </c>
      <c r="X115">
        <v>0</v>
      </c>
      <c r="Y115" s="41">
        <v>0</v>
      </c>
      <c r="Z115" s="41">
        <v>0</v>
      </c>
      <c r="AA115" s="55">
        <v>0</v>
      </c>
    </row>
    <row r="116" spans="1:27">
      <c r="A116">
        <f t="shared" si="4"/>
        <v>26048</v>
      </c>
      <c r="B116">
        <v>0</v>
      </c>
      <c r="C116">
        <v>0</v>
      </c>
      <c r="D116">
        <v>0</v>
      </c>
      <c r="E116">
        <v>0</v>
      </c>
      <c r="F116">
        <v>0</v>
      </c>
      <c r="H116">
        <f t="shared" si="5"/>
        <v>26048</v>
      </c>
      <c r="I116">
        <v>0</v>
      </c>
      <c r="J116">
        <v>0</v>
      </c>
      <c r="K116">
        <v>0</v>
      </c>
      <c r="L116">
        <v>0</v>
      </c>
      <c r="M116">
        <v>0</v>
      </c>
      <c r="O116">
        <f t="shared" si="6"/>
        <v>26048</v>
      </c>
      <c r="P116">
        <v>0</v>
      </c>
      <c r="Q116">
        <v>0</v>
      </c>
      <c r="R116">
        <v>0</v>
      </c>
      <c r="S116">
        <v>0</v>
      </c>
      <c r="T116">
        <v>0</v>
      </c>
      <c r="V116">
        <f t="shared" si="7"/>
        <v>26048</v>
      </c>
      <c r="W116">
        <v>0</v>
      </c>
      <c r="X116">
        <v>0</v>
      </c>
      <c r="Y116" s="41">
        <v>0</v>
      </c>
      <c r="Z116" s="41">
        <v>0</v>
      </c>
      <c r="AA116" s="55">
        <v>0</v>
      </c>
    </row>
    <row r="117" spans="1:27">
      <c r="A117">
        <f t="shared" si="4"/>
        <v>26048</v>
      </c>
      <c r="B117">
        <v>0</v>
      </c>
      <c r="C117">
        <v>0</v>
      </c>
      <c r="D117">
        <v>0</v>
      </c>
      <c r="E117">
        <v>0</v>
      </c>
      <c r="F117">
        <v>0</v>
      </c>
      <c r="H117">
        <f t="shared" si="5"/>
        <v>26048</v>
      </c>
      <c r="I117">
        <v>0</v>
      </c>
      <c r="J117">
        <v>0</v>
      </c>
      <c r="K117">
        <v>0</v>
      </c>
      <c r="L117">
        <v>0</v>
      </c>
      <c r="M117">
        <v>0</v>
      </c>
      <c r="O117">
        <f t="shared" si="6"/>
        <v>26048</v>
      </c>
      <c r="P117">
        <v>0</v>
      </c>
      <c r="Q117">
        <v>0</v>
      </c>
      <c r="R117">
        <v>0</v>
      </c>
      <c r="S117">
        <v>0</v>
      </c>
      <c r="T117">
        <v>0</v>
      </c>
      <c r="V117">
        <f t="shared" si="7"/>
        <v>26048</v>
      </c>
      <c r="W117">
        <v>0</v>
      </c>
      <c r="X117">
        <v>0</v>
      </c>
      <c r="Y117" s="41">
        <v>0</v>
      </c>
      <c r="Z117" s="41">
        <v>0</v>
      </c>
      <c r="AA117" s="55">
        <v>0</v>
      </c>
    </row>
    <row r="118" spans="1:27">
      <c r="A118">
        <f t="shared" si="4"/>
        <v>26048</v>
      </c>
      <c r="B118">
        <v>0</v>
      </c>
      <c r="C118">
        <v>0</v>
      </c>
      <c r="D118">
        <v>0</v>
      </c>
      <c r="E118">
        <v>0</v>
      </c>
      <c r="F118">
        <v>0</v>
      </c>
      <c r="H118">
        <f t="shared" si="5"/>
        <v>26048</v>
      </c>
      <c r="I118">
        <v>0</v>
      </c>
      <c r="J118">
        <v>0</v>
      </c>
      <c r="K118">
        <v>0</v>
      </c>
      <c r="L118">
        <v>0</v>
      </c>
      <c r="M118">
        <v>0</v>
      </c>
      <c r="O118">
        <f t="shared" si="6"/>
        <v>26048</v>
      </c>
      <c r="P118">
        <v>0</v>
      </c>
      <c r="Q118">
        <v>0</v>
      </c>
      <c r="R118">
        <v>0</v>
      </c>
      <c r="S118">
        <v>0</v>
      </c>
      <c r="T118">
        <v>0</v>
      </c>
      <c r="V118">
        <f t="shared" si="7"/>
        <v>26048</v>
      </c>
      <c r="W118">
        <v>0</v>
      </c>
      <c r="X118">
        <v>0</v>
      </c>
      <c r="Y118" s="41">
        <v>0</v>
      </c>
      <c r="Z118" s="41">
        <v>0</v>
      </c>
      <c r="AA118" s="55">
        <v>0</v>
      </c>
    </row>
    <row r="119" spans="1:27">
      <c r="A119">
        <f t="shared" si="4"/>
        <v>26048</v>
      </c>
      <c r="B119">
        <v>0</v>
      </c>
      <c r="C119">
        <v>0</v>
      </c>
      <c r="D119">
        <v>0</v>
      </c>
      <c r="E119">
        <v>0</v>
      </c>
      <c r="F119">
        <v>0</v>
      </c>
      <c r="H119">
        <f t="shared" si="5"/>
        <v>26048</v>
      </c>
      <c r="I119">
        <v>0</v>
      </c>
      <c r="J119">
        <v>0</v>
      </c>
      <c r="K119">
        <v>0</v>
      </c>
      <c r="L119">
        <v>0</v>
      </c>
      <c r="M119">
        <v>0</v>
      </c>
      <c r="O119">
        <f t="shared" si="6"/>
        <v>26048</v>
      </c>
      <c r="P119">
        <v>0</v>
      </c>
      <c r="Q119">
        <v>0</v>
      </c>
      <c r="R119">
        <v>0</v>
      </c>
      <c r="S119">
        <v>0</v>
      </c>
      <c r="T119">
        <v>0</v>
      </c>
      <c r="V119">
        <f t="shared" si="7"/>
        <v>26048</v>
      </c>
      <c r="W119">
        <v>0</v>
      </c>
      <c r="X119">
        <v>0</v>
      </c>
      <c r="Y119" s="41">
        <v>0</v>
      </c>
      <c r="Z119" s="41">
        <v>0</v>
      </c>
      <c r="AA119" s="55">
        <v>0</v>
      </c>
    </row>
    <row r="120" spans="1:27">
      <c r="A120">
        <f t="shared" si="4"/>
        <v>26048</v>
      </c>
      <c r="B120">
        <v>0</v>
      </c>
      <c r="C120">
        <v>0</v>
      </c>
      <c r="D120">
        <v>0</v>
      </c>
      <c r="E120">
        <v>0</v>
      </c>
      <c r="F120">
        <v>0</v>
      </c>
      <c r="H120">
        <f t="shared" si="5"/>
        <v>26048</v>
      </c>
      <c r="I120">
        <v>0</v>
      </c>
      <c r="J120">
        <v>0</v>
      </c>
      <c r="K120">
        <v>0</v>
      </c>
      <c r="L120">
        <v>0</v>
      </c>
      <c r="M120">
        <v>0</v>
      </c>
      <c r="O120">
        <f t="shared" si="6"/>
        <v>26048</v>
      </c>
      <c r="P120">
        <v>0</v>
      </c>
      <c r="Q120">
        <v>0</v>
      </c>
      <c r="R120">
        <v>0</v>
      </c>
      <c r="S120">
        <v>0</v>
      </c>
      <c r="T120">
        <v>0</v>
      </c>
      <c r="V120">
        <f t="shared" si="7"/>
        <v>26048</v>
      </c>
      <c r="W120">
        <v>0</v>
      </c>
      <c r="X120">
        <v>0</v>
      </c>
      <c r="Y120" s="41">
        <v>0</v>
      </c>
      <c r="Z120" s="41">
        <v>0</v>
      </c>
      <c r="AA120" s="55">
        <v>0</v>
      </c>
    </row>
    <row r="121" spans="1:27">
      <c r="A121">
        <f t="shared" si="4"/>
        <v>26048</v>
      </c>
      <c r="B121">
        <v>0</v>
      </c>
      <c r="C121">
        <v>0</v>
      </c>
      <c r="D121">
        <v>0</v>
      </c>
      <c r="E121">
        <v>0</v>
      </c>
      <c r="F121">
        <v>0</v>
      </c>
      <c r="H121">
        <f t="shared" si="5"/>
        <v>26048</v>
      </c>
      <c r="I121">
        <v>0</v>
      </c>
      <c r="J121">
        <v>0</v>
      </c>
      <c r="K121">
        <v>0</v>
      </c>
      <c r="L121">
        <v>0</v>
      </c>
      <c r="M121">
        <v>0</v>
      </c>
      <c r="O121">
        <f t="shared" si="6"/>
        <v>26048</v>
      </c>
      <c r="P121">
        <v>0</v>
      </c>
      <c r="Q121">
        <v>0</v>
      </c>
      <c r="R121">
        <v>0</v>
      </c>
      <c r="S121">
        <v>0</v>
      </c>
      <c r="T121">
        <v>0</v>
      </c>
      <c r="V121">
        <f t="shared" si="7"/>
        <v>26048</v>
      </c>
      <c r="W121">
        <v>0</v>
      </c>
      <c r="X121">
        <v>0</v>
      </c>
      <c r="Y121" s="41">
        <v>0</v>
      </c>
      <c r="Z121" s="41">
        <v>0</v>
      </c>
      <c r="AA121" s="55">
        <v>0</v>
      </c>
    </row>
    <row r="122" spans="1:27">
      <c r="A122">
        <f t="shared" si="4"/>
        <v>26048</v>
      </c>
      <c r="B122">
        <v>0</v>
      </c>
      <c r="C122">
        <v>0</v>
      </c>
      <c r="D122">
        <v>0</v>
      </c>
      <c r="E122">
        <v>0</v>
      </c>
      <c r="F122">
        <v>0</v>
      </c>
      <c r="H122">
        <f t="shared" si="5"/>
        <v>26048</v>
      </c>
      <c r="I122">
        <v>0</v>
      </c>
      <c r="J122">
        <v>0</v>
      </c>
      <c r="K122">
        <v>0</v>
      </c>
      <c r="L122">
        <v>0</v>
      </c>
      <c r="M122">
        <v>0</v>
      </c>
      <c r="O122">
        <f t="shared" si="6"/>
        <v>26048</v>
      </c>
      <c r="P122">
        <v>0</v>
      </c>
      <c r="Q122">
        <v>0</v>
      </c>
      <c r="R122">
        <v>0</v>
      </c>
      <c r="S122">
        <v>0</v>
      </c>
      <c r="T122">
        <v>0</v>
      </c>
      <c r="V122">
        <f t="shared" si="7"/>
        <v>26048</v>
      </c>
      <c r="W122">
        <v>0</v>
      </c>
      <c r="X122">
        <v>0</v>
      </c>
      <c r="Y122" s="41">
        <v>0</v>
      </c>
      <c r="Z122" s="41">
        <v>0</v>
      </c>
      <c r="AA122" s="55">
        <v>0</v>
      </c>
    </row>
    <row r="123" spans="1:27">
      <c r="A123">
        <f t="shared" si="4"/>
        <v>26048</v>
      </c>
      <c r="B123">
        <v>0</v>
      </c>
      <c r="C123">
        <v>0</v>
      </c>
      <c r="D123">
        <v>0</v>
      </c>
      <c r="E123">
        <v>0</v>
      </c>
      <c r="F123">
        <v>0</v>
      </c>
      <c r="H123">
        <f t="shared" si="5"/>
        <v>26048</v>
      </c>
      <c r="I123">
        <v>0</v>
      </c>
      <c r="J123">
        <v>0</v>
      </c>
      <c r="K123">
        <v>0</v>
      </c>
      <c r="L123">
        <v>0</v>
      </c>
      <c r="M123">
        <v>0</v>
      </c>
      <c r="O123">
        <f t="shared" si="6"/>
        <v>26048</v>
      </c>
      <c r="P123">
        <v>0</v>
      </c>
      <c r="Q123">
        <v>0</v>
      </c>
      <c r="R123">
        <v>0</v>
      </c>
      <c r="S123">
        <v>0</v>
      </c>
      <c r="T123">
        <v>0</v>
      </c>
      <c r="V123">
        <f t="shared" si="7"/>
        <v>26048</v>
      </c>
      <c r="W123">
        <v>0</v>
      </c>
      <c r="X123">
        <v>0</v>
      </c>
      <c r="Y123" s="41">
        <v>0</v>
      </c>
      <c r="Z123" s="41">
        <v>0</v>
      </c>
      <c r="AA123" s="55">
        <v>0</v>
      </c>
    </row>
    <row r="124" spans="1:27">
      <c r="A124">
        <f t="shared" si="4"/>
        <v>26048</v>
      </c>
      <c r="B124">
        <v>0</v>
      </c>
      <c r="C124">
        <v>0</v>
      </c>
      <c r="D124">
        <v>0</v>
      </c>
      <c r="E124">
        <v>0</v>
      </c>
      <c r="F124">
        <v>0</v>
      </c>
      <c r="H124">
        <f t="shared" si="5"/>
        <v>26048</v>
      </c>
      <c r="I124">
        <v>0</v>
      </c>
      <c r="J124">
        <v>0</v>
      </c>
      <c r="K124">
        <v>0</v>
      </c>
      <c r="L124">
        <v>0</v>
      </c>
      <c r="M124">
        <v>0</v>
      </c>
      <c r="O124">
        <f t="shared" si="6"/>
        <v>26048</v>
      </c>
      <c r="P124">
        <v>0</v>
      </c>
      <c r="Q124">
        <v>0</v>
      </c>
      <c r="R124">
        <v>0</v>
      </c>
      <c r="S124">
        <v>0</v>
      </c>
      <c r="T124">
        <v>0</v>
      </c>
      <c r="V124">
        <f t="shared" si="7"/>
        <v>26048</v>
      </c>
      <c r="W124">
        <v>0</v>
      </c>
      <c r="X124">
        <v>0</v>
      </c>
      <c r="Y124" s="41">
        <v>0</v>
      </c>
      <c r="Z124" s="41">
        <v>0</v>
      </c>
      <c r="AA124" s="55">
        <v>0</v>
      </c>
    </row>
    <row r="125" spans="1:27">
      <c r="A125">
        <f t="shared" si="4"/>
        <v>26048</v>
      </c>
      <c r="B125">
        <v>0</v>
      </c>
      <c r="C125">
        <v>0</v>
      </c>
      <c r="D125">
        <v>0</v>
      </c>
      <c r="E125">
        <v>0</v>
      </c>
      <c r="F125">
        <v>0</v>
      </c>
      <c r="H125">
        <f t="shared" si="5"/>
        <v>26048</v>
      </c>
      <c r="I125">
        <v>0</v>
      </c>
      <c r="J125">
        <v>0</v>
      </c>
      <c r="K125">
        <v>0</v>
      </c>
      <c r="L125">
        <v>0</v>
      </c>
      <c r="M125">
        <v>0</v>
      </c>
      <c r="O125">
        <f t="shared" si="6"/>
        <v>26048</v>
      </c>
      <c r="P125">
        <v>0</v>
      </c>
      <c r="Q125">
        <v>0</v>
      </c>
      <c r="R125">
        <v>0</v>
      </c>
      <c r="S125">
        <v>0</v>
      </c>
      <c r="T125">
        <v>0</v>
      </c>
      <c r="V125">
        <f t="shared" si="7"/>
        <v>26048</v>
      </c>
      <c r="W125">
        <v>0</v>
      </c>
      <c r="X125">
        <v>0</v>
      </c>
      <c r="Y125" s="41">
        <v>0</v>
      </c>
      <c r="Z125" s="41">
        <v>0</v>
      </c>
      <c r="AA125" s="55">
        <v>0</v>
      </c>
    </row>
    <row r="126" spans="1:27">
      <c r="A126">
        <f t="shared" si="4"/>
        <v>26048</v>
      </c>
      <c r="B126">
        <v>0</v>
      </c>
      <c r="C126">
        <v>0</v>
      </c>
      <c r="D126">
        <v>0</v>
      </c>
      <c r="E126">
        <v>0</v>
      </c>
      <c r="F126">
        <v>0</v>
      </c>
      <c r="H126">
        <f t="shared" si="5"/>
        <v>26048</v>
      </c>
      <c r="I126">
        <v>0</v>
      </c>
      <c r="J126">
        <v>0</v>
      </c>
      <c r="K126">
        <v>0</v>
      </c>
      <c r="L126">
        <v>0</v>
      </c>
      <c r="M126">
        <v>0</v>
      </c>
      <c r="O126">
        <f t="shared" si="6"/>
        <v>26048</v>
      </c>
      <c r="P126">
        <v>0</v>
      </c>
      <c r="Q126">
        <v>0</v>
      </c>
      <c r="R126">
        <v>0</v>
      </c>
      <c r="S126">
        <v>0</v>
      </c>
      <c r="T126">
        <v>0</v>
      </c>
      <c r="V126">
        <f t="shared" si="7"/>
        <v>26048</v>
      </c>
      <c r="W126">
        <v>0</v>
      </c>
      <c r="X126">
        <v>0</v>
      </c>
      <c r="Y126" s="41">
        <v>0</v>
      </c>
      <c r="Z126" s="41">
        <v>0</v>
      </c>
      <c r="AA126" s="55">
        <v>0</v>
      </c>
    </row>
    <row r="127" spans="1:27">
      <c r="A127">
        <f t="shared" si="4"/>
        <v>26048</v>
      </c>
      <c r="B127">
        <v>0</v>
      </c>
      <c r="C127">
        <v>0</v>
      </c>
      <c r="D127">
        <v>0</v>
      </c>
      <c r="E127">
        <v>0</v>
      </c>
      <c r="F127">
        <v>0</v>
      </c>
      <c r="H127">
        <f t="shared" si="5"/>
        <v>26048</v>
      </c>
      <c r="I127">
        <v>0</v>
      </c>
      <c r="J127">
        <v>0</v>
      </c>
      <c r="K127">
        <v>0</v>
      </c>
      <c r="L127">
        <v>0</v>
      </c>
      <c r="M127">
        <v>0</v>
      </c>
      <c r="O127">
        <f t="shared" si="6"/>
        <v>26048</v>
      </c>
      <c r="P127">
        <v>0</v>
      </c>
      <c r="Q127">
        <v>0</v>
      </c>
      <c r="R127">
        <v>0</v>
      </c>
      <c r="S127">
        <v>0</v>
      </c>
      <c r="T127">
        <v>0</v>
      </c>
      <c r="V127">
        <f t="shared" si="7"/>
        <v>26048</v>
      </c>
      <c r="W127">
        <v>0</v>
      </c>
      <c r="X127">
        <v>0</v>
      </c>
      <c r="Y127" s="41">
        <v>0</v>
      </c>
      <c r="Z127" s="41">
        <v>0</v>
      </c>
      <c r="AA127" s="55">
        <v>0</v>
      </c>
    </row>
    <row r="128" spans="1:27">
      <c r="A128">
        <f t="shared" si="4"/>
        <v>26048</v>
      </c>
      <c r="B128">
        <v>0</v>
      </c>
      <c r="C128">
        <v>0</v>
      </c>
      <c r="D128">
        <v>0</v>
      </c>
      <c r="E128">
        <v>0</v>
      </c>
      <c r="F128">
        <v>0</v>
      </c>
      <c r="H128">
        <f t="shared" si="5"/>
        <v>26048</v>
      </c>
      <c r="I128">
        <v>0</v>
      </c>
      <c r="J128">
        <v>0</v>
      </c>
      <c r="K128">
        <v>0</v>
      </c>
      <c r="L128">
        <v>0</v>
      </c>
      <c r="M128">
        <v>0</v>
      </c>
      <c r="O128">
        <f t="shared" si="6"/>
        <v>26048</v>
      </c>
      <c r="P128">
        <v>0</v>
      </c>
      <c r="Q128">
        <v>0</v>
      </c>
      <c r="R128">
        <v>0</v>
      </c>
      <c r="S128">
        <v>0</v>
      </c>
      <c r="T128">
        <v>0</v>
      </c>
      <c r="V128">
        <f t="shared" si="7"/>
        <v>26048</v>
      </c>
      <c r="W128">
        <v>0</v>
      </c>
      <c r="X128">
        <v>0</v>
      </c>
      <c r="Y128" s="41">
        <v>0</v>
      </c>
      <c r="Z128" s="41">
        <v>0</v>
      </c>
      <c r="AA128" s="55">
        <v>0</v>
      </c>
    </row>
    <row r="129" spans="1:27">
      <c r="A129">
        <f t="shared" si="4"/>
        <v>26048</v>
      </c>
      <c r="B129">
        <v>0</v>
      </c>
      <c r="C129">
        <v>0</v>
      </c>
      <c r="D129">
        <v>0</v>
      </c>
      <c r="E129">
        <v>0</v>
      </c>
      <c r="F129">
        <v>0</v>
      </c>
      <c r="H129">
        <f t="shared" si="5"/>
        <v>26048</v>
      </c>
      <c r="I129">
        <v>0</v>
      </c>
      <c r="J129">
        <v>0</v>
      </c>
      <c r="K129">
        <v>0</v>
      </c>
      <c r="L129">
        <v>0</v>
      </c>
      <c r="M129">
        <v>0</v>
      </c>
      <c r="O129">
        <f t="shared" si="6"/>
        <v>26048</v>
      </c>
      <c r="P129">
        <v>0</v>
      </c>
      <c r="Q129">
        <v>0</v>
      </c>
      <c r="R129">
        <v>0</v>
      </c>
      <c r="S129">
        <v>0</v>
      </c>
      <c r="T129">
        <v>0</v>
      </c>
      <c r="V129">
        <f t="shared" si="7"/>
        <v>26048</v>
      </c>
      <c r="W129">
        <v>0</v>
      </c>
      <c r="X129">
        <v>0</v>
      </c>
      <c r="Y129" s="41">
        <v>0</v>
      </c>
      <c r="Z129" s="41">
        <v>0</v>
      </c>
      <c r="AA129" s="55">
        <v>0</v>
      </c>
    </row>
    <row r="130" spans="1:27">
      <c r="A130">
        <f t="shared" si="4"/>
        <v>26048</v>
      </c>
      <c r="B130">
        <v>0</v>
      </c>
      <c r="C130">
        <v>0</v>
      </c>
      <c r="D130">
        <v>0</v>
      </c>
      <c r="E130">
        <v>0</v>
      </c>
      <c r="F130">
        <v>0</v>
      </c>
      <c r="H130">
        <f t="shared" si="5"/>
        <v>26048</v>
      </c>
      <c r="I130">
        <v>0</v>
      </c>
      <c r="J130">
        <v>0</v>
      </c>
      <c r="K130">
        <v>0</v>
      </c>
      <c r="L130">
        <v>0</v>
      </c>
      <c r="M130">
        <v>0</v>
      </c>
      <c r="O130">
        <f t="shared" si="6"/>
        <v>26048</v>
      </c>
      <c r="P130">
        <v>0</v>
      </c>
      <c r="Q130">
        <v>0</v>
      </c>
      <c r="R130">
        <v>0</v>
      </c>
      <c r="S130">
        <v>0</v>
      </c>
      <c r="T130">
        <v>0</v>
      </c>
      <c r="V130">
        <f t="shared" si="7"/>
        <v>26048</v>
      </c>
      <c r="W130">
        <v>0</v>
      </c>
      <c r="X130">
        <v>0</v>
      </c>
      <c r="Y130" s="41">
        <v>0</v>
      </c>
      <c r="Z130" s="41">
        <v>0</v>
      </c>
      <c r="AA130" s="55">
        <v>0</v>
      </c>
    </row>
    <row r="131" spans="1:27">
      <c r="A131">
        <f t="shared" si="4"/>
        <v>26048</v>
      </c>
      <c r="B131">
        <v>0</v>
      </c>
      <c r="C131">
        <v>0</v>
      </c>
      <c r="D131">
        <v>0</v>
      </c>
      <c r="E131">
        <v>0</v>
      </c>
      <c r="F131">
        <v>0</v>
      </c>
      <c r="H131">
        <f t="shared" si="5"/>
        <v>26048</v>
      </c>
      <c r="I131">
        <v>0</v>
      </c>
      <c r="J131">
        <v>0</v>
      </c>
      <c r="K131">
        <v>0</v>
      </c>
      <c r="L131">
        <v>0</v>
      </c>
      <c r="M131">
        <v>0</v>
      </c>
      <c r="O131">
        <f t="shared" si="6"/>
        <v>26048</v>
      </c>
      <c r="P131">
        <v>0</v>
      </c>
      <c r="Q131">
        <v>0</v>
      </c>
      <c r="R131">
        <v>0</v>
      </c>
      <c r="S131">
        <v>0</v>
      </c>
      <c r="T131">
        <v>0</v>
      </c>
      <c r="V131">
        <f t="shared" si="7"/>
        <v>26048</v>
      </c>
      <c r="W131">
        <v>0</v>
      </c>
      <c r="X131">
        <v>0</v>
      </c>
      <c r="Y131" s="41">
        <v>0</v>
      </c>
      <c r="Z131" s="41">
        <v>0</v>
      </c>
      <c r="AA131" s="55">
        <v>0</v>
      </c>
    </row>
    <row r="132" spans="1:27">
      <c r="A132">
        <f t="shared" si="4"/>
        <v>26048</v>
      </c>
      <c r="B132">
        <v>0</v>
      </c>
      <c r="C132">
        <v>0</v>
      </c>
      <c r="D132">
        <v>0</v>
      </c>
      <c r="E132">
        <v>0</v>
      </c>
      <c r="F132">
        <v>0</v>
      </c>
      <c r="H132">
        <f t="shared" si="5"/>
        <v>26048</v>
      </c>
      <c r="I132">
        <v>0</v>
      </c>
      <c r="J132">
        <v>0</v>
      </c>
      <c r="K132">
        <v>0</v>
      </c>
      <c r="L132">
        <v>0</v>
      </c>
      <c r="M132">
        <v>0</v>
      </c>
      <c r="O132">
        <f t="shared" si="6"/>
        <v>26048</v>
      </c>
      <c r="P132">
        <v>0</v>
      </c>
      <c r="Q132">
        <v>0</v>
      </c>
      <c r="R132">
        <v>0</v>
      </c>
      <c r="S132">
        <v>0</v>
      </c>
      <c r="T132">
        <v>0</v>
      </c>
      <c r="V132">
        <f t="shared" si="7"/>
        <v>26048</v>
      </c>
      <c r="W132">
        <v>0</v>
      </c>
      <c r="X132">
        <v>0</v>
      </c>
      <c r="Y132" s="41">
        <v>0</v>
      </c>
      <c r="Z132" s="41">
        <v>0</v>
      </c>
      <c r="AA132" s="55">
        <v>0</v>
      </c>
    </row>
    <row r="133" spans="1:27">
      <c r="A133">
        <f t="shared" ref="A133:A196" si="8">IF(ABS(B133-26048)&lt;ABS(B133-27584),IF(ABS(B133-26048)&lt;ABS(B133-29120),26048,29120),IF(ABS(B133-27584)&lt;ABS(B133-29120),27584,29120))</f>
        <v>26048</v>
      </c>
      <c r="B133">
        <v>0</v>
      </c>
      <c r="C133">
        <v>0</v>
      </c>
      <c r="D133">
        <v>0</v>
      </c>
      <c r="E133">
        <v>0</v>
      </c>
      <c r="F133">
        <v>0</v>
      </c>
      <c r="H133">
        <f t="shared" ref="H133:H196" si="9">IF(ABS(I133-26048)&lt;ABS(I133-27584),IF(ABS(I133-26048)&lt;ABS(I133-29120),26048,29120),IF(ABS(I133-27584)&lt;ABS(I133-29120),27584,29120))</f>
        <v>26048</v>
      </c>
      <c r="I133">
        <v>0</v>
      </c>
      <c r="J133">
        <v>0</v>
      </c>
      <c r="K133">
        <v>0</v>
      </c>
      <c r="L133">
        <v>0</v>
      </c>
      <c r="M133">
        <v>0</v>
      </c>
      <c r="O133">
        <f t="shared" ref="O133:O196" si="10">IF(ABS(P133-26048)&lt;ABS(P133-27584),IF(ABS(P133-26048)&lt;ABS(P133-29120),26048,29120),IF(ABS(P133-27584)&lt;ABS(P133-29120),27584,29120))</f>
        <v>26048</v>
      </c>
      <c r="P133">
        <v>0</v>
      </c>
      <c r="Q133">
        <v>0</v>
      </c>
      <c r="R133">
        <v>0</v>
      </c>
      <c r="S133">
        <v>0</v>
      </c>
      <c r="T133">
        <v>0</v>
      </c>
      <c r="V133">
        <f t="shared" ref="V133:V196" si="11">IF(ABS(W133-26048)&lt;ABS(W133-27584),IF(ABS(W133-26048)&lt;ABS(W133-29120),26048,29120),IF(ABS(W133-27584)&lt;ABS(W133-29120),27584,29120))</f>
        <v>26048</v>
      </c>
      <c r="W133">
        <v>0</v>
      </c>
      <c r="X133">
        <v>0</v>
      </c>
      <c r="Y133" s="41">
        <v>0</v>
      </c>
      <c r="Z133" s="41">
        <v>0</v>
      </c>
      <c r="AA133" s="55">
        <v>0</v>
      </c>
    </row>
    <row r="134" spans="1:27">
      <c r="A134">
        <f t="shared" si="8"/>
        <v>26048</v>
      </c>
      <c r="B134">
        <v>0</v>
      </c>
      <c r="C134">
        <v>0</v>
      </c>
      <c r="D134">
        <v>0</v>
      </c>
      <c r="E134">
        <v>0</v>
      </c>
      <c r="F134">
        <v>0</v>
      </c>
      <c r="H134">
        <f t="shared" si="9"/>
        <v>26048</v>
      </c>
      <c r="I134">
        <v>0</v>
      </c>
      <c r="J134">
        <v>0</v>
      </c>
      <c r="K134">
        <v>0</v>
      </c>
      <c r="L134">
        <v>0</v>
      </c>
      <c r="M134">
        <v>0</v>
      </c>
      <c r="O134">
        <f t="shared" si="10"/>
        <v>26048</v>
      </c>
      <c r="P134">
        <v>0</v>
      </c>
      <c r="Q134">
        <v>0</v>
      </c>
      <c r="R134">
        <v>0</v>
      </c>
      <c r="S134">
        <v>0</v>
      </c>
      <c r="T134">
        <v>0</v>
      </c>
      <c r="V134">
        <f t="shared" si="11"/>
        <v>26048</v>
      </c>
      <c r="W134">
        <v>0</v>
      </c>
      <c r="X134">
        <v>0</v>
      </c>
      <c r="Y134" s="41">
        <v>0</v>
      </c>
      <c r="Z134" s="41">
        <v>0</v>
      </c>
      <c r="AA134" s="55">
        <v>0</v>
      </c>
    </row>
    <row r="135" spans="1:27">
      <c r="A135">
        <f t="shared" si="8"/>
        <v>26048</v>
      </c>
      <c r="B135">
        <v>0</v>
      </c>
      <c r="C135">
        <v>0</v>
      </c>
      <c r="D135">
        <v>0</v>
      </c>
      <c r="E135">
        <v>0</v>
      </c>
      <c r="F135">
        <v>0</v>
      </c>
      <c r="H135">
        <f t="shared" si="9"/>
        <v>26048</v>
      </c>
      <c r="I135">
        <v>0</v>
      </c>
      <c r="J135">
        <v>0</v>
      </c>
      <c r="K135">
        <v>0</v>
      </c>
      <c r="L135">
        <v>0</v>
      </c>
      <c r="M135">
        <v>0</v>
      </c>
      <c r="O135">
        <f t="shared" si="10"/>
        <v>26048</v>
      </c>
      <c r="P135">
        <v>0</v>
      </c>
      <c r="Q135">
        <v>0</v>
      </c>
      <c r="R135">
        <v>0</v>
      </c>
      <c r="S135">
        <v>0</v>
      </c>
      <c r="T135">
        <v>0</v>
      </c>
      <c r="V135">
        <f t="shared" si="11"/>
        <v>26048</v>
      </c>
      <c r="W135">
        <v>0</v>
      </c>
      <c r="X135">
        <v>0</v>
      </c>
      <c r="Y135" s="41">
        <v>0</v>
      </c>
      <c r="Z135" s="41">
        <v>0</v>
      </c>
      <c r="AA135" s="55">
        <v>0</v>
      </c>
    </row>
    <row r="136" spans="1:27">
      <c r="A136">
        <f t="shared" si="8"/>
        <v>26048</v>
      </c>
      <c r="B136">
        <v>0</v>
      </c>
      <c r="C136">
        <v>0</v>
      </c>
      <c r="D136">
        <v>0</v>
      </c>
      <c r="E136">
        <v>0</v>
      </c>
      <c r="F136">
        <v>0</v>
      </c>
      <c r="H136">
        <f t="shared" si="9"/>
        <v>26048</v>
      </c>
      <c r="I136">
        <v>0</v>
      </c>
      <c r="J136">
        <v>0</v>
      </c>
      <c r="K136">
        <v>0</v>
      </c>
      <c r="L136">
        <v>0</v>
      </c>
      <c r="M136">
        <v>0</v>
      </c>
      <c r="O136">
        <f t="shared" si="10"/>
        <v>26048</v>
      </c>
      <c r="P136">
        <v>0</v>
      </c>
      <c r="Q136">
        <v>0</v>
      </c>
      <c r="R136">
        <v>0</v>
      </c>
      <c r="S136">
        <v>0</v>
      </c>
      <c r="T136">
        <v>0</v>
      </c>
      <c r="V136">
        <f t="shared" si="11"/>
        <v>26048</v>
      </c>
      <c r="W136">
        <v>0</v>
      </c>
      <c r="X136">
        <v>0</v>
      </c>
      <c r="Y136" s="41">
        <v>0</v>
      </c>
      <c r="Z136" s="41">
        <v>0</v>
      </c>
      <c r="AA136" s="55">
        <v>0</v>
      </c>
    </row>
    <row r="137" spans="1:27">
      <c r="A137">
        <f t="shared" si="8"/>
        <v>26048</v>
      </c>
      <c r="B137">
        <v>0</v>
      </c>
      <c r="C137">
        <v>0</v>
      </c>
      <c r="D137">
        <v>0</v>
      </c>
      <c r="E137">
        <v>0</v>
      </c>
      <c r="F137">
        <v>0</v>
      </c>
      <c r="H137">
        <f t="shared" si="9"/>
        <v>26048</v>
      </c>
      <c r="I137">
        <v>0</v>
      </c>
      <c r="J137">
        <v>0</v>
      </c>
      <c r="K137">
        <v>0</v>
      </c>
      <c r="L137">
        <v>0</v>
      </c>
      <c r="M137">
        <v>0</v>
      </c>
      <c r="O137">
        <f t="shared" si="10"/>
        <v>26048</v>
      </c>
      <c r="P137">
        <v>0</v>
      </c>
      <c r="Q137">
        <v>0</v>
      </c>
      <c r="R137">
        <v>0</v>
      </c>
      <c r="S137">
        <v>0</v>
      </c>
      <c r="T137">
        <v>0</v>
      </c>
      <c r="V137">
        <f t="shared" si="11"/>
        <v>26048</v>
      </c>
      <c r="W137">
        <v>0</v>
      </c>
      <c r="X137">
        <v>0</v>
      </c>
      <c r="Y137" s="41">
        <v>0</v>
      </c>
      <c r="Z137" s="41">
        <v>0</v>
      </c>
      <c r="AA137" s="55">
        <v>0</v>
      </c>
    </row>
    <row r="138" spans="1:27">
      <c r="A138">
        <f t="shared" si="8"/>
        <v>26048</v>
      </c>
      <c r="B138">
        <v>0</v>
      </c>
      <c r="C138">
        <v>0</v>
      </c>
      <c r="D138">
        <v>0</v>
      </c>
      <c r="E138">
        <v>0</v>
      </c>
      <c r="F138">
        <v>0</v>
      </c>
      <c r="H138">
        <f t="shared" si="9"/>
        <v>26048</v>
      </c>
      <c r="I138">
        <v>0</v>
      </c>
      <c r="J138">
        <v>0</v>
      </c>
      <c r="K138">
        <v>0</v>
      </c>
      <c r="L138">
        <v>0</v>
      </c>
      <c r="M138">
        <v>0</v>
      </c>
      <c r="O138">
        <f t="shared" si="10"/>
        <v>26048</v>
      </c>
      <c r="P138">
        <v>0</v>
      </c>
      <c r="Q138">
        <v>0</v>
      </c>
      <c r="R138">
        <v>0</v>
      </c>
      <c r="S138">
        <v>0</v>
      </c>
      <c r="T138">
        <v>0</v>
      </c>
      <c r="V138">
        <f t="shared" si="11"/>
        <v>26048</v>
      </c>
      <c r="W138">
        <v>0</v>
      </c>
      <c r="X138">
        <v>0</v>
      </c>
      <c r="Y138" s="41">
        <v>0</v>
      </c>
      <c r="Z138" s="41">
        <v>0</v>
      </c>
      <c r="AA138" s="55">
        <v>0</v>
      </c>
    </row>
    <row r="139" spans="1:27">
      <c r="A139">
        <f t="shared" si="8"/>
        <v>26048</v>
      </c>
      <c r="B139">
        <v>0</v>
      </c>
      <c r="C139">
        <v>0</v>
      </c>
      <c r="D139">
        <v>0</v>
      </c>
      <c r="E139">
        <v>0</v>
      </c>
      <c r="F139">
        <v>0</v>
      </c>
      <c r="H139">
        <f t="shared" si="9"/>
        <v>26048</v>
      </c>
      <c r="I139">
        <v>0</v>
      </c>
      <c r="J139">
        <v>0</v>
      </c>
      <c r="K139">
        <v>0</v>
      </c>
      <c r="L139">
        <v>0</v>
      </c>
      <c r="M139">
        <v>0</v>
      </c>
      <c r="O139">
        <f t="shared" si="10"/>
        <v>26048</v>
      </c>
      <c r="P139">
        <v>0</v>
      </c>
      <c r="Q139">
        <v>0</v>
      </c>
      <c r="R139">
        <v>0</v>
      </c>
      <c r="S139">
        <v>0</v>
      </c>
      <c r="T139">
        <v>0</v>
      </c>
      <c r="V139">
        <f t="shared" si="11"/>
        <v>26048</v>
      </c>
      <c r="W139">
        <v>0</v>
      </c>
      <c r="X139">
        <v>0</v>
      </c>
      <c r="Y139" s="41">
        <v>0</v>
      </c>
      <c r="Z139" s="41">
        <v>0</v>
      </c>
      <c r="AA139" s="55">
        <v>0</v>
      </c>
    </row>
    <row r="140" spans="1:27">
      <c r="A140">
        <f t="shared" si="8"/>
        <v>26048</v>
      </c>
      <c r="B140">
        <v>0</v>
      </c>
      <c r="C140">
        <v>0</v>
      </c>
      <c r="D140">
        <v>0</v>
      </c>
      <c r="E140">
        <v>0</v>
      </c>
      <c r="F140">
        <v>0</v>
      </c>
      <c r="H140">
        <f t="shared" si="9"/>
        <v>26048</v>
      </c>
      <c r="I140">
        <v>0</v>
      </c>
      <c r="J140">
        <v>0</v>
      </c>
      <c r="K140">
        <v>0</v>
      </c>
      <c r="L140">
        <v>0</v>
      </c>
      <c r="M140">
        <v>0</v>
      </c>
      <c r="O140">
        <f t="shared" si="10"/>
        <v>26048</v>
      </c>
      <c r="P140">
        <v>0</v>
      </c>
      <c r="Q140">
        <v>0</v>
      </c>
      <c r="R140">
        <v>0</v>
      </c>
      <c r="S140">
        <v>0</v>
      </c>
      <c r="T140">
        <v>0</v>
      </c>
      <c r="V140">
        <f t="shared" si="11"/>
        <v>26048</v>
      </c>
      <c r="W140">
        <v>0</v>
      </c>
      <c r="X140">
        <v>0</v>
      </c>
      <c r="Y140" s="41">
        <v>0</v>
      </c>
      <c r="Z140" s="41">
        <v>0</v>
      </c>
      <c r="AA140" s="55">
        <v>0</v>
      </c>
    </row>
    <row r="141" spans="1:27">
      <c r="A141">
        <f t="shared" si="8"/>
        <v>26048</v>
      </c>
      <c r="B141">
        <v>0</v>
      </c>
      <c r="C141">
        <v>0</v>
      </c>
      <c r="D141">
        <v>0</v>
      </c>
      <c r="E141">
        <v>0</v>
      </c>
      <c r="F141">
        <v>0</v>
      </c>
      <c r="H141">
        <f t="shared" si="9"/>
        <v>26048</v>
      </c>
      <c r="I141">
        <v>0</v>
      </c>
      <c r="J141">
        <v>0</v>
      </c>
      <c r="K141">
        <v>0</v>
      </c>
      <c r="L141">
        <v>0</v>
      </c>
      <c r="M141">
        <v>0</v>
      </c>
      <c r="O141">
        <f t="shared" si="10"/>
        <v>26048</v>
      </c>
      <c r="P141">
        <v>0</v>
      </c>
      <c r="Q141">
        <v>0</v>
      </c>
      <c r="R141">
        <v>0</v>
      </c>
      <c r="S141">
        <v>0</v>
      </c>
      <c r="T141">
        <v>0</v>
      </c>
      <c r="V141">
        <f t="shared" si="11"/>
        <v>26048</v>
      </c>
      <c r="W141">
        <v>0</v>
      </c>
      <c r="X141">
        <v>0</v>
      </c>
      <c r="Y141" s="41">
        <v>0</v>
      </c>
      <c r="Z141" s="41">
        <v>0</v>
      </c>
      <c r="AA141" s="55">
        <v>0</v>
      </c>
    </row>
    <row r="142" spans="1:27">
      <c r="A142">
        <f t="shared" si="8"/>
        <v>26048</v>
      </c>
      <c r="B142">
        <v>0</v>
      </c>
      <c r="C142">
        <v>0</v>
      </c>
      <c r="D142">
        <v>0</v>
      </c>
      <c r="E142">
        <v>0</v>
      </c>
      <c r="F142">
        <v>0</v>
      </c>
      <c r="H142">
        <f t="shared" si="9"/>
        <v>26048</v>
      </c>
      <c r="I142">
        <v>0</v>
      </c>
      <c r="J142">
        <v>0</v>
      </c>
      <c r="K142">
        <v>0</v>
      </c>
      <c r="L142">
        <v>0</v>
      </c>
      <c r="M142">
        <v>0</v>
      </c>
      <c r="O142">
        <f t="shared" si="10"/>
        <v>26048</v>
      </c>
      <c r="P142">
        <v>0</v>
      </c>
      <c r="Q142">
        <v>0</v>
      </c>
      <c r="R142">
        <v>0</v>
      </c>
      <c r="S142">
        <v>0</v>
      </c>
      <c r="T142">
        <v>0</v>
      </c>
      <c r="V142">
        <f t="shared" si="11"/>
        <v>26048</v>
      </c>
      <c r="W142">
        <v>0</v>
      </c>
      <c r="X142">
        <v>0</v>
      </c>
      <c r="Y142" s="41">
        <v>0</v>
      </c>
      <c r="Z142" s="41">
        <v>0</v>
      </c>
      <c r="AA142" s="55">
        <v>0</v>
      </c>
    </row>
    <row r="143" spans="1:27">
      <c r="A143">
        <f t="shared" si="8"/>
        <v>26048</v>
      </c>
      <c r="B143">
        <v>0</v>
      </c>
      <c r="C143">
        <v>0</v>
      </c>
      <c r="D143">
        <v>0</v>
      </c>
      <c r="E143">
        <v>0</v>
      </c>
      <c r="F143">
        <v>0</v>
      </c>
      <c r="H143">
        <f t="shared" si="9"/>
        <v>26048</v>
      </c>
      <c r="I143">
        <v>0</v>
      </c>
      <c r="J143">
        <v>0</v>
      </c>
      <c r="K143">
        <v>0</v>
      </c>
      <c r="L143">
        <v>0</v>
      </c>
      <c r="M143">
        <v>0</v>
      </c>
      <c r="O143">
        <f t="shared" si="10"/>
        <v>26048</v>
      </c>
      <c r="P143">
        <v>0</v>
      </c>
      <c r="Q143">
        <v>0</v>
      </c>
      <c r="R143">
        <v>0</v>
      </c>
      <c r="S143">
        <v>0</v>
      </c>
      <c r="T143">
        <v>0</v>
      </c>
      <c r="V143">
        <f t="shared" si="11"/>
        <v>26048</v>
      </c>
      <c r="W143">
        <v>0</v>
      </c>
      <c r="X143">
        <v>0</v>
      </c>
      <c r="Y143" s="41">
        <v>0</v>
      </c>
      <c r="Z143" s="41">
        <v>0</v>
      </c>
      <c r="AA143" s="55">
        <v>0</v>
      </c>
    </row>
    <row r="144" spans="1:27">
      <c r="A144">
        <f t="shared" si="8"/>
        <v>26048</v>
      </c>
      <c r="B144">
        <v>0</v>
      </c>
      <c r="C144">
        <v>0</v>
      </c>
      <c r="D144">
        <v>0</v>
      </c>
      <c r="E144">
        <v>0</v>
      </c>
      <c r="F144">
        <v>0</v>
      </c>
      <c r="H144">
        <f t="shared" si="9"/>
        <v>26048</v>
      </c>
      <c r="I144">
        <v>0</v>
      </c>
      <c r="J144">
        <v>0</v>
      </c>
      <c r="K144">
        <v>0</v>
      </c>
      <c r="L144">
        <v>0</v>
      </c>
      <c r="M144">
        <v>0</v>
      </c>
      <c r="O144">
        <f t="shared" si="10"/>
        <v>26048</v>
      </c>
      <c r="P144">
        <v>0</v>
      </c>
      <c r="Q144">
        <v>0</v>
      </c>
      <c r="R144">
        <v>0</v>
      </c>
      <c r="S144">
        <v>0</v>
      </c>
      <c r="T144">
        <v>0</v>
      </c>
      <c r="V144">
        <f t="shared" si="11"/>
        <v>26048</v>
      </c>
      <c r="W144">
        <v>0</v>
      </c>
      <c r="X144">
        <v>0</v>
      </c>
      <c r="Y144" s="41">
        <v>0</v>
      </c>
      <c r="Z144" s="41">
        <v>0</v>
      </c>
      <c r="AA144" s="55">
        <v>0</v>
      </c>
    </row>
    <row r="145" spans="1:27">
      <c r="A145">
        <f t="shared" si="8"/>
        <v>26048</v>
      </c>
      <c r="B145">
        <v>0</v>
      </c>
      <c r="C145">
        <v>0</v>
      </c>
      <c r="D145">
        <v>0</v>
      </c>
      <c r="E145">
        <v>0</v>
      </c>
      <c r="F145">
        <v>0</v>
      </c>
      <c r="H145">
        <f t="shared" si="9"/>
        <v>26048</v>
      </c>
      <c r="I145">
        <v>0</v>
      </c>
      <c r="J145">
        <v>0</v>
      </c>
      <c r="K145">
        <v>0</v>
      </c>
      <c r="L145">
        <v>0</v>
      </c>
      <c r="M145">
        <v>0</v>
      </c>
      <c r="O145">
        <f t="shared" si="10"/>
        <v>26048</v>
      </c>
      <c r="P145">
        <v>0</v>
      </c>
      <c r="Q145">
        <v>0</v>
      </c>
      <c r="R145">
        <v>0</v>
      </c>
      <c r="S145">
        <v>0</v>
      </c>
      <c r="T145">
        <v>0</v>
      </c>
      <c r="V145">
        <f t="shared" si="11"/>
        <v>26048</v>
      </c>
      <c r="W145">
        <v>0</v>
      </c>
      <c r="X145">
        <v>0</v>
      </c>
      <c r="Y145" s="41">
        <v>0</v>
      </c>
      <c r="Z145" s="41">
        <v>0</v>
      </c>
      <c r="AA145" s="55">
        <v>0</v>
      </c>
    </row>
    <row r="146" spans="1:27">
      <c r="A146">
        <f t="shared" si="8"/>
        <v>26048</v>
      </c>
      <c r="B146">
        <v>0</v>
      </c>
      <c r="C146">
        <v>0</v>
      </c>
      <c r="D146">
        <v>0</v>
      </c>
      <c r="E146">
        <v>0</v>
      </c>
      <c r="F146">
        <v>0</v>
      </c>
      <c r="H146">
        <f t="shared" si="9"/>
        <v>26048</v>
      </c>
      <c r="I146">
        <v>0</v>
      </c>
      <c r="J146">
        <v>0</v>
      </c>
      <c r="K146">
        <v>0</v>
      </c>
      <c r="L146">
        <v>0</v>
      </c>
      <c r="M146">
        <v>0</v>
      </c>
      <c r="O146">
        <f t="shared" si="10"/>
        <v>26048</v>
      </c>
      <c r="P146">
        <v>0</v>
      </c>
      <c r="Q146">
        <v>0</v>
      </c>
      <c r="R146">
        <v>0</v>
      </c>
      <c r="S146">
        <v>0</v>
      </c>
      <c r="T146">
        <v>0</v>
      </c>
      <c r="V146">
        <f t="shared" si="11"/>
        <v>26048</v>
      </c>
      <c r="W146">
        <v>0</v>
      </c>
      <c r="X146">
        <v>0</v>
      </c>
      <c r="Y146" s="41">
        <v>0</v>
      </c>
      <c r="Z146" s="41">
        <v>0</v>
      </c>
      <c r="AA146" s="55">
        <v>0</v>
      </c>
    </row>
    <row r="147" spans="1:27">
      <c r="A147">
        <f t="shared" si="8"/>
        <v>26048</v>
      </c>
      <c r="B147">
        <v>0</v>
      </c>
      <c r="C147">
        <v>0</v>
      </c>
      <c r="D147">
        <v>0</v>
      </c>
      <c r="E147">
        <v>0</v>
      </c>
      <c r="F147">
        <v>0</v>
      </c>
      <c r="H147">
        <f t="shared" si="9"/>
        <v>26048</v>
      </c>
      <c r="I147">
        <v>0</v>
      </c>
      <c r="J147">
        <v>0</v>
      </c>
      <c r="K147">
        <v>0</v>
      </c>
      <c r="L147">
        <v>0</v>
      </c>
      <c r="M147">
        <v>0</v>
      </c>
      <c r="O147">
        <f t="shared" si="10"/>
        <v>26048</v>
      </c>
      <c r="P147">
        <v>0</v>
      </c>
      <c r="Q147">
        <v>0</v>
      </c>
      <c r="R147">
        <v>0</v>
      </c>
      <c r="S147">
        <v>0</v>
      </c>
      <c r="T147">
        <v>0</v>
      </c>
      <c r="V147">
        <f t="shared" si="11"/>
        <v>26048</v>
      </c>
      <c r="W147">
        <v>0</v>
      </c>
      <c r="X147">
        <v>0</v>
      </c>
      <c r="Y147" s="41">
        <v>0</v>
      </c>
      <c r="Z147" s="41">
        <v>0</v>
      </c>
      <c r="AA147" s="55">
        <v>0</v>
      </c>
    </row>
    <row r="148" spans="1:27">
      <c r="A148">
        <f t="shared" si="8"/>
        <v>26048</v>
      </c>
      <c r="B148">
        <v>0</v>
      </c>
      <c r="C148">
        <v>0</v>
      </c>
      <c r="D148">
        <v>0</v>
      </c>
      <c r="E148">
        <v>0</v>
      </c>
      <c r="F148">
        <v>0</v>
      </c>
      <c r="H148">
        <f t="shared" si="9"/>
        <v>26048</v>
      </c>
      <c r="I148">
        <v>0</v>
      </c>
      <c r="J148">
        <v>0</v>
      </c>
      <c r="K148">
        <v>0</v>
      </c>
      <c r="L148">
        <v>0</v>
      </c>
      <c r="M148">
        <v>0</v>
      </c>
      <c r="O148">
        <f t="shared" si="10"/>
        <v>26048</v>
      </c>
      <c r="P148">
        <v>0</v>
      </c>
      <c r="Q148">
        <v>0</v>
      </c>
      <c r="R148">
        <v>0</v>
      </c>
      <c r="S148">
        <v>0</v>
      </c>
      <c r="T148">
        <v>0</v>
      </c>
      <c r="V148">
        <f t="shared" si="11"/>
        <v>26048</v>
      </c>
      <c r="W148">
        <v>0</v>
      </c>
      <c r="X148">
        <v>0</v>
      </c>
      <c r="Y148" s="41">
        <v>0</v>
      </c>
      <c r="Z148" s="41">
        <v>0</v>
      </c>
      <c r="AA148" s="55">
        <v>0</v>
      </c>
    </row>
    <row r="149" spans="1:27">
      <c r="A149">
        <f t="shared" si="8"/>
        <v>26048</v>
      </c>
      <c r="B149">
        <v>0</v>
      </c>
      <c r="C149">
        <v>0</v>
      </c>
      <c r="D149">
        <v>0</v>
      </c>
      <c r="E149">
        <v>0</v>
      </c>
      <c r="F149">
        <v>0</v>
      </c>
      <c r="H149">
        <f t="shared" si="9"/>
        <v>26048</v>
      </c>
      <c r="I149">
        <v>0</v>
      </c>
      <c r="J149">
        <v>0</v>
      </c>
      <c r="K149">
        <v>0</v>
      </c>
      <c r="L149">
        <v>0</v>
      </c>
      <c r="M149">
        <v>0</v>
      </c>
      <c r="O149">
        <f t="shared" si="10"/>
        <v>26048</v>
      </c>
      <c r="P149">
        <v>0</v>
      </c>
      <c r="Q149">
        <v>0</v>
      </c>
      <c r="R149">
        <v>0</v>
      </c>
      <c r="S149">
        <v>0</v>
      </c>
      <c r="T149">
        <v>0</v>
      </c>
      <c r="V149">
        <f t="shared" si="11"/>
        <v>26048</v>
      </c>
      <c r="W149">
        <v>0</v>
      </c>
      <c r="X149">
        <v>0</v>
      </c>
      <c r="Y149" s="41">
        <v>0</v>
      </c>
      <c r="Z149" s="41">
        <v>0</v>
      </c>
      <c r="AA149" s="55">
        <v>0</v>
      </c>
    </row>
    <row r="150" spans="1:27">
      <c r="A150">
        <f t="shared" si="8"/>
        <v>26048</v>
      </c>
      <c r="B150">
        <v>0</v>
      </c>
      <c r="C150">
        <v>0</v>
      </c>
      <c r="D150">
        <v>0</v>
      </c>
      <c r="E150">
        <v>0</v>
      </c>
      <c r="F150">
        <v>0</v>
      </c>
      <c r="H150">
        <f t="shared" si="9"/>
        <v>26048</v>
      </c>
      <c r="I150">
        <v>0</v>
      </c>
      <c r="J150">
        <v>0</v>
      </c>
      <c r="K150">
        <v>0</v>
      </c>
      <c r="L150">
        <v>0</v>
      </c>
      <c r="M150">
        <v>0</v>
      </c>
      <c r="O150">
        <f t="shared" si="10"/>
        <v>26048</v>
      </c>
      <c r="P150">
        <v>0</v>
      </c>
      <c r="Q150">
        <v>0</v>
      </c>
      <c r="R150">
        <v>0</v>
      </c>
      <c r="S150">
        <v>0</v>
      </c>
      <c r="T150">
        <v>0</v>
      </c>
      <c r="V150">
        <f t="shared" si="11"/>
        <v>26048</v>
      </c>
      <c r="W150">
        <v>0</v>
      </c>
      <c r="X150">
        <v>0</v>
      </c>
      <c r="Y150" s="41">
        <v>0</v>
      </c>
      <c r="Z150" s="41">
        <v>0</v>
      </c>
      <c r="AA150" s="55">
        <v>0</v>
      </c>
    </row>
    <row r="151" spans="1:27">
      <c r="A151">
        <f t="shared" si="8"/>
        <v>26048</v>
      </c>
      <c r="B151">
        <v>0</v>
      </c>
      <c r="C151">
        <v>0</v>
      </c>
      <c r="D151">
        <v>0</v>
      </c>
      <c r="E151">
        <v>0</v>
      </c>
      <c r="F151">
        <v>0</v>
      </c>
      <c r="H151">
        <f t="shared" si="9"/>
        <v>26048</v>
      </c>
      <c r="I151">
        <v>0</v>
      </c>
      <c r="J151">
        <v>0</v>
      </c>
      <c r="K151">
        <v>0</v>
      </c>
      <c r="L151">
        <v>0</v>
      </c>
      <c r="M151">
        <v>0</v>
      </c>
      <c r="O151">
        <f t="shared" si="10"/>
        <v>26048</v>
      </c>
      <c r="P151">
        <v>0</v>
      </c>
      <c r="Q151">
        <v>0</v>
      </c>
      <c r="R151">
        <v>0</v>
      </c>
      <c r="S151">
        <v>0</v>
      </c>
      <c r="T151">
        <v>0</v>
      </c>
      <c r="V151">
        <f t="shared" si="11"/>
        <v>26048</v>
      </c>
      <c r="W151">
        <v>0</v>
      </c>
      <c r="X151">
        <v>0</v>
      </c>
      <c r="Y151" s="41">
        <v>0</v>
      </c>
      <c r="Z151" s="41">
        <v>0</v>
      </c>
      <c r="AA151" s="55">
        <v>0</v>
      </c>
    </row>
    <row r="152" spans="1:27">
      <c r="A152">
        <f t="shared" si="8"/>
        <v>26048</v>
      </c>
      <c r="B152">
        <v>0</v>
      </c>
      <c r="C152">
        <v>0</v>
      </c>
      <c r="D152">
        <v>0</v>
      </c>
      <c r="E152">
        <v>0</v>
      </c>
      <c r="F152">
        <v>0</v>
      </c>
      <c r="H152">
        <f t="shared" si="9"/>
        <v>26048</v>
      </c>
      <c r="I152">
        <v>0</v>
      </c>
      <c r="J152">
        <v>0</v>
      </c>
      <c r="K152">
        <v>0</v>
      </c>
      <c r="L152">
        <v>0</v>
      </c>
      <c r="M152">
        <v>0</v>
      </c>
      <c r="O152">
        <f t="shared" si="10"/>
        <v>26048</v>
      </c>
      <c r="P152">
        <v>0</v>
      </c>
      <c r="Q152">
        <v>0</v>
      </c>
      <c r="R152">
        <v>0</v>
      </c>
      <c r="S152">
        <v>0</v>
      </c>
      <c r="T152">
        <v>0</v>
      </c>
      <c r="V152">
        <f t="shared" si="11"/>
        <v>26048</v>
      </c>
      <c r="W152">
        <v>0</v>
      </c>
      <c r="X152">
        <v>0</v>
      </c>
      <c r="Y152" s="41">
        <v>0</v>
      </c>
      <c r="Z152" s="41">
        <v>0</v>
      </c>
      <c r="AA152" s="55">
        <v>0</v>
      </c>
    </row>
    <row r="153" spans="1:27">
      <c r="A153">
        <f t="shared" si="8"/>
        <v>26048</v>
      </c>
      <c r="B153">
        <v>0</v>
      </c>
      <c r="C153">
        <v>0</v>
      </c>
      <c r="D153">
        <v>0</v>
      </c>
      <c r="E153">
        <v>0</v>
      </c>
      <c r="F153">
        <v>0</v>
      </c>
      <c r="H153">
        <f t="shared" si="9"/>
        <v>26048</v>
      </c>
      <c r="I153">
        <v>0</v>
      </c>
      <c r="J153">
        <v>0</v>
      </c>
      <c r="K153">
        <v>0</v>
      </c>
      <c r="L153">
        <v>0</v>
      </c>
      <c r="M153">
        <v>0</v>
      </c>
      <c r="O153">
        <f t="shared" si="10"/>
        <v>26048</v>
      </c>
      <c r="P153">
        <v>0</v>
      </c>
      <c r="Q153">
        <v>0</v>
      </c>
      <c r="R153">
        <v>0</v>
      </c>
      <c r="S153">
        <v>0</v>
      </c>
      <c r="T153">
        <v>0</v>
      </c>
      <c r="V153">
        <f t="shared" si="11"/>
        <v>26048</v>
      </c>
      <c r="W153">
        <v>0</v>
      </c>
      <c r="X153">
        <v>0</v>
      </c>
      <c r="Y153" s="41">
        <v>0</v>
      </c>
      <c r="Z153" s="41">
        <v>0</v>
      </c>
      <c r="AA153" s="55">
        <v>0</v>
      </c>
    </row>
    <row r="154" spans="1:27">
      <c r="A154">
        <f t="shared" si="8"/>
        <v>26048</v>
      </c>
      <c r="B154">
        <v>0</v>
      </c>
      <c r="C154">
        <v>0</v>
      </c>
      <c r="D154">
        <v>0</v>
      </c>
      <c r="E154">
        <v>0</v>
      </c>
      <c r="F154">
        <v>0</v>
      </c>
      <c r="H154">
        <f t="shared" si="9"/>
        <v>26048</v>
      </c>
      <c r="I154">
        <v>0</v>
      </c>
      <c r="J154">
        <v>0</v>
      </c>
      <c r="K154">
        <v>0</v>
      </c>
      <c r="L154">
        <v>0</v>
      </c>
      <c r="M154">
        <v>0</v>
      </c>
      <c r="O154">
        <f t="shared" si="10"/>
        <v>26048</v>
      </c>
      <c r="P154">
        <v>0</v>
      </c>
      <c r="Q154">
        <v>0</v>
      </c>
      <c r="R154">
        <v>0</v>
      </c>
      <c r="S154">
        <v>0</v>
      </c>
      <c r="T154">
        <v>0</v>
      </c>
      <c r="V154">
        <f t="shared" si="11"/>
        <v>26048</v>
      </c>
      <c r="W154">
        <v>0</v>
      </c>
      <c r="X154">
        <v>0</v>
      </c>
      <c r="Y154" s="41">
        <v>0</v>
      </c>
      <c r="Z154" s="41">
        <v>0</v>
      </c>
      <c r="AA154" s="55">
        <v>0</v>
      </c>
    </row>
    <row r="155" spans="1:27">
      <c r="A155">
        <f t="shared" si="8"/>
        <v>26048</v>
      </c>
      <c r="B155">
        <v>0</v>
      </c>
      <c r="C155">
        <v>0</v>
      </c>
      <c r="D155">
        <v>0</v>
      </c>
      <c r="E155">
        <v>0</v>
      </c>
      <c r="F155">
        <v>0</v>
      </c>
      <c r="H155">
        <f t="shared" si="9"/>
        <v>26048</v>
      </c>
      <c r="I155">
        <v>0</v>
      </c>
      <c r="J155">
        <v>0</v>
      </c>
      <c r="K155">
        <v>0</v>
      </c>
      <c r="L155">
        <v>0</v>
      </c>
      <c r="M155">
        <v>0</v>
      </c>
      <c r="O155">
        <f t="shared" si="10"/>
        <v>26048</v>
      </c>
      <c r="P155">
        <v>0</v>
      </c>
      <c r="Q155">
        <v>0</v>
      </c>
      <c r="R155">
        <v>0</v>
      </c>
      <c r="S155">
        <v>0</v>
      </c>
      <c r="T155">
        <v>0</v>
      </c>
      <c r="V155">
        <f t="shared" si="11"/>
        <v>26048</v>
      </c>
      <c r="W155">
        <v>0</v>
      </c>
      <c r="X155">
        <v>0</v>
      </c>
      <c r="Y155" s="41">
        <v>0</v>
      </c>
      <c r="Z155" s="41">
        <v>0</v>
      </c>
      <c r="AA155" s="55">
        <v>0</v>
      </c>
    </row>
    <row r="156" spans="1:27">
      <c r="A156">
        <f t="shared" si="8"/>
        <v>26048</v>
      </c>
      <c r="B156">
        <v>0</v>
      </c>
      <c r="C156">
        <v>0</v>
      </c>
      <c r="D156">
        <v>0</v>
      </c>
      <c r="E156">
        <v>0</v>
      </c>
      <c r="F156">
        <v>0</v>
      </c>
      <c r="H156">
        <f t="shared" si="9"/>
        <v>26048</v>
      </c>
      <c r="I156">
        <v>0</v>
      </c>
      <c r="J156">
        <v>0</v>
      </c>
      <c r="K156">
        <v>0</v>
      </c>
      <c r="L156">
        <v>0</v>
      </c>
      <c r="M156">
        <v>0</v>
      </c>
      <c r="O156">
        <f t="shared" si="10"/>
        <v>26048</v>
      </c>
      <c r="P156">
        <v>0</v>
      </c>
      <c r="Q156">
        <v>0</v>
      </c>
      <c r="R156">
        <v>0</v>
      </c>
      <c r="S156">
        <v>0</v>
      </c>
      <c r="T156">
        <v>0</v>
      </c>
      <c r="V156">
        <f t="shared" si="11"/>
        <v>26048</v>
      </c>
      <c r="W156">
        <v>0</v>
      </c>
      <c r="X156">
        <v>0</v>
      </c>
      <c r="Y156" s="41">
        <v>0</v>
      </c>
      <c r="Z156" s="41">
        <v>0</v>
      </c>
      <c r="AA156" s="55">
        <v>0</v>
      </c>
    </row>
    <row r="157" spans="1:27">
      <c r="A157">
        <f t="shared" si="8"/>
        <v>26048</v>
      </c>
      <c r="B157">
        <v>0</v>
      </c>
      <c r="C157">
        <v>0</v>
      </c>
      <c r="D157">
        <v>0</v>
      </c>
      <c r="E157">
        <v>0</v>
      </c>
      <c r="F157">
        <v>0</v>
      </c>
      <c r="H157">
        <f t="shared" si="9"/>
        <v>26048</v>
      </c>
      <c r="I157">
        <v>0</v>
      </c>
      <c r="J157">
        <v>0</v>
      </c>
      <c r="K157">
        <v>0</v>
      </c>
      <c r="L157">
        <v>0</v>
      </c>
      <c r="M157">
        <v>0</v>
      </c>
      <c r="O157">
        <f t="shared" si="10"/>
        <v>26048</v>
      </c>
      <c r="P157">
        <v>0</v>
      </c>
      <c r="Q157">
        <v>0</v>
      </c>
      <c r="R157">
        <v>0</v>
      </c>
      <c r="S157">
        <v>0</v>
      </c>
      <c r="T157">
        <v>0</v>
      </c>
      <c r="V157">
        <f t="shared" si="11"/>
        <v>26048</v>
      </c>
      <c r="W157">
        <v>0</v>
      </c>
      <c r="X157">
        <v>0</v>
      </c>
      <c r="Y157" s="41">
        <v>0</v>
      </c>
      <c r="Z157" s="41">
        <v>0</v>
      </c>
      <c r="AA157" s="55">
        <v>0</v>
      </c>
    </row>
    <row r="158" spans="1:27">
      <c r="A158">
        <f t="shared" si="8"/>
        <v>26048</v>
      </c>
      <c r="B158">
        <v>0</v>
      </c>
      <c r="C158">
        <v>0</v>
      </c>
      <c r="D158">
        <v>0</v>
      </c>
      <c r="E158">
        <v>0</v>
      </c>
      <c r="F158">
        <v>0</v>
      </c>
      <c r="H158">
        <f t="shared" si="9"/>
        <v>26048</v>
      </c>
      <c r="I158">
        <v>0</v>
      </c>
      <c r="J158">
        <v>0</v>
      </c>
      <c r="K158">
        <v>0</v>
      </c>
      <c r="L158">
        <v>0</v>
      </c>
      <c r="M158">
        <v>0</v>
      </c>
      <c r="O158">
        <f t="shared" si="10"/>
        <v>26048</v>
      </c>
      <c r="P158">
        <v>0</v>
      </c>
      <c r="Q158">
        <v>0</v>
      </c>
      <c r="R158">
        <v>0</v>
      </c>
      <c r="S158">
        <v>0</v>
      </c>
      <c r="T158">
        <v>0</v>
      </c>
      <c r="V158">
        <f t="shared" si="11"/>
        <v>26048</v>
      </c>
      <c r="W158">
        <v>0</v>
      </c>
      <c r="X158">
        <v>0</v>
      </c>
      <c r="Y158" s="41">
        <v>0</v>
      </c>
      <c r="Z158" s="41">
        <v>0</v>
      </c>
      <c r="AA158" s="55">
        <v>0</v>
      </c>
    </row>
    <row r="159" spans="1:27">
      <c r="A159">
        <f t="shared" si="8"/>
        <v>26048</v>
      </c>
      <c r="B159">
        <v>0</v>
      </c>
      <c r="C159">
        <v>0</v>
      </c>
      <c r="D159">
        <v>0</v>
      </c>
      <c r="E159">
        <v>0</v>
      </c>
      <c r="F159">
        <v>0</v>
      </c>
      <c r="H159">
        <f t="shared" si="9"/>
        <v>26048</v>
      </c>
      <c r="I159">
        <v>0</v>
      </c>
      <c r="J159">
        <v>0</v>
      </c>
      <c r="K159">
        <v>0</v>
      </c>
      <c r="L159">
        <v>0</v>
      </c>
      <c r="M159">
        <v>0</v>
      </c>
      <c r="O159">
        <f t="shared" si="10"/>
        <v>26048</v>
      </c>
      <c r="P159">
        <v>0</v>
      </c>
      <c r="Q159">
        <v>0</v>
      </c>
      <c r="R159">
        <v>0</v>
      </c>
      <c r="S159">
        <v>0</v>
      </c>
      <c r="T159">
        <v>0</v>
      </c>
      <c r="V159">
        <f t="shared" si="11"/>
        <v>26048</v>
      </c>
      <c r="W159">
        <v>0</v>
      </c>
      <c r="X159">
        <v>0</v>
      </c>
      <c r="Y159" s="41">
        <v>0</v>
      </c>
      <c r="Z159" s="41">
        <v>0</v>
      </c>
      <c r="AA159" s="55">
        <v>0</v>
      </c>
    </row>
    <row r="160" spans="1:27">
      <c r="A160">
        <f t="shared" si="8"/>
        <v>26048</v>
      </c>
      <c r="B160">
        <v>0</v>
      </c>
      <c r="C160">
        <v>0</v>
      </c>
      <c r="D160">
        <v>0</v>
      </c>
      <c r="E160">
        <v>0</v>
      </c>
      <c r="F160">
        <v>0</v>
      </c>
      <c r="H160">
        <f t="shared" si="9"/>
        <v>26048</v>
      </c>
      <c r="I160">
        <v>0</v>
      </c>
      <c r="J160">
        <v>0</v>
      </c>
      <c r="K160">
        <v>0</v>
      </c>
      <c r="L160">
        <v>0</v>
      </c>
      <c r="M160">
        <v>0</v>
      </c>
      <c r="O160">
        <f t="shared" si="10"/>
        <v>26048</v>
      </c>
      <c r="P160">
        <v>0</v>
      </c>
      <c r="Q160">
        <v>0</v>
      </c>
      <c r="R160">
        <v>0</v>
      </c>
      <c r="S160">
        <v>0</v>
      </c>
      <c r="T160">
        <v>0</v>
      </c>
      <c r="V160">
        <f t="shared" si="11"/>
        <v>26048</v>
      </c>
      <c r="W160">
        <v>0</v>
      </c>
      <c r="X160">
        <v>0</v>
      </c>
      <c r="Y160" s="41">
        <v>0</v>
      </c>
      <c r="Z160" s="41">
        <v>0</v>
      </c>
      <c r="AA160" s="55">
        <v>0</v>
      </c>
    </row>
    <row r="161" spans="1:27">
      <c r="A161">
        <f t="shared" si="8"/>
        <v>26048</v>
      </c>
      <c r="B161">
        <v>0</v>
      </c>
      <c r="C161">
        <v>0</v>
      </c>
      <c r="D161">
        <v>0</v>
      </c>
      <c r="E161">
        <v>0</v>
      </c>
      <c r="F161">
        <v>0</v>
      </c>
      <c r="H161">
        <f t="shared" si="9"/>
        <v>26048</v>
      </c>
      <c r="I161">
        <v>0</v>
      </c>
      <c r="J161">
        <v>0</v>
      </c>
      <c r="K161">
        <v>0</v>
      </c>
      <c r="L161">
        <v>0</v>
      </c>
      <c r="M161">
        <v>0</v>
      </c>
      <c r="O161">
        <f t="shared" si="10"/>
        <v>26048</v>
      </c>
      <c r="P161">
        <v>0</v>
      </c>
      <c r="Q161">
        <v>0</v>
      </c>
      <c r="R161">
        <v>0</v>
      </c>
      <c r="S161">
        <v>0</v>
      </c>
      <c r="T161">
        <v>0</v>
      </c>
      <c r="V161">
        <f t="shared" si="11"/>
        <v>26048</v>
      </c>
      <c r="W161">
        <v>0</v>
      </c>
      <c r="X161">
        <v>0</v>
      </c>
      <c r="Y161" s="41">
        <v>0</v>
      </c>
      <c r="Z161" s="41">
        <v>0</v>
      </c>
      <c r="AA161" s="55">
        <v>0</v>
      </c>
    </row>
    <row r="162" spans="1:27">
      <c r="A162">
        <f t="shared" si="8"/>
        <v>26048</v>
      </c>
      <c r="B162">
        <v>0</v>
      </c>
      <c r="C162">
        <v>0</v>
      </c>
      <c r="D162">
        <v>0</v>
      </c>
      <c r="E162">
        <v>0</v>
      </c>
      <c r="F162">
        <v>0</v>
      </c>
      <c r="H162">
        <f t="shared" si="9"/>
        <v>26048</v>
      </c>
      <c r="I162">
        <v>0</v>
      </c>
      <c r="J162">
        <v>0</v>
      </c>
      <c r="K162">
        <v>0</v>
      </c>
      <c r="L162">
        <v>0</v>
      </c>
      <c r="M162">
        <v>0</v>
      </c>
      <c r="O162">
        <f t="shared" si="10"/>
        <v>26048</v>
      </c>
      <c r="P162">
        <v>0</v>
      </c>
      <c r="Q162">
        <v>0</v>
      </c>
      <c r="R162">
        <v>0</v>
      </c>
      <c r="S162">
        <v>0</v>
      </c>
      <c r="T162">
        <v>0</v>
      </c>
      <c r="V162">
        <f t="shared" si="11"/>
        <v>26048</v>
      </c>
      <c r="W162">
        <v>0</v>
      </c>
      <c r="X162">
        <v>0</v>
      </c>
      <c r="Y162" s="41">
        <v>0</v>
      </c>
      <c r="Z162" s="41">
        <v>0</v>
      </c>
      <c r="AA162" s="55">
        <v>0</v>
      </c>
    </row>
    <row r="163" spans="1:27">
      <c r="A163">
        <f t="shared" si="8"/>
        <v>26048</v>
      </c>
      <c r="B163">
        <v>0</v>
      </c>
      <c r="C163">
        <v>0</v>
      </c>
      <c r="D163">
        <v>0</v>
      </c>
      <c r="E163">
        <v>0</v>
      </c>
      <c r="F163">
        <v>0</v>
      </c>
      <c r="H163">
        <f t="shared" si="9"/>
        <v>26048</v>
      </c>
      <c r="I163">
        <v>0</v>
      </c>
      <c r="J163">
        <v>0</v>
      </c>
      <c r="K163">
        <v>0</v>
      </c>
      <c r="L163">
        <v>0</v>
      </c>
      <c r="M163">
        <v>0</v>
      </c>
      <c r="O163">
        <f t="shared" si="10"/>
        <v>26048</v>
      </c>
      <c r="P163">
        <v>0</v>
      </c>
      <c r="Q163">
        <v>0</v>
      </c>
      <c r="R163">
        <v>0</v>
      </c>
      <c r="S163">
        <v>0</v>
      </c>
      <c r="T163">
        <v>0</v>
      </c>
      <c r="V163">
        <f t="shared" si="11"/>
        <v>26048</v>
      </c>
      <c r="W163">
        <v>0</v>
      </c>
      <c r="X163">
        <v>0</v>
      </c>
      <c r="Y163" s="41">
        <v>0</v>
      </c>
      <c r="Z163" s="41">
        <v>0</v>
      </c>
      <c r="AA163" s="55">
        <v>0</v>
      </c>
    </row>
    <row r="164" spans="1:27">
      <c r="A164">
        <f t="shared" si="8"/>
        <v>26048</v>
      </c>
      <c r="B164">
        <v>0</v>
      </c>
      <c r="C164">
        <v>0</v>
      </c>
      <c r="D164">
        <v>0</v>
      </c>
      <c r="E164">
        <v>0</v>
      </c>
      <c r="F164">
        <v>0</v>
      </c>
      <c r="H164">
        <f t="shared" si="9"/>
        <v>26048</v>
      </c>
      <c r="I164">
        <v>0</v>
      </c>
      <c r="J164">
        <v>0</v>
      </c>
      <c r="K164">
        <v>0</v>
      </c>
      <c r="L164">
        <v>0</v>
      </c>
      <c r="M164">
        <v>0</v>
      </c>
      <c r="O164">
        <f t="shared" si="10"/>
        <v>26048</v>
      </c>
      <c r="P164">
        <v>0</v>
      </c>
      <c r="Q164">
        <v>0</v>
      </c>
      <c r="R164">
        <v>0</v>
      </c>
      <c r="S164">
        <v>0</v>
      </c>
      <c r="T164">
        <v>0</v>
      </c>
      <c r="V164">
        <f t="shared" si="11"/>
        <v>26048</v>
      </c>
      <c r="W164">
        <v>0</v>
      </c>
      <c r="X164">
        <v>0</v>
      </c>
      <c r="Y164" s="41">
        <v>0</v>
      </c>
      <c r="Z164" s="41">
        <v>0</v>
      </c>
      <c r="AA164" s="55">
        <v>0</v>
      </c>
    </row>
    <row r="165" spans="1:27">
      <c r="A165">
        <f t="shared" si="8"/>
        <v>26048</v>
      </c>
      <c r="B165">
        <v>0</v>
      </c>
      <c r="C165">
        <v>0</v>
      </c>
      <c r="D165">
        <v>0</v>
      </c>
      <c r="E165">
        <v>0</v>
      </c>
      <c r="F165">
        <v>0</v>
      </c>
      <c r="H165">
        <f t="shared" si="9"/>
        <v>26048</v>
      </c>
      <c r="I165">
        <v>0</v>
      </c>
      <c r="J165">
        <v>0</v>
      </c>
      <c r="K165">
        <v>0</v>
      </c>
      <c r="L165">
        <v>0</v>
      </c>
      <c r="M165">
        <v>0</v>
      </c>
      <c r="O165">
        <f t="shared" si="10"/>
        <v>26048</v>
      </c>
      <c r="P165">
        <v>0</v>
      </c>
      <c r="Q165">
        <v>0</v>
      </c>
      <c r="R165">
        <v>0</v>
      </c>
      <c r="S165">
        <v>0</v>
      </c>
      <c r="T165">
        <v>0</v>
      </c>
      <c r="V165">
        <f t="shared" si="11"/>
        <v>26048</v>
      </c>
      <c r="W165">
        <v>0</v>
      </c>
      <c r="X165">
        <v>0</v>
      </c>
      <c r="Y165" s="41">
        <v>0</v>
      </c>
      <c r="Z165" s="41">
        <v>0</v>
      </c>
      <c r="AA165" s="55">
        <v>0</v>
      </c>
    </row>
    <row r="166" spans="1:27">
      <c r="A166">
        <f t="shared" si="8"/>
        <v>26048</v>
      </c>
      <c r="B166">
        <v>0</v>
      </c>
      <c r="C166">
        <v>0</v>
      </c>
      <c r="D166">
        <v>0</v>
      </c>
      <c r="E166">
        <v>0</v>
      </c>
      <c r="F166">
        <v>0</v>
      </c>
      <c r="H166">
        <f t="shared" si="9"/>
        <v>26048</v>
      </c>
      <c r="I166">
        <v>0</v>
      </c>
      <c r="J166">
        <v>0</v>
      </c>
      <c r="K166">
        <v>0</v>
      </c>
      <c r="L166">
        <v>0</v>
      </c>
      <c r="M166">
        <v>0</v>
      </c>
      <c r="O166">
        <f t="shared" si="10"/>
        <v>26048</v>
      </c>
      <c r="P166">
        <v>0</v>
      </c>
      <c r="Q166">
        <v>0</v>
      </c>
      <c r="R166">
        <v>0</v>
      </c>
      <c r="S166">
        <v>0</v>
      </c>
      <c r="T166">
        <v>0</v>
      </c>
      <c r="V166">
        <f t="shared" si="11"/>
        <v>26048</v>
      </c>
      <c r="W166">
        <v>0</v>
      </c>
      <c r="X166">
        <v>0</v>
      </c>
      <c r="Y166" s="41">
        <v>0</v>
      </c>
      <c r="Z166" s="41">
        <v>0</v>
      </c>
      <c r="AA166" s="55">
        <v>0</v>
      </c>
    </row>
    <row r="167" spans="1:27">
      <c r="A167">
        <f t="shared" si="8"/>
        <v>26048</v>
      </c>
      <c r="B167">
        <v>0</v>
      </c>
      <c r="C167">
        <v>0</v>
      </c>
      <c r="D167">
        <v>0</v>
      </c>
      <c r="E167">
        <v>0</v>
      </c>
      <c r="F167">
        <v>0</v>
      </c>
      <c r="H167">
        <f t="shared" si="9"/>
        <v>26048</v>
      </c>
      <c r="I167">
        <v>0</v>
      </c>
      <c r="J167">
        <v>0</v>
      </c>
      <c r="K167">
        <v>0</v>
      </c>
      <c r="L167">
        <v>0</v>
      </c>
      <c r="M167">
        <v>0</v>
      </c>
      <c r="O167">
        <f t="shared" si="10"/>
        <v>26048</v>
      </c>
      <c r="P167">
        <v>0</v>
      </c>
      <c r="Q167">
        <v>0</v>
      </c>
      <c r="R167">
        <v>0</v>
      </c>
      <c r="S167">
        <v>0</v>
      </c>
      <c r="T167">
        <v>0</v>
      </c>
      <c r="V167">
        <f t="shared" si="11"/>
        <v>26048</v>
      </c>
      <c r="W167">
        <v>0</v>
      </c>
      <c r="X167">
        <v>0</v>
      </c>
      <c r="Y167" s="41">
        <v>0</v>
      </c>
      <c r="Z167" s="41">
        <v>0</v>
      </c>
      <c r="AA167" s="55">
        <v>0</v>
      </c>
    </row>
    <row r="168" spans="1:27">
      <c r="A168">
        <f t="shared" si="8"/>
        <v>26048</v>
      </c>
      <c r="B168">
        <v>0</v>
      </c>
      <c r="C168">
        <v>0</v>
      </c>
      <c r="D168">
        <v>0</v>
      </c>
      <c r="E168">
        <v>0</v>
      </c>
      <c r="F168">
        <v>0</v>
      </c>
      <c r="H168">
        <f t="shared" si="9"/>
        <v>26048</v>
      </c>
      <c r="I168">
        <v>0</v>
      </c>
      <c r="J168">
        <v>0</v>
      </c>
      <c r="K168">
        <v>0</v>
      </c>
      <c r="L168">
        <v>0</v>
      </c>
      <c r="M168">
        <v>0</v>
      </c>
      <c r="O168">
        <f t="shared" si="10"/>
        <v>26048</v>
      </c>
      <c r="P168">
        <v>0</v>
      </c>
      <c r="Q168">
        <v>0</v>
      </c>
      <c r="R168">
        <v>0</v>
      </c>
      <c r="S168">
        <v>0</v>
      </c>
      <c r="T168">
        <v>0</v>
      </c>
      <c r="V168">
        <f t="shared" si="11"/>
        <v>26048</v>
      </c>
      <c r="W168">
        <v>0</v>
      </c>
      <c r="X168">
        <v>0</v>
      </c>
      <c r="Y168" s="41">
        <v>0</v>
      </c>
      <c r="Z168" s="41">
        <v>0</v>
      </c>
      <c r="AA168" s="55">
        <v>0</v>
      </c>
    </row>
    <row r="169" spans="1:27">
      <c r="A169">
        <f t="shared" si="8"/>
        <v>26048</v>
      </c>
      <c r="B169">
        <v>0</v>
      </c>
      <c r="C169">
        <v>0</v>
      </c>
      <c r="D169">
        <v>0</v>
      </c>
      <c r="E169">
        <v>0</v>
      </c>
      <c r="F169">
        <v>0</v>
      </c>
      <c r="H169">
        <f t="shared" si="9"/>
        <v>26048</v>
      </c>
      <c r="I169">
        <v>0</v>
      </c>
      <c r="J169">
        <v>0</v>
      </c>
      <c r="K169">
        <v>0</v>
      </c>
      <c r="L169">
        <v>0</v>
      </c>
      <c r="M169">
        <v>0</v>
      </c>
      <c r="O169">
        <f t="shared" si="10"/>
        <v>26048</v>
      </c>
      <c r="P169">
        <v>0</v>
      </c>
      <c r="Q169">
        <v>0</v>
      </c>
      <c r="R169">
        <v>0</v>
      </c>
      <c r="S169">
        <v>0</v>
      </c>
      <c r="T169">
        <v>0</v>
      </c>
      <c r="V169">
        <f t="shared" si="11"/>
        <v>26048</v>
      </c>
      <c r="W169">
        <v>0</v>
      </c>
      <c r="X169">
        <v>0</v>
      </c>
      <c r="Y169" s="41">
        <v>0</v>
      </c>
      <c r="Z169" s="41">
        <v>0</v>
      </c>
      <c r="AA169" s="55">
        <v>0</v>
      </c>
    </row>
    <row r="170" spans="1:27">
      <c r="A170">
        <f t="shared" si="8"/>
        <v>26048</v>
      </c>
      <c r="B170">
        <v>0</v>
      </c>
      <c r="C170">
        <v>0</v>
      </c>
      <c r="D170">
        <v>0</v>
      </c>
      <c r="E170">
        <v>0</v>
      </c>
      <c r="F170">
        <v>0</v>
      </c>
      <c r="H170">
        <f t="shared" si="9"/>
        <v>26048</v>
      </c>
      <c r="I170">
        <v>0</v>
      </c>
      <c r="J170">
        <v>0</v>
      </c>
      <c r="K170">
        <v>0</v>
      </c>
      <c r="L170">
        <v>0</v>
      </c>
      <c r="M170">
        <v>0</v>
      </c>
      <c r="O170">
        <f t="shared" si="10"/>
        <v>26048</v>
      </c>
      <c r="P170">
        <v>0</v>
      </c>
      <c r="Q170">
        <v>0</v>
      </c>
      <c r="R170">
        <v>0</v>
      </c>
      <c r="S170">
        <v>0</v>
      </c>
      <c r="T170">
        <v>0</v>
      </c>
      <c r="V170">
        <f t="shared" si="11"/>
        <v>26048</v>
      </c>
      <c r="W170">
        <v>0</v>
      </c>
      <c r="X170">
        <v>0</v>
      </c>
      <c r="Y170" s="41">
        <v>0</v>
      </c>
      <c r="Z170" s="41">
        <v>0</v>
      </c>
      <c r="AA170" s="55">
        <v>0</v>
      </c>
    </row>
    <row r="171" spans="1:27">
      <c r="A171">
        <f t="shared" si="8"/>
        <v>26048</v>
      </c>
      <c r="B171">
        <v>0</v>
      </c>
      <c r="C171">
        <v>0</v>
      </c>
      <c r="D171">
        <v>0</v>
      </c>
      <c r="E171">
        <v>0</v>
      </c>
      <c r="F171">
        <v>0</v>
      </c>
      <c r="H171">
        <f t="shared" si="9"/>
        <v>26048</v>
      </c>
      <c r="I171">
        <v>0</v>
      </c>
      <c r="J171">
        <v>0</v>
      </c>
      <c r="K171">
        <v>0</v>
      </c>
      <c r="L171">
        <v>0</v>
      </c>
      <c r="M171">
        <v>0</v>
      </c>
      <c r="O171">
        <f t="shared" si="10"/>
        <v>26048</v>
      </c>
      <c r="P171">
        <v>0</v>
      </c>
      <c r="Q171">
        <v>0</v>
      </c>
      <c r="R171">
        <v>0</v>
      </c>
      <c r="S171">
        <v>0</v>
      </c>
      <c r="T171">
        <v>0</v>
      </c>
      <c r="V171">
        <f t="shared" si="11"/>
        <v>26048</v>
      </c>
      <c r="W171">
        <v>0</v>
      </c>
      <c r="X171">
        <v>0</v>
      </c>
      <c r="Y171" s="41">
        <v>0</v>
      </c>
      <c r="Z171" s="41">
        <v>0</v>
      </c>
      <c r="AA171" s="55">
        <v>0</v>
      </c>
    </row>
    <row r="172" spans="1:27">
      <c r="A172">
        <f t="shared" si="8"/>
        <v>26048</v>
      </c>
      <c r="B172">
        <v>0</v>
      </c>
      <c r="C172">
        <v>0</v>
      </c>
      <c r="D172">
        <v>0</v>
      </c>
      <c r="E172">
        <v>0</v>
      </c>
      <c r="F172">
        <v>0</v>
      </c>
      <c r="H172">
        <f t="shared" si="9"/>
        <v>26048</v>
      </c>
      <c r="I172">
        <v>0</v>
      </c>
      <c r="J172">
        <v>0</v>
      </c>
      <c r="K172">
        <v>0</v>
      </c>
      <c r="L172">
        <v>0</v>
      </c>
      <c r="M172">
        <v>0</v>
      </c>
      <c r="O172">
        <f t="shared" si="10"/>
        <v>26048</v>
      </c>
      <c r="P172">
        <v>0</v>
      </c>
      <c r="Q172">
        <v>0</v>
      </c>
      <c r="R172">
        <v>0</v>
      </c>
      <c r="S172">
        <v>0</v>
      </c>
      <c r="T172">
        <v>0</v>
      </c>
      <c r="V172">
        <f t="shared" si="11"/>
        <v>26048</v>
      </c>
      <c r="W172">
        <v>0</v>
      </c>
      <c r="X172">
        <v>0</v>
      </c>
      <c r="Y172" s="41">
        <v>0</v>
      </c>
      <c r="Z172" s="41">
        <v>0</v>
      </c>
      <c r="AA172" s="55">
        <v>0</v>
      </c>
    </row>
    <row r="173" spans="1:27">
      <c r="A173">
        <f t="shared" si="8"/>
        <v>26048</v>
      </c>
      <c r="B173">
        <v>0</v>
      </c>
      <c r="C173">
        <v>0</v>
      </c>
      <c r="D173">
        <v>0</v>
      </c>
      <c r="E173">
        <v>0</v>
      </c>
      <c r="F173">
        <v>0</v>
      </c>
      <c r="H173">
        <f t="shared" si="9"/>
        <v>26048</v>
      </c>
      <c r="I173">
        <v>0</v>
      </c>
      <c r="J173">
        <v>0</v>
      </c>
      <c r="K173">
        <v>0</v>
      </c>
      <c r="L173">
        <v>0</v>
      </c>
      <c r="M173">
        <v>0</v>
      </c>
      <c r="O173">
        <f t="shared" si="10"/>
        <v>26048</v>
      </c>
      <c r="P173">
        <v>0</v>
      </c>
      <c r="Q173">
        <v>0</v>
      </c>
      <c r="R173">
        <v>0</v>
      </c>
      <c r="S173">
        <v>0</v>
      </c>
      <c r="T173">
        <v>0</v>
      </c>
      <c r="V173">
        <f t="shared" si="11"/>
        <v>26048</v>
      </c>
      <c r="W173">
        <v>0</v>
      </c>
      <c r="X173">
        <v>0</v>
      </c>
      <c r="Y173" s="41">
        <v>0</v>
      </c>
      <c r="Z173" s="41">
        <v>0</v>
      </c>
      <c r="AA173" s="55">
        <v>0</v>
      </c>
    </row>
    <row r="174" spans="1:27">
      <c r="A174">
        <f t="shared" si="8"/>
        <v>26048</v>
      </c>
      <c r="B174">
        <v>0</v>
      </c>
      <c r="C174">
        <v>0</v>
      </c>
      <c r="D174">
        <v>0</v>
      </c>
      <c r="E174">
        <v>0</v>
      </c>
      <c r="F174">
        <v>0</v>
      </c>
      <c r="H174">
        <f t="shared" si="9"/>
        <v>26048</v>
      </c>
      <c r="I174">
        <v>0</v>
      </c>
      <c r="J174">
        <v>0</v>
      </c>
      <c r="K174">
        <v>0</v>
      </c>
      <c r="L174">
        <v>0</v>
      </c>
      <c r="M174">
        <v>0</v>
      </c>
      <c r="O174">
        <f t="shared" si="10"/>
        <v>26048</v>
      </c>
      <c r="P174">
        <v>0</v>
      </c>
      <c r="Q174">
        <v>0</v>
      </c>
      <c r="R174">
        <v>0</v>
      </c>
      <c r="S174">
        <v>0</v>
      </c>
      <c r="T174">
        <v>0</v>
      </c>
      <c r="V174">
        <f t="shared" si="11"/>
        <v>26048</v>
      </c>
      <c r="W174">
        <v>0</v>
      </c>
      <c r="X174">
        <v>0</v>
      </c>
      <c r="Y174" s="41">
        <v>0</v>
      </c>
      <c r="Z174" s="41">
        <v>0</v>
      </c>
      <c r="AA174" s="55">
        <v>0</v>
      </c>
    </row>
    <row r="175" spans="1:27">
      <c r="A175">
        <f t="shared" si="8"/>
        <v>26048</v>
      </c>
      <c r="B175">
        <v>0</v>
      </c>
      <c r="C175">
        <v>0</v>
      </c>
      <c r="D175">
        <v>0</v>
      </c>
      <c r="E175">
        <v>0</v>
      </c>
      <c r="F175">
        <v>0</v>
      </c>
      <c r="H175">
        <f t="shared" si="9"/>
        <v>26048</v>
      </c>
      <c r="I175">
        <v>0</v>
      </c>
      <c r="J175">
        <v>0</v>
      </c>
      <c r="K175">
        <v>0</v>
      </c>
      <c r="L175">
        <v>0</v>
      </c>
      <c r="M175">
        <v>0</v>
      </c>
      <c r="O175">
        <f t="shared" si="10"/>
        <v>26048</v>
      </c>
      <c r="P175">
        <v>0</v>
      </c>
      <c r="Q175">
        <v>0</v>
      </c>
      <c r="R175">
        <v>0</v>
      </c>
      <c r="S175">
        <v>0</v>
      </c>
      <c r="T175">
        <v>0</v>
      </c>
      <c r="V175">
        <f t="shared" si="11"/>
        <v>26048</v>
      </c>
      <c r="W175">
        <v>0</v>
      </c>
      <c r="X175">
        <v>0</v>
      </c>
      <c r="Y175" s="41">
        <v>0</v>
      </c>
      <c r="Z175" s="41">
        <v>0</v>
      </c>
      <c r="AA175" s="55">
        <v>0</v>
      </c>
    </row>
    <row r="176" spans="1:27">
      <c r="A176">
        <f t="shared" si="8"/>
        <v>26048</v>
      </c>
      <c r="B176">
        <v>0</v>
      </c>
      <c r="C176">
        <v>0</v>
      </c>
      <c r="D176">
        <v>0</v>
      </c>
      <c r="E176">
        <v>0</v>
      </c>
      <c r="F176">
        <v>0</v>
      </c>
      <c r="H176">
        <f t="shared" si="9"/>
        <v>26048</v>
      </c>
      <c r="I176">
        <v>0</v>
      </c>
      <c r="J176">
        <v>0</v>
      </c>
      <c r="K176">
        <v>0</v>
      </c>
      <c r="L176">
        <v>0</v>
      </c>
      <c r="M176">
        <v>0</v>
      </c>
      <c r="O176">
        <f t="shared" si="10"/>
        <v>26048</v>
      </c>
      <c r="P176">
        <v>0</v>
      </c>
      <c r="Q176">
        <v>0</v>
      </c>
      <c r="R176">
        <v>0</v>
      </c>
      <c r="S176">
        <v>0</v>
      </c>
      <c r="T176">
        <v>0</v>
      </c>
      <c r="V176">
        <f t="shared" si="11"/>
        <v>26048</v>
      </c>
      <c r="W176">
        <v>0</v>
      </c>
      <c r="X176">
        <v>0</v>
      </c>
      <c r="Y176" s="41">
        <v>0</v>
      </c>
      <c r="Z176" s="41">
        <v>0</v>
      </c>
      <c r="AA176" s="55">
        <v>0</v>
      </c>
    </row>
    <row r="177" spans="1:27">
      <c r="A177">
        <f t="shared" si="8"/>
        <v>26048</v>
      </c>
      <c r="B177">
        <v>0</v>
      </c>
      <c r="C177">
        <v>0</v>
      </c>
      <c r="D177">
        <v>0</v>
      </c>
      <c r="E177">
        <v>0</v>
      </c>
      <c r="F177">
        <v>0</v>
      </c>
      <c r="H177">
        <f t="shared" si="9"/>
        <v>26048</v>
      </c>
      <c r="I177">
        <v>0</v>
      </c>
      <c r="J177">
        <v>0</v>
      </c>
      <c r="K177">
        <v>0</v>
      </c>
      <c r="L177">
        <v>0</v>
      </c>
      <c r="M177">
        <v>0</v>
      </c>
      <c r="O177">
        <f t="shared" si="10"/>
        <v>26048</v>
      </c>
      <c r="P177">
        <v>0</v>
      </c>
      <c r="Q177">
        <v>0</v>
      </c>
      <c r="R177">
        <v>0</v>
      </c>
      <c r="S177">
        <v>0</v>
      </c>
      <c r="T177">
        <v>0</v>
      </c>
      <c r="V177">
        <f t="shared" si="11"/>
        <v>26048</v>
      </c>
      <c r="W177">
        <v>0</v>
      </c>
      <c r="X177">
        <v>0</v>
      </c>
      <c r="Y177" s="41">
        <v>0</v>
      </c>
      <c r="Z177" s="41">
        <v>0</v>
      </c>
      <c r="AA177" s="55">
        <v>0</v>
      </c>
    </row>
    <row r="178" spans="1:27">
      <c r="A178">
        <f t="shared" si="8"/>
        <v>26048</v>
      </c>
      <c r="B178">
        <v>0</v>
      </c>
      <c r="C178">
        <v>0</v>
      </c>
      <c r="D178">
        <v>0</v>
      </c>
      <c r="E178">
        <v>0</v>
      </c>
      <c r="F178">
        <v>0</v>
      </c>
      <c r="H178">
        <f t="shared" si="9"/>
        <v>26048</v>
      </c>
      <c r="I178">
        <v>0</v>
      </c>
      <c r="J178">
        <v>0</v>
      </c>
      <c r="K178">
        <v>0</v>
      </c>
      <c r="L178">
        <v>0</v>
      </c>
      <c r="M178">
        <v>0</v>
      </c>
      <c r="O178">
        <f t="shared" si="10"/>
        <v>26048</v>
      </c>
      <c r="P178">
        <v>0</v>
      </c>
      <c r="Q178">
        <v>0</v>
      </c>
      <c r="R178">
        <v>0</v>
      </c>
      <c r="S178">
        <v>0</v>
      </c>
      <c r="T178">
        <v>0</v>
      </c>
      <c r="V178">
        <f t="shared" si="11"/>
        <v>26048</v>
      </c>
      <c r="W178">
        <v>0</v>
      </c>
      <c r="X178">
        <v>0</v>
      </c>
      <c r="Y178" s="41">
        <v>0</v>
      </c>
      <c r="Z178" s="41">
        <v>0</v>
      </c>
      <c r="AA178" s="55">
        <v>0</v>
      </c>
    </row>
    <row r="179" spans="1:27">
      <c r="A179">
        <f t="shared" si="8"/>
        <v>26048</v>
      </c>
      <c r="B179">
        <v>0</v>
      </c>
      <c r="C179">
        <v>0</v>
      </c>
      <c r="D179">
        <v>0</v>
      </c>
      <c r="E179">
        <v>0</v>
      </c>
      <c r="F179">
        <v>0</v>
      </c>
      <c r="H179">
        <f t="shared" si="9"/>
        <v>26048</v>
      </c>
      <c r="I179">
        <v>0</v>
      </c>
      <c r="J179">
        <v>0</v>
      </c>
      <c r="K179">
        <v>0</v>
      </c>
      <c r="L179">
        <v>0</v>
      </c>
      <c r="M179">
        <v>0</v>
      </c>
      <c r="O179">
        <f t="shared" si="10"/>
        <v>26048</v>
      </c>
      <c r="P179">
        <v>0</v>
      </c>
      <c r="Q179">
        <v>0</v>
      </c>
      <c r="R179">
        <v>0</v>
      </c>
      <c r="S179">
        <v>0</v>
      </c>
      <c r="T179">
        <v>0</v>
      </c>
      <c r="V179">
        <f t="shared" si="11"/>
        <v>26048</v>
      </c>
      <c r="W179">
        <v>0</v>
      </c>
      <c r="X179">
        <v>0</v>
      </c>
      <c r="Y179" s="41">
        <v>0</v>
      </c>
      <c r="Z179" s="41">
        <v>0</v>
      </c>
      <c r="AA179" s="55">
        <v>0</v>
      </c>
    </row>
    <row r="180" spans="1:27">
      <c r="A180">
        <f t="shared" si="8"/>
        <v>26048</v>
      </c>
      <c r="B180">
        <v>0</v>
      </c>
      <c r="C180">
        <v>0</v>
      </c>
      <c r="D180">
        <v>0</v>
      </c>
      <c r="E180">
        <v>0</v>
      </c>
      <c r="F180">
        <v>0</v>
      </c>
      <c r="H180">
        <f t="shared" si="9"/>
        <v>26048</v>
      </c>
      <c r="I180">
        <v>0</v>
      </c>
      <c r="J180">
        <v>0</v>
      </c>
      <c r="K180">
        <v>0</v>
      </c>
      <c r="L180">
        <v>0</v>
      </c>
      <c r="M180">
        <v>0</v>
      </c>
      <c r="O180">
        <f t="shared" si="10"/>
        <v>26048</v>
      </c>
      <c r="P180">
        <v>0</v>
      </c>
      <c r="Q180">
        <v>0</v>
      </c>
      <c r="R180">
        <v>0</v>
      </c>
      <c r="S180">
        <v>0</v>
      </c>
      <c r="T180">
        <v>0</v>
      </c>
      <c r="V180">
        <f t="shared" si="11"/>
        <v>26048</v>
      </c>
      <c r="W180">
        <v>0</v>
      </c>
      <c r="X180">
        <v>0</v>
      </c>
      <c r="Y180" s="41">
        <v>0</v>
      </c>
      <c r="Z180" s="41">
        <v>0</v>
      </c>
      <c r="AA180" s="55">
        <v>0</v>
      </c>
    </row>
    <row r="181" spans="1:27">
      <c r="A181">
        <f t="shared" si="8"/>
        <v>26048</v>
      </c>
      <c r="B181">
        <v>0</v>
      </c>
      <c r="C181">
        <v>0</v>
      </c>
      <c r="D181">
        <v>0</v>
      </c>
      <c r="E181">
        <v>0</v>
      </c>
      <c r="F181">
        <v>0</v>
      </c>
      <c r="H181">
        <f t="shared" si="9"/>
        <v>26048</v>
      </c>
      <c r="I181">
        <v>0</v>
      </c>
      <c r="J181">
        <v>0</v>
      </c>
      <c r="K181">
        <v>0</v>
      </c>
      <c r="L181">
        <v>0</v>
      </c>
      <c r="M181">
        <v>0</v>
      </c>
      <c r="O181">
        <f t="shared" si="10"/>
        <v>26048</v>
      </c>
      <c r="P181">
        <v>0</v>
      </c>
      <c r="Q181">
        <v>0</v>
      </c>
      <c r="R181">
        <v>0</v>
      </c>
      <c r="S181">
        <v>0</v>
      </c>
      <c r="T181">
        <v>0</v>
      </c>
      <c r="V181">
        <f t="shared" si="11"/>
        <v>26048</v>
      </c>
      <c r="W181">
        <v>0</v>
      </c>
      <c r="X181">
        <v>0</v>
      </c>
      <c r="Y181" s="41">
        <v>0</v>
      </c>
      <c r="Z181" s="41">
        <v>0</v>
      </c>
      <c r="AA181" s="55">
        <v>0</v>
      </c>
    </row>
    <row r="182" spans="1:27">
      <c r="A182">
        <f t="shared" si="8"/>
        <v>26048</v>
      </c>
      <c r="B182">
        <v>0</v>
      </c>
      <c r="C182">
        <v>0</v>
      </c>
      <c r="D182">
        <v>0</v>
      </c>
      <c r="E182">
        <v>0</v>
      </c>
      <c r="F182">
        <v>0</v>
      </c>
      <c r="H182">
        <f t="shared" si="9"/>
        <v>26048</v>
      </c>
      <c r="I182">
        <v>0</v>
      </c>
      <c r="J182">
        <v>0</v>
      </c>
      <c r="K182">
        <v>0</v>
      </c>
      <c r="L182">
        <v>0</v>
      </c>
      <c r="M182">
        <v>0</v>
      </c>
      <c r="O182">
        <f t="shared" si="10"/>
        <v>26048</v>
      </c>
      <c r="P182">
        <v>0</v>
      </c>
      <c r="Q182">
        <v>0</v>
      </c>
      <c r="R182">
        <v>0</v>
      </c>
      <c r="S182">
        <v>0</v>
      </c>
      <c r="T182">
        <v>0</v>
      </c>
      <c r="V182">
        <f t="shared" si="11"/>
        <v>26048</v>
      </c>
      <c r="W182">
        <v>0</v>
      </c>
      <c r="X182">
        <v>0</v>
      </c>
      <c r="Y182" s="41">
        <v>0</v>
      </c>
      <c r="Z182" s="41">
        <v>0</v>
      </c>
      <c r="AA182" s="55">
        <v>0</v>
      </c>
    </row>
    <row r="183" spans="1:27">
      <c r="A183">
        <f t="shared" si="8"/>
        <v>26048</v>
      </c>
      <c r="B183">
        <v>0</v>
      </c>
      <c r="C183">
        <v>0</v>
      </c>
      <c r="D183">
        <v>0</v>
      </c>
      <c r="E183">
        <v>0</v>
      </c>
      <c r="F183">
        <v>0</v>
      </c>
      <c r="H183">
        <f t="shared" si="9"/>
        <v>26048</v>
      </c>
      <c r="I183">
        <v>0</v>
      </c>
      <c r="J183">
        <v>0</v>
      </c>
      <c r="K183">
        <v>0</v>
      </c>
      <c r="L183">
        <v>0</v>
      </c>
      <c r="M183">
        <v>0</v>
      </c>
      <c r="O183">
        <f t="shared" si="10"/>
        <v>26048</v>
      </c>
      <c r="P183">
        <v>0</v>
      </c>
      <c r="Q183">
        <v>0</v>
      </c>
      <c r="R183">
        <v>0</v>
      </c>
      <c r="S183">
        <v>0</v>
      </c>
      <c r="T183">
        <v>0</v>
      </c>
      <c r="V183">
        <f t="shared" si="11"/>
        <v>26048</v>
      </c>
      <c r="W183">
        <v>0</v>
      </c>
      <c r="X183">
        <v>0</v>
      </c>
      <c r="Y183" s="41">
        <v>0</v>
      </c>
      <c r="Z183" s="41">
        <v>0</v>
      </c>
      <c r="AA183" s="55">
        <v>0</v>
      </c>
    </row>
    <row r="184" spans="1:27">
      <c r="A184">
        <f t="shared" si="8"/>
        <v>26048</v>
      </c>
      <c r="B184">
        <v>0</v>
      </c>
      <c r="C184">
        <v>0</v>
      </c>
      <c r="D184">
        <v>0</v>
      </c>
      <c r="E184">
        <v>0</v>
      </c>
      <c r="F184">
        <v>0</v>
      </c>
      <c r="H184">
        <f t="shared" si="9"/>
        <v>26048</v>
      </c>
      <c r="I184">
        <v>0</v>
      </c>
      <c r="J184">
        <v>0</v>
      </c>
      <c r="K184">
        <v>0</v>
      </c>
      <c r="L184">
        <v>0</v>
      </c>
      <c r="M184">
        <v>0</v>
      </c>
      <c r="O184">
        <f t="shared" si="10"/>
        <v>26048</v>
      </c>
      <c r="P184">
        <v>0</v>
      </c>
      <c r="Q184">
        <v>0</v>
      </c>
      <c r="R184">
        <v>0</v>
      </c>
      <c r="S184">
        <v>0</v>
      </c>
      <c r="T184">
        <v>0</v>
      </c>
      <c r="V184">
        <f t="shared" si="11"/>
        <v>26048</v>
      </c>
      <c r="W184">
        <v>0</v>
      </c>
      <c r="X184">
        <v>0</v>
      </c>
      <c r="Y184" s="41">
        <v>0</v>
      </c>
      <c r="Z184" s="41">
        <v>0</v>
      </c>
      <c r="AA184" s="55">
        <v>0</v>
      </c>
    </row>
    <row r="185" spans="1:27">
      <c r="A185">
        <f t="shared" si="8"/>
        <v>26048</v>
      </c>
      <c r="B185">
        <v>0</v>
      </c>
      <c r="C185">
        <v>0</v>
      </c>
      <c r="D185">
        <v>0</v>
      </c>
      <c r="E185">
        <v>0</v>
      </c>
      <c r="F185">
        <v>0</v>
      </c>
      <c r="H185">
        <f t="shared" si="9"/>
        <v>26048</v>
      </c>
      <c r="I185">
        <v>0</v>
      </c>
      <c r="J185">
        <v>0</v>
      </c>
      <c r="K185">
        <v>0</v>
      </c>
      <c r="L185">
        <v>0</v>
      </c>
      <c r="M185">
        <v>0</v>
      </c>
      <c r="O185">
        <f t="shared" si="10"/>
        <v>26048</v>
      </c>
      <c r="P185">
        <v>0</v>
      </c>
      <c r="Q185">
        <v>0</v>
      </c>
      <c r="R185">
        <v>0</v>
      </c>
      <c r="S185">
        <v>0</v>
      </c>
      <c r="T185">
        <v>0</v>
      </c>
      <c r="V185">
        <f t="shared" si="11"/>
        <v>26048</v>
      </c>
      <c r="W185">
        <v>0</v>
      </c>
      <c r="X185">
        <v>0</v>
      </c>
      <c r="Y185" s="41">
        <v>0</v>
      </c>
      <c r="Z185" s="41">
        <v>0</v>
      </c>
      <c r="AA185" s="55">
        <v>0</v>
      </c>
    </row>
    <row r="186" spans="1:27">
      <c r="A186">
        <f t="shared" si="8"/>
        <v>26048</v>
      </c>
      <c r="B186">
        <v>0</v>
      </c>
      <c r="C186">
        <v>0</v>
      </c>
      <c r="D186">
        <v>0</v>
      </c>
      <c r="E186">
        <v>0</v>
      </c>
      <c r="F186">
        <v>0</v>
      </c>
      <c r="H186">
        <f t="shared" si="9"/>
        <v>26048</v>
      </c>
      <c r="I186">
        <v>0</v>
      </c>
      <c r="J186">
        <v>0</v>
      </c>
      <c r="K186">
        <v>0</v>
      </c>
      <c r="L186">
        <v>0</v>
      </c>
      <c r="M186">
        <v>0</v>
      </c>
      <c r="O186">
        <f t="shared" si="10"/>
        <v>26048</v>
      </c>
      <c r="P186">
        <v>0</v>
      </c>
      <c r="Q186">
        <v>0</v>
      </c>
      <c r="R186">
        <v>0</v>
      </c>
      <c r="S186">
        <v>0</v>
      </c>
      <c r="T186">
        <v>0</v>
      </c>
      <c r="V186">
        <f t="shared" si="11"/>
        <v>26048</v>
      </c>
      <c r="W186">
        <v>0</v>
      </c>
      <c r="X186">
        <v>0</v>
      </c>
      <c r="Y186" s="41">
        <v>0</v>
      </c>
      <c r="Z186" s="41">
        <v>0</v>
      </c>
      <c r="AA186" s="55">
        <v>0</v>
      </c>
    </row>
    <row r="187" spans="1:27">
      <c r="A187">
        <f t="shared" si="8"/>
        <v>26048</v>
      </c>
      <c r="B187">
        <v>0</v>
      </c>
      <c r="C187">
        <v>0</v>
      </c>
      <c r="D187">
        <v>0</v>
      </c>
      <c r="E187">
        <v>0</v>
      </c>
      <c r="F187">
        <v>0</v>
      </c>
      <c r="H187">
        <f t="shared" si="9"/>
        <v>26048</v>
      </c>
      <c r="I187">
        <v>0</v>
      </c>
      <c r="J187">
        <v>0</v>
      </c>
      <c r="K187">
        <v>0</v>
      </c>
      <c r="L187">
        <v>0</v>
      </c>
      <c r="M187">
        <v>0</v>
      </c>
      <c r="O187">
        <f t="shared" si="10"/>
        <v>26048</v>
      </c>
      <c r="P187">
        <v>0</v>
      </c>
      <c r="Q187">
        <v>0</v>
      </c>
      <c r="R187">
        <v>0</v>
      </c>
      <c r="S187">
        <v>0</v>
      </c>
      <c r="T187">
        <v>0</v>
      </c>
      <c r="V187">
        <f t="shared" si="11"/>
        <v>26048</v>
      </c>
      <c r="W187">
        <v>0</v>
      </c>
      <c r="X187">
        <v>0</v>
      </c>
      <c r="Y187" s="41">
        <v>0</v>
      </c>
      <c r="Z187" s="41">
        <v>0</v>
      </c>
      <c r="AA187" s="55">
        <v>0</v>
      </c>
    </row>
    <row r="188" spans="1:27">
      <c r="A188">
        <f t="shared" si="8"/>
        <v>26048</v>
      </c>
      <c r="B188">
        <v>0</v>
      </c>
      <c r="C188">
        <v>0</v>
      </c>
      <c r="D188">
        <v>0</v>
      </c>
      <c r="E188">
        <v>0</v>
      </c>
      <c r="F188">
        <v>0</v>
      </c>
      <c r="H188">
        <f t="shared" si="9"/>
        <v>26048</v>
      </c>
      <c r="I188">
        <v>0</v>
      </c>
      <c r="J188">
        <v>0</v>
      </c>
      <c r="K188">
        <v>0</v>
      </c>
      <c r="L188">
        <v>0</v>
      </c>
      <c r="M188">
        <v>0</v>
      </c>
      <c r="O188">
        <f t="shared" si="10"/>
        <v>26048</v>
      </c>
      <c r="P188">
        <v>0</v>
      </c>
      <c r="Q188">
        <v>0</v>
      </c>
      <c r="R188">
        <v>0</v>
      </c>
      <c r="S188">
        <v>0</v>
      </c>
      <c r="T188">
        <v>0</v>
      </c>
      <c r="V188">
        <f t="shared" si="11"/>
        <v>26048</v>
      </c>
      <c r="W188">
        <v>0</v>
      </c>
      <c r="X188">
        <v>0</v>
      </c>
      <c r="Y188" s="41">
        <v>0</v>
      </c>
      <c r="Z188" s="41">
        <v>0</v>
      </c>
      <c r="AA188" s="55">
        <v>0</v>
      </c>
    </row>
    <row r="189" spans="1:27">
      <c r="A189">
        <f t="shared" si="8"/>
        <v>26048</v>
      </c>
      <c r="B189">
        <v>0</v>
      </c>
      <c r="C189">
        <v>0</v>
      </c>
      <c r="D189">
        <v>0</v>
      </c>
      <c r="E189">
        <v>0</v>
      </c>
      <c r="F189">
        <v>0</v>
      </c>
      <c r="H189">
        <f t="shared" si="9"/>
        <v>26048</v>
      </c>
      <c r="I189">
        <v>0</v>
      </c>
      <c r="J189">
        <v>0</v>
      </c>
      <c r="K189">
        <v>0</v>
      </c>
      <c r="L189">
        <v>0</v>
      </c>
      <c r="M189">
        <v>0</v>
      </c>
      <c r="O189">
        <f t="shared" si="10"/>
        <v>26048</v>
      </c>
      <c r="P189">
        <v>0</v>
      </c>
      <c r="Q189">
        <v>0</v>
      </c>
      <c r="R189">
        <v>0</v>
      </c>
      <c r="S189">
        <v>0</v>
      </c>
      <c r="T189">
        <v>0</v>
      </c>
      <c r="V189">
        <f t="shared" si="11"/>
        <v>26048</v>
      </c>
      <c r="W189">
        <v>0</v>
      </c>
      <c r="X189">
        <v>0</v>
      </c>
      <c r="Y189" s="41">
        <v>0</v>
      </c>
      <c r="Z189" s="41">
        <v>0</v>
      </c>
      <c r="AA189" s="55">
        <v>0</v>
      </c>
    </row>
    <row r="190" spans="1:27">
      <c r="A190">
        <f t="shared" si="8"/>
        <v>26048</v>
      </c>
      <c r="B190">
        <v>0</v>
      </c>
      <c r="C190">
        <v>0</v>
      </c>
      <c r="D190">
        <v>0</v>
      </c>
      <c r="E190">
        <v>0</v>
      </c>
      <c r="F190">
        <v>0</v>
      </c>
      <c r="H190">
        <f t="shared" si="9"/>
        <v>26048</v>
      </c>
      <c r="I190">
        <v>0</v>
      </c>
      <c r="J190">
        <v>0</v>
      </c>
      <c r="K190">
        <v>0</v>
      </c>
      <c r="L190">
        <v>0</v>
      </c>
      <c r="M190">
        <v>0</v>
      </c>
      <c r="O190">
        <f t="shared" si="10"/>
        <v>26048</v>
      </c>
      <c r="P190">
        <v>0</v>
      </c>
      <c r="Q190">
        <v>0</v>
      </c>
      <c r="R190">
        <v>0</v>
      </c>
      <c r="S190">
        <v>0</v>
      </c>
      <c r="T190">
        <v>0</v>
      </c>
      <c r="V190">
        <f t="shared" si="11"/>
        <v>26048</v>
      </c>
      <c r="W190">
        <v>0</v>
      </c>
      <c r="X190">
        <v>0</v>
      </c>
      <c r="Y190" s="41">
        <v>0</v>
      </c>
      <c r="Z190" s="41">
        <v>0</v>
      </c>
      <c r="AA190" s="55">
        <v>0</v>
      </c>
    </row>
    <row r="191" spans="1:27">
      <c r="A191">
        <f t="shared" si="8"/>
        <v>26048</v>
      </c>
      <c r="B191">
        <v>0</v>
      </c>
      <c r="C191">
        <v>0</v>
      </c>
      <c r="D191">
        <v>0</v>
      </c>
      <c r="E191">
        <v>0</v>
      </c>
      <c r="F191">
        <v>0</v>
      </c>
      <c r="H191">
        <f t="shared" si="9"/>
        <v>26048</v>
      </c>
      <c r="I191">
        <v>0</v>
      </c>
      <c r="J191">
        <v>0</v>
      </c>
      <c r="K191">
        <v>0</v>
      </c>
      <c r="L191">
        <v>0</v>
      </c>
      <c r="M191">
        <v>0</v>
      </c>
      <c r="O191">
        <f t="shared" si="10"/>
        <v>26048</v>
      </c>
      <c r="P191">
        <v>0</v>
      </c>
      <c r="Q191">
        <v>0</v>
      </c>
      <c r="R191">
        <v>0</v>
      </c>
      <c r="S191">
        <v>0</v>
      </c>
      <c r="T191">
        <v>0</v>
      </c>
      <c r="V191">
        <f t="shared" si="11"/>
        <v>26048</v>
      </c>
      <c r="W191">
        <v>0</v>
      </c>
      <c r="X191">
        <v>0</v>
      </c>
      <c r="Y191" s="41">
        <v>0</v>
      </c>
      <c r="Z191" s="41">
        <v>0</v>
      </c>
      <c r="AA191" s="55">
        <v>0</v>
      </c>
    </row>
    <row r="192" spans="1:27">
      <c r="A192">
        <f t="shared" si="8"/>
        <v>26048</v>
      </c>
      <c r="B192">
        <v>0</v>
      </c>
      <c r="C192">
        <v>0</v>
      </c>
      <c r="D192">
        <v>0</v>
      </c>
      <c r="E192">
        <v>0</v>
      </c>
      <c r="F192">
        <v>0</v>
      </c>
      <c r="H192">
        <f t="shared" si="9"/>
        <v>26048</v>
      </c>
      <c r="I192">
        <v>0</v>
      </c>
      <c r="J192">
        <v>0</v>
      </c>
      <c r="K192">
        <v>0</v>
      </c>
      <c r="L192">
        <v>0</v>
      </c>
      <c r="M192">
        <v>0</v>
      </c>
      <c r="O192">
        <f t="shared" si="10"/>
        <v>26048</v>
      </c>
      <c r="P192">
        <v>0</v>
      </c>
      <c r="Q192">
        <v>0</v>
      </c>
      <c r="R192">
        <v>0</v>
      </c>
      <c r="S192">
        <v>0</v>
      </c>
      <c r="T192">
        <v>0</v>
      </c>
      <c r="V192">
        <f t="shared" si="11"/>
        <v>26048</v>
      </c>
      <c r="W192">
        <v>0</v>
      </c>
      <c r="X192">
        <v>0</v>
      </c>
      <c r="Y192" s="41">
        <v>0</v>
      </c>
      <c r="Z192" s="41">
        <v>0</v>
      </c>
      <c r="AA192" s="55">
        <v>0</v>
      </c>
    </row>
    <row r="193" spans="1:27">
      <c r="A193">
        <f t="shared" si="8"/>
        <v>26048</v>
      </c>
      <c r="B193">
        <v>0</v>
      </c>
      <c r="C193">
        <v>0</v>
      </c>
      <c r="D193">
        <v>0</v>
      </c>
      <c r="E193">
        <v>0</v>
      </c>
      <c r="F193">
        <v>0</v>
      </c>
      <c r="H193">
        <f t="shared" si="9"/>
        <v>26048</v>
      </c>
      <c r="I193">
        <v>0</v>
      </c>
      <c r="J193">
        <v>0</v>
      </c>
      <c r="K193">
        <v>0</v>
      </c>
      <c r="L193">
        <v>0</v>
      </c>
      <c r="M193">
        <v>0</v>
      </c>
      <c r="O193">
        <f t="shared" si="10"/>
        <v>26048</v>
      </c>
      <c r="P193">
        <v>0</v>
      </c>
      <c r="Q193">
        <v>0</v>
      </c>
      <c r="R193">
        <v>0</v>
      </c>
      <c r="S193">
        <v>0</v>
      </c>
      <c r="T193">
        <v>0</v>
      </c>
      <c r="V193">
        <f t="shared" si="11"/>
        <v>26048</v>
      </c>
      <c r="W193">
        <v>0</v>
      </c>
      <c r="X193">
        <v>0</v>
      </c>
      <c r="Y193" s="41">
        <v>0</v>
      </c>
      <c r="Z193" s="41">
        <v>0</v>
      </c>
      <c r="AA193" s="55">
        <v>0</v>
      </c>
    </row>
    <row r="194" spans="1:27">
      <c r="A194">
        <f t="shared" si="8"/>
        <v>26048</v>
      </c>
      <c r="B194">
        <v>0</v>
      </c>
      <c r="C194">
        <v>0</v>
      </c>
      <c r="D194">
        <v>0</v>
      </c>
      <c r="E194">
        <v>0</v>
      </c>
      <c r="F194">
        <v>0</v>
      </c>
      <c r="H194">
        <f t="shared" si="9"/>
        <v>26048</v>
      </c>
      <c r="I194">
        <v>0</v>
      </c>
      <c r="J194">
        <v>0</v>
      </c>
      <c r="K194">
        <v>0</v>
      </c>
      <c r="L194">
        <v>0</v>
      </c>
      <c r="M194">
        <v>0</v>
      </c>
      <c r="O194">
        <f t="shared" si="10"/>
        <v>26048</v>
      </c>
      <c r="P194">
        <v>0</v>
      </c>
      <c r="Q194">
        <v>0</v>
      </c>
      <c r="R194">
        <v>0</v>
      </c>
      <c r="S194">
        <v>0</v>
      </c>
      <c r="T194">
        <v>0</v>
      </c>
      <c r="V194">
        <f t="shared" si="11"/>
        <v>26048</v>
      </c>
      <c r="W194">
        <v>0</v>
      </c>
      <c r="X194">
        <v>0</v>
      </c>
      <c r="Y194" s="41">
        <v>0</v>
      </c>
      <c r="Z194" s="41">
        <v>0</v>
      </c>
      <c r="AA194" s="55">
        <v>0</v>
      </c>
    </row>
    <row r="195" spans="1:27">
      <c r="A195">
        <f t="shared" si="8"/>
        <v>26048</v>
      </c>
      <c r="B195">
        <v>0</v>
      </c>
      <c r="C195">
        <v>0</v>
      </c>
      <c r="D195">
        <v>0</v>
      </c>
      <c r="E195">
        <v>0</v>
      </c>
      <c r="F195">
        <v>0</v>
      </c>
      <c r="H195">
        <f t="shared" si="9"/>
        <v>26048</v>
      </c>
      <c r="I195">
        <v>0</v>
      </c>
      <c r="J195">
        <v>0</v>
      </c>
      <c r="K195">
        <v>0</v>
      </c>
      <c r="L195">
        <v>0</v>
      </c>
      <c r="M195">
        <v>0</v>
      </c>
      <c r="O195">
        <f t="shared" si="10"/>
        <v>26048</v>
      </c>
      <c r="P195">
        <v>0</v>
      </c>
      <c r="Q195">
        <v>0</v>
      </c>
      <c r="R195">
        <v>0</v>
      </c>
      <c r="S195">
        <v>0</v>
      </c>
      <c r="T195">
        <v>0</v>
      </c>
      <c r="V195">
        <f t="shared" si="11"/>
        <v>26048</v>
      </c>
      <c r="W195">
        <v>0</v>
      </c>
      <c r="X195">
        <v>0</v>
      </c>
      <c r="Y195" s="41">
        <v>0</v>
      </c>
      <c r="Z195" s="41">
        <v>0</v>
      </c>
      <c r="AA195" s="55">
        <v>0</v>
      </c>
    </row>
    <row r="196" spans="1:27">
      <c r="A196">
        <f t="shared" si="8"/>
        <v>26048</v>
      </c>
      <c r="B196">
        <v>0</v>
      </c>
      <c r="C196">
        <v>0</v>
      </c>
      <c r="D196">
        <v>0</v>
      </c>
      <c r="E196">
        <v>0</v>
      </c>
      <c r="F196">
        <v>0</v>
      </c>
      <c r="H196">
        <f t="shared" si="9"/>
        <v>26048</v>
      </c>
      <c r="I196">
        <v>0</v>
      </c>
      <c r="J196">
        <v>0</v>
      </c>
      <c r="K196">
        <v>0</v>
      </c>
      <c r="L196">
        <v>0</v>
      </c>
      <c r="M196">
        <v>0</v>
      </c>
      <c r="O196">
        <f t="shared" si="10"/>
        <v>26048</v>
      </c>
      <c r="P196">
        <v>0</v>
      </c>
      <c r="Q196">
        <v>0</v>
      </c>
      <c r="R196">
        <v>0</v>
      </c>
      <c r="S196">
        <v>0</v>
      </c>
      <c r="T196">
        <v>0</v>
      </c>
      <c r="V196">
        <f t="shared" si="11"/>
        <v>26048</v>
      </c>
      <c r="W196">
        <v>0</v>
      </c>
      <c r="X196">
        <v>0</v>
      </c>
      <c r="Y196" s="41">
        <v>0</v>
      </c>
      <c r="Z196" s="41">
        <v>0</v>
      </c>
      <c r="AA196" s="55">
        <v>0</v>
      </c>
    </row>
    <row r="197" spans="1:27">
      <c r="A197">
        <f t="shared" ref="A197:A260" si="12">IF(ABS(B197-26048)&lt;ABS(B197-27584),IF(ABS(B197-26048)&lt;ABS(B197-29120),26048,29120),IF(ABS(B197-27584)&lt;ABS(B197-29120),27584,29120))</f>
        <v>26048</v>
      </c>
      <c r="B197">
        <v>0</v>
      </c>
      <c r="C197">
        <v>0</v>
      </c>
      <c r="D197">
        <v>0</v>
      </c>
      <c r="E197">
        <v>0</v>
      </c>
      <c r="F197">
        <v>0</v>
      </c>
      <c r="H197">
        <f t="shared" ref="H197:H260" si="13">IF(ABS(I197-26048)&lt;ABS(I197-27584),IF(ABS(I197-26048)&lt;ABS(I197-29120),26048,29120),IF(ABS(I197-27584)&lt;ABS(I197-29120),27584,29120))</f>
        <v>26048</v>
      </c>
      <c r="I197">
        <v>0</v>
      </c>
      <c r="J197">
        <v>0</v>
      </c>
      <c r="K197">
        <v>0</v>
      </c>
      <c r="L197">
        <v>0</v>
      </c>
      <c r="M197">
        <v>0</v>
      </c>
      <c r="O197">
        <f t="shared" ref="O197:O260" si="14">IF(ABS(P197-26048)&lt;ABS(P197-27584),IF(ABS(P197-26048)&lt;ABS(P197-29120),26048,29120),IF(ABS(P197-27584)&lt;ABS(P197-29120),27584,29120))</f>
        <v>26048</v>
      </c>
      <c r="P197">
        <v>0</v>
      </c>
      <c r="Q197">
        <v>0</v>
      </c>
      <c r="R197">
        <v>0</v>
      </c>
      <c r="S197">
        <v>0</v>
      </c>
      <c r="T197">
        <v>0</v>
      </c>
      <c r="V197">
        <f t="shared" ref="V197:V260" si="15">IF(ABS(W197-26048)&lt;ABS(W197-27584),IF(ABS(W197-26048)&lt;ABS(W197-29120),26048,29120),IF(ABS(W197-27584)&lt;ABS(W197-29120),27584,29120))</f>
        <v>26048</v>
      </c>
      <c r="W197">
        <v>0</v>
      </c>
      <c r="X197">
        <v>0</v>
      </c>
      <c r="Y197" s="41">
        <v>0</v>
      </c>
      <c r="Z197" s="41">
        <v>0</v>
      </c>
      <c r="AA197" s="55">
        <v>0</v>
      </c>
    </row>
    <row r="198" spans="1:27">
      <c r="A198">
        <f t="shared" si="12"/>
        <v>26048</v>
      </c>
      <c r="B198">
        <v>0</v>
      </c>
      <c r="C198">
        <v>0</v>
      </c>
      <c r="D198">
        <v>0</v>
      </c>
      <c r="E198">
        <v>0</v>
      </c>
      <c r="F198">
        <v>0</v>
      </c>
      <c r="H198">
        <f t="shared" si="13"/>
        <v>26048</v>
      </c>
      <c r="I198">
        <v>0</v>
      </c>
      <c r="J198">
        <v>0</v>
      </c>
      <c r="K198">
        <v>0</v>
      </c>
      <c r="L198">
        <v>0</v>
      </c>
      <c r="M198">
        <v>0</v>
      </c>
      <c r="O198">
        <f t="shared" si="14"/>
        <v>26048</v>
      </c>
      <c r="P198">
        <v>0</v>
      </c>
      <c r="Q198">
        <v>0</v>
      </c>
      <c r="R198">
        <v>0</v>
      </c>
      <c r="S198">
        <v>0</v>
      </c>
      <c r="T198">
        <v>0</v>
      </c>
      <c r="V198">
        <f t="shared" si="15"/>
        <v>26048</v>
      </c>
      <c r="W198">
        <v>0</v>
      </c>
      <c r="X198">
        <v>0</v>
      </c>
      <c r="Y198" s="41">
        <v>0</v>
      </c>
      <c r="Z198" s="41">
        <v>0</v>
      </c>
      <c r="AA198" s="55">
        <v>0</v>
      </c>
    </row>
    <row r="199" spans="1:27">
      <c r="A199">
        <f t="shared" si="12"/>
        <v>26048</v>
      </c>
      <c r="B199">
        <v>0</v>
      </c>
      <c r="C199">
        <v>0</v>
      </c>
      <c r="D199">
        <v>0</v>
      </c>
      <c r="E199">
        <v>0</v>
      </c>
      <c r="F199">
        <v>0</v>
      </c>
      <c r="H199">
        <f t="shared" si="13"/>
        <v>26048</v>
      </c>
      <c r="I199">
        <v>0</v>
      </c>
      <c r="J199">
        <v>0</v>
      </c>
      <c r="K199">
        <v>0</v>
      </c>
      <c r="L199">
        <v>0</v>
      </c>
      <c r="M199">
        <v>0</v>
      </c>
      <c r="O199">
        <f t="shared" si="14"/>
        <v>26048</v>
      </c>
      <c r="P199">
        <v>0</v>
      </c>
      <c r="Q199">
        <v>0</v>
      </c>
      <c r="R199">
        <v>0</v>
      </c>
      <c r="S199">
        <v>0</v>
      </c>
      <c r="T199">
        <v>0</v>
      </c>
      <c r="V199">
        <f t="shared" si="15"/>
        <v>26048</v>
      </c>
      <c r="W199">
        <v>0</v>
      </c>
      <c r="X199">
        <v>0</v>
      </c>
      <c r="Y199" s="41">
        <v>0</v>
      </c>
      <c r="Z199" s="41">
        <v>0</v>
      </c>
      <c r="AA199" s="55">
        <v>0</v>
      </c>
    </row>
    <row r="200" spans="1:27">
      <c r="A200">
        <f t="shared" si="12"/>
        <v>26048</v>
      </c>
      <c r="B200">
        <v>0</v>
      </c>
      <c r="C200">
        <v>0</v>
      </c>
      <c r="D200">
        <v>0</v>
      </c>
      <c r="E200">
        <v>0</v>
      </c>
      <c r="F200">
        <v>0</v>
      </c>
      <c r="H200">
        <f t="shared" si="13"/>
        <v>26048</v>
      </c>
      <c r="I200">
        <v>0</v>
      </c>
      <c r="J200">
        <v>0</v>
      </c>
      <c r="K200">
        <v>0</v>
      </c>
      <c r="L200">
        <v>0</v>
      </c>
      <c r="M200">
        <v>0</v>
      </c>
      <c r="O200">
        <f t="shared" si="14"/>
        <v>26048</v>
      </c>
      <c r="P200">
        <v>0</v>
      </c>
      <c r="Q200">
        <v>0</v>
      </c>
      <c r="R200">
        <v>0</v>
      </c>
      <c r="S200">
        <v>0</v>
      </c>
      <c r="T200">
        <v>0</v>
      </c>
      <c r="V200">
        <f t="shared" si="15"/>
        <v>26048</v>
      </c>
      <c r="W200">
        <v>0</v>
      </c>
      <c r="X200">
        <v>0</v>
      </c>
      <c r="Y200" s="41">
        <v>0</v>
      </c>
      <c r="Z200" s="41">
        <v>0</v>
      </c>
      <c r="AA200" s="55">
        <v>0</v>
      </c>
    </row>
    <row r="201" spans="1:27">
      <c r="A201">
        <f t="shared" si="12"/>
        <v>26048</v>
      </c>
      <c r="B201">
        <v>0</v>
      </c>
      <c r="C201">
        <v>0</v>
      </c>
      <c r="D201">
        <v>0</v>
      </c>
      <c r="E201">
        <v>0</v>
      </c>
      <c r="F201">
        <v>0</v>
      </c>
      <c r="H201">
        <f t="shared" si="13"/>
        <v>26048</v>
      </c>
      <c r="I201">
        <v>0</v>
      </c>
      <c r="J201">
        <v>0</v>
      </c>
      <c r="K201">
        <v>0</v>
      </c>
      <c r="L201">
        <v>0</v>
      </c>
      <c r="M201">
        <v>0</v>
      </c>
      <c r="O201">
        <f t="shared" si="14"/>
        <v>26048</v>
      </c>
      <c r="P201">
        <v>0</v>
      </c>
      <c r="Q201">
        <v>0</v>
      </c>
      <c r="R201">
        <v>0</v>
      </c>
      <c r="S201">
        <v>0</v>
      </c>
      <c r="T201">
        <v>0</v>
      </c>
      <c r="V201">
        <f t="shared" si="15"/>
        <v>26048</v>
      </c>
      <c r="W201">
        <v>0</v>
      </c>
      <c r="X201">
        <v>0</v>
      </c>
      <c r="Y201" s="41">
        <v>0</v>
      </c>
      <c r="Z201" s="41">
        <v>0</v>
      </c>
      <c r="AA201" s="55">
        <v>0</v>
      </c>
    </row>
    <row r="202" spans="1:27">
      <c r="A202">
        <f t="shared" si="12"/>
        <v>26048</v>
      </c>
      <c r="B202">
        <v>0</v>
      </c>
      <c r="C202">
        <v>0</v>
      </c>
      <c r="D202">
        <v>0</v>
      </c>
      <c r="E202">
        <v>0</v>
      </c>
      <c r="F202">
        <v>0</v>
      </c>
      <c r="H202">
        <f t="shared" si="13"/>
        <v>26048</v>
      </c>
      <c r="I202">
        <v>0</v>
      </c>
      <c r="J202">
        <v>0</v>
      </c>
      <c r="K202">
        <v>0</v>
      </c>
      <c r="L202">
        <v>0</v>
      </c>
      <c r="M202">
        <v>0</v>
      </c>
      <c r="O202">
        <f t="shared" si="14"/>
        <v>26048</v>
      </c>
      <c r="P202">
        <v>0</v>
      </c>
      <c r="Q202">
        <v>0</v>
      </c>
      <c r="R202">
        <v>0</v>
      </c>
      <c r="S202">
        <v>0</v>
      </c>
      <c r="T202">
        <v>0</v>
      </c>
      <c r="V202">
        <f t="shared" si="15"/>
        <v>26048</v>
      </c>
      <c r="W202">
        <v>0</v>
      </c>
      <c r="X202">
        <v>0</v>
      </c>
      <c r="Y202" s="41">
        <v>0</v>
      </c>
      <c r="Z202" s="41">
        <v>0</v>
      </c>
      <c r="AA202" s="55">
        <v>0</v>
      </c>
    </row>
    <row r="203" spans="1:27">
      <c r="A203">
        <f t="shared" si="12"/>
        <v>26048</v>
      </c>
      <c r="B203">
        <v>0</v>
      </c>
      <c r="C203">
        <v>0</v>
      </c>
      <c r="D203">
        <v>0</v>
      </c>
      <c r="E203">
        <v>0</v>
      </c>
      <c r="F203">
        <v>0</v>
      </c>
      <c r="H203">
        <f t="shared" si="13"/>
        <v>26048</v>
      </c>
      <c r="I203">
        <v>0</v>
      </c>
      <c r="J203">
        <v>0</v>
      </c>
      <c r="K203">
        <v>0</v>
      </c>
      <c r="L203">
        <v>0</v>
      </c>
      <c r="M203">
        <v>0</v>
      </c>
      <c r="O203">
        <f t="shared" si="14"/>
        <v>26048</v>
      </c>
      <c r="P203">
        <v>0</v>
      </c>
      <c r="Q203">
        <v>0</v>
      </c>
      <c r="R203">
        <v>0</v>
      </c>
      <c r="S203">
        <v>0</v>
      </c>
      <c r="T203">
        <v>0</v>
      </c>
      <c r="V203">
        <f t="shared" si="15"/>
        <v>26048</v>
      </c>
      <c r="W203">
        <v>0</v>
      </c>
      <c r="X203">
        <v>0</v>
      </c>
      <c r="Y203" s="41">
        <v>0</v>
      </c>
      <c r="Z203" s="41">
        <v>0</v>
      </c>
      <c r="AA203" s="55">
        <v>0</v>
      </c>
    </row>
    <row r="204" spans="1:27">
      <c r="A204">
        <f t="shared" si="12"/>
        <v>26048</v>
      </c>
      <c r="B204">
        <v>0</v>
      </c>
      <c r="C204">
        <v>0</v>
      </c>
      <c r="D204">
        <v>0</v>
      </c>
      <c r="E204">
        <v>0</v>
      </c>
      <c r="F204">
        <v>0</v>
      </c>
      <c r="H204">
        <f t="shared" si="13"/>
        <v>26048</v>
      </c>
      <c r="I204">
        <v>0</v>
      </c>
      <c r="J204">
        <v>0</v>
      </c>
      <c r="K204">
        <v>0</v>
      </c>
      <c r="L204">
        <v>0</v>
      </c>
      <c r="M204">
        <v>0</v>
      </c>
      <c r="O204">
        <f t="shared" si="14"/>
        <v>26048</v>
      </c>
      <c r="P204">
        <v>0</v>
      </c>
      <c r="Q204">
        <v>0</v>
      </c>
      <c r="R204">
        <v>0</v>
      </c>
      <c r="S204">
        <v>0</v>
      </c>
      <c r="T204">
        <v>0</v>
      </c>
      <c r="V204">
        <f t="shared" si="15"/>
        <v>26048</v>
      </c>
      <c r="W204">
        <v>0</v>
      </c>
      <c r="X204">
        <v>0</v>
      </c>
      <c r="Y204" s="41">
        <v>0</v>
      </c>
      <c r="Z204" s="41">
        <v>0</v>
      </c>
      <c r="AA204" s="55">
        <v>0</v>
      </c>
    </row>
    <row r="205" spans="1:27">
      <c r="A205">
        <f t="shared" si="12"/>
        <v>26048</v>
      </c>
      <c r="B205">
        <v>0</v>
      </c>
      <c r="C205">
        <v>0</v>
      </c>
      <c r="D205">
        <v>0</v>
      </c>
      <c r="E205">
        <v>0</v>
      </c>
      <c r="F205">
        <v>0</v>
      </c>
      <c r="H205">
        <f t="shared" si="13"/>
        <v>26048</v>
      </c>
      <c r="I205">
        <v>0</v>
      </c>
      <c r="J205">
        <v>0</v>
      </c>
      <c r="K205">
        <v>0</v>
      </c>
      <c r="L205">
        <v>0</v>
      </c>
      <c r="M205">
        <v>0</v>
      </c>
      <c r="O205">
        <f t="shared" si="14"/>
        <v>26048</v>
      </c>
      <c r="P205">
        <v>0</v>
      </c>
      <c r="Q205">
        <v>0</v>
      </c>
      <c r="R205">
        <v>0</v>
      </c>
      <c r="S205">
        <v>0</v>
      </c>
      <c r="T205">
        <v>0</v>
      </c>
      <c r="V205">
        <f t="shared" si="15"/>
        <v>26048</v>
      </c>
      <c r="W205">
        <v>0</v>
      </c>
      <c r="X205">
        <v>0</v>
      </c>
      <c r="Y205" s="41">
        <v>0</v>
      </c>
      <c r="Z205" s="41">
        <v>0</v>
      </c>
      <c r="AA205" s="55">
        <v>0</v>
      </c>
    </row>
    <row r="206" spans="1:27">
      <c r="A206">
        <f t="shared" si="12"/>
        <v>26048</v>
      </c>
      <c r="B206">
        <v>0</v>
      </c>
      <c r="C206">
        <v>0</v>
      </c>
      <c r="D206">
        <v>0</v>
      </c>
      <c r="E206">
        <v>0</v>
      </c>
      <c r="F206">
        <v>0</v>
      </c>
      <c r="H206">
        <f t="shared" si="13"/>
        <v>26048</v>
      </c>
      <c r="I206">
        <v>0</v>
      </c>
      <c r="J206">
        <v>0</v>
      </c>
      <c r="K206">
        <v>0</v>
      </c>
      <c r="L206">
        <v>0</v>
      </c>
      <c r="M206">
        <v>0</v>
      </c>
      <c r="O206">
        <f t="shared" si="14"/>
        <v>26048</v>
      </c>
      <c r="P206">
        <v>0</v>
      </c>
      <c r="Q206">
        <v>0</v>
      </c>
      <c r="R206">
        <v>0</v>
      </c>
      <c r="S206">
        <v>0</v>
      </c>
      <c r="T206">
        <v>0</v>
      </c>
      <c r="V206">
        <f t="shared" si="15"/>
        <v>26048</v>
      </c>
      <c r="W206">
        <v>0</v>
      </c>
      <c r="X206">
        <v>0</v>
      </c>
      <c r="Y206" s="41">
        <v>0</v>
      </c>
      <c r="Z206" s="41">
        <v>0</v>
      </c>
      <c r="AA206" s="55">
        <v>0</v>
      </c>
    </row>
    <row r="207" spans="1:27">
      <c r="A207">
        <f t="shared" si="12"/>
        <v>26048</v>
      </c>
      <c r="B207">
        <v>0</v>
      </c>
      <c r="C207">
        <v>0</v>
      </c>
      <c r="D207">
        <v>0</v>
      </c>
      <c r="E207">
        <v>0</v>
      </c>
      <c r="F207">
        <v>0</v>
      </c>
      <c r="H207">
        <f t="shared" si="13"/>
        <v>26048</v>
      </c>
      <c r="I207">
        <v>0</v>
      </c>
      <c r="J207">
        <v>0</v>
      </c>
      <c r="K207">
        <v>0</v>
      </c>
      <c r="L207">
        <v>0</v>
      </c>
      <c r="M207">
        <v>0</v>
      </c>
      <c r="O207">
        <f t="shared" si="14"/>
        <v>26048</v>
      </c>
      <c r="P207">
        <v>0</v>
      </c>
      <c r="Q207">
        <v>0</v>
      </c>
      <c r="R207">
        <v>0</v>
      </c>
      <c r="S207">
        <v>0</v>
      </c>
      <c r="T207">
        <v>0</v>
      </c>
      <c r="V207">
        <f t="shared" si="15"/>
        <v>26048</v>
      </c>
      <c r="W207">
        <v>0</v>
      </c>
      <c r="X207">
        <v>0</v>
      </c>
      <c r="Y207" s="41">
        <v>0</v>
      </c>
      <c r="Z207" s="41">
        <v>0</v>
      </c>
      <c r="AA207" s="55">
        <v>0</v>
      </c>
    </row>
    <row r="208" spans="1:27">
      <c r="A208">
        <f t="shared" si="12"/>
        <v>26048</v>
      </c>
      <c r="B208">
        <v>0</v>
      </c>
      <c r="C208">
        <v>0</v>
      </c>
      <c r="D208">
        <v>0</v>
      </c>
      <c r="E208">
        <v>0</v>
      </c>
      <c r="F208">
        <v>0</v>
      </c>
      <c r="H208">
        <f t="shared" si="13"/>
        <v>26048</v>
      </c>
      <c r="I208">
        <v>0</v>
      </c>
      <c r="J208">
        <v>0</v>
      </c>
      <c r="K208">
        <v>0</v>
      </c>
      <c r="L208">
        <v>0</v>
      </c>
      <c r="M208">
        <v>0</v>
      </c>
      <c r="O208">
        <f t="shared" si="14"/>
        <v>26048</v>
      </c>
      <c r="P208">
        <v>0</v>
      </c>
      <c r="Q208">
        <v>0</v>
      </c>
      <c r="R208">
        <v>0</v>
      </c>
      <c r="S208">
        <v>0</v>
      </c>
      <c r="T208">
        <v>0</v>
      </c>
      <c r="V208">
        <f t="shared" si="15"/>
        <v>26048</v>
      </c>
      <c r="W208">
        <v>0</v>
      </c>
      <c r="X208">
        <v>0</v>
      </c>
      <c r="Y208" s="41">
        <v>0</v>
      </c>
      <c r="Z208" s="41">
        <v>0</v>
      </c>
      <c r="AA208" s="55">
        <v>0</v>
      </c>
    </row>
    <row r="209" spans="1:27">
      <c r="A209">
        <f t="shared" si="12"/>
        <v>26048</v>
      </c>
      <c r="B209">
        <v>0</v>
      </c>
      <c r="C209">
        <v>0</v>
      </c>
      <c r="D209">
        <v>0</v>
      </c>
      <c r="E209">
        <v>0</v>
      </c>
      <c r="F209">
        <v>0</v>
      </c>
      <c r="H209">
        <f t="shared" si="13"/>
        <v>26048</v>
      </c>
      <c r="I209">
        <v>0</v>
      </c>
      <c r="J209">
        <v>0</v>
      </c>
      <c r="K209">
        <v>0</v>
      </c>
      <c r="L209">
        <v>0</v>
      </c>
      <c r="M209">
        <v>0</v>
      </c>
      <c r="O209">
        <f t="shared" si="14"/>
        <v>26048</v>
      </c>
      <c r="P209">
        <v>0</v>
      </c>
      <c r="Q209">
        <v>0</v>
      </c>
      <c r="R209">
        <v>0</v>
      </c>
      <c r="S209">
        <v>0</v>
      </c>
      <c r="T209">
        <v>0</v>
      </c>
      <c r="V209">
        <f t="shared" si="15"/>
        <v>26048</v>
      </c>
      <c r="W209">
        <v>0</v>
      </c>
      <c r="X209">
        <v>0</v>
      </c>
      <c r="Y209" s="41">
        <v>0</v>
      </c>
      <c r="Z209" s="41">
        <v>0</v>
      </c>
      <c r="AA209" s="55">
        <v>0</v>
      </c>
    </row>
    <row r="210" spans="1:27">
      <c r="A210">
        <f t="shared" si="12"/>
        <v>26048</v>
      </c>
      <c r="B210">
        <v>0</v>
      </c>
      <c r="C210">
        <v>0</v>
      </c>
      <c r="D210">
        <v>0</v>
      </c>
      <c r="E210">
        <v>0</v>
      </c>
      <c r="F210">
        <v>0</v>
      </c>
      <c r="H210">
        <f t="shared" si="13"/>
        <v>26048</v>
      </c>
      <c r="I210">
        <v>0</v>
      </c>
      <c r="J210">
        <v>0</v>
      </c>
      <c r="K210">
        <v>0</v>
      </c>
      <c r="L210">
        <v>0</v>
      </c>
      <c r="M210">
        <v>0</v>
      </c>
      <c r="O210">
        <f t="shared" si="14"/>
        <v>26048</v>
      </c>
      <c r="P210">
        <v>0</v>
      </c>
      <c r="Q210">
        <v>0</v>
      </c>
      <c r="R210">
        <v>0</v>
      </c>
      <c r="S210">
        <v>0</v>
      </c>
      <c r="T210">
        <v>0</v>
      </c>
      <c r="V210">
        <f t="shared" si="15"/>
        <v>26048</v>
      </c>
      <c r="W210">
        <v>0</v>
      </c>
      <c r="X210">
        <v>0</v>
      </c>
      <c r="Y210" s="41">
        <v>0</v>
      </c>
      <c r="Z210" s="41">
        <v>0</v>
      </c>
      <c r="AA210" s="55">
        <v>0</v>
      </c>
    </row>
    <row r="211" spans="1:27">
      <c r="A211">
        <f t="shared" si="12"/>
        <v>26048</v>
      </c>
      <c r="B211">
        <v>0</v>
      </c>
      <c r="C211">
        <v>0</v>
      </c>
      <c r="D211">
        <v>0</v>
      </c>
      <c r="E211">
        <v>0</v>
      </c>
      <c r="F211">
        <v>0</v>
      </c>
      <c r="H211">
        <f t="shared" si="13"/>
        <v>26048</v>
      </c>
      <c r="I211">
        <v>0</v>
      </c>
      <c r="J211">
        <v>0</v>
      </c>
      <c r="K211">
        <v>0</v>
      </c>
      <c r="L211">
        <v>0</v>
      </c>
      <c r="M211">
        <v>0</v>
      </c>
      <c r="O211">
        <f t="shared" si="14"/>
        <v>26048</v>
      </c>
      <c r="P211">
        <v>0</v>
      </c>
      <c r="Q211">
        <v>0</v>
      </c>
      <c r="R211">
        <v>0</v>
      </c>
      <c r="S211">
        <v>0</v>
      </c>
      <c r="T211">
        <v>0</v>
      </c>
      <c r="V211">
        <f t="shared" si="15"/>
        <v>26048</v>
      </c>
      <c r="W211">
        <v>0</v>
      </c>
      <c r="X211">
        <v>0</v>
      </c>
      <c r="Y211" s="41">
        <v>0</v>
      </c>
      <c r="Z211" s="41">
        <v>0</v>
      </c>
      <c r="AA211" s="55">
        <v>0</v>
      </c>
    </row>
    <row r="212" spans="1:27">
      <c r="A212">
        <f t="shared" si="12"/>
        <v>26048</v>
      </c>
      <c r="B212">
        <v>0</v>
      </c>
      <c r="C212">
        <v>0</v>
      </c>
      <c r="D212">
        <v>0</v>
      </c>
      <c r="E212">
        <v>0</v>
      </c>
      <c r="F212">
        <v>0</v>
      </c>
      <c r="H212">
        <f t="shared" si="13"/>
        <v>26048</v>
      </c>
      <c r="I212">
        <v>0</v>
      </c>
      <c r="J212">
        <v>0</v>
      </c>
      <c r="K212">
        <v>0</v>
      </c>
      <c r="L212">
        <v>0</v>
      </c>
      <c r="M212">
        <v>0</v>
      </c>
      <c r="O212">
        <f t="shared" si="14"/>
        <v>26048</v>
      </c>
      <c r="P212">
        <v>0</v>
      </c>
      <c r="Q212">
        <v>0</v>
      </c>
      <c r="R212">
        <v>0</v>
      </c>
      <c r="S212">
        <v>0</v>
      </c>
      <c r="T212">
        <v>0</v>
      </c>
      <c r="V212">
        <f t="shared" si="15"/>
        <v>26048</v>
      </c>
      <c r="W212">
        <v>0</v>
      </c>
      <c r="X212">
        <v>0</v>
      </c>
      <c r="Y212" s="41">
        <v>0</v>
      </c>
      <c r="Z212" s="41">
        <v>0</v>
      </c>
      <c r="AA212" s="55">
        <v>0</v>
      </c>
    </row>
    <row r="213" spans="1:27">
      <c r="A213">
        <f t="shared" si="12"/>
        <v>26048</v>
      </c>
      <c r="B213">
        <v>0</v>
      </c>
      <c r="C213">
        <v>0</v>
      </c>
      <c r="D213">
        <v>0</v>
      </c>
      <c r="E213">
        <v>0</v>
      </c>
      <c r="F213">
        <v>0</v>
      </c>
      <c r="H213">
        <f t="shared" si="13"/>
        <v>26048</v>
      </c>
      <c r="I213">
        <v>0</v>
      </c>
      <c r="J213">
        <v>0</v>
      </c>
      <c r="K213">
        <v>0</v>
      </c>
      <c r="L213">
        <v>0</v>
      </c>
      <c r="M213">
        <v>0</v>
      </c>
      <c r="O213">
        <f t="shared" si="14"/>
        <v>26048</v>
      </c>
      <c r="P213">
        <v>0</v>
      </c>
      <c r="Q213">
        <v>0</v>
      </c>
      <c r="R213">
        <v>0</v>
      </c>
      <c r="S213">
        <v>0</v>
      </c>
      <c r="T213">
        <v>0</v>
      </c>
      <c r="V213">
        <f t="shared" si="15"/>
        <v>26048</v>
      </c>
      <c r="W213">
        <v>0</v>
      </c>
      <c r="X213">
        <v>0</v>
      </c>
      <c r="Y213" s="41">
        <v>0</v>
      </c>
      <c r="Z213" s="41">
        <v>0</v>
      </c>
      <c r="AA213" s="55">
        <v>0</v>
      </c>
    </row>
    <row r="214" spans="1:27">
      <c r="A214">
        <f t="shared" si="12"/>
        <v>26048</v>
      </c>
      <c r="B214">
        <v>0</v>
      </c>
      <c r="C214">
        <v>0</v>
      </c>
      <c r="D214">
        <v>0</v>
      </c>
      <c r="E214">
        <v>0</v>
      </c>
      <c r="F214">
        <v>0</v>
      </c>
      <c r="H214">
        <f t="shared" si="13"/>
        <v>26048</v>
      </c>
      <c r="I214">
        <v>0</v>
      </c>
      <c r="J214">
        <v>0</v>
      </c>
      <c r="K214">
        <v>0</v>
      </c>
      <c r="L214">
        <v>0</v>
      </c>
      <c r="M214">
        <v>0</v>
      </c>
      <c r="O214">
        <f t="shared" si="14"/>
        <v>26048</v>
      </c>
      <c r="P214">
        <v>0</v>
      </c>
      <c r="Q214">
        <v>0</v>
      </c>
      <c r="R214">
        <v>0</v>
      </c>
      <c r="S214">
        <v>0</v>
      </c>
      <c r="T214">
        <v>0</v>
      </c>
      <c r="V214">
        <f t="shared" si="15"/>
        <v>26048</v>
      </c>
      <c r="W214">
        <v>0</v>
      </c>
      <c r="X214">
        <v>0</v>
      </c>
      <c r="Y214" s="41">
        <v>0</v>
      </c>
      <c r="Z214" s="41">
        <v>0</v>
      </c>
      <c r="AA214" s="55">
        <v>0</v>
      </c>
    </row>
    <row r="215" spans="1:27">
      <c r="A215">
        <f t="shared" si="12"/>
        <v>26048</v>
      </c>
      <c r="B215">
        <v>0</v>
      </c>
      <c r="C215">
        <v>0</v>
      </c>
      <c r="D215">
        <v>0</v>
      </c>
      <c r="E215">
        <v>0</v>
      </c>
      <c r="F215">
        <v>0</v>
      </c>
      <c r="H215">
        <f t="shared" si="13"/>
        <v>26048</v>
      </c>
      <c r="I215">
        <v>0</v>
      </c>
      <c r="J215">
        <v>0</v>
      </c>
      <c r="K215">
        <v>0</v>
      </c>
      <c r="L215">
        <v>0</v>
      </c>
      <c r="M215">
        <v>0</v>
      </c>
      <c r="O215">
        <f t="shared" si="14"/>
        <v>26048</v>
      </c>
      <c r="P215">
        <v>0</v>
      </c>
      <c r="Q215">
        <v>0</v>
      </c>
      <c r="R215">
        <v>0</v>
      </c>
      <c r="S215">
        <v>0</v>
      </c>
      <c r="T215">
        <v>0</v>
      </c>
      <c r="V215">
        <f t="shared" si="15"/>
        <v>26048</v>
      </c>
      <c r="W215">
        <v>0</v>
      </c>
      <c r="X215">
        <v>0</v>
      </c>
      <c r="Y215" s="41">
        <v>0</v>
      </c>
      <c r="Z215" s="41">
        <v>0</v>
      </c>
      <c r="AA215" s="55">
        <v>0</v>
      </c>
    </row>
    <row r="216" spans="1:27">
      <c r="A216">
        <f t="shared" si="12"/>
        <v>26048</v>
      </c>
      <c r="B216">
        <v>0</v>
      </c>
      <c r="C216">
        <v>0</v>
      </c>
      <c r="D216">
        <v>0</v>
      </c>
      <c r="E216">
        <v>0</v>
      </c>
      <c r="F216">
        <v>0</v>
      </c>
      <c r="H216">
        <f t="shared" si="13"/>
        <v>26048</v>
      </c>
      <c r="I216">
        <v>0</v>
      </c>
      <c r="J216">
        <v>0</v>
      </c>
      <c r="K216">
        <v>0</v>
      </c>
      <c r="L216">
        <v>0</v>
      </c>
      <c r="M216">
        <v>0</v>
      </c>
      <c r="O216">
        <f t="shared" si="14"/>
        <v>26048</v>
      </c>
      <c r="P216">
        <v>0</v>
      </c>
      <c r="Q216">
        <v>0</v>
      </c>
      <c r="R216">
        <v>0</v>
      </c>
      <c r="S216">
        <v>0</v>
      </c>
      <c r="T216">
        <v>0</v>
      </c>
      <c r="V216">
        <f t="shared" si="15"/>
        <v>26048</v>
      </c>
      <c r="W216">
        <v>0</v>
      </c>
      <c r="X216">
        <v>0</v>
      </c>
      <c r="Y216" s="41">
        <v>0</v>
      </c>
      <c r="Z216" s="41">
        <v>0</v>
      </c>
      <c r="AA216" s="55">
        <v>0</v>
      </c>
    </row>
    <row r="217" spans="1:27">
      <c r="A217">
        <f t="shared" si="12"/>
        <v>26048</v>
      </c>
      <c r="B217">
        <v>0</v>
      </c>
      <c r="C217">
        <v>0</v>
      </c>
      <c r="D217">
        <v>0</v>
      </c>
      <c r="E217">
        <v>0</v>
      </c>
      <c r="F217">
        <v>0</v>
      </c>
      <c r="H217">
        <f t="shared" si="13"/>
        <v>26048</v>
      </c>
      <c r="I217">
        <v>0</v>
      </c>
      <c r="J217">
        <v>0</v>
      </c>
      <c r="K217">
        <v>0</v>
      </c>
      <c r="L217">
        <v>0</v>
      </c>
      <c r="M217">
        <v>0</v>
      </c>
      <c r="O217">
        <f t="shared" si="14"/>
        <v>26048</v>
      </c>
      <c r="P217">
        <v>0</v>
      </c>
      <c r="Q217">
        <v>0</v>
      </c>
      <c r="R217">
        <v>0</v>
      </c>
      <c r="S217">
        <v>0</v>
      </c>
      <c r="T217">
        <v>0</v>
      </c>
      <c r="V217">
        <f t="shared" si="15"/>
        <v>26048</v>
      </c>
      <c r="W217">
        <v>0</v>
      </c>
      <c r="X217">
        <v>0</v>
      </c>
      <c r="Y217" s="41">
        <v>0</v>
      </c>
      <c r="Z217" s="41">
        <v>0</v>
      </c>
      <c r="AA217" s="55">
        <v>0</v>
      </c>
    </row>
    <row r="218" spans="1:27">
      <c r="A218">
        <f t="shared" si="12"/>
        <v>26048</v>
      </c>
      <c r="B218">
        <v>0</v>
      </c>
      <c r="C218">
        <v>0</v>
      </c>
      <c r="D218">
        <v>0</v>
      </c>
      <c r="E218">
        <v>0</v>
      </c>
      <c r="F218">
        <v>0</v>
      </c>
      <c r="H218">
        <f t="shared" si="13"/>
        <v>26048</v>
      </c>
      <c r="I218">
        <v>0</v>
      </c>
      <c r="J218">
        <v>0</v>
      </c>
      <c r="K218">
        <v>0</v>
      </c>
      <c r="L218">
        <v>0</v>
      </c>
      <c r="M218">
        <v>0</v>
      </c>
      <c r="O218">
        <f t="shared" si="14"/>
        <v>26048</v>
      </c>
      <c r="P218">
        <v>0</v>
      </c>
      <c r="Q218">
        <v>0</v>
      </c>
      <c r="R218">
        <v>0</v>
      </c>
      <c r="S218">
        <v>0</v>
      </c>
      <c r="T218">
        <v>0</v>
      </c>
      <c r="V218">
        <f t="shared" si="15"/>
        <v>26048</v>
      </c>
      <c r="W218">
        <v>0</v>
      </c>
      <c r="X218">
        <v>0</v>
      </c>
      <c r="Y218" s="41">
        <v>0</v>
      </c>
      <c r="Z218" s="41">
        <v>0</v>
      </c>
      <c r="AA218" s="55">
        <v>0</v>
      </c>
    </row>
    <row r="219" spans="1:27">
      <c r="A219">
        <f t="shared" si="12"/>
        <v>26048</v>
      </c>
      <c r="B219">
        <v>0</v>
      </c>
      <c r="C219">
        <v>0</v>
      </c>
      <c r="D219">
        <v>0</v>
      </c>
      <c r="E219">
        <v>0</v>
      </c>
      <c r="F219">
        <v>0</v>
      </c>
      <c r="H219">
        <f t="shared" si="13"/>
        <v>26048</v>
      </c>
      <c r="I219">
        <v>0</v>
      </c>
      <c r="J219">
        <v>0</v>
      </c>
      <c r="K219">
        <v>0</v>
      </c>
      <c r="L219">
        <v>0</v>
      </c>
      <c r="M219">
        <v>0</v>
      </c>
      <c r="O219">
        <f t="shared" si="14"/>
        <v>26048</v>
      </c>
      <c r="P219">
        <v>0</v>
      </c>
      <c r="Q219">
        <v>0</v>
      </c>
      <c r="R219">
        <v>0</v>
      </c>
      <c r="S219">
        <v>0</v>
      </c>
      <c r="T219">
        <v>0</v>
      </c>
      <c r="V219">
        <f t="shared" si="15"/>
        <v>26048</v>
      </c>
      <c r="W219">
        <v>0</v>
      </c>
      <c r="X219">
        <v>0</v>
      </c>
      <c r="Y219" s="41">
        <v>0</v>
      </c>
      <c r="Z219" s="41">
        <v>0</v>
      </c>
      <c r="AA219" s="55">
        <v>0</v>
      </c>
    </row>
    <row r="220" spans="1:27">
      <c r="A220">
        <f t="shared" si="12"/>
        <v>26048</v>
      </c>
      <c r="B220">
        <v>0</v>
      </c>
      <c r="C220">
        <v>0</v>
      </c>
      <c r="D220">
        <v>0</v>
      </c>
      <c r="E220">
        <v>0</v>
      </c>
      <c r="F220">
        <v>0</v>
      </c>
      <c r="H220">
        <f t="shared" si="13"/>
        <v>26048</v>
      </c>
      <c r="I220">
        <v>0</v>
      </c>
      <c r="J220">
        <v>0</v>
      </c>
      <c r="K220">
        <v>0</v>
      </c>
      <c r="L220">
        <v>0</v>
      </c>
      <c r="M220">
        <v>0</v>
      </c>
      <c r="O220">
        <f t="shared" si="14"/>
        <v>26048</v>
      </c>
      <c r="P220">
        <v>0</v>
      </c>
      <c r="Q220">
        <v>0</v>
      </c>
      <c r="R220">
        <v>0</v>
      </c>
      <c r="S220">
        <v>0</v>
      </c>
      <c r="T220">
        <v>0</v>
      </c>
      <c r="V220">
        <f t="shared" si="15"/>
        <v>26048</v>
      </c>
      <c r="W220">
        <v>0</v>
      </c>
      <c r="X220">
        <v>0</v>
      </c>
      <c r="Y220" s="41">
        <v>0</v>
      </c>
      <c r="Z220" s="41">
        <v>0</v>
      </c>
      <c r="AA220" s="55">
        <v>0</v>
      </c>
    </row>
    <row r="221" spans="1:27">
      <c r="A221">
        <f t="shared" si="12"/>
        <v>26048</v>
      </c>
      <c r="B221">
        <v>0</v>
      </c>
      <c r="C221">
        <v>0</v>
      </c>
      <c r="D221">
        <v>0</v>
      </c>
      <c r="E221">
        <v>0</v>
      </c>
      <c r="F221">
        <v>0</v>
      </c>
      <c r="H221">
        <f t="shared" si="13"/>
        <v>26048</v>
      </c>
      <c r="I221">
        <v>0</v>
      </c>
      <c r="J221">
        <v>0</v>
      </c>
      <c r="K221">
        <v>0</v>
      </c>
      <c r="L221">
        <v>0</v>
      </c>
      <c r="M221">
        <v>0</v>
      </c>
      <c r="O221">
        <f t="shared" si="14"/>
        <v>26048</v>
      </c>
      <c r="P221">
        <v>0</v>
      </c>
      <c r="Q221">
        <v>0</v>
      </c>
      <c r="R221">
        <v>0</v>
      </c>
      <c r="S221">
        <v>0</v>
      </c>
      <c r="T221">
        <v>0</v>
      </c>
      <c r="V221">
        <f t="shared" si="15"/>
        <v>26048</v>
      </c>
      <c r="W221">
        <v>0</v>
      </c>
      <c r="X221">
        <v>0</v>
      </c>
      <c r="Y221" s="41">
        <v>0</v>
      </c>
      <c r="Z221" s="41">
        <v>0</v>
      </c>
      <c r="AA221" s="55">
        <v>0</v>
      </c>
    </row>
    <row r="222" spans="1:27">
      <c r="A222">
        <f t="shared" si="12"/>
        <v>26048</v>
      </c>
      <c r="B222">
        <v>0</v>
      </c>
      <c r="C222">
        <v>0</v>
      </c>
      <c r="D222">
        <v>0</v>
      </c>
      <c r="E222">
        <v>0</v>
      </c>
      <c r="F222">
        <v>0</v>
      </c>
      <c r="H222">
        <f t="shared" si="13"/>
        <v>26048</v>
      </c>
      <c r="I222">
        <v>0</v>
      </c>
      <c r="J222">
        <v>0</v>
      </c>
      <c r="K222">
        <v>0</v>
      </c>
      <c r="L222">
        <v>0</v>
      </c>
      <c r="M222">
        <v>0</v>
      </c>
      <c r="O222">
        <f t="shared" si="14"/>
        <v>26048</v>
      </c>
      <c r="P222">
        <v>0</v>
      </c>
      <c r="Q222">
        <v>0</v>
      </c>
      <c r="R222">
        <v>0</v>
      </c>
      <c r="S222">
        <v>0</v>
      </c>
      <c r="T222">
        <v>0</v>
      </c>
      <c r="V222">
        <f t="shared" si="15"/>
        <v>26048</v>
      </c>
      <c r="W222">
        <v>0</v>
      </c>
      <c r="X222">
        <v>0</v>
      </c>
      <c r="Y222" s="41">
        <v>0</v>
      </c>
      <c r="Z222" s="41">
        <v>0</v>
      </c>
      <c r="AA222" s="55">
        <v>0</v>
      </c>
    </row>
    <row r="223" spans="1:27">
      <c r="A223">
        <f t="shared" si="12"/>
        <v>26048</v>
      </c>
      <c r="B223">
        <v>0</v>
      </c>
      <c r="C223">
        <v>0</v>
      </c>
      <c r="D223">
        <v>0</v>
      </c>
      <c r="E223">
        <v>0</v>
      </c>
      <c r="F223">
        <v>0</v>
      </c>
      <c r="H223">
        <f t="shared" si="13"/>
        <v>26048</v>
      </c>
      <c r="I223">
        <v>0</v>
      </c>
      <c r="J223">
        <v>0</v>
      </c>
      <c r="K223">
        <v>0</v>
      </c>
      <c r="L223">
        <v>0</v>
      </c>
      <c r="M223">
        <v>0</v>
      </c>
      <c r="O223">
        <f t="shared" si="14"/>
        <v>26048</v>
      </c>
      <c r="P223">
        <v>0</v>
      </c>
      <c r="Q223">
        <v>0</v>
      </c>
      <c r="R223">
        <v>0</v>
      </c>
      <c r="S223">
        <v>0</v>
      </c>
      <c r="T223">
        <v>0</v>
      </c>
      <c r="V223">
        <f t="shared" si="15"/>
        <v>26048</v>
      </c>
      <c r="W223">
        <v>0</v>
      </c>
      <c r="X223">
        <v>0</v>
      </c>
      <c r="Y223" s="41">
        <v>0</v>
      </c>
      <c r="Z223" s="41">
        <v>0</v>
      </c>
      <c r="AA223" s="55">
        <v>0</v>
      </c>
    </row>
    <row r="224" spans="1:27">
      <c r="A224">
        <f t="shared" si="12"/>
        <v>26048</v>
      </c>
      <c r="B224">
        <v>0</v>
      </c>
      <c r="C224">
        <v>0</v>
      </c>
      <c r="D224">
        <v>0</v>
      </c>
      <c r="E224">
        <v>0</v>
      </c>
      <c r="F224">
        <v>0</v>
      </c>
      <c r="H224">
        <f t="shared" si="13"/>
        <v>26048</v>
      </c>
      <c r="I224">
        <v>0</v>
      </c>
      <c r="J224">
        <v>0</v>
      </c>
      <c r="K224">
        <v>0</v>
      </c>
      <c r="L224">
        <v>0</v>
      </c>
      <c r="M224">
        <v>0</v>
      </c>
      <c r="O224">
        <f t="shared" si="14"/>
        <v>26048</v>
      </c>
      <c r="P224">
        <v>0</v>
      </c>
      <c r="Q224">
        <v>0</v>
      </c>
      <c r="R224">
        <v>0</v>
      </c>
      <c r="S224">
        <v>0</v>
      </c>
      <c r="T224">
        <v>0</v>
      </c>
      <c r="V224">
        <f t="shared" si="15"/>
        <v>26048</v>
      </c>
      <c r="W224">
        <v>0</v>
      </c>
      <c r="X224">
        <v>0</v>
      </c>
      <c r="Y224" s="41">
        <v>0</v>
      </c>
      <c r="Z224" s="41">
        <v>0</v>
      </c>
      <c r="AA224" s="55">
        <v>0</v>
      </c>
    </row>
    <row r="225" spans="1:27">
      <c r="A225">
        <f t="shared" si="12"/>
        <v>26048</v>
      </c>
      <c r="B225">
        <v>0</v>
      </c>
      <c r="C225">
        <v>0</v>
      </c>
      <c r="D225">
        <v>0</v>
      </c>
      <c r="E225">
        <v>0</v>
      </c>
      <c r="F225">
        <v>0</v>
      </c>
      <c r="H225">
        <f t="shared" si="13"/>
        <v>26048</v>
      </c>
      <c r="I225">
        <v>0</v>
      </c>
      <c r="J225">
        <v>0</v>
      </c>
      <c r="K225">
        <v>0</v>
      </c>
      <c r="L225">
        <v>0</v>
      </c>
      <c r="M225">
        <v>0</v>
      </c>
      <c r="O225">
        <f t="shared" si="14"/>
        <v>26048</v>
      </c>
      <c r="P225">
        <v>0</v>
      </c>
      <c r="Q225">
        <v>0</v>
      </c>
      <c r="R225">
        <v>0</v>
      </c>
      <c r="S225">
        <v>0</v>
      </c>
      <c r="T225">
        <v>0</v>
      </c>
      <c r="V225">
        <f t="shared" si="15"/>
        <v>26048</v>
      </c>
      <c r="W225">
        <v>0</v>
      </c>
      <c r="X225">
        <v>0</v>
      </c>
      <c r="Y225" s="41">
        <v>0</v>
      </c>
      <c r="Z225" s="41">
        <v>0</v>
      </c>
      <c r="AA225" s="55">
        <v>0</v>
      </c>
    </row>
    <row r="226" spans="1:27">
      <c r="A226">
        <f t="shared" si="12"/>
        <v>26048</v>
      </c>
      <c r="B226">
        <v>0</v>
      </c>
      <c r="C226">
        <v>0</v>
      </c>
      <c r="D226">
        <v>0</v>
      </c>
      <c r="E226">
        <v>0</v>
      </c>
      <c r="F226">
        <v>0</v>
      </c>
      <c r="H226">
        <f t="shared" si="13"/>
        <v>26048</v>
      </c>
      <c r="I226">
        <v>0</v>
      </c>
      <c r="J226">
        <v>0</v>
      </c>
      <c r="K226">
        <v>0</v>
      </c>
      <c r="L226">
        <v>0</v>
      </c>
      <c r="M226">
        <v>0</v>
      </c>
      <c r="O226">
        <f t="shared" si="14"/>
        <v>26048</v>
      </c>
      <c r="P226">
        <v>0</v>
      </c>
      <c r="Q226">
        <v>0</v>
      </c>
      <c r="R226">
        <v>0</v>
      </c>
      <c r="S226">
        <v>0</v>
      </c>
      <c r="T226">
        <v>0</v>
      </c>
      <c r="V226">
        <f t="shared" si="15"/>
        <v>26048</v>
      </c>
      <c r="W226">
        <v>0</v>
      </c>
      <c r="X226">
        <v>0</v>
      </c>
      <c r="Y226" s="41">
        <v>0</v>
      </c>
      <c r="Z226" s="41">
        <v>0</v>
      </c>
      <c r="AA226" s="55">
        <v>0</v>
      </c>
    </row>
    <row r="227" spans="1:27">
      <c r="A227">
        <f t="shared" si="12"/>
        <v>26048</v>
      </c>
      <c r="B227">
        <v>0</v>
      </c>
      <c r="C227">
        <v>0</v>
      </c>
      <c r="D227">
        <v>0</v>
      </c>
      <c r="E227">
        <v>0</v>
      </c>
      <c r="F227">
        <v>0</v>
      </c>
      <c r="H227">
        <f t="shared" si="13"/>
        <v>26048</v>
      </c>
      <c r="I227">
        <v>0</v>
      </c>
      <c r="J227">
        <v>0</v>
      </c>
      <c r="K227">
        <v>0</v>
      </c>
      <c r="L227">
        <v>0</v>
      </c>
      <c r="M227">
        <v>0</v>
      </c>
      <c r="O227">
        <f t="shared" si="14"/>
        <v>26048</v>
      </c>
      <c r="P227">
        <v>0</v>
      </c>
      <c r="Q227">
        <v>0</v>
      </c>
      <c r="R227">
        <v>0</v>
      </c>
      <c r="S227">
        <v>0</v>
      </c>
      <c r="T227">
        <v>0</v>
      </c>
      <c r="V227">
        <f t="shared" si="15"/>
        <v>26048</v>
      </c>
      <c r="W227">
        <v>0</v>
      </c>
      <c r="X227">
        <v>0</v>
      </c>
      <c r="Y227" s="41">
        <v>0</v>
      </c>
      <c r="Z227" s="41">
        <v>0</v>
      </c>
      <c r="AA227" s="55">
        <v>0</v>
      </c>
    </row>
    <row r="228" spans="1:27">
      <c r="A228">
        <f t="shared" si="12"/>
        <v>26048</v>
      </c>
      <c r="B228">
        <v>0</v>
      </c>
      <c r="C228">
        <v>0</v>
      </c>
      <c r="D228">
        <v>0</v>
      </c>
      <c r="E228">
        <v>0</v>
      </c>
      <c r="F228">
        <v>0</v>
      </c>
      <c r="H228">
        <f t="shared" si="13"/>
        <v>26048</v>
      </c>
      <c r="I228">
        <v>0</v>
      </c>
      <c r="J228">
        <v>0</v>
      </c>
      <c r="K228">
        <v>0</v>
      </c>
      <c r="L228">
        <v>0</v>
      </c>
      <c r="M228">
        <v>0</v>
      </c>
      <c r="O228">
        <f t="shared" si="14"/>
        <v>26048</v>
      </c>
      <c r="P228">
        <v>0</v>
      </c>
      <c r="Q228">
        <v>0</v>
      </c>
      <c r="R228">
        <v>0</v>
      </c>
      <c r="S228">
        <v>0</v>
      </c>
      <c r="T228">
        <v>0</v>
      </c>
      <c r="V228">
        <f t="shared" si="15"/>
        <v>26048</v>
      </c>
      <c r="W228">
        <v>0</v>
      </c>
      <c r="X228">
        <v>0</v>
      </c>
      <c r="Y228" s="41">
        <v>0</v>
      </c>
      <c r="Z228" s="41">
        <v>0</v>
      </c>
      <c r="AA228" s="55">
        <v>0</v>
      </c>
    </row>
    <row r="229" spans="1:27">
      <c r="A229">
        <f t="shared" si="12"/>
        <v>26048</v>
      </c>
      <c r="B229">
        <v>0</v>
      </c>
      <c r="C229">
        <v>0</v>
      </c>
      <c r="D229">
        <v>0</v>
      </c>
      <c r="E229">
        <v>0</v>
      </c>
      <c r="F229">
        <v>0</v>
      </c>
      <c r="H229">
        <f t="shared" si="13"/>
        <v>26048</v>
      </c>
      <c r="I229">
        <v>0</v>
      </c>
      <c r="J229">
        <v>0</v>
      </c>
      <c r="K229">
        <v>0</v>
      </c>
      <c r="L229">
        <v>0</v>
      </c>
      <c r="M229">
        <v>0</v>
      </c>
      <c r="O229">
        <f t="shared" si="14"/>
        <v>26048</v>
      </c>
      <c r="P229">
        <v>0</v>
      </c>
      <c r="Q229">
        <v>0</v>
      </c>
      <c r="R229">
        <v>0</v>
      </c>
      <c r="S229">
        <v>0</v>
      </c>
      <c r="T229">
        <v>0</v>
      </c>
      <c r="V229">
        <f t="shared" si="15"/>
        <v>26048</v>
      </c>
      <c r="W229">
        <v>0</v>
      </c>
      <c r="X229">
        <v>0</v>
      </c>
      <c r="Y229" s="41">
        <v>0</v>
      </c>
      <c r="Z229" s="41">
        <v>0</v>
      </c>
      <c r="AA229" s="55">
        <v>0</v>
      </c>
    </row>
    <row r="230" spans="1:27">
      <c r="A230">
        <f t="shared" si="12"/>
        <v>26048</v>
      </c>
      <c r="B230">
        <v>0</v>
      </c>
      <c r="C230">
        <v>0</v>
      </c>
      <c r="D230">
        <v>0</v>
      </c>
      <c r="E230">
        <v>0</v>
      </c>
      <c r="F230">
        <v>0</v>
      </c>
      <c r="H230">
        <f t="shared" si="13"/>
        <v>26048</v>
      </c>
      <c r="I230">
        <v>0</v>
      </c>
      <c r="J230">
        <v>0</v>
      </c>
      <c r="K230">
        <v>0</v>
      </c>
      <c r="L230">
        <v>0</v>
      </c>
      <c r="M230">
        <v>0</v>
      </c>
      <c r="O230">
        <f t="shared" si="14"/>
        <v>26048</v>
      </c>
      <c r="P230">
        <v>0</v>
      </c>
      <c r="Q230">
        <v>0</v>
      </c>
      <c r="R230">
        <v>0</v>
      </c>
      <c r="S230">
        <v>0</v>
      </c>
      <c r="T230">
        <v>0</v>
      </c>
      <c r="V230">
        <f t="shared" si="15"/>
        <v>26048</v>
      </c>
      <c r="W230">
        <v>0</v>
      </c>
      <c r="X230">
        <v>0</v>
      </c>
      <c r="Y230" s="41">
        <v>0</v>
      </c>
      <c r="Z230" s="41">
        <v>0</v>
      </c>
      <c r="AA230" s="55">
        <v>0</v>
      </c>
    </row>
    <row r="231" spans="1:27">
      <c r="A231">
        <f t="shared" si="12"/>
        <v>26048</v>
      </c>
      <c r="B231">
        <v>0</v>
      </c>
      <c r="C231">
        <v>0</v>
      </c>
      <c r="D231">
        <v>0</v>
      </c>
      <c r="E231">
        <v>0</v>
      </c>
      <c r="F231">
        <v>0</v>
      </c>
      <c r="H231">
        <f t="shared" si="13"/>
        <v>26048</v>
      </c>
      <c r="I231">
        <v>0</v>
      </c>
      <c r="J231">
        <v>0</v>
      </c>
      <c r="K231">
        <v>0</v>
      </c>
      <c r="L231">
        <v>0</v>
      </c>
      <c r="M231">
        <v>0</v>
      </c>
      <c r="O231">
        <f t="shared" si="14"/>
        <v>26048</v>
      </c>
      <c r="P231">
        <v>0</v>
      </c>
      <c r="Q231">
        <v>0</v>
      </c>
      <c r="R231">
        <v>0</v>
      </c>
      <c r="S231">
        <v>0</v>
      </c>
      <c r="T231">
        <v>0</v>
      </c>
      <c r="V231">
        <f t="shared" si="15"/>
        <v>26048</v>
      </c>
      <c r="W231">
        <v>0</v>
      </c>
      <c r="X231">
        <v>0</v>
      </c>
      <c r="Y231" s="41">
        <v>0</v>
      </c>
      <c r="Z231" s="41">
        <v>0</v>
      </c>
      <c r="AA231" s="55">
        <v>0</v>
      </c>
    </row>
    <row r="232" spans="1:27">
      <c r="A232">
        <f t="shared" si="12"/>
        <v>26048</v>
      </c>
      <c r="B232">
        <v>0</v>
      </c>
      <c r="C232">
        <v>0</v>
      </c>
      <c r="D232">
        <v>0</v>
      </c>
      <c r="E232">
        <v>0</v>
      </c>
      <c r="F232">
        <v>0</v>
      </c>
      <c r="H232">
        <f t="shared" si="13"/>
        <v>26048</v>
      </c>
      <c r="I232">
        <v>0</v>
      </c>
      <c r="J232">
        <v>0</v>
      </c>
      <c r="K232">
        <v>0</v>
      </c>
      <c r="L232">
        <v>0</v>
      </c>
      <c r="M232">
        <v>0</v>
      </c>
      <c r="O232">
        <f t="shared" si="14"/>
        <v>26048</v>
      </c>
      <c r="P232">
        <v>0</v>
      </c>
      <c r="Q232">
        <v>0</v>
      </c>
      <c r="R232">
        <v>0</v>
      </c>
      <c r="S232">
        <v>0</v>
      </c>
      <c r="T232">
        <v>0</v>
      </c>
      <c r="V232">
        <f t="shared" si="15"/>
        <v>26048</v>
      </c>
      <c r="W232">
        <v>0</v>
      </c>
      <c r="X232">
        <v>0</v>
      </c>
      <c r="Y232" s="41">
        <v>0</v>
      </c>
      <c r="Z232" s="41">
        <v>0</v>
      </c>
      <c r="AA232" s="55">
        <v>0</v>
      </c>
    </row>
    <row r="233" spans="1:27">
      <c r="A233">
        <f t="shared" si="12"/>
        <v>26048</v>
      </c>
      <c r="B233">
        <v>0</v>
      </c>
      <c r="C233">
        <v>0</v>
      </c>
      <c r="D233">
        <v>0</v>
      </c>
      <c r="E233">
        <v>0</v>
      </c>
      <c r="F233">
        <v>0</v>
      </c>
      <c r="H233">
        <f t="shared" si="13"/>
        <v>26048</v>
      </c>
      <c r="I233">
        <v>0</v>
      </c>
      <c r="J233">
        <v>0</v>
      </c>
      <c r="K233">
        <v>0</v>
      </c>
      <c r="L233">
        <v>0</v>
      </c>
      <c r="M233">
        <v>0</v>
      </c>
      <c r="O233">
        <f t="shared" si="14"/>
        <v>26048</v>
      </c>
      <c r="P233">
        <v>0</v>
      </c>
      <c r="Q233">
        <v>0</v>
      </c>
      <c r="R233">
        <v>0</v>
      </c>
      <c r="S233">
        <v>0</v>
      </c>
      <c r="T233">
        <v>0</v>
      </c>
      <c r="V233">
        <f t="shared" si="15"/>
        <v>26048</v>
      </c>
      <c r="W233">
        <v>0</v>
      </c>
      <c r="X233">
        <v>0</v>
      </c>
      <c r="Y233" s="41">
        <v>0</v>
      </c>
      <c r="Z233" s="41">
        <v>0</v>
      </c>
      <c r="AA233" s="55">
        <v>0</v>
      </c>
    </row>
    <row r="234" spans="1:27">
      <c r="A234">
        <f t="shared" si="12"/>
        <v>26048</v>
      </c>
      <c r="B234">
        <v>0</v>
      </c>
      <c r="C234">
        <v>0</v>
      </c>
      <c r="D234">
        <v>0</v>
      </c>
      <c r="E234">
        <v>0</v>
      </c>
      <c r="F234">
        <v>0</v>
      </c>
      <c r="H234">
        <f t="shared" si="13"/>
        <v>26048</v>
      </c>
      <c r="I234">
        <v>0</v>
      </c>
      <c r="J234">
        <v>0</v>
      </c>
      <c r="K234">
        <v>0</v>
      </c>
      <c r="L234">
        <v>0</v>
      </c>
      <c r="M234">
        <v>0</v>
      </c>
      <c r="O234">
        <f t="shared" si="14"/>
        <v>26048</v>
      </c>
      <c r="P234">
        <v>0</v>
      </c>
      <c r="Q234">
        <v>0</v>
      </c>
      <c r="R234">
        <v>0</v>
      </c>
      <c r="S234">
        <v>0</v>
      </c>
      <c r="T234">
        <v>0</v>
      </c>
      <c r="V234">
        <f t="shared" si="15"/>
        <v>26048</v>
      </c>
      <c r="W234">
        <v>0</v>
      </c>
      <c r="X234">
        <v>0</v>
      </c>
      <c r="Y234" s="41">
        <v>0</v>
      </c>
      <c r="Z234" s="41">
        <v>0</v>
      </c>
      <c r="AA234" s="55">
        <v>0</v>
      </c>
    </row>
    <row r="235" spans="1:27">
      <c r="A235">
        <f t="shared" si="12"/>
        <v>26048</v>
      </c>
      <c r="B235">
        <v>0</v>
      </c>
      <c r="C235">
        <v>0</v>
      </c>
      <c r="D235">
        <v>0</v>
      </c>
      <c r="E235">
        <v>0</v>
      </c>
      <c r="F235">
        <v>0</v>
      </c>
      <c r="H235">
        <f t="shared" si="13"/>
        <v>26048</v>
      </c>
      <c r="I235">
        <v>0</v>
      </c>
      <c r="J235">
        <v>0</v>
      </c>
      <c r="K235">
        <v>0</v>
      </c>
      <c r="L235">
        <v>0</v>
      </c>
      <c r="M235">
        <v>0</v>
      </c>
      <c r="O235">
        <f t="shared" si="14"/>
        <v>26048</v>
      </c>
      <c r="P235">
        <v>0</v>
      </c>
      <c r="Q235">
        <v>0</v>
      </c>
      <c r="R235">
        <v>0</v>
      </c>
      <c r="S235">
        <v>0</v>
      </c>
      <c r="T235">
        <v>0</v>
      </c>
      <c r="V235">
        <f t="shared" si="15"/>
        <v>26048</v>
      </c>
      <c r="W235">
        <v>0</v>
      </c>
      <c r="X235">
        <v>0</v>
      </c>
      <c r="Y235" s="41">
        <v>0</v>
      </c>
      <c r="Z235" s="41">
        <v>0</v>
      </c>
      <c r="AA235" s="55">
        <v>0</v>
      </c>
    </row>
    <row r="236" spans="1:27">
      <c r="A236">
        <f t="shared" si="12"/>
        <v>26048</v>
      </c>
      <c r="B236">
        <v>0</v>
      </c>
      <c r="C236">
        <v>0</v>
      </c>
      <c r="D236">
        <v>0</v>
      </c>
      <c r="E236">
        <v>0</v>
      </c>
      <c r="F236">
        <v>0</v>
      </c>
      <c r="H236">
        <f t="shared" si="13"/>
        <v>26048</v>
      </c>
      <c r="I236">
        <v>0</v>
      </c>
      <c r="J236">
        <v>0</v>
      </c>
      <c r="K236">
        <v>0</v>
      </c>
      <c r="L236">
        <v>0</v>
      </c>
      <c r="M236">
        <v>0</v>
      </c>
      <c r="O236">
        <f t="shared" si="14"/>
        <v>26048</v>
      </c>
      <c r="P236">
        <v>0</v>
      </c>
      <c r="Q236">
        <v>0</v>
      </c>
      <c r="R236">
        <v>0</v>
      </c>
      <c r="S236">
        <v>0</v>
      </c>
      <c r="T236">
        <v>0</v>
      </c>
      <c r="V236">
        <f t="shared" si="15"/>
        <v>26048</v>
      </c>
      <c r="W236">
        <v>0</v>
      </c>
      <c r="X236">
        <v>0</v>
      </c>
      <c r="Y236" s="41">
        <v>0</v>
      </c>
      <c r="Z236" s="41">
        <v>0</v>
      </c>
      <c r="AA236" s="55">
        <v>0</v>
      </c>
    </row>
    <row r="237" spans="1:27">
      <c r="A237">
        <f t="shared" si="12"/>
        <v>26048</v>
      </c>
      <c r="B237">
        <v>0</v>
      </c>
      <c r="C237">
        <v>0</v>
      </c>
      <c r="D237">
        <v>0</v>
      </c>
      <c r="E237">
        <v>0</v>
      </c>
      <c r="F237">
        <v>0</v>
      </c>
      <c r="H237">
        <f t="shared" si="13"/>
        <v>26048</v>
      </c>
      <c r="I237">
        <v>0</v>
      </c>
      <c r="J237">
        <v>0</v>
      </c>
      <c r="K237">
        <v>0</v>
      </c>
      <c r="L237">
        <v>0</v>
      </c>
      <c r="M237">
        <v>0</v>
      </c>
      <c r="O237">
        <f t="shared" si="14"/>
        <v>26048</v>
      </c>
      <c r="P237">
        <v>0</v>
      </c>
      <c r="Q237">
        <v>0</v>
      </c>
      <c r="R237">
        <v>0</v>
      </c>
      <c r="S237">
        <v>0</v>
      </c>
      <c r="T237">
        <v>0</v>
      </c>
      <c r="V237">
        <f t="shared" si="15"/>
        <v>26048</v>
      </c>
      <c r="W237">
        <v>0</v>
      </c>
      <c r="X237">
        <v>0</v>
      </c>
      <c r="Y237" s="41">
        <v>0</v>
      </c>
      <c r="Z237" s="41">
        <v>0</v>
      </c>
      <c r="AA237" s="55">
        <v>0</v>
      </c>
    </row>
    <row r="238" spans="1:27">
      <c r="A238">
        <f t="shared" si="12"/>
        <v>26048</v>
      </c>
      <c r="B238">
        <v>0</v>
      </c>
      <c r="C238">
        <v>0</v>
      </c>
      <c r="D238">
        <v>0</v>
      </c>
      <c r="E238">
        <v>0</v>
      </c>
      <c r="F238">
        <v>0</v>
      </c>
      <c r="H238">
        <f t="shared" si="13"/>
        <v>26048</v>
      </c>
      <c r="I238">
        <v>0</v>
      </c>
      <c r="J238">
        <v>0</v>
      </c>
      <c r="K238">
        <v>0</v>
      </c>
      <c r="L238">
        <v>0</v>
      </c>
      <c r="M238">
        <v>0</v>
      </c>
      <c r="O238">
        <f t="shared" si="14"/>
        <v>26048</v>
      </c>
      <c r="P238">
        <v>0</v>
      </c>
      <c r="Q238">
        <v>0</v>
      </c>
      <c r="R238">
        <v>0</v>
      </c>
      <c r="S238">
        <v>0</v>
      </c>
      <c r="T238">
        <v>0</v>
      </c>
      <c r="V238">
        <f t="shared" si="15"/>
        <v>26048</v>
      </c>
      <c r="W238">
        <v>0</v>
      </c>
      <c r="X238">
        <v>0</v>
      </c>
      <c r="Y238" s="41">
        <v>0</v>
      </c>
      <c r="Z238" s="41">
        <v>0</v>
      </c>
      <c r="AA238" s="55">
        <v>0</v>
      </c>
    </row>
    <row r="239" spans="1:27">
      <c r="A239">
        <f t="shared" si="12"/>
        <v>26048</v>
      </c>
      <c r="B239">
        <v>0</v>
      </c>
      <c r="C239">
        <v>0</v>
      </c>
      <c r="D239">
        <v>0</v>
      </c>
      <c r="E239">
        <v>0</v>
      </c>
      <c r="F239">
        <v>0</v>
      </c>
      <c r="H239">
        <f t="shared" si="13"/>
        <v>26048</v>
      </c>
      <c r="I239">
        <v>0</v>
      </c>
      <c r="J239">
        <v>0</v>
      </c>
      <c r="K239">
        <v>0</v>
      </c>
      <c r="L239">
        <v>0</v>
      </c>
      <c r="M239">
        <v>0</v>
      </c>
      <c r="O239">
        <f t="shared" si="14"/>
        <v>26048</v>
      </c>
      <c r="P239">
        <v>0</v>
      </c>
      <c r="Q239">
        <v>0</v>
      </c>
      <c r="R239">
        <v>0</v>
      </c>
      <c r="S239">
        <v>0</v>
      </c>
      <c r="T239">
        <v>0</v>
      </c>
      <c r="V239">
        <f t="shared" si="15"/>
        <v>26048</v>
      </c>
      <c r="W239">
        <v>0</v>
      </c>
      <c r="X239">
        <v>0</v>
      </c>
      <c r="Y239" s="41">
        <v>0</v>
      </c>
      <c r="Z239" s="41">
        <v>0</v>
      </c>
      <c r="AA239" s="55">
        <v>0</v>
      </c>
    </row>
    <row r="240" spans="1:27">
      <c r="A240">
        <f t="shared" si="12"/>
        <v>26048</v>
      </c>
      <c r="B240">
        <v>0</v>
      </c>
      <c r="C240">
        <v>0</v>
      </c>
      <c r="D240">
        <v>0</v>
      </c>
      <c r="E240">
        <v>0</v>
      </c>
      <c r="F240">
        <v>0</v>
      </c>
      <c r="H240">
        <f t="shared" si="13"/>
        <v>26048</v>
      </c>
      <c r="I240">
        <v>0</v>
      </c>
      <c r="J240">
        <v>0</v>
      </c>
      <c r="K240">
        <v>0</v>
      </c>
      <c r="L240">
        <v>0</v>
      </c>
      <c r="M240">
        <v>0</v>
      </c>
      <c r="O240">
        <f t="shared" si="14"/>
        <v>26048</v>
      </c>
      <c r="P240">
        <v>0</v>
      </c>
      <c r="Q240">
        <v>0</v>
      </c>
      <c r="R240">
        <v>0</v>
      </c>
      <c r="S240">
        <v>0</v>
      </c>
      <c r="T240">
        <v>0</v>
      </c>
      <c r="V240">
        <f t="shared" si="15"/>
        <v>26048</v>
      </c>
      <c r="W240">
        <v>0</v>
      </c>
      <c r="X240">
        <v>0</v>
      </c>
      <c r="Y240" s="41">
        <v>0</v>
      </c>
      <c r="Z240" s="41">
        <v>0</v>
      </c>
      <c r="AA240" s="55">
        <v>0</v>
      </c>
    </row>
    <row r="241" spans="1:27">
      <c r="A241">
        <f t="shared" si="12"/>
        <v>26048</v>
      </c>
      <c r="B241">
        <v>0</v>
      </c>
      <c r="C241">
        <v>0</v>
      </c>
      <c r="D241">
        <v>0</v>
      </c>
      <c r="E241">
        <v>0</v>
      </c>
      <c r="F241">
        <v>0</v>
      </c>
      <c r="H241">
        <f t="shared" si="13"/>
        <v>26048</v>
      </c>
      <c r="I241">
        <v>0</v>
      </c>
      <c r="J241">
        <v>0</v>
      </c>
      <c r="K241">
        <v>0</v>
      </c>
      <c r="L241">
        <v>0</v>
      </c>
      <c r="M241">
        <v>0</v>
      </c>
      <c r="O241">
        <f t="shared" si="14"/>
        <v>26048</v>
      </c>
      <c r="P241">
        <v>0</v>
      </c>
      <c r="Q241">
        <v>0</v>
      </c>
      <c r="R241">
        <v>0</v>
      </c>
      <c r="S241">
        <v>0</v>
      </c>
      <c r="T241">
        <v>0</v>
      </c>
      <c r="V241">
        <f t="shared" si="15"/>
        <v>26048</v>
      </c>
      <c r="W241">
        <v>0</v>
      </c>
      <c r="X241">
        <v>0</v>
      </c>
      <c r="Y241" s="41">
        <v>0</v>
      </c>
      <c r="Z241" s="41">
        <v>0</v>
      </c>
      <c r="AA241" s="55">
        <v>0</v>
      </c>
    </row>
    <row r="242" spans="1:27">
      <c r="A242">
        <f t="shared" si="12"/>
        <v>26048</v>
      </c>
      <c r="B242">
        <v>0</v>
      </c>
      <c r="C242">
        <v>0</v>
      </c>
      <c r="D242">
        <v>0</v>
      </c>
      <c r="E242">
        <v>0</v>
      </c>
      <c r="F242">
        <v>0</v>
      </c>
      <c r="H242">
        <f t="shared" si="13"/>
        <v>26048</v>
      </c>
      <c r="I242">
        <v>0</v>
      </c>
      <c r="J242">
        <v>0</v>
      </c>
      <c r="K242">
        <v>0</v>
      </c>
      <c r="L242">
        <v>0</v>
      </c>
      <c r="M242">
        <v>0</v>
      </c>
      <c r="O242">
        <f t="shared" si="14"/>
        <v>26048</v>
      </c>
      <c r="P242">
        <v>0</v>
      </c>
      <c r="Q242">
        <v>0</v>
      </c>
      <c r="R242">
        <v>0</v>
      </c>
      <c r="S242">
        <v>0</v>
      </c>
      <c r="T242">
        <v>0</v>
      </c>
      <c r="V242">
        <f t="shared" si="15"/>
        <v>26048</v>
      </c>
      <c r="W242">
        <v>0</v>
      </c>
      <c r="X242">
        <v>0</v>
      </c>
      <c r="Y242" s="41">
        <v>0</v>
      </c>
      <c r="Z242" s="41">
        <v>0</v>
      </c>
      <c r="AA242" s="55">
        <v>0</v>
      </c>
    </row>
    <row r="243" spans="1:27">
      <c r="A243">
        <f t="shared" si="12"/>
        <v>26048</v>
      </c>
      <c r="B243">
        <v>0</v>
      </c>
      <c r="C243">
        <v>0</v>
      </c>
      <c r="D243">
        <v>0</v>
      </c>
      <c r="E243">
        <v>0</v>
      </c>
      <c r="F243">
        <v>0</v>
      </c>
      <c r="H243">
        <f t="shared" si="13"/>
        <v>26048</v>
      </c>
      <c r="I243">
        <v>0</v>
      </c>
      <c r="J243">
        <v>0</v>
      </c>
      <c r="K243">
        <v>0</v>
      </c>
      <c r="L243">
        <v>0</v>
      </c>
      <c r="M243">
        <v>0</v>
      </c>
      <c r="O243">
        <f t="shared" si="14"/>
        <v>26048</v>
      </c>
      <c r="P243">
        <v>0</v>
      </c>
      <c r="Q243">
        <v>0</v>
      </c>
      <c r="R243">
        <v>0</v>
      </c>
      <c r="S243">
        <v>0</v>
      </c>
      <c r="T243">
        <v>0</v>
      </c>
      <c r="V243">
        <f t="shared" si="15"/>
        <v>26048</v>
      </c>
      <c r="W243">
        <v>0</v>
      </c>
      <c r="X243">
        <v>0</v>
      </c>
      <c r="Y243" s="41">
        <v>0</v>
      </c>
      <c r="Z243" s="41">
        <v>0</v>
      </c>
      <c r="AA243" s="55">
        <v>0</v>
      </c>
    </row>
    <row r="244" spans="1:27">
      <c r="A244">
        <f t="shared" si="12"/>
        <v>26048</v>
      </c>
      <c r="B244">
        <v>0</v>
      </c>
      <c r="C244">
        <v>0</v>
      </c>
      <c r="D244">
        <v>0</v>
      </c>
      <c r="E244">
        <v>0</v>
      </c>
      <c r="F244">
        <v>0</v>
      </c>
      <c r="H244">
        <f t="shared" si="13"/>
        <v>26048</v>
      </c>
      <c r="I244">
        <v>0</v>
      </c>
      <c r="J244">
        <v>0</v>
      </c>
      <c r="K244">
        <v>0</v>
      </c>
      <c r="L244">
        <v>0</v>
      </c>
      <c r="M244">
        <v>0</v>
      </c>
      <c r="O244">
        <f t="shared" si="14"/>
        <v>26048</v>
      </c>
      <c r="P244">
        <v>0</v>
      </c>
      <c r="Q244">
        <v>0</v>
      </c>
      <c r="R244">
        <v>0</v>
      </c>
      <c r="S244">
        <v>0</v>
      </c>
      <c r="T244">
        <v>0</v>
      </c>
      <c r="V244">
        <f t="shared" si="15"/>
        <v>26048</v>
      </c>
      <c r="W244">
        <v>0</v>
      </c>
      <c r="X244">
        <v>0</v>
      </c>
      <c r="Y244" s="41">
        <v>0</v>
      </c>
      <c r="Z244" s="41">
        <v>0</v>
      </c>
      <c r="AA244" s="55">
        <v>0</v>
      </c>
    </row>
    <row r="245" spans="1:27">
      <c r="A245">
        <f t="shared" si="12"/>
        <v>26048</v>
      </c>
      <c r="B245">
        <v>0</v>
      </c>
      <c r="C245">
        <v>0</v>
      </c>
      <c r="D245">
        <v>0</v>
      </c>
      <c r="E245">
        <v>0</v>
      </c>
      <c r="F245">
        <v>0</v>
      </c>
      <c r="H245">
        <f t="shared" si="13"/>
        <v>26048</v>
      </c>
      <c r="I245">
        <v>0</v>
      </c>
      <c r="J245">
        <v>0</v>
      </c>
      <c r="K245">
        <v>0</v>
      </c>
      <c r="L245">
        <v>0</v>
      </c>
      <c r="M245">
        <v>0</v>
      </c>
      <c r="O245">
        <f t="shared" si="14"/>
        <v>26048</v>
      </c>
      <c r="P245">
        <v>0</v>
      </c>
      <c r="Q245">
        <v>0</v>
      </c>
      <c r="R245">
        <v>0</v>
      </c>
      <c r="S245">
        <v>0</v>
      </c>
      <c r="T245">
        <v>0</v>
      </c>
      <c r="V245">
        <f t="shared" si="15"/>
        <v>26048</v>
      </c>
      <c r="W245">
        <v>0</v>
      </c>
      <c r="X245">
        <v>0</v>
      </c>
      <c r="Y245" s="41">
        <v>0</v>
      </c>
      <c r="Z245" s="41">
        <v>0</v>
      </c>
      <c r="AA245" s="55">
        <v>0</v>
      </c>
    </row>
    <row r="246" spans="1:27">
      <c r="A246">
        <f t="shared" si="12"/>
        <v>26048</v>
      </c>
      <c r="B246">
        <v>0</v>
      </c>
      <c r="C246">
        <v>0</v>
      </c>
      <c r="D246">
        <v>0</v>
      </c>
      <c r="E246">
        <v>0</v>
      </c>
      <c r="F246">
        <v>0</v>
      </c>
      <c r="H246">
        <f t="shared" si="13"/>
        <v>26048</v>
      </c>
      <c r="I246">
        <v>0</v>
      </c>
      <c r="J246">
        <v>0</v>
      </c>
      <c r="K246">
        <v>0</v>
      </c>
      <c r="L246">
        <v>0</v>
      </c>
      <c r="M246">
        <v>0</v>
      </c>
      <c r="O246">
        <f t="shared" si="14"/>
        <v>26048</v>
      </c>
      <c r="P246">
        <v>0</v>
      </c>
      <c r="Q246">
        <v>0</v>
      </c>
      <c r="R246">
        <v>0</v>
      </c>
      <c r="S246">
        <v>0</v>
      </c>
      <c r="T246">
        <v>0</v>
      </c>
      <c r="V246">
        <f t="shared" si="15"/>
        <v>26048</v>
      </c>
      <c r="W246">
        <v>0</v>
      </c>
      <c r="X246">
        <v>0</v>
      </c>
      <c r="Y246" s="41">
        <v>0</v>
      </c>
      <c r="Z246" s="41">
        <v>0</v>
      </c>
      <c r="AA246" s="55">
        <v>0</v>
      </c>
    </row>
    <row r="247" spans="1:27">
      <c r="A247">
        <f t="shared" si="12"/>
        <v>26048</v>
      </c>
      <c r="B247">
        <v>0</v>
      </c>
      <c r="C247">
        <v>0</v>
      </c>
      <c r="D247">
        <v>0</v>
      </c>
      <c r="E247">
        <v>0</v>
      </c>
      <c r="F247">
        <v>0</v>
      </c>
      <c r="H247">
        <f t="shared" si="13"/>
        <v>26048</v>
      </c>
      <c r="I247">
        <v>0</v>
      </c>
      <c r="J247">
        <v>0</v>
      </c>
      <c r="K247">
        <v>0</v>
      </c>
      <c r="L247">
        <v>0</v>
      </c>
      <c r="M247">
        <v>0</v>
      </c>
      <c r="O247">
        <f t="shared" si="14"/>
        <v>26048</v>
      </c>
      <c r="P247">
        <v>0</v>
      </c>
      <c r="Q247">
        <v>0</v>
      </c>
      <c r="R247">
        <v>0</v>
      </c>
      <c r="S247">
        <v>0</v>
      </c>
      <c r="T247">
        <v>0</v>
      </c>
      <c r="V247">
        <f t="shared" si="15"/>
        <v>26048</v>
      </c>
      <c r="W247">
        <v>0</v>
      </c>
      <c r="X247">
        <v>0</v>
      </c>
      <c r="Y247" s="41">
        <v>0</v>
      </c>
      <c r="Z247" s="41">
        <v>0</v>
      </c>
      <c r="AA247" s="55">
        <v>0</v>
      </c>
    </row>
    <row r="248" spans="1:27">
      <c r="A248">
        <f t="shared" si="12"/>
        <v>26048</v>
      </c>
      <c r="B248">
        <v>0</v>
      </c>
      <c r="C248">
        <v>0</v>
      </c>
      <c r="D248">
        <v>0</v>
      </c>
      <c r="E248">
        <v>0</v>
      </c>
      <c r="F248">
        <v>0</v>
      </c>
      <c r="H248">
        <f t="shared" si="13"/>
        <v>26048</v>
      </c>
      <c r="I248">
        <v>0</v>
      </c>
      <c r="J248">
        <v>0</v>
      </c>
      <c r="K248">
        <v>0</v>
      </c>
      <c r="L248">
        <v>0</v>
      </c>
      <c r="M248">
        <v>0</v>
      </c>
      <c r="O248">
        <f t="shared" si="14"/>
        <v>26048</v>
      </c>
      <c r="P248">
        <v>0</v>
      </c>
      <c r="Q248">
        <v>0</v>
      </c>
      <c r="R248">
        <v>0</v>
      </c>
      <c r="S248">
        <v>0</v>
      </c>
      <c r="T248">
        <v>0</v>
      </c>
      <c r="V248">
        <f t="shared" si="15"/>
        <v>26048</v>
      </c>
      <c r="W248">
        <v>0</v>
      </c>
      <c r="X248">
        <v>0</v>
      </c>
      <c r="Y248" s="41">
        <v>0</v>
      </c>
      <c r="Z248" s="41">
        <v>0</v>
      </c>
      <c r="AA248" s="55">
        <v>0</v>
      </c>
    </row>
    <row r="249" spans="1:27">
      <c r="A249">
        <f t="shared" si="12"/>
        <v>26048</v>
      </c>
      <c r="B249">
        <v>0</v>
      </c>
      <c r="C249">
        <v>0</v>
      </c>
      <c r="D249">
        <v>0</v>
      </c>
      <c r="E249">
        <v>0</v>
      </c>
      <c r="F249">
        <v>0</v>
      </c>
      <c r="H249">
        <f t="shared" si="13"/>
        <v>26048</v>
      </c>
      <c r="I249">
        <v>0</v>
      </c>
      <c r="J249">
        <v>0</v>
      </c>
      <c r="K249">
        <v>0</v>
      </c>
      <c r="L249">
        <v>0</v>
      </c>
      <c r="M249">
        <v>0</v>
      </c>
      <c r="O249">
        <f t="shared" si="14"/>
        <v>26048</v>
      </c>
      <c r="P249">
        <v>0</v>
      </c>
      <c r="Q249">
        <v>0</v>
      </c>
      <c r="R249">
        <v>0</v>
      </c>
      <c r="S249">
        <v>0</v>
      </c>
      <c r="T249">
        <v>0</v>
      </c>
      <c r="V249">
        <f t="shared" si="15"/>
        <v>26048</v>
      </c>
      <c r="W249">
        <v>0</v>
      </c>
      <c r="X249">
        <v>0</v>
      </c>
      <c r="Y249" s="41">
        <v>0</v>
      </c>
      <c r="Z249" s="41">
        <v>0</v>
      </c>
      <c r="AA249" s="55">
        <v>0</v>
      </c>
    </row>
    <row r="250" spans="1:27">
      <c r="A250">
        <f t="shared" si="12"/>
        <v>26048</v>
      </c>
      <c r="B250">
        <v>0</v>
      </c>
      <c r="C250">
        <v>0</v>
      </c>
      <c r="D250">
        <v>0</v>
      </c>
      <c r="E250">
        <v>0</v>
      </c>
      <c r="F250">
        <v>0</v>
      </c>
      <c r="H250">
        <f t="shared" si="13"/>
        <v>26048</v>
      </c>
      <c r="I250">
        <v>0</v>
      </c>
      <c r="J250">
        <v>0</v>
      </c>
      <c r="K250">
        <v>0</v>
      </c>
      <c r="L250">
        <v>0</v>
      </c>
      <c r="M250">
        <v>0</v>
      </c>
      <c r="O250">
        <f t="shared" si="14"/>
        <v>26048</v>
      </c>
      <c r="P250">
        <v>0</v>
      </c>
      <c r="Q250">
        <v>0</v>
      </c>
      <c r="R250">
        <v>0</v>
      </c>
      <c r="S250">
        <v>0</v>
      </c>
      <c r="T250">
        <v>0</v>
      </c>
      <c r="V250">
        <f t="shared" si="15"/>
        <v>26048</v>
      </c>
      <c r="W250">
        <v>0</v>
      </c>
      <c r="X250">
        <v>0</v>
      </c>
      <c r="Y250" s="41">
        <v>0</v>
      </c>
      <c r="Z250" s="41">
        <v>0</v>
      </c>
      <c r="AA250" s="55">
        <v>0</v>
      </c>
    </row>
    <row r="251" spans="1:27">
      <c r="A251">
        <f t="shared" si="12"/>
        <v>26048</v>
      </c>
      <c r="B251">
        <v>0</v>
      </c>
      <c r="C251">
        <v>0</v>
      </c>
      <c r="D251">
        <v>0</v>
      </c>
      <c r="E251">
        <v>0</v>
      </c>
      <c r="F251">
        <v>0</v>
      </c>
      <c r="H251">
        <f t="shared" si="13"/>
        <v>26048</v>
      </c>
      <c r="I251">
        <v>0</v>
      </c>
      <c r="J251">
        <v>0</v>
      </c>
      <c r="K251">
        <v>0</v>
      </c>
      <c r="L251">
        <v>0</v>
      </c>
      <c r="M251">
        <v>0</v>
      </c>
      <c r="O251">
        <f t="shared" si="14"/>
        <v>26048</v>
      </c>
      <c r="P251">
        <v>0</v>
      </c>
      <c r="Q251">
        <v>0</v>
      </c>
      <c r="R251">
        <v>0</v>
      </c>
      <c r="S251">
        <v>0</v>
      </c>
      <c r="T251">
        <v>0</v>
      </c>
      <c r="V251">
        <f t="shared" si="15"/>
        <v>26048</v>
      </c>
      <c r="W251">
        <v>0</v>
      </c>
      <c r="X251">
        <v>0</v>
      </c>
      <c r="Y251" s="41">
        <v>0</v>
      </c>
      <c r="Z251" s="41">
        <v>0</v>
      </c>
      <c r="AA251" s="55">
        <v>0</v>
      </c>
    </row>
    <row r="252" spans="1:27">
      <c r="A252">
        <f t="shared" si="12"/>
        <v>26048</v>
      </c>
      <c r="B252">
        <v>0</v>
      </c>
      <c r="C252">
        <v>0</v>
      </c>
      <c r="D252">
        <v>0</v>
      </c>
      <c r="E252">
        <v>0</v>
      </c>
      <c r="F252">
        <v>0</v>
      </c>
      <c r="H252">
        <f t="shared" si="13"/>
        <v>26048</v>
      </c>
      <c r="I252">
        <v>0</v>
      </c>
      <c r="J252">
        <v>0</v>
      </c>
      <c r="K252">
        <v>0</v>
      </c>
      <c r="L252">
        <v>0</v>
      </c>
      <c r="M252">
        <v>0</v>
      </c>
      <c r="O252">
        <f t="shared" si="14"/>
        <v>26048</v>
      </c>
      <c r="P252">
        <v>0</v>
      </c>
      <c r="Q252">
        <v>0</v>
      </c>
      <c r="R252">
        <v>0</v>
      </c>
      <c r="S252">
        <v>0</v>
      </c>
      <c r="T252">
        <v>0</v>
      </c>
      <c r="V252">
        <f t="shared" si="15"/>
        <v>26048</v>
      </c>
      <c r="W252">
        <v>0</v>
      </c>
      <c r="X252">
        <v>0</v>
      </c>
      <c r="Y252" s="41">
        <v>0</v>
      </c>
      <c r="Z252" s="41">
        <v>0</v>
      </c>
      <c r="AA252" s="55">
        <v>0</v>
      </c>
    </row>
    <row r="253" spans="1:27">
      <c r="A253">
        <f t="shared" si="12"/>
        <v>26048</v>
      </c>
      <c r="B253">
        <v>0</v>
      </c>
      <c r="C253">
        <v>0</v>
      </c>
      <c r="D253">
        <v>0</v>
      </c>
      <c r="E253">
        <v>0</v>
      </c>
      <c r="F253">
        <v>0</v>
      </c>
      <c r="H253">
        <f t="shared" si="13"/>
        <v>26048</v>
      </c>
      <c r="I253">
        <v>0</v>
      </c>
      <c r="J253">
        <v>0</v>
      </c>
      <c r="K253">
        <v>0</v>
      </c>
      <c r="L253">
        <v>0</v>
      </c>
      <c r="M253">
        <v>0</v>
      </c>
      <c r="O253">
        <f t="shared" si="14"/>
        <v>26048</v>
      </c>
      <c r="P253">
        <v>0</v>
      </c>
      <c r="Q253">
        <v>0</v>
      </c>
      <c r="R253">
        <v>0</v>
      </c>
      <c r="S253">
        <v>0</v>
      </c>
      <c r="T253">
        <v>0</v>
      </c>
      <c r="V253">
        <f t="shared" si="15"/>
        <v>26048</v>
      </c>
      <c r="W253">
        <v>0</v>
      </c>
      <c r="X253">
        <v>0</v>
      </c>
      <c r="Y253" s="41">
        <v>0</v>
      </c>
      <c r="Z253" s="41">
        <v>0</v>
      </c>
      <c r="AA253" s="55">
        <v>0</v>
      </c>
    </row>
    <row r="254" spans="1:27">
      <c r="A254">
        <f t="shared" si="12"/>
        <v>26048</v>
      </c>
      <c r="B254">
        <v>0</v>
      </c>
      <c r="C254">
        <v>0</v>
      </c>
      <c r="D254">
        <v>0</v>
      </c>
      <c r="E254">
        <v>0</v>
      </c>
      <c r="F254">
        <v>0</v>
      </c>
      <c r="H254">
        <f t="shared" si="13"/>
        <v>26048</v>
      </c>
      <c r="I254">
        <v>0</v>
      </c>
      <c r="J254">
        <v>0</v>
      </c>
      <c r="K254">
        <v>0</v>
      </c>
      <c r="L254">
        <v>0</v>
      </c>
      <c r="M254">
        <v>0</v>
      </c>
      <c r="O254">
        <f t="shared" si="14"/>
        <v>26048</v>
      </c>
      <c r="P254">
        <v>0</v>
      </c>
      <c r="Q254">
        <v>0</v>
      </c>
      <c r="R254">
        <v>0</v>
      </c>
      <c r="S254">
        <v>0</v>
      </c>
      <c r="T254">
        <v>0</v>
      </c>
      <c r="V254">
        <f t="shared" si="15"/>
        <v>26048</v>
      </c>
      <c r="W254">
        <v>0</v>
      </c>
      <c r="X254">
        <v>0</v>
      </c>
      <c r="Y254" s="41">
        <v>0</v>
      </c>
      <c r="Z254" s="41">
        <v>0</v>
      </c>
      <c r="AA254" s="55">
        <v>0</v>
      </c>
    </row>
    <row r="255" spans="1:27">
      <c r="A255">
        <f t="shared" si="12"/>
        <v>26048</v>
      </c>
      <c r="B255">
        <v>0</v>
      </c>
      <c r="C255">
        <v>0</v>
      </c>
      <c r="D255">
        <v>0</v>
      </c>
      <c r="E255">
        <v>0</v>
      </c>
      <c r="F255">
        <v>0</v>
      </c>
      <c r="H255">
        <f t="shared" si="13"/>
        <v>26048</v>
      </c>
      <c r="I255">
        <v>0</v>
      </c>
      <c r="J255">
        <v>0</v>
      </c>
      <c r="K255">
        <v>0</v>
      </c>
      <c r="L255">
        <v>0</v>
      </c>
      <c r="M255">
        <v>0</v>
      </c>
      <c r="O255">
        <f t="shared" si="14"/>
        <v>26048</v>
      </c>
      <c r="P255">
        <v>0</v>
      </c>
      <c r="Q255">
        <v>0</v>
      </c>
      <c r="R255">
        <v>0</v>
      </c>
      <c r="S255">
        <v>0</v>
      </c>
      <c r="T255">
        <v>0</v>
      </c>
      <c r="V255">
        <f t="shared" si="15"/>
        <v>26048</v>
      </c>
      <c r="W255">
        <v>0</v>
      </c>
      <c r="X255">
        <v>0</v>
      </c>
      <c r="Y255" s="41">
        <v>0</v>
      </c>
      <c r="Z255" s="41">
        <v>0</v>
      </c>
      <c r="AA255" s="55">
        <v>0</v>
      </c>
    </row>
    <row r="256" spans="1:27">
      <c r="A256">
        <f t="shared" si="12"/>
        <v>26048</v>
      </c>
      <c r="B256">
        <v>0</v>
      </c>
      <c r="C256">
        <v>0</v>
      </c>
      <c r="D256">
        <v>0</v>
      </c>
      <c r="E256">
        <v>0</v>
      </c>
      <c r="F256">
        <v>0</v>
      </c>
      <c r="H256">
        <f t="shared" si="13"/>
        <v>26048</v>
      </c>
      <c r="I256">
        <v>0</v>
      </c>
      <c r="J256">
        <v>0</v>
      </c>
      <c r="K256">
        <v>0</v>
      </c>
      <c r="L256">
        <v>0</v>
      </c>
      <c r="M256">
        <v>0</v>
      </c>
      <c r="O256">
        <f t="shared" si="14"/>
        <v>26048</v>
      </c>
      <c r="P256">
        <v>0</v>
      </c>
      <c r="Q256">
        <v>0</v>
      </c>
      <c r="R256">
        <v>0</v>
      </c>
      <c r="S256">
        <v>0</v>
      </c>
      <c r="T256">
        <v>0</v>
      </c>
      <c r="V256">
        <f t="shared" si="15"/>
        <v>26048</v>
      </c>
      <c r="W256">
        <v>0</v>
      </c>
      <c r="X256">
        <v>0</v>
      </c>
      <c r="Y256" s="41">
        <v>0</v>
      </c>
      <c r="Z256" s="41">
        <v>0</v>
      </c>
      <c r="AA256" s="55">
        <v>0</v>
      </c>
    </row>
    <row r="257" spans="1:27">
      <c r="A257">
        <f t="shared" si="12"/>
        <v>26048</v>
      </c>
      <c r="B257">
        <v>0</v>
      </c>
      <c r="C257">
        <v>0</v>
      </c>
      <c r="D257">
        <v>0</v>
      </c>
      <c r="E257">
        <v>0</v>
      </c>
      <c r="F257">
        <v>0</v>
      </c>
      <c r="H257">
        <f t="shared" si="13"/>
        <v>26048</v>
      </c>
      <c r="I257">
        <v>0</v>
      </c>
      <c r="J257">
        <v>0</v>
      </c>
      <c r="K257">
        <v>0</v>
      </c>
      <c r="L257">
        <v>0</v>
      </c>
      <c r="M257">
        <v>0</v>
      </c>
      <c r="O257">
        <f t="shared" si="14"/>
        <v>26048</v>
      </c>
      <c r="P257">
        <v>0</v>
      </c>
      <c r="Q257">
        <v>0</v>
      </c>
      <c r="R257">
        <v>0</v>
      </c>
      <c r="S257">
        <v>0</v>
      </c>
      <c r="T257">
        <v>0</v>
      </c>
      <c r="V257">
        <f t="shared" si="15"/>
        <v>26048</v>
      </c>
      <c r="W257">
        <v>0</v>
      </c>
      <c r="X257">
        <v>0</v>
      </c>
      <c r="Y257" s="41">
        <v>0</v>
      </c>
      <c r="Z257" s="41">
        <v>0</v>
      </c>
      <c r="AA257" s="55">
        <v>0</v>
      </c>
    </row>
    <row r="258" spans="1:27">
      <c r="A258">
        <f t="shared" si="12"/>
        <v>26048</v>
      </c>
      <c r="B258">
        <v>0</v>
      </c>
      <c r="C258">
        <v>0</v>
      </c>
      <c r="D258">
        <v>0</v>
      </c>
      <c r="E258">
        <v>0</v>
      </c>
      <c r="F258">
        <v>0</v>
      </c>
      <c r="H258">
        <f t="shared" si="13"/>
        <v>26048</v>
      </c>
      <c r="I258">
        <v>0</v>
      </c>
      <c r="J258">
        <v>0</v>
      </c>
      <c r="K258">
        <v>0</v>
      </c>
      <c r="L258">
        <v>0</v>
      </c>
      <c r="M258">
        <v>0</v>
      </c>
      <c r="O258">
        <f t="shared" si="14"/>
        <v>26048</v>
      </c>
      <c r="P258">
        <v>0</v>
      </c>
      <c r="Q258">
        <v>0</v>
      </c>
      <c r="R258">
        <v>0</v>
      </c>
      <c r="S258">
        <v>0</v>
      </c>
      <c r="T258">
        <v>0</v>
      </c>
      <c r="V258">
        <f t="shared" si="15"/>
        <v>26048</v>
      </c>
      <c r="W258">
        <v>0</v>
      </c>
      <c r="X258">
        <v>0</v>
      </c>
      <c r="Y258" s="41">
        <v>0</v>
      </c>
      <c r="Z258" s="41">
        <v>0</v>
      </c>
      <c r="AA258" s="55">
        <v>0</v>
      </c>
    </row>
    <row r="259" spans="1:27">
      <c r="A259">
        <f t="shared" si="12"/>
        <v>26048</v>
      </c>
      <c r="B259">
        <v>0</v>
      </c>
      <c r="C259">
        <v>0</v>
      </c>
      <c r="D259">
        <v>0</v>
      </c>
      <c r="E259">
        <v>0</v>
      </c>
      <c r="F259">
        <v>0</v>
      </c>
      <c r="H259">
        <f t="shared" si="13"/>
        <v>26048</v>
      </c>
      <c r="I259">
        <v>0</v>
      </c>
      <c r="J259">
        <v>0</v>
      </c>
      <c r="K259">
        <v>0</v>
      </c>
      <c r="L259">
        <v>0</v>
      </c>
      <c r="M259">
        <v>0</v>
      </c>
      <c r="O259">
        <f t="shared" si="14"/>
        <v>26048</v>
      </c>
      <c r="P259">
        <v>0</v>
      </c>
      <c r="Q259">
        <v>0</v>
      </c>
      <c r="R259">
        <v>0</v>
      </c>
      <c r="S259">
        <v>0</v>
      </c>
      <c r="T259">
        <v>0</v>
      </c>
      <c r="V259">
        <f t="shared" si="15"/>
        <v>26048</v>
      </c>
      <c r="W259">
        <v>0</v>
      </c>
      <c r="X259">
        <v>0</v>
      </c>
      <c r="Y259" s="41">
        <v>0</v>
      </c>
      <c r="Z259" s="41">
        <v>0</v>
      </c>
      <c r="AA259" s="55">
        <v>0</v>
      </c>
    </row>
    <row r="260" spans="1:27">
      <c r="A260">
        <f t="shared" si="12"/>
        <v>26048</v>
      </c>
      <c r="B260">
        <v>0</v>
      </c>
      <c r="C260">
        <v>0</v>
      </c>
      <c r="D260">
        <v>0</v>
      </c>
      <c r="E260">
        <v>0</v>
      </c>
      <c r="F260">
        <v>0</v>
      </c>
      <c r="H260">
        <f t="shared" si="13"/>
        <v>26048</v>
      </c>
      <c r="I260">
        <v>0</v>
      </c>
      <c r="J260">
        <v>0</v>
      </c>
      <c r="K260">
        <v>0</v>
      </c>
      <c r="L260">
        <v>0</v>
      </c>
      <c r="M260">
        <v>0</v>
      </c>
      <c r="O260">
        <f t="shared" si="14"/>
        <v>26048</v>
      </c>
      <c r="P260">
        <v>0</v>
      </c>
      <c r="Q260">
        <v>0</v>
      </c>
      <c r="R260">
        <v>0</v>
      </c>
      <c r="S260">
        <v>0</v>
      </c>
      <c r="T260">
        <v>0</v>
      </c>
      <c r="V260">
        <f t="shared" si="15"/>
        <v>26048</v>
      </c>
      <c r="W260">
        <v>0</v>
      </c>
      <c r="X260">
        <v>0</v>
      </c>
      <c r="Y260" s="41">
        <v>0</v>
      </c>
      <c r="Z260" s="41">
        <v>0</v>
      </c>
      <c r="AA260" s="55">
        <v>0</v>
      </c>
    </row>
    <row r="261" spans="1:27">
      <c r="A261">
        <f t="shared" ref="A261:A308" si="16">IF(ABS(B261-26048)&lt;ABS(B261-27584),IF(ABS(B261-26048)&lt;ABS(B261-29120),26048,29120),IF(ABS(B261-27584)&lt;ABS(B261-29120),27584,29120))</f>
        <v>26048</v>
      </c>
      <c r="B261">
        <v>0</v>
      </c>
      <c r="C261">
        <v>0</v>
      </c>
      <c r="D261">
        <v>0</v>
      </c>
      <c r="E261">
        <v>0</v>
      </c>
      <c r="F261">
        <v>0</v>
      </c>
      <c r="H261">
        <f t="shared" ref="H261:H308" si="17">IF(ABS(I261-26048)&lt;ABS(I261-27584),IF(ABS(I261-26048)&lt;ABS(I261-29120),26048,29120),IF(ABS(I261-27584)&lt;ABS(I261-29120),27584,29120))</f>
        <v>26048</v>
      </c>
      <c r="I261">
        <v>0</v>
      </c>
      <c r="J261">
        <v>0</v>
      </c>
      <c r="K261">
        <v>0</v>
      </c>
      <c r="L261">
        <v>0</v>
      </c>
      <c r="M261">
        <v>0</v>
      </c>
      <c r="O261">
        <f t="shared" ref="O261:O308" si="18">IF(ABS(P261-26048)&lt;ABS(P261-27584),IF(ABS(P261-26048)&lt;ABS(P261-29120),26048,29120),IF(ABS(P261-27584)&lt;ABS(P261-29120),27584,29120))</f>
        <v>26048</v>
      </c>
      <c r="P261">
        <v>0</v>
      </c>
      <c r="Q261">
        <v>0</v>
      </c>
      <c r="R261">
        <v>0</v>
      </c>
      <c r="S261">
        <v>0</v>
      </c>
      <c r="T261">
        <v>0</v>
      </c>
      <c r="V261">
        <f t="shared" ref="V261:V308" si="19">IF(ABS(W261-26048)&lt;ABS(W261-27584),IF(ABS(W261-26048)&lt;ABS(W261-29120),26048,29120),IF(ABS(W261-27584)&lt;ABS(W261-29120),27584,29120))</f>
        <v>26048</v>
      </c>
      <c r="W261">
        <v>0</v>
      </c>
      <c r="X261">
        <v>0</v>
      </c>
      <c r="Y261" s="41">
        <v>0</v>
      </c>
      <c r="Z261" s="41">
        <v>0</v>
      </c>
      <c r="AA261" s="55">
        <v>0</v>
      </c>
    </row>
    <row r="262" spans="1:27">
      <c r="A262">
        <f t="shared" si="16"/>
        <v>26048</v>
      </c>
      <c r="B262">
        <v>0</v>
      </c>
      <c r="C262">
        <v>0</v>
      </c>
      <c r="D262">
        <v>0</v>
      </c>
      <c r="E262">
        <v>0</v>
      </c>
      <c r="F262">
        <v>0</v>
      </c>
      <c r="H262">
        <f t="shared" si="17"/>
        <v>26048</v>
      </c>
      <c r="I262">
        <v>0</v>
      </c>
      <c r="J262">
        <v>0</v>
      </c>
      <c r="K262">
        <v>0</v>
      </c>
      <c r="L262">
        <v>0</v>
      </c>
      <c r="M262">
        <v>0</v>
      </c>
      <c r="O262">
        <f t="shared" si="18"/>
        <v>26048</v>
      </c>
      <c r="P262">
        <v>0</v>
      </c>
      <c r="Q262">
        <v>0</v>
      </c>
      <c r="R262">
        <v>0</v>
      </c>
      <c r="S262">
        <v>0</v>
      </c>
      <c r="T262">
        <v>0</v>
      </c>
      <c r="V262">
        <f t="shared" si="19"/>
        <v>26048</v>
      </c>
      <c r="W262">
        <v>0</v>
      </c>
      <c r="X262">
        <v>0</v>
      </c>
      <c r="Y262" s="41">
        <v>0</v>
      </c>
      <c r="Z262" s="41">
        <v>0</v>
      </c>
      <c r="AA262" s="55">
        <v>0</v>
      </c>
    </row>
    <row r="263" spans="1:27">
      <c r="A263">
        <f t="shared" si="16"/>
        <v>26048</v>
      </c>
      <c r="B263">
        <v>0</v>
      </c>
      <c r="C263">
        <v>0</v>
      </c>
      <c r="D263">
        <v>0</v>
      </c>
      <c r="E263">
        <v>0</v>
      </c>
      <c r="F263">
        <v>0</v>
      </c>
      <c r="H263">
        <f t="shared" si="17"/>
        <v>26048</v>
      </c>
      <c r="I263">
        <v>0</v>
      </c>
      <c r="J263">
        <v>0</v>
      </c>
      <c r="K263">
        <v>0</v>
      </c>
      <c r="L263">
        <v>0</v>
      </c>
      <c r="M263">
        <v>0</v>
      </c>
      <c r="O263">
        <f t="shared" si="18"/>
        <v>26048</v>
      </c>
      <c r="P263">
        <v>0</v>
      </c>
      <c r="Q263">
        <v>0</v>
      </c>
      <c r="R263">
        <v>0</v>
      </c>
      <c r="S263">
        <v>0</v>
      </c>
      <c r="T263">
        <v>0</v>
      </c>
      <c r="V263">
        <f t="shared" si="19"/>
        <v>26048</v>
      </c>
      <c r="W263">
        <v>0</v>
      </c>
      <c r="X263">
        <v>0</v>
      </c>
      <c r="Y263" s="41">
        <v>0</v>
      </c>
      <c r="Z263" s="41">
        <v>0</v>
      </c>
      <c r="AA263" s="55">
        <v>0</v>
      </c>
    </row>
    <row r="264" spans="1:27">
      <c r="A264">
        <f t="shared" si="16"/>
        <v>26048</v>
      </c>
      <c r="B264">
        <v>0</v>
      </c>
      <c r="C264">
        <v>0</v>
      </c>
      <c r="D264">
        <v>0</v>
      </c>
      <c r="E264">
        <v>0</v>
      </c>
      <c r="F264">
        <v>0</v>
      </c>
      <c r="H264">
        <f t="shared" si="17"/>
        <v>26048</v>
      </c>
      <c r="I264">
        <v>0</v>
      </c>
      <c r="J264">
        <v>0</v>
      </c>
      <c r="K264">
        <v>0</v>
      </c>
      <c r="L264">
        <v>0</v>
      </c>
      <c r="M264">
        <v>0</v>
      </c>
      <c r="O264">
        <f t="shared" si="18"/>
        <v>26048</v>
      </c>
      <c r="P264">
        <v>0</v>
      </c>
      <c r="Q264">
        <v>0</v>
      </c>
      <c r="R264">
        <v>0</v>
      </c>
      <c r="S264">
        <v>0</v>
      </c>
      <c r="T264">
        <v>0</v>
      </c>
      <c r="V264">
        <f t="shared" si="19"/>
        <v>26048</v>
      </c>
      <c r="W264">
        <v>0</v>
      </c>
      <c r="X264">
        <v>0</v>
      </c>
      <c r="Y264" s="41">
        <v>0</v>
      </c>
      <c r="Z264" s="41">
        <v>0</v>
      </c>
      <c r="AA264" s="55">
        <v>0</v>
      </c>
    </row>
    <row r="265" spans="1:27">
      <c r="A265">
        <f t="shared" si="16"/>
        <v>26048</v>
      </c>
      <c r="B265">
        <v>0</v>
      </c>
      <c r="C265">
        <v>0</v>
      </c>
      <c r="D265">
        <v>0</v>
      </c>
      <c r="E265">
        <v>0</v>
      </c>
      <c r="F265">
        <v>0</v>
      </c>
      <c r="H265">
        <f t="shared" si="17"/>
        <v>26048</v>
      </c>
      <c r="I265">
        <v>0</v>
      </c>
      <c r="J265">
        <v>0</v>
      </c>
      <c r="K265">
        <v>0</v>
      </c>
      <c r="L265">
        <v>0</v>
      </c>
      <c r="M265">
        <v>0</v>
      </c>
      <c r="O265">
        <f t="shared" si="18"/>
        <v>26048</v>
      </c>
      <c r="P265">
        <v>0</v>
      </c>
      <c r="Q265">
        <v>0</v>
      </c>
      <c r="R265">
        <v>0</v>
      </c>
      <c r="S265">
        <v>0</v>
      </c>
      <c r="T265">
        <v>0</v>
      </c>
      <c r="V265">
        <f t="shared" si="19"/>
        <v>26048</v>
      </c>
      <c r="W265">
        <v>0</v>
      </c>
      <c r="X265">
        <v>0</v>
      </c>
      <c r="Y265" s="41">
        <v>0</v>
      </c>
      <c r="Z265" s="41">
        <v>0</v>
      </c>
      <c r="AA265" s="55">
        <v>0</v>
      </c>
    </row>
    <row r="266" spans="1:27">
      <c r="A266">
        <f t="shared" si="16"/>
        <v>26048</v>
      </c>
      <c r="B266">
        <v>0</v>
      </c>
      <c r="C266">
        <v>0</v>
      </c>
      <c r="D266">
        <v>0</v>
      </c>
      <c r="E266">
        <v>0</v>
      </c>
      <c r="F266">
        <v>0</v>
      </c>
      <c r="H266">
        <f t="shared" si="17"/>
        <v>26048</v>
      </c>
      <c r="I266">
        <v>0</v>
      </c>
      <c r="J266">
        <v>0</v>
      </c>
      <c r="K266">
        <v>0</v>
      </c>
      <c r="L266">
        <v>0</v>
      </c>
      <c r="M266">
        <v>0</v>
      </c>
      <c r="O266">
        <f t="shared" si="18"/>
        <v>26048</v>
      </c>
      <c r="P266">
        <v>0</v>
      </c>
      <c r="Q266">
        <v>0</v>
      </c>
      <c r="R266">
        <v>0</v>
      </c>
      <c r="S266">
        <v>0</v>
      </c>
      <c r="T266">
        <v>0</v>
      </c>
      <c r="V266">
        <f t="shared" si="19"/>
        <v>26048</v>
      </c>
      <c r="W266">
        <v>0</v>
      </c>
      <c r="X266">
        <v>0</v>
      </c>
      <c r="Y266" s="41">
        <v>0</v>
      </c>
      <c r="Z266" s="41">
        <v>0</v>
      </c>
      <c r="AA266" s="55">
        <v>0</v>
      </c>
    </row>
    <row r="267" spans="1:27">
      <c r="A267">
        <f t="shared" si="16"/>
        <v>26048</v>
      </c>
      <c r="B267">
        <v>0</v>
      </c>
      <c r="C267">
        <v>0</v>
      </c>
      <c r="D267">
        <v>0</v>
      </c>
      <c r="E267">
        <v>0</v>
      </c>
      <c r="F267">
        <v>0</v>
      </c>
      <c r="H267">
        <f t="shared" si="17"/>
        <v>26048</v>
      </c>
      <c r="I267">
        <v>0</v>
      </c>
      <c r="J267">
        <v>0</v>
      </c>
      <c r="K267">
        <v>0</v>
      </c>
      <c r="L267">
        <v>0</v>
      </c>
      <c r="M267">
        <v>0</v>
      </c>
      <c r="O267">
        <f t="shared" si="18"/>
        <v>26048</v>
      </c>
      <c r="P267">
        <v>0</v>
      </c>
      <c r="Q267">
        <v>0</v>
      </c>
      <c r="R267">
        <v>0</v>
      </c>
      <c r="S267">
        <v>0</v>
      </c>
      <c r="T267">
        <v>0</v>
      </c>
      <c r="V267">
        <f t="shared" si="19"/>
        <v>26048</v>
      </c>
      <c r="W267">
        <v>0</v>
      </c>
      <c r="X267">
        <v>0</v>
      </c>
      <c r="Y267" s="41">
        <v>0</v>
      </c>
      <c r="Z267" s="41">
        <v>0</v>
      </c>
      <c r="AA267" s="55">
        <v>0</v>
      </c>
    </row>
    <row r="268" spans="1:27">
      <c r="A268">
        <f t="shared" si="16"/>
        <v>26048</v>
      </c>
      <c r="B268">
        <v>0</v>
      </c>
      <c r="C268">
        <v>0</v>
      </c>
      <c r="D268">
        <v>0</v>
      </c>
      <c r="E268">
        <v>0</v>
      </c>
      <c r="F268">
        <v>0</v>
      </c>
      <c r="H268">
        <f t="shared" si="17"/>
        <v>26048</v>
      </c>
      <c r="I268">
        <v>0</v>
      </c>
      <c r="J268">
        <v>0</v>
      </c>
      <c r="K268">
        <v>0</v>
      </c>
      <c r="L268">
        <v>0</v>
      </c>
      <c r="M268">
        <v>0</v>
      </c>
      <c r="O268">
        <f t="shared" si="18"/>
        <v>26048</v>
      </c>
      <c r="P268">
        <v>0</v>
      </c>
      <c r="Q268">
        <v>0</v>
      </c>
      <c r="R268">
        <v>0</v>
      </c>
      <c r="S268">
        <v>0</v>
      </c>
      <c r="T268">
        <v>0</v>
      </c>
      <c r="V268">
        <f t="shared" si="19"/>
        <v>26048</v>
      </c>
      <c r="W268">
        <v>0</v>
      </c>
      <c r="X268">
        <v>0</v>
      </c>
      <c r="Y268" s="41">
        <v>0</v>
      </c>
      <c r="Z268" s="41">
        <v>0</v>
      </c>
      <c r="AA268" s="55">
        <v>0</v>
      </c>
    </row>
    <row r="269" spans="1:27">
      <c r="A269">
        <f t="shared" si="16"/>
        <v>26048</v>
      </c>
      <c r="B269">
        <v>0</v>
      </c>
      <c r="C269">
        <v>0</v>
      </c>
      <c r="D269">
        <v>0</v>
      </c>
      <c r="E269">
        <v>0</v>
      </c>
      <c r="F269">
        <v>0</v>
      </c>
      <c r="H269">
        <f t="shared" si="17"/>
        <v>26048</v>
      </c>
      <c r="I269">
        <v>0</v>
      </c>
      <c r="J269">
        <v>0</v>
      </c>
      <c r="K269">
        <v>0</v>
      </c>
      <c r="L269">
        <v>0</v>
      </c>
      <c r="M269">
        <v>0</v>
      </c>
      <c r="O269">
        <f t="shared" si="18"/>
        <v>26048</v>
      </c>
      <c r="P269">
        <v>0</v>
      </c>
      <c r="Q269">
        <v>0</v>
      </c>
      <c r="R269">
        <v>0</v>
      </c>
      <c r="S269">
        <v>0</v>
      </c>
      <c r="T269">
        <v>0</v>
      </c>
      <c r="V269">
        <f t="shared" si="19"/>
        <v>26048</v>
      </c>
      <c r="W269">
        <v>0</v>
      </c>
      <c r="X269">
        <v>0</v>
      </c>
      <c r="Y269" s="41">
        <v>0</v>
      </c>
      <c r="Z269" s="41">
        <v>0</v>
      </c>
      <c r="AA269" s="55">
        <v>0</v>
      </c>
    </row>
    <row r="270" spans="1:27">
      <c r="A270">
        <f t="shared" si="16"/>
        <v>26048</v>
      </c>
      <c r="B270">
        <v>0</v>
      </c>
      <c r="C270">
        <v>0</v>
      </c>
      <c r="D270">
        <v>0</v>
      </c>
      <c r="E270">
        <v>0</v>
      </c>
      <c r="F270">
        <v>0</v>
      </c>
      <c r="H270">
        <f t="shared" si="17"/>
        <v>26048</v>
      </c>
      <c r="I270">
        <v>0</v>
      </c>
      <c r="J270">
        <v>0</v>
      </c>
      <c r="K270">
        <v>0</v>
      </c>
      <c r="L270">
        <v>0</v>
      </c>
      <c r="M270">
        <v>0</v>
      </c>
      <c r="O270">
        <f t="shared" si="18"/>
        <v>26048</v>
      </c>
      <c r="P270">
        <v>0</v>
      </c>
      <c r="Q270">
        <v>0</v>
      </c>
      <c r="R270">
        <v>0</v>
      </c>
      <c r="S270">
        <v>0</v>
      </c>
      <c r="T270">
        <v>0</v>
      </c>
      <c r="V270">
        <f t="shared" si="19"/>
        <v>26048</v>
      </c>
      <c r="W270">
        <v>0</v>
      </c>
      <c r="X270">
        <v>0</v>
      </c>
      <c r="Y270" s="41">
        <v>0</v>
      </c>
      <c r="Z270" s="41">
        <v>0</v>
      </c>
      <c r="AA270" s="55">
        <v>0</v>
      </c>
    </row>
    <row r="271" spans="1:27">
      <c r="A271">
        <f t="shared" si="16"/>
        <v>26048</v>
      </c>
      <c r="B271">
        <v>0</v>
      </c>
      <c r="C271">
        <v>0</v>
      </c>
      <c r="D271">
        <v>0</v>
      </c>
      <c r="E271">
        <v>0</v>
      </c>
      <c r="F271">
        <v>0</v>
      </c>
      <c r="H271">
        <f t="shared" si="17"/>
        <v>26048</v>
      </c>
      <c r="I271">
        <v>0</v>
      </c>
      <c r="J271">
        <v>0</v>
      </c>
      <c r="K271">
        <v>0</v>
      </c>
      <c r="L271">
        <v>0</v>
      </c>
      <c r="M271">
        <v>0</v>
      </c>
      <c r="O271">
        <f t="shared" si="18"/>
        <v>26048</v>
      </c>
      <c r="P271">
        <v>0</v>
      </c>
      <c r="Q271">
        <v>0</v>
      </c>
      <c r="R271">
        <v>0</v>
      </c>
      <c r="S271">
        <v>0</v>
      </c>
      <c r="T271">
        <v>0</v>
      </c>
      <c r="V271">
        <f t="shared" si="19"/>
        <v>26048</v>
      </c>
      <c r="W271">
        <v>0</v>
      </c>
      <c r="X271">
        <v>0</v>
      </c>
      <c r="Y271" s="41">
        <v>0</v>
      </c>
      <c r="Z271" s="41">
        <v>0</v>
      </c>
      <c r="AA271" s="55">
        <v>0</v>
      </c>
    </row>
    <row r="272" spans="1:27">
      <c r="A272">
        <f t="shared" si="16"/>
        <v>26048</v>
      </c>
      <c r="B272">
        <v>0</v>
      </c>
      <c r="C272">
        <v>0</v>
      </c>
      <c r="D272">
        <v>0</v>
      </c>
      <c r="E272">
        <v>0</v>
      </c>
      <c r="F272">
        <v>0</v>
      </c>
      <c r="H272">
        <f t="shared" si="17"/>
        <v>26048</v>
      </c>
      <c r="I272">
        <v>0</v>
      </c>
      <c r="J272">
        <v>0</v>
      </c>
      <c r="K272">
        <v>0</v>
      </c>
      <c r="L272">
        <v>0</v>
      </c>
      <c r="M272">
        <v>0</v>
      </c>
      <c r="O272">
        <f t="shared" si="18"/>
        <v>26048</v>
      </c>
      <c r="P272">
        <v>0</v>
      </c>
      <c r="Q272">
        <v>0</v>
      </c>
      <c r="R272">
        <v>0</v>
      </c>
      <c r="S272">
        <v>0</v>
      </c>
      <c r="T272">
        <v>0</v>
      </c>
      <c r="V272">
        <f t="shared" si="19"/>
        <v>26048</v>
      </c>
      <c r="W272">
        <v>0</v>
      </c>
      <c r="X272">
        <v>0</v>
      </c>
      <c r="Y272" s="41">
        <v>0</v>
      </c>
      <c r="Z272" s="41">
        <v>0</v>
      </c>
      <c r="AA272" s="55">
        <v>0</v>
      </c>
    </row>
    <row r="273" spans="1:27">
      <c r="A273">
        <f t="shared" si="16"/>
        <v>26048</v>
      </c>
      <c r="B273">
        <v>0</v>
      </c>
      <c r="C273">
        <v>0</v>
      </c>
      <c r="D273">
        <v>0</v>
      </c>
      <c r="E273">
        <v>0</v>
      </c>
      <c r="F273">
        <v>0</v>
      </c>
      <c r="H273">
        <f t="shared" si="17"/>
        <v>26048</v>
      </c>
      <c r="I273">
        <v>0</v>
      </c>
      <c r="J273">
        <v>0</v>
      </c>
      <c r="K273">
        <v>0</v>
      </c>
      <c r="L273">
        <v>0</v>
      </c>
      <c r="M273">
        <v>0</v>
      </c>
      <c r="O273">
        <f t="shared" si="18"/>
        <v>26048</v>
      </c>
      <c r="P273">
        <v>0</v>
      </c>
      <c r="Q273">
        <v>0</v>
      </c>
      <c r="R273">
        <v>0</v>
      </c>
      <c r="S273">
        <v>0</v>
      </c>
      <c r="T273">
        <v>0</v>
      </c>
      <c r="V273">
        <f t="shared" si="19"/>
        <v>26048</v>
      </c>
      <c r="W273">
        <v>0</v>
      </c>
      <c r="X273">
        <v>0</v>
      </c>
      <c r="Y273" s="41">
        <v>0</v>
      </c>
      <c r="Z273" s="41">
        <v>0</v>
      </c>
      <c r="AA273" s="55">
        <v>0</v>
      </c>
    </row>
    <row r="274" spans="1:27">
      <c r="A274">
        <f t="shared" si="16"/>
        <v>26048</v>
      </c>
      <c r="B274">
        <v>0</v>
      </c>
      <c r="C274">
        <v>0</v>
      </c>
      <c r="D274">
        <v>0</v>
      </c>
      <c r="E274">
        <v>0</v>
      </c>
      <c r="F274">
        <v>0</v>
      </c>
      <c r="H274">
        <f t="shared" si="17"/>
        <v>26048</v>
      </c>
      <c r="I274">
        <v>0</v>
      </c>
      <c r="J274">
        <v>0</v>
      </c>
      <c r="K274">
        <v>0</v>
      </c>
      <c r="L274">
        <v>0</v>
      </c>
      <c r="M274">
        <v>0</v>
      </c>
      <c r="O274">
        <f t="shared" si="18"/>
        <v>26048</v>
      </c>
      <c r="P274">
        <v>0</v>
      </c>
      <c r="Q274">
        <v>0</v>
      </c>
      <c r="R274">
        <v>0</v>
      </c>
      <c r="S274">
        <v>0</v>
      </c>
      <c r="T274">
        <v>0</v>
      </c>
      <c r="V274">
        <f t="shared" si="19"/>
        <v>26048</v>
      </c>
      <c r="W274">
        <v>0</v>
      </c>
      <c r="X274">
        <v>0</v>
      </c>
      <c r="Y274" s="41">
        <v>0</v>
      </c>
      <c r="Z274" s="41">
        <v>0</v>
      </c>
      <c r="AA274" s="55">
        <v>0</v>
      </c>
    </row>
    <row r="275" spans="1:27">
      <c r="A275">
        <f t="shared" si="16"/>
        <v>26048</v>
      </c>
      <c r="B275">
        <v>0</v>
      </c>
      <c r="C275">
        <v>0</v>
      </c>
      <c r="D275">
        <v>0</v>
      </c>
      <c r="E275">
        <v>0</v>
      </c>
      <c r="F275">
        <v>0</v>
      </c>
      <c r="H275">
        <f t="shared" si="17"/>
        <v>26048</v>
      </c>
      <c r="I275">
        <v>0</v>
      </c>
      <c r="J275">
        <v>0</v>
      </c>
      <c r="K275">
        <v>0</v>
      </c>
      <c r="L275">
        <v>0</v>
      </c>
      <c r="M275">
        <v>0</v>
      </c>
      <c r="O275">
        <f t="shared" si="18"/>
        <v>26048</v>
      </c>
      <c r="P275">
        <v>0</v>
      </c>
      <c r="Q275">
        <v>0</v>
      </c>
      <c r="R275">
        <v>0</v>
      </c>
      <c r="S275">
        <v>0</v>
      </c>
      <c r="T275">
        <v>0</v>
      </c>
      <c r="V275">
        <f t="shared" si="19"/>
        <v>26048</v>
      </c>
      <c r="W275">
        <v>0</v>
      </c>
      <c r="X275">
        <v>0</v>
      </c>
      <c r="Y275" s="41">
        <v>0</v>
      </c>
      <c r="Z275" s="41">
        <v>0</v>
      </c>
      <c r="AA275" s="55">
        <v>0</v>
      </c>
    </row>
    <row r="276" spans="1:27">
      <c r="A276">
        <f t="shared" si="16"/>
        <v>26048</v>
      </c>
      <c r="B276">
        <v>0</v>
      </c>
      <c r="C276">
        <v>0</v>
      </c>
      <c r="D276">
        <v>0</v>
      </c>
      <c r="E276">
        <v>0</v>
      </c>
      <c r="F276">
        <v>0</v>
      </c>
      <c r="H276">
        <f t="shared" si="17"/>
        <v>26048</v>
      </c>
      <c r="I276">
        <v>0</v>
      </c>
      <c r="J276">
        <v>0</v>
      </c>
      <c r="K276">
        <v>0</v>
      </c>
      <c r="L276">
        <v>0</v>
      </c>
      <c r="M276">
        <v>0</v>
      </c>
      <c r="O276">
        <f t="shared" si="18"/>
        <v>26048</v>
      </c>
      <c r="P276">
        <v>0</v>
      </c>
      <c r="Q276">
        <v>0</v>
      </c>
      <c r="R276">
        <v>0</v>
      </c>
      <c r="S276">
        <v>0</v>
      </c>
      <c r="T276">
        <v>0</v>
      </c>
      <c r="V276">
        <f t="shared" si="19"/>
        <v>26048</v>
      </c>
      <c r="W276">
        <v>0</v>
      </c>
      <c r="X276">
        <v>0</v>
      </c>
      <c r="Y276" s="41">
        <v>0</v>
      </c>
      <c r="Z276" s="41">
        <v>0</v>
      </c>
      <c r="AA276" s="55">
        <v>0</v>
      </c>
    </row>
    <row r="277" spans="1:27">
      <c r="A277">
        <f t="shared" si="16"/>
        <v>26048</v>
      </c>
      <c r="B277">
        <v>0</v>
      </c>
      <c r="C277">
        <v>0</v>
      </c>
      <c r="D277">
        <v>0</v>
      </c>
      <c r="E277">
        <v>0</v>
      </c>
      <c r="F277">
        <v>0</v>
      </c>
      <c r="H277">
        <f t="shared" si="17"/>
        <v>26048</v>
      </c>
      <c r="I277">
        <v>0</v>
      </c>
      <c r="J277">
        <v>0</v>
      </c>
      <c r="K277">
        <v>0</v>
      </c>
      <c r="L277">
        <v>0</v>
      </c>
      <c r="M277">
        <v>0</v>
      </c>
      <c r="O277">
        <f t="shared" si="18"/>
        <v>26048</v>
      </c>
      <c r="P277">
        <v>0</v>
      </c>
      <c r="Q277">
        <v>0</v>
      </c>
      <c r="R277">
        <v>0</v>
      </c>
      <c r="S277">
        <v>0</v>
      </c>
      <c r="T277">
        <v>0</v>
      </c>
      <c r="V277">
        <f t="shared" si="19"/>
        <v>26048</v>
      </c>
      <c r="W277">
        <v>0</v>
      </c>
      <c r="X277">
        <v>0</v>
      </c>
      <c r="Y277" s="41">
        <v>0</v>
      </c>
      <c r="Z277" s="41">
        <v>0</v>
      </c>
      <c r="AA277" s="55">
        <v>0</v>
      </c>
    </row>
    <row r="278" spans="1:27">
      <c r="A278">
        <f t="shared" si="16"/>
        <v>26048</v>
      </c>
      <c r="B278">
        <v>0</v>
      </c>
      <c r="C278">
        <v>0</v>
      </c>
      <c r="D278">
        <v>0</v>
      </c>
      <c r="E278">
        <v>0</v>
      </c>
      <c r="F278">
        <v>0</v>
      </c>
      <c r="H278">
        <f t="shared" si="17"/>
        <v>26048</v>
      </c>
      <c r="I278">
        <v>0</v>
      </c>
      <c r="J278">
        <v>0</v>
      </c>
      <c r="K278">
        <v>0</v>
      </c>
      <c r="L278">
        <v>0</v>
      </c>
      <c r="M278">
        <v>0</v>
      </c>
      <c r="O278">
        <f t="shared" si="18"/>
        <v>26048</v>
      </c>
      <c r="P278">
        <v>0</v>
      </c>
      <c r="Q278">
        <v>0</v>
      </c>
      <c r="R278">
        <v>0</v>
      </c>
      <c r="S278">
        <v>0</v>
      </c>
      <c r="T278">
        <v>0</v>
      </c>
      <c r="V278">
        <f t="shared" si="19"/>
        <v>26048</v>
      </c>
      <c r="W278">
        <v>0</v>
      </c>
      <c r="X278">
        <v>0</v>
      </c>
      <c r="Y278" s="41">
        <v>0</v>
      </c>
      <c r="Z278" s="41">
        <v>0</v>
      </c>
      <c r="AA278" s="55">
        <v>0</v>
      </c>
    </row>
    <row r="279" spans="1:27">
      <c r="A279">
        <f t="shared" si="16"/>
        <v>26048</v>
      </c>
      <c r="B279">
        <v>0</v>
      </c>
      <c r="C279">
        <v>0</v>
      </c>
      <c r="D279">
        <v>0</v>
      </c>
      <c r="E279">
        <v>0</v>
      </c>
      <c r="F279">
        <v>0</v>
      </c>
      <c r="H279">
        <f t="shared" si="17"/>
        <v>26048</v>
      </c>
      <c r="I279">
        <v>0</v>
      </c>
      <c r="J279">
        <v>0</v>
      </c>
      <c r="K279">
        <v>0</v>
      </c>
      <c r="L279">
        <v>0</v>
      </c>
      <c r="M279">
        <v>0</v>
      </c>
      <c r="O279">
        <f t="shared" si="18"/>
        <v>26048</v>
      </c>
      <c r="P279">
        <v>0</v>
      </c>
      <c r="Q279">
        <v>0</v>
      </c>
      <c r="R279">
        <v>0</v>
      </c>
      <c r="S279">
        <v>0</v>
      </c>
      <c r="T279">
        <v>0</v>
      </c>
      <c r="V279">
        <f t="shared" si="19"/>
        <v>26048</v>
      </c>
      <c r="W279">
        <v>0</v>
      </c>
      <c r="X279">
        <v>0</v>
      </c>
      <c r="Y279" s="41">
        <v>0</v>
      </c>
      <c r="Z279" s="41">
        <v>0</v>
      </c>
      <c r="AA279" s="55">
        <v>0</v>
      </c>
    </row>
    <row r="280" spans="1:27">
      <c r="A280">
        <f t="shared" si="16"/>
        <v>26048</v>
      </c>
      <c r="B280">
        <v>0</v>
      </c>
      <c r="C280">
        <v>0</v>
      </c>
      <c r="D280">
        <v>0</v>
      </c>
      <c r="E280">
        <v>0</v>
      </c>
      <c r="F280">
        <v>0</v>
      </c>
      <c r="H280">
        <f t="shared" si="17"/>
        <v>26048</v>
      </c>
      <c r="I280">
        <v>0</v>
      </c>
      <c r="J280">
        <v>0</v>
      </c>
      <c r="K280">
        <v>0</v>
      </c>
      <c r="L280">
        <v>0</v>
      </c>
      <c r="M280">
        <v>0</v>
      </c>
      <c r="O280">
        <f t="shared" si="18"/>
        <v>26048</v>
      </c>
      <c r="P280">
        <v>0</v>
      </c>
      <c r="Q280">
        <v>0</v>
      </c>
      <c r="R280">
        <v>0</v>
      </c>
      <c r="S280">
        <v>0</v>
      </c>
      <c r="T280">
        <v>0</v>
      </c>
      <c r="V280">
        <f t="shared" si="19"/>
        <v>26048</v>
      </c>
      <c r="W280">
        <v>0</v>
      </c>
      <c r="X280">
        <v>0</v>
      </c>
      <c r="Y280" s="41">
        <v>0</v>
      </c>
      <c r="Z280" s="41">
        <v>0</v>
      </c>
      <c r="AA280" s="55">
        <v>0</v>
      </c>
    </row>
    <row r="281" spans="1:27">
      <c r="A281">
        <f t="shared" si="16"/>
        <v>26048</v>
      </c>
      <c r="B281">
        <v>0</v>
      </c>
      <c r="C281">
        <v>0</v>
      </c>
      <c r="D281">
        <v>0</v>
      </c>
      <c r="E281">
        <v>0</v>
      </c>
      <c r="F281">
        <v>0</v>
      </c>
      <c r="H281">
        <f t="shared" si="17"/>
        <v>26048</v>
      </c>
      <c r="I281">
        <v>0</v>
      </c>
      <c r="J281">
        <v>0</v>
      </c>
      <c r="K281">
        <v>0</v>
      </c>
      <c r="L281">
        <v>0</v>
      </c>
      <c r="M281">
        <v>0</v>
      </c>
      <c r="O281">
        <f t="shared" si="18"/>
        <v>26048</v>
      </c>
      <c r="P281">
        <v>0</v>
      </c>
      <c r="Q281">
        <v>0</v>
      </c>
      <c r="R281">
        <v>0</v>
      </c>
      <c r="S281">
        <v>0</v>
      </c>
      <c r="T281">
        <v>0</v>
      </c>
      <c r="V281">
        <f t="shared" si="19"/>
        <v>26048</v>
      </c>
      <c r="W281">
        <v>0</v>
      </c>
      <c r="X281">
        <v>0</v>
      </c>
      <c r="Y281" s="41">
        <v>0</v>
      </c>
      <c r="Z281" s="41">
        <v>0</v>
      </c>
      <c r="AA281" s="55">
        <v>0</v>
      </c>
    </row>
    <row r="282" spans="1:27">
      <c r="A282">
        <f t="shared" si="16"/>
        <v>26048</v>
      </c>
      <c r="B282">
        <v>0</v>
      </c>
      <c r="C282">
        <v>0</v>
      </c>
      <c r="D282">
        <v>0</v>
      </c>
      <c r="E282">
        <v>0</v>
      </c>
      <c r="F282">
        <v>0</v>
      </c>
      <c r="H282">
        <f t="shared" si="17"/>
        <v>26048</v>
      </c>
      <c r="I282">
        <v>0</v>
      </c>
      <c r="J282">
        <v>0</v>
      </c>
      <c r="K282">
        <v>0</v>
      </c>
      <c r="L282">
        <v>0</v>
      </c>
      <c r="M282">
        <v>0</v>
      </c>
      <c r="O282">
        <f t="shared" si="18"/>
        <v>26048</v>
      </c>
      <c r="P282">
        <v>0</v>
      </c>
      <c r="Q282">
        <v>0</v>
      </c>
      <c r="R282">
        <v>0</v>
      </c>
      <c r="S282">
        <v>0</v>
      </c>
      <c r="T282">
        <v>0</v>
      </c>
      <c r="V282">
        <f t="shared" si="19"/>
        <v>26048</v>
      </c>
      <c r="W282">
        <v>0</v>
      </c>
      <c r="X282">
        <v>0</v>
      </c>
      <c r="Y282" s="41">
        <v>0</v>
      </c>
      <c r="Z282" s="41">
        <v>0</v>
      </c>
      <c r="AA282" s="55">
        <v>0</v>
      </c>
    </row>
    <row r="283" spans="1:27">
      <c r="A283">
        <f t="shared" si="16"/>
        <v>26048</v>
      </c>
      <c r="B283">
        <v>0</v>
      </c>
      <c r="C283">
        <v>0</v>
      </c>
      <c r="D283">
        <v>0</v>
      </c>
      <c r="E283">
        <v>0</v>
      </c>
      <c r="F283">
        <v>0</v>
      </c>
      <c r="H283">
        <f t="shared" si="17"/>
        <v>26048</v>
      </c>
      <c r="I283">
        <v>0</v>
      </c>
      <c r="J283">
        <v>0</v>
      </c>
      <c r="K283">
        <v>0</v>
      </c>
      <c r="L283">
        <v>0</v>
      </c>
      <c r="M283">
        <v>0</v>
      </c>
      <c r="O283">
        <f t="shared" si="18"/>
        <v>26048</v>
      </c>
      <c r="P283">
        <v>0</v>
      </c>
      <c r="Q283">
        <v>0</v>
      </c>
      <c r="R283">
        <v>0</v>
      </c>
      <c r="S283">
        <v>0</v>
      </c>
      <c r="T283">
        <v>0</v>
      </c>
      <c r="V283">
        <f t="shared" si="19"/>
        <v>26048</v>
      </c>
      <c r="W283">
        <v>0</v>
      </c>
      <c r="X283">
        <v>0</v>
      </c>
      <c r="Y283" s="41">
        <v>0</v>
      </c>
      <c r="Z283" s="41">
        <v>0</v>
      </c>
      <c r="AA283" s="55">
        <v>0</v>
      </c>
    </row>
    <row r="284" spans="1:27">
      <c r="A284">
        <f t="shared" si="16"/>
        <v>26048</v>
      </c>
      <c r="B284">
        <v>0</v>
      </c>
      <c r="C284">
        <v>0</v>
      </c>
      <c r="D284">
        <v>0</v>
      </c>
      <c r="E284">
        <v>0</v>
      </c>
      <c r="F284">
        <v>0</v>
      </c>
      <c r="H284">
        <f t="shared" si="17"/>
        <v>26048</v>
      </c>
      <c r="I284">
        <v>0</v>
      </c>
      <c r="J284">
        <v>0</v>
      </c>
      <c r="K284">
        <v>0</v>
      </c>
      <c r="L284">
        <v>0</v>
      </c>
      <c r="M284">
        <v>0</v>
      </c>
      <c r="O284">
        <f t="shared" si="18"/>
        <v>26048</v>
      </c>
      <c r="P284">
        <v>0</v>
      </c>
      <c r="Q284">
        <v>0</v>
      </c>
      <c r="R284">
        <v>0</v>
      </c>
      <c r="S284">
        <v>0</v>
      </c>
      <c r="T284">
        <v>0</v>
      </c>
      <c r="V284">
        <f t="shared" si="19"/>
        <v>26048</v>
      </c>
      <c r="W284">
        <v>0</v>
      </c>
      <c r="X284">
        <v>0</v>
      </c>
      <c r="Y284" s="41">
        <v>0</v>
      </c>
      <c r="Z284" s="41">
        <v>0</v>
      </c>
      <c r="AA284" s="55">
        <v>0</v>
      </c>
    </row>
    <row r="285" spans="1:27">
      <c r="A285">
        <f t="shared" si="16"/>
        <v>26048</v>
      </c>
      <c r="B285">
        <v>0</v>
      </c>
      <c r="C285">
        <v>0</v>
      </c>
      <c r="D285">
        <v>0</v>
      </c>
      <c r="E285">
        <v>0</v>
      </c>
      <c r="F285">
        <v>0</v>
      </c>
      <c r="H285">
        <f t="shared" si="17"/>
        <v>26048</v>
      </c>
      <c r="I285">
        <v>0</v>
      </c>
      <c r="J285">
        <v>0</v>
      </c>
      <c r="K285">
        <v>0</v>
      </c>
      <c r="L285">
        <v>0</v>
      </c>
      <c r="M285">
        <v>0</v>
      </c>
      <c r="O285">
        <f t="shared" si="18"/>
        <v>26048</v>
      </c>
      <c r="P285">
        <v>0</v>
      </c>
      <c r="Q285">
        <v>0</v>
      </c>
      <c r="R285">
        <v>0</v>
      </c>
      <c r="S285">
        <v>0</v>
      </c>
      <c r="T285">
        <v>0</v>
      </c>
      <c r="V285">
        <f t="shared" si="19"/>
        <v>26048</v>
      </c>
      <c r="W285">
        <v>0</v>
      </c>
      <c r="X285">
        <v>0</v>
      </c>
      <c r="Y285" s="41">
        <v>0</v>
      </c>
      <c r="Z285" s="41">
        <v>0</v>
      </c>
      <c r="AA285" s="55">
        <v>0</v>
      </c>
    </row>
    <row r="286" spans="1:27">
      <c r="A286">
        <f t="shared" si="16"/>
        <v>26048</v>
      </c>
      <c r="B286">
        <v>0</v>
      </c>
      <c r="C286">
        <v>0</v>
      </c>
      <c r="D286">
        <v>0</v>
      </c>
      <c r="E286">
        <v>0</v>
      </c>
      <c r="F286">
        <v>0</v>
      </c>
      <c r="H286">
        <f t="shared" si="17"/>
        <v>26048</v>
      </c>
      <c r="I286">
        <v>0</v>
      </c>
      <c r="J286">
        <v>0</v>
      </c>
      <c r="K286">
        <v>0</v>
      </c>
      <c r="L286">
        <v>0</v>
      </c>
      <c r="M286">
        <v>0</v>
      </c>
      <c r="O286">
        <f t="shared" si="18"/>
        <v>26048</v>
      </c>
      <c r="P286">
        <v>0</v>
      </c>
      <c r="Q286">
        <v>0</v>
      </c>
      <c r="R286">
        <v>0</v>
      </c>
      <c r="S286">
        <v>0</v>
      </c>
      <c r="T286">
        <v>0</v>
      </c>
      <c r="V286">
        <f t="shared" si="19"/>
        <v>26048</v>
      </c>
      <c r="W286">
        <v>0</v>
      </c>
      <c r="X286">
        <v>0</v>
      </c>
      <c r="Y286" s="41">
        <v>0</v>
      </c>
      <c r="Z286" s="41">
        <v>0</v>
      </c>
      <c r="AA286" s="55">
        <v>0</v>
      </c>
    </row>
    <row r="287" spans="1:27">
      <c r="A287">
        <f t="shared" si="16"/>
        <v>26048</v>
      </c>
      <c r="B287">
        <v>0</v>
      </c>
      <c r="C287">
        <v>0</v>
      </c>
      <c r="D287">
        <v>0</v>
      </c>
      <c r="E287">
        <v>0</v>
      </c>
      <c r="F287">
        <v>0</v>
      </c>
      <c r="H287">
        <f t="shared" si="17"/>
        <v>26048</v>
      </c>
      <c r="I287">
        <v>0</v>
      </c>
      <c r="J287">
        <v>0</v>
      </c>
      <c r="K287">
        <v>0</v>
      </c>
      <c r="L287">
        <v>0</v>
      </c>
      <c r="M287">
        <v>0</v>
      </c>
      <c r="O287">
        <f t="shared" si="18"/>
        <v>26048</v>
      </c>
      <c r="P287">
        <v>0</v>
      </c>
      <c r="Q287">
        <v>0</v>
      </c>
      <c r="R287">
        <v>0</v>
      </c>
      <c r="S287">
        <v>0</v>
      </c>
      <c r="T287">
        <v>0</v>
      </c>
      <c r="V287">
        <f t="shared" si="19"/>
        <v>26048</v>
      </c>
      <c r="W287">
        <v>0</v>
      </c>
      <c r="X287">
        <v>0</v>
      </c>
      <c r="Y287" s="41">
        <v>0</v>
      </c>
      <c r="Z287" s="41">
        <v>0</v>
      </c>
      <c r="AA287" s="55">
        <v>0</v>
      </c>
    </row>
    <row r="288" spans="1:27">
      <c r="A288">
        <f t="shared" si="16"/>
        <v>26048</v>
      </c>
      <c r="B288">
        <v>0</v>
      </c>
      <c r="C288">
        <v>0</v>
      </c>
      <c r="D288">
        <v>0</v>
      </c>
      <c r="E288">
        <v>0</v>
      </c>
      <c r="F288">
        <v>0</v>
      </c>
      <c r="H288">
        <f t="shared" si="17"/>
        <v>26048</v>
      </c>
      <c r="I288">
        <v>0</v>
      </c>
      <c r="J288">
        <v>0</v>
      </c>
      <c r="K288">
        <v>0</v>
      </c>
      <c r="L288">
        <v>0</v>
      </c>
      <c r="M288">
        <v>0</v>
      </c>
      <c r="O288">
        <f t="shared" si="18"/>
        <v>26048</v>
      </c>
      <c r="P288">
        <v>0</v>
      </c>
      <c r="Q288">
        <v>0</v>
      </c>
      <c r="R288">
        <v>0</v>
      </c>
      <c r="S288">
        <v>0</v>
      </c>
      <c r="T288">
        <v>0</v>
      </c>
      <c r="V288">
        <f t="shared" si="19"/>
        <v>26048</v>
      </c>
      <c r="W288">
        <v>0</v>
      </c>
      <c r="X288">
        <v>0</v>
      </c>
      <c r="Y288" s="41">
        <v>0</v>
      </c>
      <c r="Z288" s="41">
        <v>0</v>
      </c>
      <c r="AA288" s="55">
        <v>0</v>
      </c>
    </row>
    <row r="289" spans="1:27">
      <c r="A289">
        <f t="shared" si="16"/>
        <v>26048</v>
      </c>
      <c r="B289">
        <v>0</v>
      </c>
      <c r="C289">
        <v>0</v>
      </c>
      <c r="D289">
        <v>0</v>
      </c>
      <c r="E289">
        <v>0</v>
      </c>
      <c r="F289">
        <v>0</v>
      </c>
      <c r="H289">
        <f t="shared" si="17"/>
        <v>26048</v>
      </c>
      <c r="I289">
        <v>0</v>
      </c>
      <c r="J289">
        <v>0</v>
      </c>
      <c r="K289">
        <v>0</v>
      </c>
      <c r="L289">
        <v>0</v>
      </c>
      <c r="M289">
        <v>0</v>
      </c>
      <c r="O289">
        <f t="shared" si="18"/>
        <v>26048</v>
      </c>
      <c r="P289">
        <v>0</v>
      </c>
      <c r="Q289">
        <v>0</v>
      </c>
      <c r="R289">
        <v>0</v>
      </c>
      <c r="S289">
        <v>0</v>
      </c>
      <c r="T289">
        <v>0</v>
      </c>
      <c r="V289">
        <f t="shared" si="19"/>
        <v>26048</v>
      </c>
      <c r="W289">
        <v>0</v>
      </c>
      <c r="X289">
        <v>0</v>
      </c>
      <c r="Y289" s="41">
        <v>0</v>
      </c>
      <c r="Z289" s="41">
        <v>0</v>
      </c>
      <c r="AA289" s="55">
        <v>0</v>
      </c>
    </row>
    <row r="290" spans="1:27">
      <c r="A290">
        <f t="shared" si="16"/>
        <v>26048</v>
      </c>
      <c r="B290">
        <v>0</v>
      </c>
      <c r="C290">
        <v>0</v>
      </c>
      <c r="D290">
        <v>0</v>
      </c>
      <c r="E290">
        <v>0</v>
      </c>
      <c r="F290">
        <v>0</v>
      </c>
      <c r="H290">
        <f t="shared" si="17"/>
        <v>26048</v>
      </c>
      <c r="I290">
        <v>0</v>
      </c>
      <c r="J290">
        <v>0</v>
      </c>
      <c r="K290">
        <v>0</v>
      </c>
      <c r="L290">
        <v>0</v>
      </c>
      <c r="M290">
        <v>0</v>
      </c>
      <c r="O290">
        <f t="shared" si="18"/>
        <v>26048</v>
      </c>
      <c r="P290">
        <v>0</v>
      </c>
      <c r="Q290">
        <v>0</v>
      </c>
      <c r="R290">
        <v>0</v>
      </c>
      <c r="S290">
        <v>0</v>
      </c>
      <c r="T290">
        <v>0</v>
      </c>
      <c r="V290">
        <f t="shared" si="19"/>
        <v>26048</v>
      </c>
      <c r="W290">
        <v>0</v>
      </c>
      <c r="X290">
        <v>0</v>
      </c>
      <c r="Y290" s="41">
        <v>0</v>
      </c>
      <c r="Z290" s="41">
        <v>0</v>
      </c>
      <c r="AA290" s="55">
        <v>0</v>
      </c>
    </row>
    <row r="291" spans="1:27">
      <c r="A291">
        <f t="shared" si="16"/>
        <v>26048</v>
      </c>
      <c r="B291">
        <v>0</v>
      </c>
      <c r="C291">
        <v>0</v>
      </c>
      <c r="D291">
        <v>0</v>
      </c>
      <c r="E291">
        <v>0</v>
      </c>
      <c r="F291">
        <v>0</v>
      </c>
      <c r="H291">
        <f t="shared" si="17"/>
        <v>26048</v>
      </c>
      <c r="I291">
        <v>0</v>
      </c>
      <c r="J291">
        <v>0</v>
      </c>
      <c r="K291">
        <v>0</v>
      </c>
      <c r="L291">
        <v>0</v>
      </c>
      <c r="M291">
        <v>0</v>
      </c>
      <c r="O291">
        <f t="shared" si="18"/>
        <v>26048</v>
      </c>
      <c r="P291">
        <v>0</v>
      </c>
      <c r="Q291">
        <v>0</v>
      </c>
      <c r="R291">
        <v>0</v>
      </c>
      <c r="S291">
        <v>0</v>
      </c>
      <c r="T291">
        <v>0</v>
      </c>
      <c r="V291">
        <f t="shared" si="19"/>
        <v>26048</v>
      </c>
      <c r="W291">
        <v>0</v>
      </c>
      <c r="X291">
        <v>0</v>
      </c>
      <c r="Y291" s="41">
        <v>0</v>
      </c>
      <c r="Z291" s="41">
        <v>0</v>
      </c>
      <c r="AA291" s="55">
        <v>0</v>
      </c>
    </row>
    <row r="292" spans="1:27">
      <c r="A292">
        <f t="shared" si="16"/>
        <v>26048</v>
      </c>
      <c r="B292">
        <v>0</v>
      </c>
      <c r="C292">
        <v>0</v>
      </c>
      <c r="D292">
        <v>0</v>
      </c>
      <c r="E292">
        <v>0</v>
      </c>
      <c r="F292">
        <v>0</v>
      </c>
      <c r="H292">
        <f t="shared" si="17"/>
        <v>26048</v>
      </c>
      <c r="I292">
        <v>0</v>
      </c>
      <c r="J292">
        <v>0</v>
      </c>
      <c r="K292">
        <v>0</v>
      </c>
      <c r="L292">
        <v>0</v>
      </c>
      <c r="M292">
        <v>0</v>
      </c>
      <c r="O292">
        <f t="shared" si="18"/>
        <v>26048</v>
      </c>
      <c r="P292">
        <v>0</v>
      </c>
      <c r="Q292">
        <v>0</v>
      </c>
      <c r="R292">
        <v>0</v>
      </c>
      <c r="S292">
        <v>0</v>
      </c>
      <c r="T292">
        <v>0</v>
      </c>
      <c r="V292">
        <f t="shared" si="19"/>
        <v>26048</v>
      </c>
      <c r="W292">
        <v>0</v>
      </c>
      <c r="X292">
        <v>0</v>
      </c>
      <c r="Y292" s="41">
        <v>0</v>
      </c>
      <c r="Z292" s="41">
        <v>0</v>
      </c>
      <c r="AA292" s="55">
        <v>0</v>
      </c>
    </row>
    <row r="293" spans="1:27">
      <c r="A293">
        <f t="shared" si="16"/>
        <v>26048</v>
      </c>
      <c r="B293">
        <v>0</v>
      </c>
      <c r="C293">
        <v>0</v>
      </c>
      <c r="D293">
        <v>0</v>
      </c>
      <c r="E293">
        <v>0</v>
      </c>
      <c r="F293">
        <v>0</v>
      </c>
      <c r="H293">
        <f t="shared" si="17"/>
        <v>26048</v>
      </c>
      <c r="I293">
        <v>0</v>
      </c>
      <c r="J293">
        <v>0</v>
      </c>
      <c r="K293">
        <v>0</v>
      </c>
      <c r="L293">
        <v>0</v>
      </c>
      <c r="M293">
        <v>0</v>
      </c>
      <c r="O293">
        <f t="shared" si="18"/>
        <v>26048</v>
      </c>
      <c r="P293">
        <v>0</v>
      </c>
      <c r="Q293">
        <v>0</v>
      </c>
      <c r="R293">
        <v>0</v>
      </c>
      <c r="S293">
        <v>0</v>
      </c>
      <c r="T293">
        <v>0</v>
      </c>
      <c r="V293">
        <f t="shared" si="19"/>
        <v>26048</v>
      </c>
      <c r="W293">
        <v>0</v>
      </c>
      <c r="X293">
        <v>0</v>
      </c>
      <c r="Y293" s="41">
        <v>0</v>
      </c>
      <c r="Z293" s="41">
        <v>0</v>
      </c>
      <c r="AA293" s="55">
        <v>0</v>
      </c>
    </row>
    <row r="294" spans="1:27">
      <c r="A294">
        <f t="shared" si="16"/>
        <v>26048</v>
      </c>
      <c r="B294">
        <v>0</v>
      </c>
      <c r="C294">
        <v>0</v>
      </c>
      <c r="D294">
        <v>0</v>
      </c>
      <c r="E294">
        <v>0</v>
      </c>
      <c r="F294">
        <v>0</v>
      </c>
      <c r="H294">
        <f t="shared" si="17"/>
        <v>26048</v>
      </c>
      <c r="I294">
        <v>0</v>
      </c>
      <c r="J294">
        <v>0</v>
      </c>
      <c r="K294">
        <v>0</v>
      </c>
      <c r="L294">
        <v>0</v>
      </c>
      <c r="M294">
        <v>0</v>
      </c>
      <c r="O294">
        <f t="shared" si="18"/>
        <v>26048</v>
      </c>
      <c r="P294">
        <v>0</v>
      </c>
      <c r="Q294">
        <v>0</v>
      </c>
      <c r="R294">
        <v>0</v>
      </c>
      <c r="S294">
        <v>0</v>
      </c>
      <c r="T294">
        <v>0</v>
      </c>
      <c r="V294">
        <f t="shared" si="19"/>
        <v>26048</v>
      </c>
      <c r="W294">
        <v>0</v>
      </c>
      <c r="X294">
        <v>0</v>
      </c>
      <c r="Y294" s="41">
        <v>0</v>
      </c>
      <c r="Z294" s="41">
        <v>0</v>
      </c>
      <c r="AA294" s="55">
        <v>0</v>
      </c>
    </row>
    <row r="295" spans="1:27">
      <c r="A295">
        <f t="shared" si="16"/>
        <v>26048</v>
      </c>
      <c r="B295">
        <v>0</v>
      </c>
      <c r="C295">
        <v>0</v>
      </c>
      <c r="D295">
        <v>0</v>
      </c>
      <c r="E295">
        <v>0</v>
      </c>
      <c r="F295">
        <v>0</v>
      </c>
      <c r="H295">
        <f t="shared" si="17"/>
        <v>26048</v>
      </c>
      <c r="I295">
        <v>0</v>
      </c>
      <c r="J295">
        <v>0</v>
      </c>
      <c r="K295">
        <v>0</v>
      </c>
      <c r="L295">
        <v>0</v>
      </c>
      <c r="M295">
        <v>0</v>
      </c>
      <c r="O295">
        <f t="shared" si="18"/>
        <v>26048</v>
      </c>
      <c r="P295">
        <v>0</v>
      </c>
      <c r="Q295">
        <v>0</v>
      </c>
      <c r="R295">
        <v>0</v>
      </c>
      <c r="S295">
        <v>0</v>
      </c>
      <c r="T295">
        <v>0</v>
      </c>
      <c r="V295">
        <f t="shared" si="19"/>
        <v>26048</v>
      </c>
      <c r="W295">
        <v>0</v>
      </c>
      <c r="X295">
        <v>0</v>
      </c>
      <c r="Y295" s="41">
        <v>0</v>
      </c>
      <c r="Z295" s="41">
        <v>0</v>
      </c>
      <c r="AA295" s="55">
        <v>0</v>
      </c>
    </row>
    <row r="296" spans="1:27">
      <c r="A296">
        <f t="shared" si="16"/>
        <v>26048</v>
      </c>
      <c r="B296">
        <v>0</v>
      </c>
      <c r="C296">
        <v>0</v>
      </c>
      <c r="D296">
        <v>0</v>
      </c>
      <c r="E296">
        <v>0</v>
      </c>
      <c r="F296">
        <v>0</v>
      </c>
      <c r="H296">
        <f t="shared" si="17"/>
        <v>26048</v>
      </c>
      <c r="I296">
        <v>0</v>
      </c>
      <c r="J296">
        <v>0</v>
      </c>
      <c r="K296">
        <v>0</v>
      </c>
      <c r="L296">
        <v>0</v>
      </c>
      <c r="M296">
        <v>0</v>
      </c>
      <c r="O296">
        <f t="shared" si="18"/>
        <v>26048</v>
      </c>
      <c r="P296">
        <v>0</v>
      </c>
      <c r="Q296">
        <v>0</v>
      </c>
      <c r="R296">
        <v>0</v>
      </c>
      <c r="S296">
        <v>0</v>
      </c>
      <c r="T296">
        <v>0</v>
      </c>
      <c r="V296">
        <f t="shared" si="19"/>
        <v>26048</v>
      </c>
      <c r="W296">
        <v>0</v>
      </c>
      <c r="X296">
        <v>0</v>
      </c>
      <c r="Y296" s="41">
        <v>0</v>
      </c>
      <c r="Z296" s="41">
        <v>0</v>
      </c>
      <c r="AA296" s="55">
        <v>0</v>
      </c>
    </row>
    <row r="297" spans="1:27">
      <c r="A297">
        <f t="shared" si="16"/>
        <v>26048</v>
      </c>
      <c r="B297">
        <v>0</v>
      </c>
      <c r="C297">
        <v>0</v>
      </c>
      <c r="D297">
        <v>0</v>
      </c>
      <c r="E297">
        <v>0</v>
      </c>
      <c r="F297">
        <v>0</v>
      </c>
      <c r="H297">
        <f t="shared" si="17"/>
        <v>26048</v>
      </c>
      <c r="I297">
        <v>0</v>
      </c>
      <c r="J297">
        <v>0</v>
      </c>
      <c r="K297">
        <v>0</v>
      </c>
      <c r="L297">
        <v>0</v>
      </c>
      <c r="M297">
        <v>0</v>
      </c>
      <c r="O297">
        <f t="shared" si="18"/>
        <v>26048</v>
      </c>
      <c r="P297">
        <v>0</v>
      </c>
      <c r="Q297">
        <v>0</v>
      </c>
      <c r="R297">
        <v>0</v>
      </c>
      <c r="S297">
        <v>0</v>
      </c>
      <c r="T297">
        <v>0</v>
      </c>
      <c r="V297">
        <f t="shared" si="19"/>
        <v>26048</v>
      </c>
      <c r="W297">
        <v>0</v>
      </c>
      <c r="X297">
        <v>0</v>
      </c>
      <c r="Y297" s="41">
        <v>0</v>
      </c>
      <c r="Z297" s="41">
        <v>0</v>
      </c>
      <c r="AA297" s="55">
        <v>0</v>
      </c>
    </row>
    <row r="298" spans="1:27">
      <c r="A298">
        <f t="shared" si="16"/>
        <v>26048</v>
      </c>
      <c r="B298">
        <v>0</v>
      </c>
      <c r="C298">
        <v>0</v>
      </c>
      <c r="D298">
        <v>0</v>
      </c>
      <c r="E298">
        <v>0</v>
      </c>
      <c r="F298">
        <v>0</v>
      </c>
      <c r="H298">
        <f t="shared" si="17"/>
        <v>26048</v>
      </c>
      <c r="I298">
        <v>0</v>
      </c>
      <c r="J298">
        <v>0</v>
      </c>
      <c r="K298">
        <v>0</v>
      </c>
      <c r="L298">
        <v>0</v>
      </c>
      <c r="M298">
        <v>0</v>
      </c>
      <c r="O298">
        <f t="shared" si="18"/>
        <v>26048</v>
      </c>
      <c r="P298">
        <v>0</v>
      </c>
      <c r="Q298">
        <v>0</v>
      </c>
      <c r="R298">
        <v>0</v>
      </c>
      <c r="S298">
        <v>0</v>
      </c>
      <c r="T298">
        <v>0</v>
      </c>
      <c r="V298">
        <f t="shared" si="19"/>
        <v>26048</v>
      </c>
      <c r="W298">
        <v>0</v>
      </c>
      <c r="X298">
        <v>0</v>
      </c>
      <c r="Y298" s="41">
        <v>0</v>
      </c>
      <c r="Z298" s="41">
        <v>0</v>
      </c>
      <c r="AA298" s="55">
        <v>0</v>
      </c>
    </row>
    <row r="299" spans="1:27">
      <c r="A299">
        <f t="shared" si="16"/>
        <v>26048</v>
      </c>
      <c r="B299">
        <v>0</v>
      </c>
      <c r="C299">
        <v>0</v>
      </c>
      <c r="D299">
        <v>0</v>
      </c>
      <c r="E299">
        <v>0</v>
      </c>
      <c r="F299">
        <v>0</v>
      </c>
      <c r="H299">
        <f t="shared" si="17"/>
        <v>26048</v>
      </c>
      <c r="I299">
        <v>0</v>
      </c>
      <c r="J299">
        <v>0</v>
      </c>
      <c r="K299">
        <v>0</v>
      </c>
      <c r="L299">
        <v>0</v>
      </c>
      <c r="M299">
        <v>0</v>
      </c>
      <c r="O299">
        <f t="shared" si="18"/>
        <v>26048</v>
      </c>
      <c r="P299">
        <v>0</v>
      </c>
      <c r="Q299">
        <v>0</v>
      </c>
      <c r="R299">
        <v>0</v>
      </c>
      <c r="S299">
        <v>0</v>
      </c>
      <c r="T299">
        <v>0</v>
      </c>
      <c r="V299">
        <f t="shared" si="19"/>
        <v>26048</v>
      </c>
      <c r="W299">
        <v>0</v>
      </c>
      <c r="X299">
        <v>0</v>
      </c>
      <c r="Y299" s="41">
        <v>0</v>
      </c>
      <c r="Z299" s="41">
        <v>0</v>
      </c>
      <c r="AA299" s="55">
        <v>0</v>
      </c>
    </row>
    <row r="300" spans="1:27">
      <c r="A300">
        <f t="shared" si="16"/>
        <v>26048</v>
      </c>
      <c r="B300">
        <v>0</v>
      </c>
      <c r="C300">
        <v>0</v>
      </c>
      <c r="D300">
        <v>0</v>
      </c>
      <c r="E300">
        <v>0</v>
      </c>
      <c r="F300">
        <v>0</v>
      </c>
      <c r="H300">
        <f t="shared" si="17"/>
        <v>26048</v>
      </c>
      <c r="I300">
        <v>0</v>
      </c>
      <c r="J300">
        <v>0</v>
      </c>
      <c r="K300">
        <v>0</v>
      </c>
      <c r="L300">
        <v>0</v>
      </c>
      <c r="M300">
        <v>0</v>
      </c>
      <c r="O300">
        <f t="shared" si="18"/>
        <v>26048</v>
      </c>
      <c r="P300">
        <v>0</v>
      </c>
      <c r="Q300">
        <v>0</v>
      </c>
      <c r="R300">
        <v>0</v>
      </c>
      <c r="S300">
        <v>0</v>
      </c>
      <c r="T300">
        <v>0</v>
      </c>
      <c r="V300">
        <f t="shared" si="19"/>
        <v>26048</v>
      </c>
      <c r="W300">
        <v>0</v>
      </c>
      <c r="X300">
        <v>0</v>
      </c>
      <c r="Y300" s="41">
        <v>0</v>
      </c>
      <c r="Z300" s="41">
        <v>0</v>
      </c>
      <c r="AA300" s="55">
        <v>0</v>
      </c>
    </row>
    <row r="301" spans="1:27">
      <c r="A301">
        <f t="shared" si="16"/>
        <v>26048</v>
      </c>
      <c r="B301">
        <v>0</v>
      </c>
      <c r="C301">
        <v>0</v>
      </c>
      <c r="D301">
        <v>0</v>
      </c>
      <c r="E301">
        <v>0</v>
      </c>
      <c r="F301">
        <v>0</v>
      </c>
      <c r="H301">
        <f t="shared" si="17"/>
        <v>26048</v>
      </c>
      <c r="I301">
        <v>0</v>
      </c>
      <c r="J301">
        <v>0</v>
      </c>
      <c r="K301">
        <v>0</v>
      </c>
      <c r="L301">
        <v>0</v>
      </c>
      <c r="M301">
        <v>0</v>
      </c>
      <c r="O301">
        <f t="shared" si="18"/>
        <v>26048</v>
      </c>
      <c r="P301">
        <v>0</v>
      </c>
      <c r="Q301">
        <v>0</v>
      </c>
      <c r="R301">
        <v>0</v>
      </c>
      <c r="S301">
        <v>0</v>
      </c>
      <c r="T301">
        <v>0</v>
      </c>
      <c r="V301">
        <f t="shared" si="19"/>
        <v>26048</v>
      </c>
      <c r="W301">
        <v>0</v>
      </c>
      <c r="X301">
        <v>0</v>
      </c>
      <c r="Y301" s="41">
        <v>0</v>
      </c>
      <c r="Z301" s="41">
        <v>0</v>
      </c>
      <c r="AA301" s="55">
        <v>0</v>
      </c>
    </row>
    <row r="302" spans="1:27">
      <c r="A302">
        <f t="shared" si="16"/>
        <v>26048</v>
      </c>
      <c r="B302">
        <v>0</v>
      </c>
      <c r="C302">
        <v>0</v>
      </c>
      <c r="D302">
        <v>0</v>
      </c>
      <c r="E302">
        <v>0</v>
      </c>
      <c r="F302">
        <v>0</v>
      </c>
      <c r="H302">
        <f t="shared" si="17"/>
        <v>26048</v>
      </c>
      <c r="I302">
        <v>0</v>
      </c>
      <c r="J302">
        <v>0</v>
      </c>
      <c r="K302">
        <v>0</v>
      </c>
      <c r="L302">
        <v>0</v>
      </c>
      <c r="M302">
        <v>0</v>
      </c>
      <c r="O302">
        <f t="shared" si="18"/>
        <v>26048</v>
      </c>
      <c r="P302">
        <v>0</v>
      </c>
      <c r="Q302">
        <v>0</v>
      </c>
      <c r="R302">
        <v>0</v>
      </c>
      <c r="S302">
        <v>0</v>
      </c>
      <c r="T302">
        <v>0</v>
      </c>
      <c r="V302">
        <f t="shared" si="19"/>
        <v>26048</v>
      </c>
      <c r="W302">
        <v>0</v>
      </c>
      <c r="X302">
        <v>0</v>
      </c>
      <c r="Y302" s="41">
        <v>0</v>
      </c>
      <c r="Z302" s="41">
        <v>0</v>
      </c>
      <c r="AA302" s="55">
        <v>0</v>
      </c>
    </row>
    <row r="303" spans="1:27">
      <c r="A303">
        <f t="shared" si="16"/>
        <v>26048</v>
      </c>
      <c r="B303">
        <v>0</v>
      </c>
      <c r="C303">
        <v>0</v>
      </c>
      <c r="D303">
        <v>0</v>
      </c>
      <c r="E303">
        <v>0</v>
      </c>
      <c r="F303">
        <v>0</v>
      </c>
      <c r="H303">
        <f t="shared" si="17"/>
        <v>26048</v>
      </c>
      <c r="I303">
        <v>0</v>
      </c>
      <c r="J303">
        <v>0</v>
      </c>
      <c r="K303">
        <v>0</v>
      </c>
      <c r="L303">
        <v>0</v>
      </c>
      <c r="M303">
        <v>0</v>
      </c>
      <c r="O303">
        <f t="shared" si="18"/>
        <v>26048</v>
      </c>
      <c r="P303">
        <v>0</v>
      </c>
      <c r="Q303">
        <v>0</v>
      </c>
      <c r="R303">
        <v>0</v>
      </c>
      <c r="S303">
        <v>0</v>
      </c>
      <c r="T303">
        <v>0</v>
      </c>
      <c r="V303">
        <f t="shared" si="19"/>
        <v>26048</v>
      </c>
      <c r="W303">
        <v>0</v>
      </c>
      <c r="X303">
        <v>0</v>
      </c>
      <c r="Y303" s="41">
        <v>0</v>
      </c>
      <c r="Z303" s="41">
        <v>0</v>
      </c>
      <c r="AA303" s="55">
        <v>0</v>
      </c>
    </row>
    <row r="304" spans="1:27">
      <c r="A304">
        <f t="shared" si="16"/>
        <v>26048</v>
      </c>
      <c r="B304">
        <v>0</v>
      </c>
      <c r="C304">
        <v>0</v>
      </c>
      <c r="D304">
        <v>0</v>
      </c>
      <c r="E304">
        <v>0</v>
      </c>
      <c r="F304">
        <v>0</v>
      </c>
      <c r="H304">
        <f t="shared" si="17"/>
        <v>26048</v>
      </c>
      <c r="I304">
        <v>0</v>
      </c>
      <c r="J304">
        <v>0</v>
      </c>
      <c r="K304">
        <v>0</v>
      </c>
      <c r="L304">
        <v>0</v>
      </c>
      <c r="M304">
        <v>0</v>
      </c>
      <c r="O304">
        <f t="shared" si="18"/>
        <v>26048</v>
      </c>
      <c r="P304">
        <v>0</v>
      </c>
      <c r="Q304">
        <v>0</v>
      </c>
      <c r="R304">
        <v>0</v>
      </c>
      <c r="S304">
        <v>0</v>
      </c>
      <c r="T304">
        <v>0</v>
      </c>
      <c r="V304">
        <f t="shared" si="19"/>
        <v>26048</v>
      </c>
      <c r="W304">
        <v>0</v>
      </c>
      <c r="X304">
        <v>0</v>
      </c>
      <c r="Y304" s="41">
        <v>0</v>
      </c>
      <c r="Z304" s="41">
        <v>0</v>
      </c>
      <c r="AA304" s="55">
        <v>0</v>
      </c>
    </row>
    <row r="305" spans="1:27">
      <c r="A305">
        <f t="shared" si="16"/>
        <v>26048</v>
      </c>
      <c r="B305">
        <v>0</v>
      </c>
      <c r="C305">
        <v>0</v>
      </c>
      <c r="D305">
        <v>0</v>
      </c>
      <c r="E305">
        <v>0</v>
      </c>
      <c r="F305">
        <v>0</v>
      </c>
      <c r="H305">
        <f t="shared" si="17"/>
        <v>26048</v>
      </c>
      <c r="I305">
        <v>0</v>
      </c>
      <c r="J305">
        <v>0</v>
      </c>
      <c r="K305">
        <v>0</v>
      </c>
      <c r="L305">
        <v>0</v>
      </c>
      <c r="M305">
        <v>0</v>
      </c>
      <c r="O305">
        <f t="shared" si="18"/>
        <v>26048</v>
      </c>
      <c r="P305">
        <v>0</v>
      </c>
      <c r="Q305">
        <v>0</v>
      </c>
      <c r="R305">
        <v>0</v>
      </c>
      <c r="S305">
        <v>0</v>
      </c>
      <c r="T305">
        <v>0</v>
      </c>
      <c r="V305">
        <f t="shared" si="19"/>
        <v>26048</v>
      </c>
      <c r="W305">
        <v>0</v>
      </c>
      <c r="X305">
        <v>0</v>
      </c>
      <c r="Y305" s="41">
        <v>0</v>
      </c>
      <c r="Z305" s="41">
        <v>0</v>
      </c>
      <c r="AA305" s="55">
        <v>0</v>
      </c>
    </row>
    <row r="306" spans="1:27">
      <c r="A306">
        <f t="shared" si="16"/>
        <v>26048</v>
      </c>
      <c r="B306">
        <v>0</v>
      </c>
      <c r="C306">
        <v>0</v>
      </c>
      <c r="D306">
        <v>0</v>
      </c>
      <c r="E306">
        <v>0</v>
      </c>
      <c r="F306">
        <v>0</v>
      </c>
      <c r="H306">
        <f t="shared" si="17"/>
        <v>26048</v>
      </c>
      <c r="I306">
        <v>0</v>
      </c>
      <c r="J306">
        <v>0</v>
      </c>
      <c r="K306">
        <v>0</v>
      </c>
      <c r="L306">
        <v>0</v>
      </c>
      <c r="M306">
        <v>0</v>
      </c>
      <c r="O306">
        <f t="shared" si="18"/>
        <v>26048</v>
      </c>
      <c r="P306">
        <v>0</v>
      </c>
      <c r="Q306">
        <v>0</v>
      </c>
      <c r="R306">
        <v>0</v>
      </c>
      <c r="S306">
        <v>0</v>
      </c>
      <c r="T306">
        <v>0</v>
      </c>
      <c r="V306">
        <f t="shared" si="19"/>
        <v>26048</v>
      </c>
      <c r="W306">
        <v>0</v>
      </c>
      <c r="X306">
        <v>0</v>
      </c>
      <c r="Y306" s="41">
        <v>0</v>
      </c>
      <c r="Z306" s="41">
        <v>0</v>
      </c>
      <c r="AA306" s="55">
        <v>0</v>
      </c>
    </row>
    <row r="307" spans="1:27">
      <c r="A307">
        <f t="shared" si="16"/>
        <v>26048</v>
      </c>
      <c r="B307">
        <v>0</v>
      </c>
      <c r="C307">
        <v>0</v>
      </c>
      <c r="D307">
        <v>0</v>
      </c>
      <c r="E307">
        <v>0</v>
      </c>
      <c r="F307">
        <v>0</v>
      </c>
      <c r="H307">
        <f t="shared" si="17"/>
        <v>26048</v>
      </c>
      <c r="I307">
        <v>0</v>
      </c>
      <c r="J307">
        <v>0</v>
      </c>
      <c r="K307">
        <v>0</v>
      </c>
      <c r="L307">
        <v>0</v>
      </c>
      <c r="M307">
        <v>0</v>
      </c>
      <c r="O307">
        <f t="shared" si="18"/>
        <v>26048</v>
      </c>
      <c r="P307">
        <v>0</v>
      </c>
      <c r="Q307">
        <v>0</v>
      </c>
      <c r="R307">
        <v>0</v>
      </c>
      <c r="S307">
        <v>0</v>
      </c>
      <c r="T307">
        <v>0</v>
      </c>
      <c r="V307">
        <f t="shared" si="19"/>
        <v>26048</v>
      </c>
      <c r="W307">
        <v>0</v>
      </c>
      <c r="X307">
        <v>0</v>
      </c>
      <c r="Y307" s="41">
        <v>0</v>
      </c>
      <c r="Z307" s="41">
        <v>0</v>
      </c>
      <c r="AA307" s="55">
        <v>0</v>
      </c>
    </row>
    <row r="308" spans="1:27">
      <c r="A308">
        <f t="shared" si="16"/>
        <v>26048</v>
      </c>
      <c r="B308">
        <v>0</v>
      </c>
      <c r="C308">
        <v>0</v>
      </c>
      <c r="D308">
        <v>0</v>
      </c>
      <c r="E308">
        <v>0</v>
      </c>
      <c r="F308">
        <v>0</v>
      </c>
      <c r="H308">
        <f t="shared" si="17"/>
        <v>26048</v>
      </c>
      <c r="I308">
        <v>0</v>
      </c>
      <c r="J308">
        <v>0</v>
      </c>
      <c r="K308">
        <v>0</v>
      </c>
      <c r="L308">
        <v>0</v>
      </c>
      <c r="M308">
        <v>0</v>
      </c>
      <c r="O308">
        <f t="shared" si="18"/>
        <v>26048</v>
      </c>
      <c r="P308">
        <v>0</v>
      </c>
      <c r="Q308">
        <v>0</v>
      </c>
      <c r="R308">
        <v>0</v>
      </c>
      <c r="S308">
        <v>0</v>
      </c>
      <c r="T308">
        <v>0</v>
      </c>
      <c r="V308">
        <f t="shared" si="19"/>
        <v>26048</v>
      </c>
      <c r="W308">
        <v>0</v>
      </c>
      <c r="X308">
        <v>0</v>
      </c>
      <c r="Y308" s="41">
        <v>0</v>
      </c>
      <c r="Z308" s="41">
        <v>0</v>
      </c>
      <c r="AA308" s="55">
        <v>0</v>
      </c>
    </row>
  </sheetData>
  <mergeCells count="4">
    <mergeCell ref="B1:F1"/>
    <mergeCell ref="I1:M1"/>
    <mergeCell ref="P1:T1"/>
    <mergeCell ref="W1:AA1"/>
  </mergeCells>
  <conditionalFormatting sqref="A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T1048576 M1:M1048576 F1:F1048576 AA1:AA1048576 H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A23EC-EF63-4602-9CE1-7F8DEDA9D4E0}">
  <dimension ref="A1:AD212"/>
  <sheetViews>
    <sheetView zoomScaleNormal="100" workbookViewId="0">
      <selection activeCell="R3" sqref="R3:AD75"/>
    </sheetView>
  </sheetViews>
  <sheetFormatPr defaultColWidth="8.85546875" defaultRowHeight="15"/>
  <cols>
    <col min="2" max="2" width="6" bestFit="1" customWidth="1"/>
    <col min="3" max="3" width="4" bestFit="1" customWidth="1"/>
    <col min="4" max="4" width="2.140625" bestFit="1" customWidth="1"/>
    <col min="5" max="5" width="3" bestFit="1" customWidth="1"/>
    <col min="6" max="6" width="16.42578125" bestFit="1" customWidth="1"/>
    <col min="9" max="9" width="6" bestFit="1" customWidth="1"/>
    <col min="10" max="10" width="4" bestFit="1" customWidth="1"/>
    <col min="11" max="11" width="2.140625" bestFit="1" customWidth="1"/>
    <col min="12" max="12" width="3" bestFit="1" customWidth="1"/>
    <col min="13" max="13" width="16.42578125" bestFit="1" customWidth="1"/>
    <col min="15" max="15" width="9.140625" style="1"/>
  </cols>
  <sheetData>
    <row r="1" spans="1:30">
      <c r="B1" s="89" t="s">
        <v>159</v>
      </c>
      <c r="C1" s="89"/>
      <c r="D1" s="89"/>
      <c r="E1" s="89"/>
      <c r="F1" s="89"/>
      <c r="I1" s="89" t="s">
        <v>160</v>
      </c>
      <c r="J1" s="89"/>
      <c r="K1" s="89"/>
      <c r="L1" s="89"/>
      <c r="M1" s="89"/>
      <c r="O1"/>
      <c r="R1" s="90" t="s">
        <v>82</v>
      </c>
      <c r="S1" s="90"/>
      <c r="T1" s="90"/>
      <c r="U1" s="90"/>
      <c r="V1" s="90"/>
      <c r="W1" s="90"/>
      <c r="Y1" s="90" t="s">
        <v>75</v>
      </c>
      <c r="Z1" s="90"/>
      <c r="AA1" s="90"/>
      <c r="AB1" s="90"/>
      <c r="AC1" s="90"/>
      <c r="AD1" s="90"/>
    </row>
    <row r="2" spans="1:30">
      <c r="B2" s="40">
        <f>INDEX(B4:B500,MATCH(MAX(F4:F500),F4:F500,0))</f>
        <v>52000</v>
      </c>
      <c r="C2" s="40">
        <f>INDEX(C4:C500,MATCH(MAX(F4:F500),F4:F500,0))</f>
        <v>160</v>
      </c>
      <c r="D2" s="40">
        <f>INDEX(D4:D500,MATCH(MAX(F4:F500),F4:F500,0))</f>
        <v>2</v>
      </c>
      <c r="E2" s="40">
        <f>INDEX(E4:E500,MATCH(MAX(F4:F500),F4:F500,0))</f>
        <v>8</v>
      </c>
      <c r="F2" s="26">
        <f>MAX(F4:F500)</f>
        <v>131.19400000000002</v>
      </c>
      <c r="I2" s="40">
        <f>INDEX(I4:I500,MATCH(MAX(M4:M500),M4:M500,0))</f>
        <v>51968</v>
      </c>
      <c r="J2" s="40">
        <f>INDEX(J4:J500,MATCH(MAX(M4:M500),M4:M500,0))</f>
        <v>224</v>
      </c>
      <c r="K2" s="40">
        <f>INDEX(K4:K500,MATCH(MAX(M4:M500),M4:M500,0))</f>
        <v>2</v>
      </c>
      <c r="L2" s="40">
        <f>INDEX(L4:L500,MATCH(MAX(M4:M500),M4:M500,0))</f>
        <v>8</v>
      </c>
      <c r="M2" s="26">
        <f>MAX(M4:M500)</f>
        <v>150.334</v>
      </c>
      <c r="O2"/>
      <c r="R2" s="90"/>
      <c r="S2" s="90"/>
      <c r="T2" s="90"/>
      <c r="U2" s="90"/>
      <c r="V2" s="90"/>
      <c r="W2" s="90"/>
      <c r="Y2" s="90"/>
      <c r="Z2" s="90"/>
      <c r="AA2" s="90"/>
      <c r="AB2" s="90"/>
      <c r="AC2" s="90"/>
      <c r="AD2" s="90"/>
    </row>
    <row r="3" spans="1:30">
      <c r="A3" t="s">
        <v>253</v>
      </c>
      <c r="B3" s="35" t="s">
        <v>1</v>
      </c>
      <c r="C3" s="35" t="s">
        <v>2</v>
      </c>
      <c r="D3" s="35" t="s">
        <v>3</v>
      </c>
      <c r="E3" s="40" t="s">
        <v>4</v>
      </c>
      <c r="F3" s="35" t="s">
        <v>81</v>
      </c>
      <c r="H3" t="s">
        <v>253</v>
      </c>
      <c r="I3" s="35" t="s">
        <v>1</v>
      </c>
      <c r="J3" s="35" t="s">
        <v>2</v>
      </c>
      <c r="K3" s="35" t="s">
        <v>3</v>
      </c>
      <c r="L3" s="40" t="s">
        <v>4</v>
      </c>
      <c r="M3" s="35" t="s">
        <v>81</v>
      </c>
      <c r="O3"/>
      <c r="R3" t="s">
        <v>242</v>
      </c>
      <c r="S3" t="s">
        <v>1</v>
      </c>
      <c r="T3" t="s">
        <v>2</v>
      </c>
      <c r="U3" t="s">
        <v>3</v>
      </c>
      <c r="V3" t="s">
        <v>4</v>
      </c>
      <c r="W3" t="s">
        <v>81</v>
      </c>
      <c r="Y3" t="s">
        <v>242</v>
      </c>
      <c r="Z3" t="s">
        <v>1</v>
      </c>
      <c r="AA3" t="s">
        <v>2</v>
      </c>
      <c r="AB3" t="s">
        <v>3</v>
      </c>
      <c r="AC3" t="s">
        <v>4</v>
      </c>
      <c r="AD3" t="s">
        <v>81</v>
      </c>
    </row>
    <row r="4" spans="1:30">
      <c r="A4">
        <f>IF(ABS(B4-52000)&lt;ABS(B4-55200),IF(ABS(B4-52000)&lt;ABS(B4-58400),52000,58400),IF(ABS(B4-55200)&lt;ABS(B4-58400),55200,58400))</f>
        <v>52000</v>
      </c>
      <c r="B4" cm="1">
        <f t="array" ref="B4:F212">_xlfn.CHOOSECOLS(_xlfn._xlws.FILTER('4 node, params, RAW'!A4:X500,'4 node, params, RAW'!B4:B500=0),4,5,6,7,24)</f>
        <v>52000</v>
      </c>
      <c r="C4">
        <v>32</v>
      </c>
      <c r="D4">
        <v>1</v>
      </c>
      <c r="E4">
        <v>16</v>
      </c>
      <c r="F4">
        <v>47.204799999999999</v>
      </c>
      <c r="H4">
        <f>IF(ABS(I4-52000)&lt;ABS(I4-55200),IF(ABS(I4-52000)&lt;ABS(I4-58400),52000,58400),IF(ABS(I4-55200)&lt;ABS(I4-58400),55200,58400))</f>
        <v>52000</v>
      </c>
      <c r="I4" cm="1">
        <f t="array" ref="I4:M212">_xlfn.CHOOSECOLS(_xlfn._xlws.FILTER('4 node, params, RAW'!Z4:AW500,'4 node, params, RAW'!AA4:AA500=0),4,5,6,7,24)</f>
        <v>52000</v>
      </c>
      <c r="J4">
        <v>32</v>
      </c>
      <c r="K4">
        <v>1</v>
      </c>
      <c r="L4">
        <v>16</v>
      </c>
      <c r="M4">
        <v>50.691400000000002</v>
      </c>
      <c r="O4"/>
      <c r="R4">
        <v>52000</v>
      </c>
      <c r="S4">
        <f t="shared" ref="S4:S35" si="0">IF(ABS(R4-52000)&lt;ABS(R4-55200),IF(ABS(R4-52000)&lt;ABS(R4-58400),52000,58400),IF(ABS(R4-55200)&lt;ABS(R4-58400),55200,58400))</f>
        <v>52000</v>
      </c>
      <c r="T4">
        <v>32</v>
      </c>
      <c r="U4">
        <v>1</v>
      </c>
      <c r="V4">
        <v>16</v>
      </c>
      <c r="W4">
        <v>50.691400000000002</v>
      </c>
      <c r="Y4">
        <v>52000</v>
      </c>
      <c r="Z4">
        <f t="shared" ref="Z4:Z35" si="1">IF(ABS(Y4-52000)&lt;ABS(Y4-55200),IF(ABS(Y4-52000)&lt;ABS(Y4-58400),52000,58400),IF(ABS(Y4-55200)&lt;ABS(Y4-58400),55200,58400))</f>
        <v>52000</v>
      </c>
      <c r="AA4">
        <v>32</v>
      </c>
      <c r="AB4">
        <v>1</v>
      </c>
      <c r="AC4">
        <v>16</v>
      </c>
      <c r="AD4">
        <v>47.204799999999999</v>
      </c>
    </row>
    <row r="5" spans="1:30">
      <c r="A5">
        <f t="shared" ref="A5:A68" si="2">IF(ABS(B5-52000)&lt;ABS(B5-55200),IF(ABS(B5-52000)&lt;ABS(B5-58400),52000,58400),IF(ABS(B5-55200)&lt;ABS(B5-58400),55200,58400))</f>
        <v>55200</v>
      </c>
      <c r="B5">
        <v>55200</v>
      </c>
      <c r="C5">
        <v>32</v>
      </c>
      <c r="D5">
        <v>1</v>
      </c>
      <c r="E5">
        <v>16</v>
      </c>
      <c r="F5">
        <v>44.359000000000002</v>
      </c>
      <c r="H5">
        <f t="shared" ref="H5:H68" si="3">IF(ABS(I5-52000)&lt;ABS(I5-55200),IF(ABS(I5-52000)&lt;ABS(I5-58400),52000,58400),IF(ABS(I5-55200)&lt;ABS(I5-58400),55200,58400))</f>
        <v>55200</v>
      </c>
      <c r="I5">
        <v>55200</v>
      </c>
      <c r="J5">
        <v>32</v>
      </c>
      <c r="K5">
        <v>1</v>
      </c>
      <c r="L5">
        <v>16</v>
      </c>
      <c r="M5">
        <v>46.394199999999998</v>
      </c>
      <c r="O5"/>
      <c r="R5">
        <v>51968</v>
      </c>
      <c r="S5">
        <f t="shared" si="0"/>
        <v>52000</v>
      </c>
      <c r="T5">
        <v>64</v>
      </c>
      <c r="U5">
        <v>1</v>
      </c>
      <c r="V5">
        <v>16</v>
      </c>
      <c r="W5">
        <v>90.708999999999989</v>
      </c>
      <c r="Y5">
        <v>51968</v>
      </c>
      <c r="Z5">
        <f t="shared" si="1"/>
        <v>52000</v>
      </c>
      <c r="AA5">
        <v>64</v>
      </c>
      <c r="AB5">
        <v>1</v>
      </c>
      <c r="AC5">
        <v>16</v>
      </c>
      <c r="AD5">
        <v>84.938400000000001</v>
      </c>
    </row>
    <row r="6" spans="1:30">
      <c r="A6">
        <f t="shared" si="2"/>
        <v>58400</v>
      </c>
      <c r="B6">
        <v>58400</v>
      </c>
      <c r="C6">
        <v>32</v>
      </c>
      <c r="D6">
        <v>1</v>
      </c>
      <c r="E6">
        <v>16</v>
      </c>
      <c r="F6">
        <v>44.629199999999997</v>
      </c>
      <c r="H6">
        <f t="shared" si="3"/>
        <v>58400</v>
      </c>
      <c r="I6">
        <v>58400</v>
      </c>
      <c r="J6">
        <v>32</v>
      </c>
      <c r="K6">
        <v>1</v>
      </c>
      <c r="L6">
        <v>16</v>
      </c>
      <c r="M6">
        <v>49.457599999999999</v>
      </c>
      <c r="O6"/>
      <c r="R6">
        <v>52032</v>
      </c>
      <c r="S6">
        <f t="shared" si="0"/>
        <v>52000</v>
      </c>
      <c r="T6">
        <v>96</v>
      </c>
      <c r="U6">
        <v>1</v>
      </c>
      <c r="V6">
        <v>16</v>
      </c>
      <c r="W6">
        <v>116.33599999999998</v>
      </c>
      <c r="Y6">
        <v>52032</v>
      </c>
      <c r="Z6">
        <f t="shared" si="1"/>
        <v>52000</v>
      </c>
      <c r="AA6">
        <v>96</v>
      </c>
      <c r="AB6">
        <v>1</v>
      </c>
      <c r="AC6">
        <v>16</v>
      </c>
      <c r="AD6">
        <v>94.290999999999997</v>
      </c>
    </row>
    <row r="7" spans="1:30">
      <c r="A7">
        <f t="shared" si="2"/>
        <v>52000</v>
      </c>
      <c r="B7">
        <v>52000</v>
      </c>
      <c r="C7">
        <v>32</v>
      </c>
      <c r="D7">
        <v>2</v>
      </c>
      <c r="E7">
        <v>8</v>
      </c>
      <c r="F7">
        <v>48.067800000000005</v>
      </c>
      <c r="H7">
        <f t="shared" si="3"/>
        <v>52000</v>
      </c>
      <c r="I7">
        <v>52000</v>
      </c>
      <c r="J7">
        <v>32</v>
      </c>
      <c r="K7">
        <v>2</v>
      </c>
      <c r="L7">
        <v>8</v>
      </c>
      <c r="M7">
        <v>47.740399999999994</v>
      </c>
      <c r="O7"/>
      <c r="R7">
        <v>51968</v>
      </c>
      <c r="S7">
        <f t="shared" si="0"/>
        <v>52000</v>
      </c>
      <c r="T7">
        <v>128</v>
      </c>
      <c r="U7">
        <v>1</v>
      </c>
      <c r="V7">
        <v>16</v>
      </c>
      <c r="W7">
        <v>127.83</v>
      </c>
      <c r="Y7">
        <v>51968</v>
      </c>
      <c r="Z7">
        <f t="shared" si="1"/>
        <v>52000</v>
      </c>
      <c r="AA7">
        <v>128</v>
      </c>
      <c r="AB7">
        <v>1</v>
      </c>
      <c r="AC7">
        <v>16</v>
      </c>
      <c r="AD7">
        <v>112.346</v>
      </c>
    </row>
    <row r="8" spans="1:30">
      <c r="A8">
        <f t="shared" si="2"/>
        <v>55200</v>
      </c>
      <c r="B8">
        <v>55200</v>
      </c>
      <c r="C8">
        <v>32</v>
      </c>
      <c r="D8">
        <v>2</v>
      </c>
      <c r="E8">
        <v>8</v>
      </c>
      <c r="F8">
        <v>47.016200000000005</v>
      </c>
      <c r="H8">
        <f t="shared" si="3"/>
        <v>55200</v>
      </c>
      <c r="I8">
        <v>55200</v>
      </c>
      <c r="J8">
        <v>32</v>
      </c>
      <c r="K8">
        <v>2</v>
      </c>
      <c r="L8">
        <v>8</v>
      </c>
      <c r="M8">
        <v>47.497599999999998</v>
      </c>
      <c r="O8"/>
      <c r="R8">
        <v>52000</v>
      </c>
      <c r="S8">
        <f t="shared" si="0"/>
        <v>52000</v>
      </c>
      <c r="T8">
        <v>160</v>
      </c>
      <c r="U8">
        <v>1</v>
      </c>
      <c r="V8">
        <v>16</v>
      </c>
      <c r="W8">
        <v>132.55799999999999</v>
      </c>
      <c r="Y8">
        <v>52000</v>
      </c>
      <c r="Z8">
        <f t="shared" si="1"/>
        <v>52000</v>
      </c>
      <c r="AA8">
        <v>160</v>
      </c>
      <c r="AB8">
        <v>1</v>
      </c>
      <c r="AC8">
        <v>16</v>
      </c>
      <c r="AD8">
        <v>122.08</v>
      </c>
    </row>
    <row r="9" spans="1:30">
      <c r="A9">
        <f t="shared" si="2"/>
        <v>58400</v>
      </c>
      <c r="B9">
        <v>58400</v>
      </c>
      <c r="C9">
        <v>32</v>
      </c>
      <c r="D9">
        <v>2</v>
      </c>
      <c r="E9">
        <v>8</v>
      </c>
      <c r="F9">
        <v>47.021799999999999</v>
      </c>
      <c r="H9">
        <f t="shared" si="3"/>
        <v>58400</v>
      </c>
      <c r="I9">
        <v>58400</v>
      </c>
      <c r="J9">
        <v>32</v>
      </c>
      <c r="K9">
        <v>2</v>
      </c>
      <c r="L9">
        <v>8</v>
      </c>
      <c r="M9">
        <v>47.271999999999998</v>
      </c>
      <c r="R9">
        <v>52032</v>
      </c>
      <c r="S9">
        <f t="shared" si="0"/>
        <v>52000</v>
      </c>
      <c r="T9">
        <v>192</v>
      </c>
      <c r="U9">
        <v>1</v>
      </c>
      <c r="V9">
        <v>16</v>
      </c>
      <c r="W9">
        <v>136.39400000000001</v>
      </c>
      <c r="Y9">
        <v>52032</v>
      </c>
      <c r="Z9">
        <f t="shared" si="1"/>
        <v>52000</v>
      </c>
      <c r="AA9">
        <v>192</v>
      </c>
      <c r="AB9">
        <v>1</v>
      </c>
      <c r="AC9">
        <v>16</v>
      </c>
      <c r="AD9">
        <v>115.22799999999999</v>
      </c>
    </row>
    <row r="10" spans="1:30">
      <c r="A10">
        <f t="shared" si="2"/>
        <v>52000</v>
      </c>
      <c r="B10">
        <v>52000</v>
      </c>
      <c r="C10">
        <v>32</v>
      </c>
      <c r="D10">
        <v>4</v>
      </c>
      <c r="E10">
        <v>4</v>
      </c>
      <c r="F10">
        <v>45.805799999999991</v>
      </c>
      <c r="H10">
        <f t="shared" si="3"/>
        <v>52000</v>
      </c>
      <c r="I10">
        <v>52000</v>
      </c>
      <c r="J10">
        <v>32</v>
      </c>
      <c r="K10">
        <v>4</v>
      </c>
      <c r="L10">
        <v>4</v>
      </c>
      <c r="M10">
        <v>43.922000000000004</v>
      </c>
      <c r="R10">
        <v>51968</v>
      </c>
      <c r="S10">
        <f t="shared" si="0"/>
        <v>52000</v>
      </c>
      <c r="T10">
        <v>224</v>
      </c>
      <c r="U10">
        <v>1</v>
      </c>
      <c r="V10">
        <v>16</v>
      </c>
      <c r="W10">
        <v>137.63200000000001</v>
      </c>
      <c r="Y10">
        <v>51968</v>
      </c>
      <c r="Z10">
        <f t="shared" si="1"/>
        <v>52000</v>
      </c>
      <c r="AA10">
        <v>224</v>
      </c>
      <c r="AB10">
        <v>1</v>
      </c>
      <c r="AC10">
        <v>16</v>
      </c>
      <c r="AD10">
        <v>121.82599999999999</v>
      </c>
    </row>
    <row r="11" spans="1:30">
      <c r="A11">
        <f t="shared" si="2"/>
        <v>55200</v>
      </c>
      <c r="B11">
        <v>55200</v>
      </c>
      <c r="C11">
        <v>32</v>
      </c>
      <c r="D11">
        <v>4</v>
      </c>
      <c r="E11">
        <v>4</v>
      </c>
      <c r="F11">
        <v>45.969399999999993</v>
      </c>
      <c r="H11">
        <f t="shared" si="3"/>
        <v>55200</v>
      </c>
      <c r="I11">
        <v>55200</v>
      </c>
      <c r="J11">
        <v>32</v>
      </c>
      <c r="K11">
        <v>4</v>
      </c>
      <c r="L11">
        <v>4</v>
      </c>
      <c r="M11">
        <v>44.470800000000004</v>
      </c>
      <c r="R11">
        <v>51968</v>
      </c>
      <c r="S11">
        <f t="shared" si="0"/>
        <v>52000</v>
      </c>
      <c r="T11">
        <v>256</v>
      </c>
      <c r="U11">
        <v>1</v>
      </c>
      <c r="V11">
        <v>16</v>
      </c>
      <c r="W11">
        <v>134.71</v>
      </c>
      <c r="Y11">
        <v>51968</v>
      </c>
      <c r="Z11">
        <f t="shared" si="1"/>
        <v>52000</v>
      </c>
      <c r="AA11">
        <v>256</v>
      </c>
      <c r="AB11">
        <v>1</v>
      </c>
      <c r="AC11">
        <v>16</v>
      </c>
      <c r="AD11">
        <v>114.354</v>
      </c>
    </row>
    <row r="12" spans="1:30">
      <c r="A12">
        <f t="shared" si="2"/>
        <v>58400</v>
      </c>
      <c r="B12">
        <v>58400</v>
      </c>
      <c r="C12">
        <v>32</v>
      </c>
      <c r="D12">
        <v>4</v>
      </c>
      <c r="E12">
        <v>4</v>
      </c>
      <c r="F12">
        <v>44.854800000000004</v>
      </c>
      <c r="H12">
        <f t="shared" si="3"/>
        <v>58400</v>
      </c>
      <c r="I12">
        <v>58400</v>
      </c>
      <c r="J12">
        <v>32</v>
      </c>
      <c r="K12">
        <v>4</v>
      </c>
      <c r="L12">
        <v>4</v>
      </c>
      <c r="M12">
        <v>42.922000000000004</v>
      </c>
      <c r="R12">
        <v>55200</v>
      </c>
      <c r="S12">
        <f t="shared" si="0"/>
        <v>55200</v>
      </c>
      <c r="T12">
        <v>32</v>
      </c>
      <c r="U12">
        <v>1</v>
      </c>
      <c r="V12">
        <v>16</v>
      </c>
      <c r="W12">
        <v>46.394199999999998</v>
      </c>
      <c r="Y12">
        <v>55200</v>
      </c>
      <c r="Z12">
        <f t="shared" si="1"/>
        <v>55200</v>
      </c>
      <c r="AA12">
        <v>32</v>
      </c>
      <c r="AB12">
        <v>1</v>
      </c>
      <c r="AC12">
        <v>16</v>
      </c>
      <c r="AD12">
        <v>44.359000000000002</v>
      </c>
    </row>
    <row r="13" spans="1:30">
      <c r="A13">
        <f t="shared" si="2"/>
        <v>52000</v>
      </c>
      <c r="B13">
        <v>51968</v>
      </c>
      <c r="C13">
        <v>64</v>
      </c>
      <c r="D13">
        <v>1</v>
      </c>
      <c r="E13">
        <v>16</v>
      </c>
      <c r="F13">
        <v>84.938400000000001</v>
      </c>
      <c r="H13">
        <f t="shared" si="3"/>
        <v>52000</v>
      </c>
      <c r="I13">
        <v>51968</v>
      </c>
      <c r="J13">
        <v>64</v>
      </c>
      <c r="K13">
        <v>1</v>
      </c>
      <c r="L13">
        <v>16</v>
      </c>
      <c r="M13">
        <v>90.708999999999989</v>
      </c>
      <c r="R13">
        <v>55168</v>
      </c>
      <c r="S13">
        <f t="shared" si="0"/>
        <v>55200</v>
      </c>
      <c r="T13">
        <v>64</v>
      </c>
      <c r="U13">
        <v>1</v>
      </c>
      <c r="V13">
        <v>16</v>
      </c>
      <c r="W13">
        <v>85.496200000000002</v>
      </c>
      <c r="Y13">
        <v>55168</v>
      </c>
      <c r="Z13">
        <f t="shared" si="1"/>
        <v>55200</v>
      </c>
      <c r="AA13">
        <v>64</v>
      </c>
      <c r="AB13">
        <v>1</v>
      </c>
      <c r="AC13">
        <v>16</v>
      </c>
      <c r="AD13">
        <v>81.63239999999999</v>
      </c>
    </row>
    <row r="14" spans="1:30">
      <c r="A14">
        <f t="shared" si="2"/>
        <v>55200</v>
      </c>
      <c r="B14">
        <v>55168</v>
      </c>
      <c r="C14">
        <v>64</v>
      </c>
      <c r="D14">
        <v>1</v>
      </c>
      <c r="E14">
        <v>16</v>
      </c>
      <c r="F14">
        <v>81.63239999999999</v>
      </c>
      <c r="H14">
        <f t="shared" si="3"/>
        <v>55200</v>
      </c>
      <c r="I14">
        <v>55168</v>
      </c>
      <c r="J14">
        <v>64</v>
      </c>
      <c r="K14">
        <v>1</v>
      </c>
      <c r="L14">
        <v>16</v>
      </c>
      <c r="M14">
        <v>85.496200000000002</v>
      </c>
      <c r="R14">
        <v>55200</v>
      </c>
      <c r="S14">
        <f t="shared" si="0"/>
        <v>55200</v>
      </c>
      <c r="T14">
        <v>96</v>
      </c>
      <c r="U14">
        <v>1</v>
      </c>
      <c r="V14">
        <v>16</v>
      </c>
      <c r="W14">
        <v>111.20399999999999</v>
      </c>
      <c r="Y14">
        <v>55200</v>
      </c>
      <c r="Z14">
        <f t="shared" si="1"/>
        <v>55200</v>
      </c>
      <c r="AA14">
        <v>96</v>
      </c>
      <c r="AB14">
        <v>1</v>
      </c>
      <c r="AC14">
        <v>16</v>
      </c>
      <c r="AD14">
        <v>90.153999999999996</v>
      </c>
    </row>
    <row r="15" spans="1:30">
      <c r="A15">
        <f t="shared" si="2"/>
        <v>58400</v>
      </c>
      <c r="B15">
        <v>58368</v>
      </c>
      <c r="C15">
        <v>64</v>
      </c>
      <c r="D15">
        <v>1</v>
      </c>
      <c r="E15">
        <v>16</v>
      </c>
      <c r="F15">
        <v>80.301600000000008</v>
      </c>
      <c r="H15">
        <f t="shared" si="3"/>
        <v>58400</v>
      </c>
      <c r="I15">
        <v>58368</v>
      </c>
      <c r="J15">
        <v>64</v>
      </c>
      <c r="K15">
        <v>1</v>
      </c>
      <c r="L15">
        <v>16</v>
      </c>
      <c r="M15">
        <v>83.711199999999991</v>
      </c>
      <c r="R15">
        <v>55168</v>
      </c>
      <c r="S15">
        <f t="shared" si="0"/>
        <v>55200</v>
      </c>
      <c r="T15">
        <v>128</v>
      </c>
      <c r="U15">
        <v>1</v>
      </c>
      <c r="V15">
        <v>16</v>
      </c>
      <c r="W15">
        <v>126.532</v>
      </c>
      <c r="Y15">
        <v>55168</v>
      </c>
      <c r="Z15">
        <f t="shared" si="1"/>
        <v>55200</v>
      </c>
      <c r="AA15">
        <v>128</v>
      </c>
      <c r="AB15">
        <v>1</v>
      </c>
      <c r="AC15">
        <v>16</v>
      </c>
      <c r="AD15">
        <v>110.50399999999999</v>
      </c>
    </row>
    <row r="16" spans="1:30">
      <c r="A16">
        <f t="shared" si="2"/>
        <v>52000</v>
      </c>
      <c r="B16">
        <v>51968</v>
      </c>
      <c r="C16">
        <v>64</v>
      </c>
      <c r="D16">
        <v>2</v>
      </c>
      <c r="E16">
        <v>8</v>
      </c>
      <c r="F16">
        <v>90.080799999999996</v>
      </c>
      <c r="H16">
        <f t="shared" si="3"/>
        <v>52000</v>
      </c>
      <c r="I16">
        <v>51968</v>
      </c>
      <c r="J16">
        <v>64</v>
      </c>
      <c r="K16">
        <v>2</v>
      </c>
      <c r="L16">
        <v>8</v>
      </c>
      <c r="M16">
        <v>88.404399999999995</v>
      </c>
      <c r="R16">
        <v>55200</v>
      </c>
      <c r="S16">
        <f t="shared" si="0"/>
        <v>55200</v>
      </c>
      <c r="T16">
        <v>160</v>
      </c>
      <c r="U16">
        <v>1</v>
      </c>
      <c r="V16">
        <v>16</v>
      </c>
      <c r="W16">
        <v>130.86399999999998</v>
      </c>
      <c r="Y16">
        <v>55200</v>
      </c>
      <c r="Z16">
        <f t="shared" si="1"/>
        <v>55200</v>
      </c>
      <c r="AA16">
        <v>160</v>
      </c>
      <c r="AB16">
        <v>1</v>
      </c>
      <c r="AC16">
        <v>16</v>
      </c>
      <c r="AD16">
        <v>121.51399999999998</v>
      </c>
    </row>
    <row r="17" spans="1:30">
      <c r="A17">
        <f t="shared" si="2"/>
        <v>55200</v>
      </c>
      <c r="B17">
        <v>55168</v>
      </c>
      <c r="C17">
        <v>64</v>
      </c>
      <c r="D17">
        <v>2</v>
      </c>
      <c r="E17">
        <v>8</v>
      </c>
      <c r="F17">
        <v>86.747200000000007</v>
      </c>
      <c r="H17">
        <f t="shared" si="3"/>
        <v>55200</v>
      </c>
      <c r="I17">
        <v>55168</v>
      </c>
      <c r="J17">
        <v>64</v>
      </c>
      <c r="K17">
        <v>2</v>
      </c>
      <c r="L17">
        <v>8</v>
      </c>
      <c r="M17">
        <v>87.488599999999991</v>
      </c>
      <c r="R17">
        <v>55296</v>
      </c>
      <c r="S17">
        <f t="shared" si="0"/>
        <v>55200</v>
      </c>
      <c r="T17">
        <v>192</v>
      </c>
      <c r="U17">
        <v>1</v>
      </c>
      <c r="V17">
        <v>16</v>
      </c>
      <c r="W17">
        <v>126.66600000000001</v>
      </c>
      <c r="Y17">
        <v>55296</v>
      </c>
      <c r="Z17">
        <f t="shared" si="1"/>
        <v>55200</v>
      </c>
      <c r="AA17">
        <v>192</v>
      </c>
      <c r="AB17">
        <v>1</v>
      </c>
      <c r="AC17">
        <v>16</v>
      </c>
      <c r="AD17">
        <v>85.377199999999988</v>
      </c>
    </row>
    <row r="18" spans="1:30">
      <c r="A18">
        <f t="shared" si="2"/>
        <v>58400</v>
      </c>
      <c r="B18">
        <v>58368</v>
      </c>
      <c r="C18">
        <v>64</v>
      </c>
      <c r="D18">
        <v>2</v>
      </c>
      <c r="E18">
        <v>8</v>
      </c>
      <c r="F18">
        <v>87.531000000000006</v>
      </c>
      <c r="H18">
        <f t="shared" si="3"/>
        <v>58400</v>
      </c>
      <c r="I18">
        <v>58368</v>
      </c>
      <c r="J18">
        <v>64</v>
      </c>
      <c r="K18">
        <v>2</v>
      </c>
      <c r="L18">
        <v>8</v>
      </c>
      <c r="M18">
        <v>87.895399999999995</v>
      </c>
      <c r="R18">
        <v>55104</v>
      </c>
      <c r="S18">
        <f t="shared" si="0"/>
        <v>55200</v>
      </c>
      <c r="T18">
        <v>224</v>
      </c>
      <c r="U18">
        <v>1</v>
      </c>
      <c r="V18">
        <v>16</v>
      </c>
      <c r="W18">
        <v>136.99200000000002</v>
      </c>
      <c r="Y18">
        <v>55104</v>
      </c>
      <c r="Z18">
        <f t="shared" si="1"/>
        <v>55200</v>
      </c>
      <c r="AA18">
        <v>224</v>
      </c>
      <c r="AB18">
        <v>1</v>
      </c>
      <c r="AC18">
        <v>16</v>
      </c>
      <c r="AD18">
        <v>119.80799999999999</v>
      </c>
    </row>
    <row r="19" spans="1:30">
      <c r="A19">
        <f t="shared" si="2"/>
        <v>52000</v>
      </c>
      <c r="B19">
        <v>51968</v>
      </c>
      <c r="C19">
        <v>64</v>
      </c>
      <c r="D19">
        <v>4</v>
      </c>
      <c r="E19">
        <v>4</v>
      </c>
      <c r="F19">
        <v>80.292800000000014</v>
      </c>
      <c r="H19">
        <f t="shared" si="3"/>
        <v>52000</v>
      </c>
      <c r="I19">
        <v>51968</v>
      </c>
      <c r="J19">
        <v>64</v>
      </c>
      <c r="K19">
        <v>4</v>
      </c>
      <c r="L19">
        <v>4</v>
      </c>
      <c r="M19">
        <v>78.921400000000006</v>
      </c>
      <c r="R19">
        <v>55296</v>
      </c>
      <c r="S19">
        <f t="shared" si="0"/>
        <v>55200</v>
      </c>
      <c r="T19">
        <v>256</v>
      </c>
      <c r="U19">
        <v>1</v>
      </c>
      <c r="V19">
        <v>16</v>
      </c>
      <c r="W19">
        <v>130.17600000000002</v>
      </c>
      <c r="Y19">
        <v>55296</v>
      </c>
      <c r="Z19">
        <f t="shared" si="1"/>
        <v>55200</v>
      </c>
      <c r="AA19">
        <v>256</v>
      </c>
      <c r="AB19">
        <v>1</v>
      </c>
      <c r="AC19">
        <v>16</v>
      </c>
      <c r="AD19">
        <v>86.410199999999989</v>
      </c>
    </row>
    <row r="20" spans="1:30">
      <c r="A20">
        <f t="shared" si="2"/>
        <v>55200</v>
      </c>
      <c r="B20">
        <v>55168</v>
      </c>
      <c r="C20">
        <v>64</v>
      </c>
      <c r="D20">
        <v>4</v>
      </c>
      <c r="E20">
        <v>4</v>
      </c>
      <c r="F20">
        <v>80.770799999999994</v>
      </c>
      <c r="H20">
        <f t="shared" si="3"/>
        <v>55200</v>
      </c>
      <c r="I20">
        <v>55168</v>
      </c>
      <c r="J20">
        <v>64</v>
      </c>
      <c r="K20">
        <v>4</v>
      </c>
      <c r="L20">
        <v>4</v>
      </c>
      <c r="M20">
        <v>80.348600000000005</v>
      </c>
      <c r="R20">
        <v>58400</v>
      </c>
      <c r="S20">
        <f t="shared" si="0"/>
        <v>58400</v>
      </c>
      <c r="T20">
        <v>32</v>
      </c>
      <c r="U20">
        <v>1</v>
      </c>
      <c r="V20">
        <v>16</v>
      </c>
      <c r="W20">
        <v>49.457599999999999</v>
      </c>
      <c r="Y20">
        <v>58400</v>
      </c>
      <c r="Z20">
        <f t="shared" si="1"/>
        <v>58400</v>
      </c>
      <c r="AA20">
        <v>32</v>
      </c>
      <c r="AB20">
        <v>1</v>
      </c>
      <c r="AC20">
        <v>16</v>
      </c>
      <c r="AD20">
        <v>44.629199999999997</v>
      </c>
    </row>
    <row r="21" spans="1:30">
      <c r="A21">
        <f t="shared" si="2"/>
        <v>58400</v>
      </c>
      <c r="B21">
        <v>58368</v>
      </c>
      <c r="C21">
        <v>64</v>
      </c>
      <c r="D21">
        <v>4</v>
      </c>
      <c r="E21">
        <v>4</v>
      </c>
      <c r="F21">
        <v>78.570599999999985</v>
      </c>
      <c r="H21">
        <f t="shared" si="3"/>
        <v>58400</v>
      </c>
      <c r="I21">
        <v>58368</v>
      </c>
      <c r="J21">
        <v>64</v>
      </c>
      <c r="K21">
        <v>4</v>
      </c>
      <c r="L21">
        <v>4</v>
      </c>
      <c r="M21">
        <v>77.747199999999992</v>
      </c>
      <c r="R21">
        <v>58368</v>
      </c>
      <c r="S21">
        <f t="shared" si="0"/>
        <v>58400</v>
      </c>
      <c r="T21">
        <v>64</v>
      </c>
      <c r="U21">
        <v>1</v>
      </c>
      <c r="V21">
        <v>16</v>
      </c>
      <c r="W21">
        <v>83.711199999999991</v>
      </c>
      <c r="Y21">
        <v>58368</v>
      </c>
      <c r="Z21">
        <f t="shared" si="1"/>
        <v>58400</v>
      </c>
      <c r="AA21">
        <v>64</v>
      </c>
      <c r="AB21">
        <v>1</v>
      </c>
      <c r="AC21">
        <v>16</v>
      </c>
      <c r="AD21">
        <v>80.301600000000008</v>
      </c>
    </row>
    <row r="22" spans="1:30">
      <c r="A22">
        <f t="shared" si="2"/>
        <v>52000</v>
      </c>
      <c r="B22">
        <v>52032</v>
      </c>
      <c r="C22">
        <v>96</v>
      </c>
      <c r="D22">
        <v>1</v>
      </c>
      <c r="E22">
        <v>16</v>
      </c>
      <c r="F22">
        <v>94.290999999999997</v>
      </c>
      <c r="H22">
        <f t="shared" si="3"/>
        <v>52000</v>
      </c>
      <c r="I22">
        <v>52032</v>
      </c>
      <c r="J22">
        <v>96</v>
      </c>
      <c r="K22">
        <v>1</v>
      </c>
      <c r="L22">
        <v>16</v>
      </c>
      <c r="M22">
        <v>116.33599999999998</v>
      </c>
      <c r="R22">
        <v>58368</v>
      </c>
      <c r="S22">
        <f t="shared" si="0"/>
        <v>58400</v>
      </c>
      <c r="T22">
        <v>96</v>
      </c>
      <c r="U22">
        <v>1</v>
      </c>
      <c r="V22">
        <v>16</v>
      </c>
      <c r="W22">
        <v>111.306</v>
      </c>
      <c r="Y22">
        <v>58368</v>
      </c>
      <c r="Z22">
        <f t="shared" si="1"/>
        <v>58400</v>
      </c>
      <c r="AA22">
        <v>96</v>
      </c>
      <c r="AB22">
        <v>1</v>
      </c>
      <c r="AC22">
        <v>16</v>
      </c>
      <c r="AD22">
        <v>91.343199999999996</v>
      </c>
    </row>
    <row r="23" spans="1:30">
      <c r="A23">
        <f t="shared" si="2"/>
        <v>55200</v>
      </c>
      <c r="B23">
        <v>55200</v>
      </c>
      <c r="C23">
        <v>96</v>
      </c>
      <c r="D23">
        <v>1</v>
      </c>
      <c r="E23">
        <v>16</v>
      </c>
      <c r="F23">
        <v>90.153999999999996</v>
      </c>
      <c r="H23">
        <f t="shared" si="3"/>
        <v>55200</v>
      </c>
      <c r="I23">
        <v>55200</v>
      </c>
      <c r="J23">
        <v>96</v>
      </c>
      <c r="K23">
        <v>1</v>
      </c>
      <c r="L23">
        <v>16</v>
      </c>
      <c r="M23">
        <v>111.20399999999999</v>
      </c>
      <c r="R23">
        <v>58368</v>
      </c>
      <c r="S23">
        <f t="shared" si="0"/>
        <v>58400</v>
      </c>
      <c r="T23">
        <v>128</v>
      </c>
      <c r="U23">
        <v>1</v>
      </c>
      <c r="V23">
        <v>16</v>
      </c>
      <c r="W23">
        <v>125.40799999999999</v>
      </c>
      <c r="Y23">
        <v>58368</v>
      </c>
      <c r="Z23">
        <f t="shared" si="1"/>
        <v>58400</v>
      </c>
      <c r="AA23">
        <v>128</v>
      </c>
      <c r="AB23">
        <v>1</v>
      </c>
      <c r="AC23">
        <v>16</v>
      </c>
      <c r="AD23">
        <v>108.71199999999999</v>
      </c>
    </row>
    <row r="24" spans="1:30">
      <c r="A24">
        <f t="shared" si="2"/>
        <v>58400</v>
      </c>
      <c r="B24">
        <v>58368</v>
      </c>
      <c r="C24">
        <v>96</v>
      </c>
      <c r="D24">
        <v>1</v>
      </c>
      <c r="E24">
        <v>16</v>
      </c>
      <c r="F24">
        <v>91.343199999999996</v>
      </c>
      <c r="H24">
        <f t="shared" si="3"/>
        <v>58400</v>
      </c>
      <c r="I24">
        <v>58368</v>
      </c>
      <c r="J24">
        <v>96</v>
      </c>
      <c r="K24">
        <v>1</v>
      </c>
      <c r="L24">
        <v>16</v>
      </c>
      <c r="M24">
        <v>111.306</v>
      </c>
      <c r="R24">
        <v>58400</v>
      </c>
      <c r="S24">
        <f t="shared" si="0"/>
        <v>58400</v>
      </c>
      <c r="T24">
        <v>160</v>
      </c>
      <c r="U24">
        <v>1</v>
      </c>
      <c r="V24">
        <v>16</v>
      </c>
      <c r="W24">
        <v>134.03</v>
      </c>
      <c r="Y24">
        <v>58400</v>
      </c>
      <c r="Z24">
        <f t="shared" si="1"/>
        <v>58400</v>
      </c>
      <c r="AA24">
        <v>160</v>
      </c>
      <c r="AB24">
        <v>1</v>
      </c>
      <c r="AC24">
        <v>16</v>
      </c>
      <c r="AD24">
        <v>123.28</v>
      </c>
    </row>
    <row r="25" spans="1:30">
      <c r="A25">
        <f t="shared" si="2"/>
        <v>52000</v>
      </c>
      <c r="B25">
        <v>52032</v>
      </c>
      <c r="C25">
        <v>96</v>
      </c>
      <c r="D25">
        <v>2</v>
      </c>
      <c r="E25">
        <v>8</v>
      </c>
      <c r="F25">
        <v>98.373199999999997</v>
      </c>
      <c r="H25">
        <f t="shared" si="3"/>
        <v>52000</v>
      </c>
      <c r="I25">
        <v>52032</v>
      </c>
      <c r="J25">
        <v>96</v>
      </c>
      <c r="K25">
        <v>2</v>
      </c>
      <c r="L25">
        <v>8</v>
      </c>
      <c r="M25">
        <v>118.45399999999999</v>
      </c>
      <c r="R25">
        <v>58368</v>
      </c>
      <c r="S25">
        <f t="shared" si="0"/>
        <v>58400</v>
      </c>
      <c r="T25">
        <v>192</v>
      </c>
      <c r="U25">
        <v>1</v>
      </c>
      <c r="V25">
        <v>16</v>
      </c>
      <c r="W25">
        <v>138.31399999999999</v>
      </c>
      <c r="Y25">
        <v>58368</v>
      </c>
      <c r="Z25">
        <f t="shared" si="1"/>
        <v>58400</v>
      </c>
      <c r="AA25">
        <v>192</v>
      </c>
      <c r="AB25">
        <v>1</v>
      </c>
      <c r="AC25">
        <v>16</v>
      </c>
      <c r="AD25">
        <v>104.128</v>
      </c>
    </row>
    <row r="26" spans="1:30">
      <c r="A26">
        <f t="shared" si="2"/>
        <v>55200</v>
      </c>
      <c r="B26">
        <v>55200</v>
      </c>
      <c r="C26">
        <v>96</v>
      </c>
      <c r="D26">
        <v>2</v>
      </c>
      <c r="E26">
        <v>8</v>
      </c>
      <c r="F26">
        <v>96.59020000000001</v>
      </c>
      <c r="H26">
        <f t="shared" si="3"/>
        <v>55200</v>
      </c>
      <c r="I26">
        <v>55200</v>
      </c>
      <c r="J26">
        <v>96</v>
      </c>
      <c r="K26">
        <v>2</v>
      </c>
      <c r="L26">
        <v>8</v>
      </c>
      <c r="M26">
        <v>112.9</v>
      </c>
      <c r="R26">
        <v>58464</v>
      </c>
      <c r="S26">
        <f t="shared" si="0"/>
        <v>58400</v>
      </c>
      <c r="T26">
        <v>224</v>
      </c>
      <c r="U26">
        <v>1</v>
      </c>
      <c r="V26">
        <v>16</v>
      </c>
      <c r="W26">
        <v>138.142</v>
      </c>
      <c r="Y26">
        <v>58464</v>
      </c>
      <c r="Z26">
        <f t="shared" si="1"/>
        <v>58400</v>
      </c>
      <c r="AA26">
        <v>224</v>
      </c>
      <c r="AB26">
        <v>1</v>
      </c>
      <c r="AC26">
        <v>16</v>
      </c>
      <c r="AD26">
        <v>120.08399999999999</v>
      </c>
    </row>
    <row r="27" spans="1:30">
      <c r="A27">
        <f t="shared" si="2"/>
        <v>58400</v>
      </c>
      <c r="B27">
        <v>58368</v>
      </c>
      <c r="C27">
        <v>96</v>
      </c>
      <c r="D27">
        <v>2</v>
      </c>
      <c r="E27">
        <v>8</v>
      </c>
      <c r="F27">
        <v>97.734999999999985</v>
      </c>
      <c r="H27">
        <f t="shared" si="3"/>
        <v>58400</v>
      </c>
      <c r="I27">
        <v>58368</v>
      </c>
      <c r="J27">
        <v>96</v>
      </c>
      <c r="K27">
        <v>2</v>
      </c>
      <c r="L27">
        <v>8</v>
      </c>
      <c r="M27">
        <v>118.63999999999999</v>
      </c>
      <c r="R27">
        <v>58368</v>
      </c>
      <c r="S27">
        <f t="shared" si="0"/>
        <v>58400</v>
      </c>
      <c r="T27">
        <v>256</v>
      </c>
      <c r="U27">
        <v>1</v>
      </c>
      <c r="V27">
        <v>16</v>
      </c>
      <c r="W27">
        <v>137.64000000000001</v>
      </c>
      <c r="Y27">
        <v>58368</v>
      </c>
      <c r="Z27">
        <f t="shared" si="1"/>
        <v>58400</v>
      </c>
      <c r="AA27">
        <v>256</v>
      </c>
      <c r="AB27">
        <v>1</v>
      </c>
      <c r="AC27">
        <v>16</v>
      </c>
      <c r="AD27">
        <v>105.02200000000001</v>
      </c>
    </row>
    <row r="28" spans="1:30">
      <c r="A28">
        <f t="shared" si="2"/>
        <v>52000</v>
      </c>
      <c r="B28">
        <v>52032</v>
      </c>
      <c r="C28">
        <v>96</v>
      </c>
      <c r="D28">
        <v>4</v>
      </c>
      <c r="E28">
        <v>4</v>
      </c>
      <c r="F28">
        <v>88.286199999999994</v>
      </c>
      <c r="H28">
        <f t="shared" si="3"/>
        <v>52000</v>
      </c>
      <c r="I28">
        <v>52032</v>
      </c>
      <c r="J28">
        <v>96</v>
      </c>
      <c r="K28">
        <v>4</v>
      </c>
      <c r="L28">
        <v>4</v>
      </c>
      <c r="M28">
        <v>104.44200000000001</v>
      </c>
      <c r="R28">
        <v>52000</v>
      </c>
      <c r="S28">
        <f t="shared" si="0"/>
        <v>52000</v>
      </c>
      <c r="T28">
        <v>32</v>
      </c>
      <c r="U28">
        <v>2</v>
      </c>
      <c r="V28">
        <v>8</v>
      </c>
      <c r="W28">
        <v>47.740399999999994</v>
      </c>
      <c r="Y28">
        <v>52000</v>
      </c>
      <c r="Z28">
        <f t="shared" si="1"/>
        <v>52000</v>
      </c>
      <c r="AA28">
        <v>32</v>
      </c>
      <c r="AB28">
        <v>2</v>
      </c>
      <c r="AC28">
        <v>8</v>
      </c>
      <c r="AD28">
        <v>48.067800000000005</v>
      </c>
    </row>
    <row r="29" spans="1:30">
      <c r="A29">
        <f t="shared" si="2"/>
        <v>55200</v>
      </c>
      <c r="B29">
        <v>55200</v>
      </c>
      <c r="C29">
        <v>96</v>
      </c>
      <c r="D29">
        <v>4</v>
      </c>
      <c r="E29">
        <v>4</v>
      </c>
      <c r="F29">
        <v>89.801199999999994</v>
      </c>
      <c r="H29">
        <f t="shared" si="3"/>
        <v>55200</v>
      </c>
      <c r="I29">
        <v>55200</v>
      </c>
      <c r="J29">
        <v>96</v>
      </c>
      <c r="K29">
        <v>4</v>
      </c>
      <c r="L29">
        <v>4</v>
      </c>
      <c r="M29">
        <v>105.874</v>
      </c>
      <c r="R29">
        <v>51968</v>
      </c>
      <c r="S29">
        <f t="shared" si="0"/>
        <v>52000</v>
      </c>
      <c r="T29">
        <v>64</v>
      </c>
      <c r="U29">
        <v>2</v>
      </c>
      <c r="V29">
        <v>8</v>
      </c>
      <c r="W29">
        <v>88.404399999999995</v>
      </c>
      <c r="Y29">
        <v>51968</v>
      </c>
      <c r="Z29">
        <f t="shared" si="1"/>
        <v>52000</v>
      </c>
      <c r="AA29">
        <v>64</v>
      </c>
      <c r="AB29">
        <v>2</v>
      </c>
      <c r="AC29">
        <v>8</v>
      </c>
      <c r="AD29">
        <v>90.080799999999996</v>
      </c>
    </row>
    <row r="30" spans="1:30">
      <c r="A30">
        <f t="shared" si="2"/>
        <v>58400</v>
      </c>
      <c r="B30">
        <v>58368</v>
      </c>
      <c r="C30">
        <v>96</v>
      </c>
      <c r="D30">
        <v>4</v>
      </c>
      <c r="E30">
        <v>4</v>
      </c>
      <c r="F30">
        <v>87.605199999999996</v>
      </c>
      <c r="H30">
        <f t="shared" si="3"/>
        <v>58400</v>
      </c>
      <c r="I30">
        <v>58368</v>
      </c>
      <c r="J30">
        <v>96</v>
      </c>
      <c r="K30">
        <v>4</v>
      </c>
      <c r="L30">
        <v>4</v>
      </c>
      <c r="M30">
        <v>103.476</v>
      </c>
      <c r="R30">
        <v>52032</v>
      </c>
      <c r="S30">
        <f t="shared" si="0"/>
        <v>52000</v>
      </c>
      <c r="T30">
        <v>96</v>
      </c>
      <c r="U30">
        <v>2</v>
      </c>
      <c r="V30">
        <v>8</v>
      </c>
      <c r="W30">
        <v>118.45399999999999</v>
      </c>
      <c r="Y30">
        <v>52032</v>
      </c>
      <c r="Z30">
        <f t="shared" si="1"/>
        <v>52000</v>
      </c>
      <c r="AA30">
        <v>96</v>
      </c>
      <c r="AB30">
        <v>2</v>
      </c>
      <c r="AC30">
        <v>8</v>
      </c>
      <c r="AD30">
        <v>98.373199999999997</v>
      </c>
    </row>
    <row r="31" spans="1:30">
      <c r="A31">
        <f t="shared" si="2"/>
        <v>52000</v>
      </c>
      <c r="B31">
        <v>51968</v>
      </c>
      <c r="C31">
        <v>128</v>
      </c>
      <c r="D31">
        <v>1</v>
      </c>
      <c r="E31">
        <v>16</v>
      </c>
      <c r="F31">
        <v>112.346</v>
      </c>
      <c r="H31">
        <f t="shared" si="3"/>
        <v>52000</v>
      </c>
      <c r="I31">
        <v>51968</v>
      </c>
      <c r="J31">
        <v>128</v>
      </c>
      <c r="K31">
        <v>1</v>
      </c>
      <c r="L31">
        <v>16</v>
      </c>
      <c r="M31">
        <v>127.83</v>
      </c>
      <c r="R31">
        <v>51968</v>
      </c>
      <c r="S31">
        <f t="shared" si="0"/>
        <v>52000</v>
      </c>
      <c r="T31">
        <v>128</v>
      </c>
      <c r="U31">
        <v>2</v>
      </c>
      <c r="V31">
        <v>8</v>
      </c>
      <c r="W31">
        <v>135.816</v>
      </c>
      <c r="Y31">
        <v>51968</v>
      </c>
      <c r="Z31">
        <f t="shared" si="1"/>
        <v>52000</v>
      </c>
      <c r="AA31">
        <v>128</v>
      </c>
      <c r="AB31">
        <v>2</v>
      </c>
      <c r="AC31">
        <v>8</v>
      </c>
      <c r="AD31">
        <v>119.91</v>
      </c>
    </row>
    <row r="32" spans="1:30">
      <c r="A32">
        <f t="shared" si="2"/>
        <v>55200</v>
      </c>
      <c r="B32">
        <v>55168</v>
      </c>
      <c r="C32">
        <v>128</v>
      </c>
      <c r="D32">
        <v>1</v>
      </c>
      <c r="E32">
        <v>16</v>
      </c>
      <c r="F32">
        <v>110.50399999999999</v>
      </c>
      <c r="H32">
        <f t="shared" si="3"/>
        <v>55200</v>
      </c>
      <c r="I32">
        <v>55168</v>
      </c>
      <c r="J32">
        <v>128</v>
      </c>
      <c r="K32">
        <v>1</v>
      </c>
      <c r="L32">
        <v>16</v>
      </c>
      <c r="M32">
        <v>126.532</v>
      </c>
      <c r="R32">
        <v>52000</v>
      </c>
      <c r="S32">
        <f t="shared" si="0"/>
        <v>52000</v>
      </c>
      <c r="T32">
        <v>160</v>
      </c>
      <c r="U32">
        <v>2</v>
      </c>
      <c r="V32">
        <v>8</v>
      </c>
      <c r="W32">
        <v>143.07599999999999</v>
      </c>
      <c r="Y32">
        <v>52000</v>
      </c>
      <c r="Z32">
        <f t="shared" si="1"/>
        <v>52000</v>
      </c>
      <c r="AA32">
        <v>160</v>
      </c>
      <c r="AB32">
        <v>2</v>
      </c>
      <c r="AC32">
        <v>8</v>
      </c>
      <c r="AD32">
        <v>131.19400000000002</v>
      </c>
    </row>
    <row r="33" spans="1:30">
      <c r="A33">
        <f t="shared" si="2"/>
        <v>58400</v>
      </c>
      <c r="B33">
        <v>58368</v>
      </c>
      <c r="C33">
        <v>128</v>
      </c>
      <c r="D33">
        <v>1</v>
      </c>
      <c r="E33">
        <v>16</v>
      </c>
      <c r="F33">
        <v>108.71199999999999</v>
      </c>
      <c r="H33">
        <f t="shared" si="3"/>
        <v>58400</v>
      </c>
      <c r="I33">
        <v>58368</v>
      </c>
      <c r="J33">
        <v>128</v>
      </c>
      <c r="K33">
        <v>1</v>
      </c>
      <c r="L33">
        <v>16</v>
      </c>
      <c r="M33">
        <v>125.40799999999999</v>
      </c>
      <c r="R33">
        <v>52032</v>
      </c>
      <c r="S33">
        <f t="shared" si="0"/>
        <v>52000</v>
      </c>
      <c r="T33">
        <v>192</v>
      </c>
      <c r="U33">
        <v>2</v>
      </c>
      <c r="V33">
        <v>8</v>
      </c>
      <c r="W33">
        <v>147.72200000000001</v>
      </c>
      <c r="Y33">
        <v>52032</v>
      </c>
      <c r="Z33">
        <f t="shared" si="1"/>
        <v>52000</v>
      </c>
      <c r="AA33">
        <v>192</v>
      </c>
      <c r="AB33">
        <v>2</v>
      </c>
      <c r="AC33">
        <v>8</v>
      </c>
      <c r="AD33">
        <v>121.28999999999999</v>
      </c>
    </row>
    <row r="34" spans="1:30">
      <c r="A34">
        <f t="shared" si="2"/>
        <v>52000</v>
      </c>
      <c r="B34">
        <v>51968</v>
      </c>
      <c r="C34">
        <v>128</v>
      </c>
      <c r="D34">
        <v>2</v>
      </c>
      <c r="E34">
        <v>8</v>
      </c>
      <c r="F34">
        <v>119.91</v>
      </c>
      <c r="H34">
        <f t="shared" si="3"/>
        <v>52000</v>
      </c>
      <c r="I34">
        <v>51968</v>
      </c>
      <c r="J34">
        <v>128</v>
      </c>
      <c r="K34">
        <v>2</v>
      </c>
      <c r="L34">
        <v>8</v>
      </c>
      <c r="M34">
        <v>135.816</v>
      </c>
      <c r="R34">
        <v>51968</v>
      </c>
      <c r="S34">
        <f t="shared" si="0"/>
        <v>52000</v>
      </c>
      <c r="T34">
        <v>224</v>
      </c>
      <c r="U34">
        <v>2</v>
      </c>
      <c r="V34">
        <v>8</v>
      </c>
      <c r="W34">
        <v>150.334</v>
      </c>
      <c r="Y34">
        <v>51968</v>
      </c>
      <c r="Z34">
        <f t="shared" si="1"/>
        <v>52000</v>
      </c>
      <c r="AA34">
        <v>224</v>
      </c>
      <c r="AB34">
        <v>2</v>
      </c>
      <c r="AC34">
        <v>8</v>
      </c>
      <c r="AD34">
        <v>129.67799999999997</v>
      </c>
    </row>
    <row r="35" spans="1:30">
      <c r="A35">
        <f t="shared" si="2"/>
        <v>55200</v>
      </c>
      <c r="B35">
        <v>55168</v>
      </c>
      <c r="C35">
        <v>128</v>
      </c>
      <c r="D35">
        <v>2</v>
      </c>
      <c r="E35">
        <v>8</v>
      </c>
      <c r="F35">
        <v>117.31200000000001</v>
      </c>
      <c r="H35">
        <f t="shared" si="3"/>
        <v>55200</v>
      </c>
      <c r="I35">
        <v>55168</v>
      </c>
      <c r="J35">
        <v>128</v>
      </c>
      <c r="K35">
        <v>2</v>
      </c>
      <c r="L35">
        <v>8</v>
      </c>
      <c r="M35">
        <v>131.11600000000001</v>
      </c>
      <c r="R35">
        <v>51968</v>
      </c>
      <c r="S35">
        <f t="shared" si="0"/>
        <v>52000</v>
      </c>
      <c r="T35">
        <v>256</v>
      </c>
      <c r="U35">
        <v>2</v>
      </c>
      <c r="V35">
        <v>8</v>
      </c>
      <c r="W35">
        <v>146.26799999999997</v>
      </c>
      <c r="Y35">
        <v>51968</v>
      </c>
      <c r="Z35">
        <f t="shared" si="1"/>
        <v>52000</v>
      </c>
      <c r="AA35">
        <v>256</v>
      </c>
      <c r="AB35">
        <v>2</v>
      </c>
      <c r="AC35">
        <v>8</v>
      </c>
      <c r="AD35">
        <v>119.92999999999999</v>
      </c>
    </row>
    <row r="36" spans="1:30">
      <c r="A36">
        <f t="shared" si="2"/>
        <v>58400</v>
      </c>
      <c r="B36">
        <v>58368</v>
      </c>
      <c r="C36">
        <v>128</v>
      </c>
      <c r="D36">
        <v>2</v>
      </c>
      <c r="E36">
        <v>8</v>
      </c>
      <c r="F36">
        <v>118.11199999999999</v>
      </c>
      <c r="H36">
        <f t="shared" si="3"/>
        <v>58400</v>
      </c>
      <c r="I36">
        <v>58368</v>
      </c>
      <c r="J36">
        <v>128</v>
      </c>
      <c r="K36">
        <v>2</v>
      </c>
      <c r="L36">
        <v>8</v>
      </c>
      <c r="M36">
        <v>136.57599999999996</v>
      </c>
      <c r="R36">
        <v>55200</v>
      </c>
      <c r="S36">
        <f t="shared" ref="S36:S67" si="4">IF(ABS(R36-52000)&lt;ABS(R36-55200),IF(ABS(R36-52000)&lt;ABS(R36-58400),52000,58400),IF(ABS(R36-55200)&lt;ABS(R36-58400),55200,58400))</f>
        <v>55200</v>
      </c>
      <c r="T36">
        <v>32</v>
      </c>
      <c r="U36">
        <v>2</v>
      </c>
      <c r="V36">
        <v>8</v>
      </c>
      <c r="W36">
        <v>47.497599999999998</v>
      </c>
      <c r="Y36">
        <v>55200</v>
      </c>
      <c r="Z36">
        <f t="shared" ref="Z36:Z67" si="5">IF(ABS(Y36-52000)&lt;ABS(Y36-55200),IF(ABS(Y36-52000)&lt;ABS(Y36-58400),52000,58400),IF(ABS(Y36-55200)&lt;ABS(Y36-58400),55200,58400))</f>
        <v>55200</v>
      </c>
      <c r="AA36">
        <v>32</v>
      </c>
      <c r="AB36">
        <v>2</v>
      </c>
      <c r="AC36">
        <v>8</v>
      </c>
      <c r="AD36">
        <v>47.016200000000005</v>
      </c>
    </row>
    <row r="37" spans="1:30">
      <c r="A37">
        <f t="shared" si="2"/>
        <v>52000</v>
      </c>
      <c r="B37">
        <v>51968</v>
      </c>
      <c r="C37">
        <v>128</v>
      </c>
      <c r="D37">
        <v>4</v>
      </c>
      <c r="E37">
        <v>4</v>
      </c>
      <c r="F37">
        <v>105.75399999999999</v>
      </c>
      <c r="H37">
        <f t="shared" si="3"/>
        <v>52000</v>
      </c>
      <c r="I37">
        <v>51968</v>
      </c>
      <c r="J37">
        <v>128</v>
      </c>
      <c r="K37">
        <v>4</v>
      </c>
      <c r="L37">
        <v>4</v>
      </c>
      <c r="M37">
        <v>120.47799999999999</v>
      </c>
      <c r="R37">
        <v>55168</v>
      </c>
      <c r="S37">
        <f t="shared" si="4"/>
        <v>55200</v>
      </c>
      <c r="T37">
        <v>64</v>
      </c>
      <c r="U37">
        <v>2</v>
      </c>
      <c r="V37">
        <v>8</v>
      </c>
      <c r="W37">
        <v>87.488599999999991</v>
      </c>
      <c r="Y37">
        <v>55168</v>
      </c>
      <c r="Z37">
        <f t="shared" si="5"/>
        <v>55200</v>
      </c>
      <c r="AA37">
        <v>64</v>
      </c>
      <c r="AB37">
        <v>2</v>
      </c>
      <c r="AC37">
        <v>8</v>
      </c>
      <c r="AD37">
        <v>86.747200000000007</v>
      </c>
    </row>
    <row r="38" spans="1:30">
      <c r="A38">
        <f t="shared" si="2"/>
        <v>55200</v>
      </c>
      <c r="B38">
        <v>55168</v>
      </c>
      <c r="C38">
        <v>128</v>
      </c>
      <c r="D38">
        <v>4</v>
      </c>
      <c r="E38">
        <v>4</v>
      </c>
      <c r="F38">
        <v>106.84199999999998</v>
      </c>
      <c r="H38">
        <f t="shared" si="3"/>
        <v>55200</v>
      </c>
      <c r="I38">
        <v>55168</v>
      </c>
      <c r="J38">
        <v>128</v>
      </c>
      <c r="K38">
        <v>4</v>
      </c>
      <c r="L38">
        <v>4</v>
      </c>
      <c r="M38">
        <v>121.88399999999999</v>
      </c>
      <c r="R38">
        <v>55200</v>
      </c>
      <c r="S38">
        <f t="shared" si="4"/>
        <v>55200</v>
      </c>
      <c r="T38">
        <v>96</v>
      </c>
      <c r="U38">
        <v>2</v>
      </c>
      <c r="V38">
        <v>8</v>
      </c>
      <c r="W38">
        <v>112.9</v>
      </c>
      <c r="Y38">
        <v>55200</v>
      </c>
      <c r="Z38">
        <f t="shared" si="5"/>
        <v>55200</v>
      </c>
      <c r="AA38">
        <v>96</v>
      </c>
      <c r="AB38">
        <v>2</v>
      </c>
      <c r="AC38">
        <v>8</v>
      </c>
      <c r="AD38">
        <v>96.59020000000001</v>
      </c>
    </row>
    <row r="39" spans="1:30">
      <c r="A39">
        <f t="shared" si="2"/>
        <v>58400</v>
      </c>
      <c r="B39">
        <v>58368</v>
      </c>
      <c r="C39">
        <v>128</v>
      </c>
      <c r="D39">
        <v>4</v>
      </c>
      <c r="E39">
        <v>4</v>
      </c>
      <c r="F39">
        <v>105.348</v>
      </c>
      <c r="H39">
        <f t="shared" si="3"/>
        <v>58400</v>
      </c>
      <c r="I39">
        <v>58368</v>
      </c>
      <c r="J39">
        <v>128</v>
      </c>
      <c r="K39">
        <v>4</v>
      </c>
      <c r="L39">
        <v>4</v>
      </c>
      <c r="M39">
        <v>120.502</v>
      </c>
      <c r="R39">
        <v>55168</v>
      </c>
      <c r="S39">
        <f t="shared" si="4"/>
        <v>55200</v>
      </c>
      <c r="T39">
        <v>128</v>
      </c>
      <c r="U39">
        <v>2</v>
      </c>
      <c r="V39">
        <v>8</v>
      </c>
      <c r="W39">
        <v>131.11600000000001</v>
      </c>
      <c r="Y39">
        <v>55168</v>
      </c>
      <c r="Z39">
        <f t="shared" si="5"/>
        <v>55200</v>
      </c>
      <c r="AA39">
        <v>128</v>
      </c>
      <c r="AB39">
        <v>2</v>
      </c>
      <c r="AC39">
        <v>8</v>
      </c>
      <c r="AD39">
        <v>117.31200000000001</v>
      </c>
    </row>
    <row r="40" spans="1:30">
      <c r="A40">
        <f t="shared" si="2"/>
        <v>52000</v>
      </c>
      <c r="B40">
        <v>52000</v>
      </c>
      <c r="C40">
        <v>160</v>
      </c>
      <c r="D40">
        <v>1</v>
      </c>
      <c r="E40">
        <v>16</v>
      </c>
      <c r="F40">
        <v>122.08</v>
      </c>
      <c r="H40">
        <f t="shared" si="3"/>
        <v>52000</v>
      </c>
      <c r="I40">
        <v>52000</v>
      </c>
      <c r="J40">
        <v>160</v>
      </c>
      <c r="K40">
        <v>1</v>
      </c>
      <c r="L40">
        <v>16</v>
      </c>
      <c r="M40">
        <v>132.55799999999999</v>
      </c>
      <c r="R40">
        <v>55200</v>
      </c>
      <c r="S40">
        <f t="shared" si="4"/>
        <v>55200</v>
      </c>
      <c r="T40">
        <v>160</v>
      </c>
      <c r="U40">
        <v>2</v>
      </c>
      <c r="V40">
        <v>8</v>
      </c>
      <c r="W40">
        <v>141.84200000000001</v>
      </c>
      <c r="Y40">
        <v>55200</v>
      </c>
      <c r="Z40">
        <f t="shared" si="5"/>
        <v>55200</v>
      </c>
      <c r="AA40">
        <v>160</v>
      </c>
      <c r="AB40">
        <v>2</v>
      </c>
      <c r="AC40">
        <v>8</v>
      </c>
      <c r="AD40">
        <v>131.10200000000003</v>
      </c>
    </row>
    <row r="41" spans="1:30">
      <c r="A41">
        <f t="shared" si="2"/>
        <v>55200</v>
      </c>
      <c r="B41">
        <v>55200</v>
      </c>
      <c r="C41">
        <v>160</v>
      </c>
      <c r="D41">
        <v>1</v>
      </c>
      <c r="E41">
        <v>16</v>
      </c>
      <c r="F41">
        <v>121.51399999999998</v>
      </c>
      <c r="H41">
        <f t="shared" si="3"/>
        <v>55200</v>
      </c>
      <c r="I41">
        <v>55200</v>
      </c>
      <c r="J41">
        <v>160</v>
      </c>
      <c r="K41">
        <v>1</v>
      </c>
      <c r="L41">
        <v>16</v>
      </c>
      <c r="M41">
        <v>130.86399999999998</v>
      </c>
      <c r="R41">
        <v>55296</v>
      </c>
      <c r="S41">
        <f t="shared" si="4"/>
        <v>55200</v>
      </c>
      <c r="T41">
        <v>192</v>
      </c>
      <c r="U41">
        <v>2</v>
      </c>
      <c r="V41">
        <v>8</v>
      </c>
      <c r="W41">
        <v>146.39400000000001</v>
      </c>
      <c r="Y41">
        <v>55296</v>
      </c>
      <c r="Z41">
        <f t="shared" si="5"/>
        <v>55200</v>
      </c>
      <c r="AA41">
        <v>192</v>
      </c>
      <c r="AB41">
        <v>2</v>
      </c>
      <c r="AC41">
        <v>8</v>
      </c>
      <c r="AD41">
        <v>110.17600000000002</v>
      </c>
    </row>
    <row r="42" spans="1:30">
      <c r="A42">
        <f t="shared" si="2"/>
        <v>58400</v>
      </c>
      <c r="B42">
        <v>58400</v>
      </c>
      <c r="C42">
        <v>160</v>
      </c>
      <c r="D42">
        <v>1</v>
      </c>
      <c r="E42">
        <v>16</v>
      </c>
      <c r="F42">
        <v>123.28</v>
      </c>
      <c r="H42">
        <f t="shared" si="3"/>
        <v>58400</v>
      </c>
      <c r="I42">
        <v>58400</v>
      </c>
      <c r="J42">
        <v>160</v>
      </c>
      <c r="K42">
        <v>1</v>
      </c>
      <c r="L42">
        <v>16</v>
      </c>
      <c r="M42">
        <v>134.03</v>
      </c>
      <c r="R42">
        <v>55104</v>
      </c>
      <c r="S42">
        <f t="shared" si="4"/>
        <v>55200</v>
      </c>
      <c r="T42">
        <v>224</v>
      </c>
      <c r="U42">
        <v>2</v>
      </c>
      <c r="V42">
        <v>8</v>
      </c>
      <c r="W42">
        <v>149.41399999999999</v>
      </c>
      <c r="Y42">
        <v>55104</v>
      </c>
      <c r="Z42">
        <f t="shared" si="5"/>
        <v>55200</v>
      </c>
      <c r="AA42">
        <v>224</v>
      </c>
      <c r="AB42">
        <v>2</v>
      </c>
      <c r="AC42">
        <v>8</v>
      </c>
      <c r="AD42">
        <v>128.64600000000002</v>
      </c>
    </row>
    <row r="43" spans="1:30">
      <c r="A43">
        <f t="shared" si="2"/>
        <v>52000</v>
      </c>
      <c r="B43">
        <v>52000</v>
      </c>
      <c r="C43">
        <v>160</v>
      </c>
      <c r="D43">
        <v>2</v>
      </c>
      <c r="E43">
        <v>8</v>
      </c>
      <c r="F43">
        <v>131.19400000000002</v>
      </c>
      <c r="H43">
        <f t="shared" si="3"/>
        <v>52000</v>
      </c>
      <c r="I43">
        <v>52000</v>
      </c>
      <c r="J43">
        <v>160</v>
      </c>
      <c r="K43">
        <v>2</v>
      </c>
      <c r="L43">
        <v>8</v>
      </c>
      <c r="M43">
        <v>143.07599999999999</v>
      </c>
      <c r="R43">
        <v>55296</v>
      </c>
      <c r="S43">
        <f t="shared" si="4"/>
        <v>55200</v>
      </c>
      <c r="T43">
        <v>256</v>
      </c>
      <c r="U43">
        <v>2</v>
      </c>
      <c r="V43">
        <v>8</v>
      </c>
      <c r="W43">
        <v>148.73399999999998</v>
      </c>
      <c r="Y43">
        <v>55296</v>
      </c>
      <c r="Z43">
        <f t="shared" si="5"/>
        <v>55200</v>
      </c>
      <c r="AA43">
        <v>256</v>
      </c>
      <c r="AB43">
        <v>2</v>
      </c>
      <c r="AC43">
        <v>8</v>
      </c>
      <c r="AD43">
        <v>112.28800000000001</v>
      </c>
    </row>
    <row r="44" spans="1:30">
      <c r="A44">
        <f t="shared" si="2"/>
        <v>55200</v>
      </c>
      <c r="B44">
        <v>55200</v>
      </c>
      <c r="C44">
        <v>160</v>
      </c>
      <c r="D44">
        <v>2</v>
      </c>
      <c r="E44">
        <v>8</v>
      </c>
      <c r="F44">
        <v>131.10200000000003</v>
      </c>
      <c r="H44">
        <f t="shared" si="3"/>
        <v>55200</v>
      </c>
      <c r="I44">
        <v>55200</v>
      </c>
      <c r="J44">
        <v>160</v>
      </c>
      <c r="K44">
        <v>2</v>
      </c>
      <c r="L44">
        <v>8</v>
      </c>
      <c r="M44">
        <v>141.84200000000001</v>
      </c>
      <c r="R44">
        <v>58400</v>
      </c>
      <c r="S44">
        <f t="shared" si="4"/>
        <v>58400</v>
      </c>
      <c r="T44">
        <v>32</v>
      </c>
      <c r="U44">
        <v>2</v>
      </c>
      <c r="V44">
        <v>8</v>
      </c>
      <c r="W44">
        <v>47.271999999999998</v>
      </c>
      <c r="Y44">
        <v>58400</v>
      </c>
      <c r="Z44">
        <f t="shared" si="5"/>
        <v>58400</v>
      </c>
      <c r="AA44">
        <v>32</v>
      </c>
      <c r="AB44">
        <v>2</v>
      </c>
      <c r="AC44">
        <v>8</v>
      </c>
      <c r="AD44">
        <v>47.021799999999999</v>
      </c>
    </row>
    <row r="45" spans="1:30">
      <c r="A45">
        <f t="shared" si="2"/>
        <v>58400</v>
      </c>
      <c r="B45">
        <v>58400</v>
      </c>
      <c r="C45">
        <v>160</v>
      </c>
      <c r="D45">
        <v>2</v>
      </c>
      <c r="E45">
        <v>8</v>
      </c>
      <c r="F45">
        <v>131.02000000000001</v>
      </c>
      <c r="H45">
        <f t="shared" si="3"/>
        <v>58400</v>
      </c>
      <c r="I45">
        <v>58400</v>
      </c>
      <c r="J45">
        <v>160</v>
      </c>
      <c r="K45">
        <v>2</v>
      </c>
      <c r="L45">
        <v>8</v>
      </c>
      <c r="M45">
        <v>142.92199999999997</v>
      </c>
      <c r="R45">
        <v>58368</v>
      </c>
      <c r="S45">
        <f t="shared" si="4"/>
        <v>58400</v>
      </c>
      <c r="T45">
        <v>64</v>
      </c>
      <c r="U45">
        <v>2</v>
      </c>
      <c r="V45">
        <v>8</v>
      </c>
      <c r="W45">
        <v>87.895399999999995</v>
      </c>
      <c r="Y45">
        <v>58368</v>
      </c>
      <c r="Z45">
        <f t="shared" si="5"/>
        <v>58400</v>
      </c>
      <c r="AA45">
        <v>64</v>
      </c>
      <c r="AB45">
        <v>2</v>
      </c>
      <c r="AC45">
        <v>8</v>
      </c>
      <c r="AD45">
        <v>87.531000000000006</v>
      </c>
    </row>
    <row r="46" spans="1:30">
      <c r="A46">
        <f t="shared" si="2"/>
        <v>52000</v>
      </c>
      <c r="B46">
        <v>52000</v>
      </c>
      <c r="C46">
        <v>160</v>
      </c>
      <c r="D46">
        <v>4</v>
      </c>
      <c r="E46">
        <v>4</v>
      </c>
      <c r="F46">
        <v>115.58</v>
      </c>
      <c r="H46">
        <f t="shared" si="3"/>
        <v>52000</v>
      </c>
      <c r="I46">
        <v>52000</v>
      </c>
      <c r="J46">
        <v>160</v>
      </c>
      <c r="K46">
        <v>4</v>
      </c>
      <c r="L46">
        <v>4</v>
      </c>
      <c r="M46">
        <v>127.10599999999999</v>
      </c>
      <c r="R46">
        <v>58368</v>
      </c>
      <c r="S46">
        <f t="shared" si="4"/>
        <v>58400</v>
      </c>
      <c r="T46">
        <v>96</v>
      </c>
      <c r="U46">
        <v>2</v>
      </c>
      <c r="V46">
        <v>8</v>
      </c>
      <c r="W46">
        <v>118.63999999999999</v>
      </c>
      <c r="Y46">
        <v>58368</v>
      </c>
      <c r="Z46">
        <f t="shared" si="5"/>
        <v>58400</v>
      </c>
      <c r="AA46">
        <v>96</v>
      </c>
      <c r="AB46">
        <v>2</v>
      </c>
      <c r="AC46">
        <v>8</v>
      </c>
      <c r="AD46">
        <v>97.734999999999985</v>
      </c>
    </row>
    <row r="47" spans="1:30">
      <c r="A47">
        <f t="shared" si="2"/>
        <v>55200</v>
      </c>
      <c r="B47">
        <v>55200</v>
      </c>
      <c r="C47">
        <v>160</v>
      </c>
      <c r="D47">
        <v>4</v>
      </c>
      <c r="E47">
        <v>4</v>
      </c>
      <c r="F47">
        <v>116.78399999999999</v>
      </c>
      <c r="H47">
        <f t="shared" si="3"/>
        <v>55200</v>
      </c>
      <c r="I47">
        <v>55200</v>
      </c>
      <c r="J47">
        <v>160</v>
      </c>
      <c r="K47">
        <v>4</v>
      </c>
      <c r="L47">
        <v>4</v>
      </c>
      <c r="M47">
        <v>128.98400000000001</v>
      </c>
      <c r="R47">
        <v>58368</v>
      </c>
      <c r="S47">
        <f t="shared" si="4"/>
        <v>58400</v>
      </c>
      <c r="T47">
        <v>128</v>
      </c>
      <c r="U47">
        <v>2</v>
      </c>
      <c r="V47">
        <v>8</v>
      </c>
      <c r="W47">
        <v>136.57599999999996</v>
      </c>
      <c r="Y47">
        <v>58368</v>
      </c>
      <c r="Z47">
        <f t="shared" si="5"/>
        <v>58400</v>
      </c>
      <c r="AA47">
        <v>128</v>
      </c>
      <c r="AB47">
        <v>2</v>
      </c>
      <c r="AC47">
        <v>8</v>
      </c>
      <c r="AD47">
        <v>118.11199999999999</v>
      </c>
    </row>
    <row r="48" spans="1:30">
      <c r="A48">
        <f t="shared" si="2"/>
        <v>58400</v>
      </c>
      <c r="B48">
        <v>58400</v>
      </c>
      <c r="C48">
        <v>160</v>
      </c>
      <c r="D48">
        <v>4</v>
      </c>
      <c r="E48">
        <v>4</v>
      </c>
      <c r="F48">
        <v>116.78800000000001</v>
      </c>
      <c r="H48">
        <f t="shared" si="3"/>
        <v>58400</v>
      </c>
      <c r="I48">
        <v>58400</v>
      </c>
      <c r="J48">
        <v>160</v>
      </c>
      <c r="K48">
        <v>4</v>
      </c>
      <c r="L48">
        <v>4</v>
      </c>
      <c r="M48">
        <v>129.102</v>
      </c>
      <c r="R48">
        <v>58400</v>
      </c>
      <c r="S48">
        <f t="shared" si="4"/>
        <v>58400</v>
      </c>
      <c r="T48">
        <v>160</v>
      </c>
      <c r="U48">
        <v>2</v>
      </c>
      <c r="V48">
        <v>8</v>
      </c>
      <c r="W48">
        <v>142.92199999999997</v>
      </c>
      <c r="Y48">
        <v>58400</v>
      </c>
      <c r="Z48">
        <f t="shared" si="5"/>
        <v>58400</v>
      </c>
      <c r="AA48">
        <v>160</v>
      </c>
      <c r="AB48">
        <v>2</v>
      </c>
      <c r="AC48">
        <v>8</v>
      </c>
      <c r="AD48">
        <v>131.02000000000001</v>
      </c>
    </row>
    <row r="49" spans="1:30">
      <c r="A49">
        <f t="shared" si="2"/>
        <v>52000</v>
      </c>
      <c r="B49">
        <v>52032</v>
      </c>
      <c r="C49">
        <v>192</v>
      </c>
      <c r="D49">
        <v>1</v>
      </c>
      <c r="E49">
        <v>16</v>
      </c>
      <c r="F49">
        <v>115.22799999999999</v>
      </c>
      <c r="H49">
        <f t="shared" si="3"/>
        <v>52000</v>
      </c>
      <c r="I49">
        <v>52032</v>
      </c>
      <c r="J49">
        <v>192</v>
      </c>
      <c r="K49">
        <v>1</v>
      </c>
      <c r="L49">
        <v>16</v>
      </c>
      <c r="M49">
        <v>136.39400000000001</v>
      </c>
      <c r="R49">
        <v>58368</v>
      </c>
      <c r="S49">
        <f t="shared" si="4"/>
        <v>58400</v>
      </c>
      <c r="T49">
        <v>192</v>
      </c>
      <c r="U49">
        <v>2</v>
      </c>
      <c r="V49">
        <v>8</v>
      </c>
      <c r="W49">
        <v>149.90799999999999</v>
      </c>
      <c r="Y49">
        <v>58368</v>
      </c>
      <c r="Z49">
        <f t="shared" si="5"/>
        <v>58400</v>
      </c>
      <c r="AA49">
        <v>192</v>
      </c>
      <c r="AB49">
        <v>2</v>
      </c>
      <c r="AC49">
        <v>8</v>
      </c>
      <c r="AD49">
        <v>120.32599999999999</v>
      </c>
    </row>
    <row r="50" spans="1:30">
      <c r="A50">
        <f t="shared" si="2"/>
        <v>55200</v>
      </c>
      <c r="B50">
        <v>55296</v>
      </c>
      <c r="C50">
        <v>192</v>
      </c>
      <c r="D50">
        <v>1</v>
      </c>
      <c r="E50">
        <v>16</v>
      </c>
      <c r="F50">
        <v>85.377199999999988</v>
      </c>
      <c r="H50">
        <f t="shared" si="3"/>
        <v>55200</v>
      </c>
      <c r="I50">
        <v>55296</v>
      </c>
      <c r="J50">
        <v>192</v>
      </c>
      <c r="K50">
        <v>1</v>
      </c>
      <c r="L50">
        <v>16</v>
      </c>
      <c r="M50">
        <v>126.66600000000001</v>
      </c>
      <c r="R50">
        <v>58464</v>
      </c>
      <c r="S50">
        <f t="shared" si="4"/>
        <v>58400</v>
      </c>
      <c r="T50">
        <v>224</v>
      </c>
      <c r="U50">
        <v>2</v>
      </c>
      <c r="V50">
        <v>8</v>
      </c>
      <c r="W50">
        <v>148.58200000000002</v>
      </c>
      <c r="Y50">
        <v>58464</v>
      </c>
      <c r="Z50">
        <f t="shared" si="5"/>
        <v>58400</v>
      </c>
      <c r="AA50">
        <v>224</v>
      </c>
      <c r="AB50">
        <v>2</v>
      </c>
      <c r="AC50">
        <v>8</v>
      </c>
      <c r="AD50">
        <v>127.44399999999999</v>
      </c>
    </row>
    <row r="51" spans="1:30">
      <c r="A51">
        <f t="shared" si="2"/>
        <v>58400</v>
      </c>
      <c r="B51">
        <v>58368</v>
      </c>
      <c r="C51">
        <v>192</v>
      </c>
      <c r="D51">
        <v>1</v>
      </c>
      <c r="E51">
        <v>16</v>
      </c>
      <c r="F51">
        <v>104.128</v>
      </c>
      <c r="H51">
        <f t="shared" si="3"/>
        <v>58400</v>
      </c>
      <c r="I51">
        <v>58368</v>
      </c>
      <c r="J51">
        <v>192</v>
      </c>
      <c r="K51">
        <v>1</v>
      </c>
      <c r="L51">
        <v>16</v>
      </c>
      <c r="M51">
        <v>138.31399999999999</v>
      </c>
      <c r="R51">
        <v>58368</v>
      </c>
      <c r="S51">
        <f t="shared" si="4"/>
        <v>58400</v>
      </c>
      <c r="T51">
        <v>256</v>
      </c>
      <c r="U51">
        <v>2</v>
      </c>
      <c r="V51">
        <v>8</v>
      </c>
      <c r="W51">
        <v>149.07599999999999</v>
      </c>
      <c r="Y51">
        <v>58368</v>
      </c>
      <c r="Z51">
        <f t="shared" si="5"/>
        <v>58400</v>
      </c>
      <c r="AA51">
        <v>256</v>
      </c>
      <c r="AB51">
        <v>2</v>
      </c>
      <c r="AC51">
        <v>8</v>
      </c>
      <c r="AD51">
        <v>119.91</v>
      </c>
    </row>
    <row r="52" spans="1:30">
      <c r="A52">
        <f t="shared" si="2"/>
        <v>52000</v>
      </c>
      <c r="B52">
        <v>52032</v>
      </c>
      <c r="C52">
        <v>192</v>
      </c>
      <c r="D52">
        <v>2</v>
      </c>
      <c r="E52">
        <v>8</v>
      </c>
      <c r="F52">
        <v>121.28999999999999</v>
      </c>
      <c r="H52">
        <f t="shared" si="3"/>
        <v>52000</v>
      </c>
      <c r="I52">
        <v>52032</v>
      </c>
      <c r="J52">
        <v>192</v>
      </c>
      <c r="K52">
        <v>2</v>
      </c>
      <c r="L52">
        <v>8</v>
      </c>
      <c r="M52">
        <v>147.72200000000001</v>
      </c>
      <c r="R52">
        <v>52000</v>
      </c>
      <c r="S52">
        <f t="shared" si="4"/>
        <v>52000</v>
      </c>
      <c r="T52">
        <v>32</v>
      </c>
      <c r="U52">
        <v>4</v>
      </c>
      <c r="V52">
        <v>4</v>
      </c>
      <c r="W52">
        <v>43.922000000000004</v>
      </c>
      <c r="Y52">
        <v>52000</v>
      </c>
      <c r="Z52">
        <f t="shared" si="5"/>
        <v>52000</v>
      </c>
      <c r="AA52">
        <v>32</v>
      </c>
      <c r="AB52">
        <v>4</v>
      </c>
      <c r="AC52">
        <v>4</v>
      </c>
      <c r="AD52">
        <v>45.805799999999991</v>
      </c>
    </row>
    <row r="53" spans="1:30">
      <c r="A53">
        <f t="shared" si="2"/>
        <v>55200</v>
      </c>
      <c r="B53">
        <v>55296</v>
      </c>
      <c r="C53">
        <v>192</v>
      </c>
      <c r="D53">
        <v>2</v>
      </c>
      <c r="E53">
        <v>8</v>
      </c>
      <c r="F53">
        <v>110.17600000000002</v>
      </c>
      <c r="H53">
        <f t="shared" si="3"/>
        <v>55200</v>
      </c>
      <c r="I53">
        <v>55296</v>
      </c>
      <c r="J53">
        <v>192</v>
      </c>
      <c r="K53">
        <v>2</v>
      </c>
      <c r="L53">
        <v>8</v>
      </c>
      <c r="M53">
        <v>146.39400000000001</v>
      </c>
      <c r="R53">
        <v>51968</v>
      </c>
      <c r="S53">
        <f t="shared" si="4"/>
        <v>52000</v>
      </c>
      <c r="T53">
        <v>64</v>
      </c>
      <c r="U53">
        <v>4</v>
      </c>
      <c r="V53">
        <v>4</v>
      </c>
      <c r="W53">
        <v>78.921400000000006</v>
      </c>
      <c r="Y53">
        <v>51968</v>
      </c>
      <c r="Z53">
        <f t="shared" si="5"/>
        <v>52000</v>
      </c>
      <c r="AA53">
        <v>64</v>
      </c>
      <c r="AB53">
        <v>4</v>
      </c>
      <c r="AC53">
        <v>4</v>
      </c>
      <c r="AD53">
        <v>80.292800000000014</v>
      </c>
    </row>
    <row r="54" spans="1:30">
      <c r="A54">
        <f t="shared" si="2"/>
        <v>58400</v>
      </c>
      <c r="B54">
        <v>58368</v>
      </c>
      <c r="C54">
        <v>192</v>
      </c>
      <c r="D54">
        <v>2</v>
      </c>
      <c r="E54">
        <v>8</v>
      </c>
      <c r="F54">
        <v>120.32599999999999</v>
      </c>
      <c r="H54">
        <f t="shared" si="3"/>
        <v>58400</v>
      </c>
      <c r="I54">
        <v>58368</v>
      </c>
      <c r="J54">
        <v>192</v>
      </c>
      <c r="K54">
        <v>2</v>
      </c>
      <c r="L54">
        <v>8</v>
      </c>
      <c r="M54">
        <v>149.90799999999999</v>
      </c>
      <c r="R54">
        <v>52032</v>
      </c>
      <c r="S54">
        <f t="shared" si="4"/>
        <v>52000</v>
      </c>
      <c r="T54">
        <v>96</v>
      </c>
      <c r="U54">
        <v>4</v>
      </c>
      <c r="V54">
        <v>4</v>
      </c>
      <c r="W54">
        <v>104.44200000000001</v>
      </c>
      <c r="Y54">
        <v>52032</v>
      </c>
      <c r="Z54">
        <f t="shared" si="5"/>
        <v>52000</v>
      </c>
      <c r="AA54">
        <v>96</v>
      </c>
      <c r="AB54">
        <v>4</v>
      </c>
      <c r="AC54">
        <v>4</v>
      </c>
      <c r="AD54">
        <v>88.286199999999994</v>
      </c>
    </row>
    <row r="55" spans="1:30">
      <c r="A55">
        <f t="shared" si="2"/>
        <v>52000</v>
      </c>
      <c r="B55">
        <v>52032</v>
      </c>
      <c r="C55">
        <v>192</v>
      </c>
      <c r="D55">
        <v>4</v>
      </c>
      <c r="E55">
        <v>4</v>
      </c>
      <c r="F55">
        <v>114.61599999999999</v>
      </c>
      <c r="H55">
        <f t="shared" si="3"/>
        <v>52000</v>
      </c>
      <c r="I55">
        <v>52032</v>
      </c>
      <c r="J55">
        <v>192</v>
      </c>
      <c r="K55">
        <v>4</v>
      </c>
      <c r="L55">
        <v>4</v>
      </c>
      <c r="M55">
        <v>130.928</v>
      </c>
      <c r="R55">
        <v>51968</v>
      </c>
      <c r="S55">
        <f t="shared" si="4"/>
        <v>52000</v>
      </c>
      <c r="T55">
        <v>128</v>
      </c>
      <c r="U55">
        <v>4</v>
      </c>
      <c r="V55">
        <v>4</v>
      </c>
      <c r="W55">
        <v>120.47799999999999</v>
      </c>
      <c r="Y55">
        <v>51968</v>
      </c>
      <c r="Z55">
        <f t="shared" si="5"/>
        <v>52000</v>
      </c>
      <c r="AA55">
        <v>128</v>
      </c>
      <c r="AB55">
        <v>4</v>
      </c>
      <c r="AC55">
        <v>4</v>
      </c>
      <c r="AD55">
        <v>105.75399999999999</v>
      </c>
    </row>
    <row r="56" spans="1:30">
      <c r="A56">
        <f t="shared" si="2"/>
        <v>55200</v>
      </c>
      <c r="B56">
        <v>55296</v>
      </c>
      <c r="C56">
        <v>192</v>
      </c>
      <c r="D56">
        <v>4</v>
      </c>
      <c r="E56">
        <v>4</v>
      </c>
      <c r="F56">
        <v>115.63800000000001</v>
      </c>
      <c r="H56">
        <f t="shared" si="3"/>
        <v>55200</v>
      </c>
      <c r="I56">
        <v>55296</v>
      </c>
      <c r="J56">
        <v>192</v>
      </c>
      <c r="K56">
        <v>4</v>
      </c>
      <c r="L56">
        <v>4</v>
      </c>
      <c r="M56">
        <v>133.054</v>
      </c>
      <c r="R56">
        <v>52000</v>
      </c>
      <c r="S56">
        <f t="shared" si="4"/>
        <v>52000</v>
      </c>
      <c r="T56">
        <v>160</v>
      </c>
      <c r="U56">
        <v>4</v>
      </c>
      <c r="V56">
        <v>4</v>
      </c>
      <c r="W56">
        <v>127.10599999999999</v>
      </c>
      <c r="Y56">
        <v>52000</v>
      </c>
      <c r="Z56">
        <f t="shared" si="5"/>
        <v>52000</v>
      </c>
      <c r="AA56">
        <v>160</v>
      </c>
      <c r="AB56">
        <v>4</v>
      </c>
      <c r="AC56">
        <v>4</v>
      </c>
      <c r="AD56">
        <v>115.58</v>
      </c>
    </row>
    <row r="57" spans="1:30">
      <c r="A57">
        <f t="shared" si="2"/>
        <v>58400</v>
      </c>
      <c r="B57">
        <v>58368</v>
      </c>
      <c r="C57">
        <v>192</v>
      </c>
      <c r="D57">
        <v>4</v>
      </c>
      <c r="E57">
        <v>4</v>
      </c>
      <c r="F57">
        <v>115.00399999999999</v>
      </c>
      <c r="H57">
        <f t="shared" si="3"/>
        <v>58400</v>
      </c>
      <c r="I57">
        <v>58368</v>
      </c>
      <c r="J57">
        <v>192</v>
      </c>
      <c r="K57">
        <v>4</v>
      </c>
      <c r="L57">
        <v>4</v>
      </c>
      <c r="M57">
        <v>132.63600000000002</v>
      </c>
      <c r="R57">
        <v>52032</v>
      </c>
      <c r="S57">
        <f t="shared" si="4"/>
        <v>52000</v>
      </c>
      <c r="T57">
        <v>192</v>
      </c>
      <c r="U57">
        <v>4</v>
      </c>
      <c r="V57">
        <v>4</v>
      </c>
      <c r="W57">
        <v>130.928</v>
      </c>
      <c r="Y57">
        <v>52032</v>
      </c>
      <c r="Z57">
        <f t="shared" si="5"/>
        <v>52000</v>
      </c>
      <c r="AA57">
        <v>192</v>
      </c>
      <c r="AB57">
        <v>4</v>
      </c>
      <c r="AC57">
        <v>4</v>
      </c>
      <c r="AD57">
        <v>114.61599999999999</v>
      </c>
    </row>
    <row r="58" spans="1:30">
      <c r="A58">
        <f t="shared" si="2"/>
        <v>52000</v>
      </c>
      <c r="B58">
        <v>51968</v>
      </c>
      <c r="C58">
        <v>224</v>
      </c>
      <c r="D58">
        <v>1</v>
      </c>
      <c r="E58">
        <v>16</v>
      </c>
      <c r="F58">
        <v>121.82599999999999</v>
      </c>
      <c r="H58">
        <f t="shared" si="3"/>
        <v>52000</v>
      </c>
      <c r="I58">
        <v>51968</v>
      </c>
      <c r="J58">
        <v>224</v>
      </c>
      <c r="K58">
        <v>1</v>
      </c>
      <c r="L58">
        <v>16</v>
      </c>
      <c r="M58">
        <v>137.63200000000001</v>
      </c>
      <c r="R58">
        <v>51968</v>
      </c>
      <c r="S58">
        <f t="shared" si="4"/>
        <v>52000</v>
      </c>
      <c r="T58">
        <v>224</v>
      </c>
      <c r="U58">
        <v>4</v>
      </c>
      <c r="V58">
        <v>4</v>
      </c>
      <c r="W58">
        <v>132.94400000000002</v>
      </c>
      <c r="Y58">
        <v>51968</v>
      </c>
      <c r="Z58">
        <f t="shared" si="5"/>
        <v>52000</v>
      </c>
      <c r="AA58">
        <v>224</v>
      </c>
      <c r="AB58">
        <v>4</v>
      </c>
      <c r="AC58">
        <v>4</v>
      </c>
      <c r="AD58">
        <v>118.48799999999999</v>
      </c>
    </row>
    <row r="59" spans="1:30">
      <c r="A59">
        <f t="shared" si="2"/>
        <v>55200</v>
      </c>
      <c r="B59">
        <v>55104</v>
      </c>
      <c r="C59">
        <v>224</v>
      </c>
      <c r="D59">
        <v>1</v>
      </c>
      <c r="E59">
        <v>16</v>
      </c>
      <c r="F59">
        <v>119.80799999999999</v>
      </c>
      <c r="H59">
        <f t="shared" si="3"/>
        <v>55200</v>
      </c>
      <c r="I59">
        <v>55104</v>
      </c>
      <c r="J59">
        <v>224</v>
      </c>
      <c r="K59">
        <v>1</v>
      </c>
      <c r="L59">
        <v>16</v>
      </c>
      <c r="M59">
        <v>136.99200000000002</v>
      </c>
      <c r="R59">
        <v>51968</v>
      </c>
      <c r="S59">
        <f t="shared" si="4"/>
        <v>52000</v>
      </c>
      <c r="T59">
        <v>256</v>
      </c>
      <c r="U59">
        <v>4</v>
      </c>
      <c r="V59">
        <v>4</v>
      </c>
      <c r="W59">
        <v>130.48399999999998</v>
      </c>
      <c r="Y59">
        <v>51968</v>
      </c>
      <c r="Z59">
        <f t="shared" si="5"/>
        <v>52000</v>
      </c>
      <c r="AA59">
        <v>256</v>
      </c>
      <c r="AB59">
        <v>4</v>
      </c>
      <c r="AC59">
        <v>4</v>
      </c>
      <c r="AD59">
        <v>112.66600000000001</v>
      </c>
    </row>
    <row r="60" spans="1:30">
      <c r="A60">
        <f t="shared" si="2"/>
        <v>58400</v>
      </c>
      <c r="B60">
        <v>58464</v>
      </c>
      <c r="C60">
        <v>224</v>
      </c>
      <c r="D60">
        <v>1</v>
      </c>
      <c r="E60">
        <v>16</v>
      </c>
      <c r="F60">
        <v>120.08399999999999</v>
      </c>
      <c r="H60">
        <f t="shared" si="3"/>
        <v>58400</v>
      </c>
      <c r="I60">
        <v>58464</v>
      </c>
      <c r="J60">
        <v>224</v>
      </c>
      <c r="K60">
        <v>1</v>
      </c>
      <c r="L60">
        <v>16</v>
      </c>
      <c r="M60">
        <v>138.142</v>
      </c>
      <c r="R60">
        <v>55200</v>
      </c>
      <c r="S60">
        <f t="shared" si="4"/>
        <v>55200</v>
      </c>
      <c r="T60">
        <v>32</v>
      </c>
      <c r="U60">
        <v>4</v>
      </c>
      <c r="V60">
        <v>4</v>
      </c>
      <c r="W60">
        <v>44.470800000000004</v>
      </c>
      <c r="Y60">
        <v>55200</v>
      </c>
      <c r="Z60">
        <f t="shared" si="5"/>
        <v>55200</v>
      </c>
      <c r="AA60">
        <v>32</v>
      </c>
      <c r="AB60">
        <v>4</v>
      </c>
      <c r="AC60">
        <v>4</v>
      </c>
      <c r="AD60">
        <v>45.969399999999993</v>
      </c>
    </row>
    <row r="61" spans="1:30">
      <c r="A61">
        <f t="shared" si="2"/>
        <v>52000</v>
      </c>
      <c r="B61">
        <v>51968</v>
      </c>
      <c r="C61">
        <v>224</v>
      </c>
      <c r="D61">
        <v>2</v>
      </c>
      <c r="E61">
        <v>8</v>
      </c>
      <c r="F61">
        <v>129.67799999999997</v>
      </c>
      <c r="H61">
        <f t="shared" si="3"/>
        <v>52000</v>
      </c>
      <c r="I61">
        <v>51968</v>
      </c>
      <c r="J61">
        <v>224</v>
      </c>
      <c r="K61">
        <v>2</v>
      </c>
      <c r="L61">
        <v>8</v>
      </c>
      <c r="M61">
        <v>150.334</v>
      </c>
      <c r="R61">
        <v>55168</v>
      </c>
      <c r="S61">
        <f t="shared" si="4"/>
        <v>55200</v>
      </c>
      <c r="T61">
        <v>64</v>
      </c>
      <c r="U61">
        <v>4</v>
      </c>
      <c r="V61">
        <v>4</v>
      </c>
      <c r="W61">
        <v>80.348600000000005</v>
      </c>
      <c r="Y61">
        <v>55168</v>
      </c>
      <c r="Z61">
        <f t="shared" si="5"/>
        <v>55200</v>
      </c>
      <c r="AA61">
        <v>64</v>
      </c>
      <c r="AB61">
        <v>4</v>
      </c>
      <c r="AC61">
        <v>4</v>
      </c>
      <c r="AD61">
        <v>80.770799999999994</v>
      </c>
    </row>
    <row r="62" spans="1:30">
      <c r="A62">
        <f t="shared" si="2"/>
        <v>55200</v>
      </c>
      <c r="B62">
        <v>55104</v>
      </c>
      <c r="C62">
        <v>224</v>
      </c>
      <c r="D62">
        <v>2</v>
      </c>
      <c r="E62">
        <v>8</v>
      </c>
      <c r="F62">
        <v>128.64600000000002</v>
      </c>
      <c r="H62">
        <f t="shared" si="3"/>
        <v>55200</v>
      </c>
      <c r="I62">
        <v>55104</v>
      </c>
      <c r="J62">
        <v>224</v>
      </c>
      <c r="K62">
        <v>2</v>
      </c>
      <c r="L62">
        <v>8</v>
      </c>
      <c r="M62">
        <v>149.41399999999999</v>
      </c>
      <c r="R62">
        <v>55200</v>
      </c>
      <c r="S62">
        <f t="shared" si="4"/>
        <v>55200</v>
      </c>
      <c r="T62">
        <v>96</v>
      </c>
      <c r="U62">
        <v>4</v>
      </c>
      <c r="V62">
        <v>4</v>
      </c>
      <c r="W62">
        <v>105.874</v>
      </c>
      <c r="Y62">
        <v>55200</v>
      </c>
      <c r="Z62">
        <f t="shared" si="5"/>
        <v>55200</v>
      </c>
      <c r="AA62">
        <v>96</v>
      </c>
      <c r="AB62">
        <v>4</v>
      </c>
      <c r="AC62">
        <v>4</v>
      </c>
      <c r="AD62">
        <v>89.801199999999994</v>
      </c>
    </row>
    <row r="63" spans="1:30">
      <c r="A63">
        <f t="shared" si="2"/>
        <v>58400</v>
      </c>
      <c r="B63">
        <v>58464</v>
      </c>
      <c r="C63">
        <v>224</v>
      </c>
      <c r="D63">
        <v>2</v>
      </c>
      <c r="E63">
        <v>8</v>
      </c>
      <c r="F63">
        <v>127.44399999999999</v>
      </c>
      <c r="H63">
        <f t="shared" si="3"/>
        <v>58400</v>
      </c>
      <c r="I63">
        <v>58464</v>
      </c>
      <c r="J63">
        <v>224</v>
      </c>
      <c r="K63">
        <v>2</v>
      </c>
      <c r="L63">
        <v>8</v>
      </c>
      <c r="M63">
        <v>148.58200000000002</v>
      </c>
      <c r="R63">
        <v>55168</v>
      </c>
      <c r="S63">
        <f t="shared" si="4"/>
        <v>55200</v>
      </c>
      <c r="T63">
        <v>128</v>
      </c>
      <c r="U63">
        <v>4</v>
      </c>
      <c r="V63">
        <v>4</v>
      </c>
      <c r="W63">
        <v>121.88399999999999</v>
      </c>
      <c r="Y63">
        <v>55168</v>
      </c>
      <c r="Z63">
        <f t="shared" si="5"/>
        <v>55200</v>
      </c>
      <c r="AA63">
        <v>128</v>
      </c>
      <c r="AB63">
        <v>4</v>
      </c>
      <c r="AC63">
        <v>4</v>
      </c>
      <c r="AD63">
        <v>106.84199999999998</v>
      </c>
    </row>
    <row r="64" spans="1:30">
      <c r="A64">
        <f t="shared" si="2"/>
        <v>52000</v>
      </c>
      <c r="B64">
        <v>51968</v>
      </c>
      <c r="C64">
        <v>224</v>
      </c>
      <c r="D64">
        <v>4</v>
      </c>
      <c r="E64">
        <v>4</v>
      </c>
      <c r="F64">
        <v>118.48799999999999</v>
      </c>
      <c r="H64">
        <f t="shared" si="3"/>
        <v>52000</v>
      </c>
      <c r="I64">
        <v>51968</v>
      </c>
      <c r="J64">
        <v>224</v>
      </c>
      <c r="K64">
        <v>4</v>
      </c>
      <c r="L64">
        <v>4</v>
      </c>
      <c r="M64">
        <v>132.94400000000002</v>
      </c>
      <c r="R64">
        <v>55200</v>
      </c>
      <c r="S64">
        <f t="shared" si="4"/>
        <v>55200</v>
      </c>
      <c r="T64">
        <v>160</v>
      </c>
      <c r="U64">
        <v>4</v>
      </c>
      <c r="V64">
        <v>4</v>
      </c>
      <c r="W64">
        <v>128.98400000000001</v>
      </c>
      <c r="Y64">
        <v>55200</v>
      </c>
      <c r="Z64">
        <f t="shared" si="5"/>
        <v>55200</v>
      </c>
      <c r="AA64">
        <v>160</v>
      </c>
      <c r="AB64">
        <v>4</v>
      </c>
      <c r="AC64">
        <v>4</v>
      </c>
      <c r="AD64">
        <v>116.78399999999999</v>
      </c>
    </row>
    <row r="65" spans="1:30">
      <c r="A65">
        <f t="shared" si="2"/>
        <v>55200</v>
      </c>
      <c r="B65">
        <v>55104</v>
      </c>
      <c r="C65">
        <v>224</v>
      </c>
      <c r="D65">
        <v>4</v>
      </c>
      <c r="E65">
        <v>4</v>
      </c>
      <c r="F65">
        <v>118.89400000000001</v>
      </c>
      <c r="H65">
        <f t="shared" si="3"/>
        <v>55200</v>
      </c>
      <c r="I65">
        <v>55104</v>
      </c>
      <c r="J65">
        <v>224</v>
      </c>
      <c r="K65">
        <v>4</v>
      </c>
      <c r="L65">
        <v>4</v>
      </c>
      <c r="M65">
        <v>132.70599999999999</v>
      </c>
      <c r="R65">
        <v>55296</v>
      </c>
      <c r="S65">
        <f t="shared" si="4"/>
        <v>55200</v>
      </c>
      <c r="T65">
        <v>192</v>
      </c>
      <c r="U65">
        <v>4</v>
      </c>
      <c r="V65">
        <v>4</v>
      </c>
      <c r="W65">
        <v>133.054</v>
      </c>
      <c r="Y65">
        <v>55296</v>
      </c>
      <c r="Z65">
        <f t="shared" si="5"/>
        <v>55200</v>
      </c>
      <c r="AA65">
        <v>192</v>
      </c>
      <c r="AB65">
        <v>4</v>
      </c>
      <c r="AC65">
        <v>4</v>
      </c>
      <c r="AD65">
        <v>115.63800000000001</v>
      </c>
    </row>
    <row r="66" spans="1:30">
      <c r="A66">
        <f t="shared" si="2"/>
        <v>58400</v>
      </c>
      <c r="B66">
        <v>58464</v>
      </c>
      <c r="C66">
        <v>224</v>
      </c>
      <c r="D66">
        <v>4</v>
      </c>
      <c r="E66">
        <v>4</v>
      </c>
      <c r="F66">
        <v>118.928</v>
      </c>
      <c r="H66">
        <f t="shared" si="3"/>
        <v>58400</v>
      </c>
      <c r="I66">
        <v>58464</v>
      </c>
      <c r="J66">
        <v>224</v>
      </c>
      <c r="K66">
        <v>4</v>
      </c>
      <c r="L66">
        <v>4</v>
      </c>
      <c r="M66">
        <v>134.26599999999999</v>
      </c>
      <c r="R66">
        <v>55104</v>
      </c>
      <c r="S66">
        <f t="shared" si="4"/>
        <v>55200</v>
      </c>
      <c r="T66">
        <v>224</v>
      </c>
      <c r="U66">
        <v>4</v>
      </c>
      <c r="V66">
        <v>4</v>
      </c>
      <c r="W66">
        <v>132.70599999999999</v>
      </c>
      <c r="Y66">
        <v>55104</v>
      </c>
      <c r="Z66">
        <f t="shared" si="5"/>
        <v>55200</v>
      </c>
      <c r="AA66">
        <v>224</v>
      </c>
      <c r="AB66">
        <v>4</v>
      </c>
      <c r="AC66">
        <v>4</v>
      </c>
      <c r="AD66">
        <v>118.89400000000001</v>
      </c>
    </row>
    <row r="67" spans="1:30">
      <c r="A67">
        <f t="shared" si="2"/>
        <v>52000</v>
      </c>
      <c r="B67">
        <v>51968</v>
      </c>
      <c r="C67">
        <v>256</v>
      </c>
      <c r="D67">
        <v>1</v>
      </c>
      <c r="E67">
        <v>16</v>
      </c>
      <c r="F67">
        <v>114.354</v>
      </c>
      <c r="H67">
        <f t="shared" si="3"/>
        <v>52000</v>
      </c>
      <c r="I67">
        <v>51968</v>
      </c>
      <c r="J67">
        <v>256</v>
      </c>
      <c r="K67">
        <v>1</v>
      </c>
      <c r="L67">
        <v>16</v>
      </c>
      <c r="M67">
        <v>134.71</v>
      </c>
      <c r="R67">
        <v>55296</v>
      </c>
      <c r="S67">
        <f t="shared" si="4"/>
        <v>55200</v>
      </c>
      <c r="T67">
        <v>256</v>
      </c>
      <c r="U67">
        <v>4</v>
      </c>
      <c r="V67">
        <v>4</v>
      </c>
      <c r="W67">
        <v>132.38999999999999</v>
      </c>
      <c r="Y67">
        <v>55296</v>
      </c>
      <c r="Z67">
        <f t="shared" si="5"/>
        <v>55200</v>
      </c>
      <c r="AA67">
        <v>256</v>
      </c>
      <c r="AB67">
        <v>4</v>
      </c>
      <c r="AC67">
        <v>4</v>
      </c>
      <c r="AD67">
        <v>113.96</v>
      </c>
    </row>
    <row r="68" spans="1:30">
      <c r="A68">
        <f t="shared" si="2"/>
        <v>55200</v>
      </c>
      <c r="B68">
        <v>55296</v>
      </c>
      <c r="C68">
        <v>256</v>
      </c>
      <c r="D68">
        <v>1</v>
      </c>
      <c r="E68">
        <v>16</v>
      </c>
      <c r="F68">
        <v>86.410199999999989</v>
      </c>
      <c r="H68">
        <f t="shared" si="3"/>
        <v>55200</v>
      </c>
      <c r="I68">
        <v>55296</v>
      </c>
      <c r="J68">
        <v>256</v>
      </c>
      <c r="K68">
        <v>1</v>
      </c>
      <c r="L68">
        <v>16</v>
      </c>
      <c r="M68">
        <v>130.17600000000002</v>
      </c>
      <c r="R68">
        <v>58400</v>
      </c>
      <c r="S68">
        <f t="shared" ref="S68:S75" si="6">IF(ABS(R68-52000)&lt;ABS(R68-55200),IF(ABS(R68-52000)&lt;ABS(R68-58400),52000,58400),IF(ABS(R68-55200)&lt;ABS(R68-58400),55200,58400))</f>
        <v>58400</v>
      </c>
      <c r="T68">
        <v>32</v>
      </c>
      <c r="U68">
        <v>4</v>
      </c>
      <c r="V68">
        <v>4</v>
      </c>
      <c r="W68">
        <v>42.922000000000004</v>
      </c>
      <c r="Y68">
        <v>58400</v>
      </c>
      <c r="Z68">
        <f t="shared" ref="Z68:Z75" si="7">IF(ABS(Y68-52000)&lt;ABS(Y68-55200),IF(ABS(Y68-52000)&lt;ABS(Y68-58400),52000,58400),IF(ABS(Y68-55200)&lt;ABS(Y68-58400),55200,58400))</f>
        <v>58400</v>
      </c>
      <c r="AA68">
        <v>32</v>
      </c>
      <c r="AB68">
        <v>4</v>
      </c>
      <c r="AC68">
        <v>4</v>
      </c>
      <c r="AD68">
        <v>44.854800000000004</v>
      </c>
    </row>
    <row r="69" spans="1:30">
      <c r="A69">
        <f t="shared" ref="A69:A132" si="8">IF(ABS(B69-52000)&lt;ABS(B69-55200),IF(ABS(B69-52000)&lt;ABS(B69-58400),52000,58400),IF(ABS(B69-55200)&lt;ABS(B69-58400),55200,58400))</f>
        <v>58400</v>
      </c>
      <c r="B69">
        <v>58368</v>
      </c>
      <c r="C69">
        <v>256</v>
      </c>
      <c r="D69">
        <v>1</v>
      </c>
      <c r="E69">
        <v>16</v>
      </c>
      <c r="F69">
        <v>105.02200000000001</v>
      </c>
      <c r="H69">
        <f t="shared" ref="H69:H132" si="9">IF(ABS(I69-52000)&lt;ABS(I69-55200),IF(ABS(I69-52000)&lt;ABS(I69-58400),52000,58400),IF(ABS(I69-55200)&lt;ABS(I69-58400),55200,58400))</f>
        <v>58400</v>
      </c>
      <c r="I69">
        <v>58368</v>
      </c>
      <c r="J69">
        <v>256</v>
      </c>
      <c r="K69">
        <v>1</v>
      </c>
      <c r="L69">
        <v>16</v>
      </c>
      <c r="M69">
        <v>137.64000000000001</v>
      </c>
      <c r="R69">
        <v>58368</v>
      </c>
      <c r="S69">
        <f t="shared" si="6"/>
        <v>58400</v>
      </c>
      <c r="T69">
        <v>64</v>
      </c>
      <c r="U69">
        <v>4</v>
      </c>
      <c r="V69">
        <v>4</v>
      </c>
      <c r="W69">
        <v>77.747199999999992</v>
      </c>
      <c r="Y69">
        <v>58368</v>
      </c>
      <c r="Z69">
        <f t="shared" si="7"/>
        <v>58400</v>
      </c>
      <c r="AA69">
        <v>64</v>
      </c>
      <c r="AB69">
        <v>4</v>
      </c>
      <c r="AC69">
        <v>4</v>
      </c>
      <c r="AD69">
        <v>78.570599999999985</v>
      </c>
    </row>
    <row r="70" spans="1:30">
      <c r="A70">
        <f t="shared" si="8"/>
        <v>52000</v>
      </c>
      <c r="B70">
        <v>51968</v>
      </c>
      <c r="C70">
        <v>256</v>
      </c>
      <c r="D70">
        <v>2</v>
      </c>
      <c r="E70">
        <v>8</v>
      </c>
      <c r="F70">
        <v>119.92999999999999</v>
      </c>
      <c r="H70">
        <f t="shared" si="9"/>
        <v>52000</v>
      </c>
      <c r="I70">
        <v>51968</v>
      </c>
      <c r="J70">
        <v>256</v>
      </c>
      <c r="K70">
        <v>2</v>
      </c>
      <c r="L70">
        <v>8</v>
      </c>
      <c r="M70">
        <v>146.26799999999997</v>
      </c>
      <c r="R70">
        <v>58368</v>
      </c>
      <c r="S70">
        <f t="shared" si="6"/>
        <v>58400</v>
      </c>
      <c r="T70">
        <v>96</v>
      </c>
      <c r="U70">
        <v>4</v>
      </c>
      <c r="V70">
        <v>4</v>
      </c>
      <c r="W70">
        <v>103.476</v>
      </c>
      <c r="Y70">
        <v>58368</v>
      </c>
      <c r="Z70">
        <f t="shared" si="7"/>
        <v>58400</v>
      </c>
      <c r="AA70">
        <v>96</v>
      </c>
      <c r="AB70">
        <v>4</v>
      </c>
      <c r="AC70">
        <v>4</v>
      </c>
      <c r="AD70">
        <v>87.605199999999996</v>
      </c>
    </row>
    <row r="71" spans="1:30">
      <c r="A71">
        <f t="shared" si="8"/>
        <v>55200</v>
      </c>
      <c r="B71">
        <v>55296</v>
      </c>
      <c r="C71">
        <v>256</v>
      </c>
      <c r="D71">
        <v>2</v>
      </c>
      <c r="E71">
        <v>8</v>
      </c>
      <c r="F71">
        <v>112.28800000000001</v>
      </c>
      <c r="H71">
        <f t="shared" si="9"/>
        <v>55200</v>
      </c>
      <c r="I71">
        <v>55296</v>
      </c>
      <c r="J71">
        <v>256</v>
      </c>
      <c r="K71">
        <v>2</v>
      </c>
      <c r="L71">
        <v>8</v>
      </c>
      <c r="M71">
        <v>148.73399999999998</v>
      </c>
      <c r="R71">
        <v>58368</v>
      </c>
      <c r="S71">
        <f t="shared" si="6"/>
        <v>58400</v>
      </c>
      <c r="T71">
        <v>128</v>
      </c>
      <c r="U71">
        <v>4</v>
      </c>
      <c r="V71">
        <v>4</v>
      </c>
      <c r="W71">
        <v>120.502</v>
      </c>
      <c r="Y71">
        <v>58368</v>
      </c>
      <c r="Z71">
        <f t="shared" si="7"/>
        <v>58400</v>
      </c>
      <c r="AA71">
        <v>128</v>
      </c>
      <c r="AB71">
        <v>4</v>
      </c>
      <c r="AC71">
        <v>4</v>
      </c>
      <c r="AD71">
        <v>105.348</v>
      </c>
    </row>
    <row r="72" spans="1:30">
      <c r="A72">
        <f t="shared" si="8"/>
        <v>58400</v>
      </c>
      <c r="B72">
        <v>58368</v>
      </c>
      <c r="C72">
        <v>256</v>
      </c>
      <c r="D72">
        <v>2</v>
      </c>
      <c r="E72">
        <v>8</v>
      </c>
      <c r="F72">
        <v>119.91</v>
      </c>
      <c r="H72">
        <f t="shared" si="9"/>
        <v>58400</v>
      </c>
      <c r="I72">
        <v>58368</v>
      </c>
      <c r="J72">
        <v>256</v>
      </c>
      <c r="K72">
        <v>2</v>
      </c>
      <c r="L72">
        <v>8</v>
      </c>
      <c r="M72">
        <v>149.07599999999999</v>
      </c>
      <c r="R72">
        <v>58400</v>
      </c>
      <c r="S72">
        <f t="shared" si="6"/>
        <v>58400</v>
      </c>
      <c r="T72">
        <v>160</v>
      </c>
      <c r="U72">
        <v>4</v>
      </c>
      <c r="V72">
        <v>4</v>
      </c>
      <c r="W72">
        <v>129.102</v>
      </c>
      <c r="Y72">
        <v>58400</v>
      </c>
      <c r="Z72">
        <f t="shared" si="7"/>
        <v>58400</v>
      </c>
      <c r="AA72">
        <v>160</v>
      </c>
      <c r="AB72">
        <v>4</v>
      </c>
      <c r="AC72">
        <v>4</v>
      </c>
      <c r="AD72">
        <v>116.78800000000001</v>
      </c>
    </row>
    <row r="73" spans="1:30">
      <c r="A73">
        <f t="shared" si="8"/>
        <v>52000</v>
      </c>
      <c r="B73">
        <v>51968</v>
      </c>
      <c r="C73">
        <v>256</v>
      </c>
      <c r="D73">
        <v>4</v>
      </c>
      <c r="E73">
        <v>4</v>
      </c>
      <c r="F73">
        <v>112.66600000000001</v>
      </c>
      <c r="H73">
        <f t="shared" si="9"/>
        <v>52000</v>
      </c>
      <c r="I73">
        <v>51968</v>
      </c>
      <c r="J73">
        <v>256</v>
      </c>
      <c r="K73">
        <v>4</v>
      </c>
      <c r="L73">
        <v>4</v>
      </c>
      <c r="M73">
        <v>130.48399999999998</v>
      </c>
      <c r="R73">
        <v>58368</v>
      </c>
      <c r="S73">
        <f t="shared" si="6"/>
        <v>58400</v>
      </c>
      <c r="T73">
        <v>192</v>
      </c>
      <c r="U73">
        <v>4</v>
      </c>
      <c r="V73">
        <v>4</v>
      </c>
      <c r="W73">
        <v>132.63600000000002</v>
      </c>
      <c r="Y73">
        <v>58368</v>
      </c>
      <c r="Z73">
        <f t="shared" si="7"/>
        <v>58400</v>
      </c>
      <c r="AA73">
        <v>192</v>
      </c>
      <c r="AB73">
        <v>4</v>
      </c>
      <c r="AC73">
        <v>4</v>
      </c>
      <c r="AD73">
        <v>115.00399999999999</v>
      </c>
    </row>
    <row r="74" spans="1:30">
      <c r="A74">
        <f t="shared" si="8"/>
        <v>55200</v>
      </c>
      <c r="B74">
        <v>55296</v>
      </c>
      <c r="C74">
        <v>256</v>
      </c>
      <c r="D74">
        <v>4</v>
      </c>
      <c r="E74">
        <v>4</v>
      </c>
      <c r="F74">
        <v>113.96</v>
      </c>
      <c r="H74">
        <f t="shared" si="9"/>
        <v>55200</v>
      </c>
      <c r="I74">
        <v>55296</v>
      </c>
      <c r="J74">
        <v>256</v>
      </c>
      <c r="K74">
        <v>4</v>
      </c>
      <c r="L74">
        <v>4</v>
      </c>
      <c r="M74">
        <v>132.38999999999999</v>
      </c>
      <c r="R74">
        <v>58464</v>
      </c>
      <c r="S74">
        <f t="shared" si="6"/>
        <v>58400</v>
      </c>
      <c r="T74">
        <v>224</v>
      </c>
      <c r="U74">
        <v>4</v>
      </c>
      <c r="V74">
        <v>4</v>
      </c>
      <c r="W74">
        <v>134.26599999999999</v>
      </c>
      <c r="Y74">
        <v>58464</v>
      </c>
      <c r="Z74">
        <f t="shared" si="7"/>
        <v>58400</v>
      </c>
      <c r="AA74">
        <v>224</v>
      </c>
      <c r="AB74">
        <v>4</v>
      </c>
      <c r="AC74">
        <v>4</v>
      </c>
      <c r="AD74">
        <v>118.928</v>
      </c>
    </row>
    <row r="75" spans="1:30">
      <c r="A75">
        <f t="shared" si="8"/>
        <v>58400</v>
      </c>
      <c r="B75">
        <v>58368</v>
      </c>
      <c r="C75">
        <v>256</v>
      </c>
      <c r="D75">
        <v>4</v>
      </c>
      <c r="E75">
        <v>4</v>
      </c>
      <c r="F75">
        <v>113.502</v>
      </c>
      <c r="H75">
        <f t="shared" si="9"/>
        <v>58400</v>
      </c>
      <c r="I75">
        <v>58368</v>
      </c>
      <c r="J75">
        <v>256</v>
      </c>
      <c r="K75">
        <v>4</v>
      </c>
      <c r="L75">
        <v>4</v>
      </c>
      <c r="M75">
        <v>132.202</v>
      </c>
      <c r="R75">
        <v>58368</v>
      </c>
      <c r="S75">
        <f t="shared" si="6"/>
        <v>58400</v>
      </c>
      <c r="T75">
        <v>256</v>
      </c>
      <c r="U75">
        <v>4</v>
      </c>
      <c r="V75">
        <v>4</v>
      </c>
      <c r="W75">
        <v>132.202</v>
      </c>
      <c r="Y75">
        <v>58368</v>
      </c>
      <c r="Z75">
        <f t="shared" si="7"/>
        <v>58400</v>
      </c>
      <c r="AA75">
        <v>256</v>
      </c>
      <c r="AB75">
        <v>4</v>
      </c>
      <c r="AC75">
        <v>4</v>
      </c>
      <c r="AD75">
        <v>113.502</v>
      </c>
    </row>
    <row r="76" spans="1:30">
      <c r="A76">
        <f t="shared" si="8"/>
        <v>52000</v>
      </c>
      <c r="B76">
        <v>0</v>
      </c>
      <c r="C76">
        <v>0</v>
      </c>
      <c r="D76">
        <v>0</v>
      </c>
      <c r="E76">
        <v>0</v>
      </c>
      <c r="F76">
        <v>0</v>
      </c>
      <c r="H76">
        <f t="shared" si="9"/>
        <v>52000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30">
      <c r="A77">
        <f t="shared" si="8"/>
        <v>52000</v>
      </c>
      <c r="B77">
        <v>0</v>
      </c>
      <c r="C77">
        <v>0</v>
      </c>
      <c r="D77">
        <v>0</v>
      </c>
      <c r="E77">
        <v>0</v>
      </c>
      <c r="F77">
        <v>0</v>
      </c>
      <c r="H77">
        <f t="shared" si="9"/>
        <v>52000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30">
      <c r="A78">
        <f t="shared" si="8"/>
        <v>52000</v>
      </c>
      <c r="B78">
        <v>0</v>
      </c>
      <c r="C78">
        <v>0</v>
      </c>
      <c r="D78">
        <v>0</v>
      </c>
      <c r="E78">
        <v>0</v>
      </c>
      <c r="F78">
        <v>0</v>
      </c>
      <c r="H78">
        <f t="shared" si="9"/>
        <v>52000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30">
      <c r="A79">
        <f t="shared" si="8"/>
        <v>52000</v>
      </c>
      <c r="B79">
        <v>0</v>
      </c>
      <c r="C79">
        <v>0</v>
      </c>
      <c r="D79">
        <v>0</v>
      </c>
      <c r="E79">
        <v>0</v>
      </c>
      <c r="F79">
        <v>0</v>
      </c>
      <c r="H79">
        <f t="shared" si="9"/>
        <v>52000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30">
      <c r="A80">
        <f t="shared" si="8"/>
        <v>52000</v>
      </c>
      <c r="B80">
        <v>0</v>
      </c>
      <c r="C80">
        <v>0</v>
      </c>
      <c r="D80">
        <v>0</v>
      </c>
      <c r="E80">
        <v>0</v>
      </c>
      <c r="F80">
        <v>0</v>
      </c>
      <c r="H80">
        <f t="shared" si="9"/>
        <v>52000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>
        <f t="shared" si="8"/>
        <v>52000</v>
      </c>
      <c r="B81">
        <v>0</v>
      </c>
      <c r="C81">
        <v>0</v>
      </c>
      <c r="D81">
        <v>0</v>
      </c>
      <c r="E81">
        <v>0</v>
      </c>
      <c r="F81">
        <v>0</v>
      </c>
      <c r="H81">
        <f t="shared" si="9"/>
        <v>52000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>
        <f t="shared" si="8"/>
        <v>52000</v>
      </c>
      <c r="B82">
        <v>0</v>
      </c>
      <c r="C82">
        <v>0</v>
      </c>
      <c r="D82">
        <v>0</v>
      </c>
      <c r="E82">
        <v>0</v>
      </c>
      <c r="F82">
        <v>0</v>
      </c>
      <c r="H82">
        <f t="shared" si="9"/>
        <v>52000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>
        <f t="shared" si="8"/>
        <v>52000</v>
      </c>
      <c r="B83">
        <v>0</v>
      </c>
      <c r="C83">
        <v>0</v>
      </c>
      <c r="D83">
        <v>0</v>
      </c>
      <c r="E83">
        <v>0</v>
      </c>
      <c r="F83">
        <v>0</v>
      </c>
      <c r="H83">
        <f t="shared" si="9"/>
        <v>52000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>
        <f t="shared" si="8"/>
        <v>52000</v>
      </c>
      <c r="B84">
        <v>0</v>
      </c>
      <c r="C84">
        <v>0</v>
      </c>
      <c r="D84">
        <v>0</v>
      </c>
      <c r="E84">
        <v>0</v>
      </c>
      <c r="F84">
        <v>0</v>
      </c>
      <c r="H84">
        <f t="shared" si="9"/>
        <v>52000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>
        <f t="shared" si="8"/>
        <v>52000</v>
      </c>
      <c r="B85">
        <v>0</v>
      </c>
      <c r="C85">
        <v>0</v>
      </c>
      <c r="D85">
        <v>0</v>
      </c>
      <c r="E85">
        <v>0</v>
      </c>
      <c r="F85">
        <v>0</v>
      </c>
      <c r="H85">
        <f t="shared" si="9"/>
        <v>52000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>
        <f t="shared" si="8"/>
        <v>52000</v>
      </c>
      <c r="B86">
        <v>0</v>
      </c>
      <c r="C86">
        <v>0</v>
      </c>
      <c r="D86">
        <v>0</v>
      </c>
      <c r="E86">
        <v>0</v>
      </c>
      <c r="F86">
        <v>0</v>
      </c>
      <c r="H86">
        <f t="shared" si="9"/>
        <v>52000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>
        <f t="shared" si="8"/>
        <v>52000</v>
      </c>
      <c r="B87">
        <v>0</v>
      </c>
      <c r="C87">
        <v>0</v>
      </c>
      <c r="D87">
        <v>0</v>
      </c>
      <c r="E87">
        <v>0</v>
      </c>
      <c r="F87">
        <v>0</v>
      </c>
      <c r="H87">
        <f t="shared" si="9"/>
        <v>52000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>
        <f t="shared" si="8"/>
        <v>52000</v>
      </c>
      <c r="B88">
        <v>0</v>
      </c>
      <c r="C88">
        <v>0</v>
      </c>
      <c r="D88">
        <v>0</v>
      </c>
      <c r="E88">
        <v>0</v>
      </c>
      <c r="F88">
        <v>0</v>
      </c>
      <c r="H88">
        <f t="shared" si="9"/>
        <v>52000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>
        <f t="shared" si="8"/>
        <v>52000</v>
      </c>
      <c r="B89">
        <v>0</v>
      </c>
      <c r="C89">
        <v>0</v>
      </c>
      <c r="D89">
        <v>0</v>
      </c>
      <c r="E89">
        <v>0</v>
      </c>
      <c r="F89">
        <v>0</v>
      </c>
      <c r="H89">
        <f t="shared" si="9"/>
        <v>52000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>
        <f t="shared" si="8"/>
        <v>52000</v>
      </c>
      <c r="B90">
        <v>0</v>
      </c>
      <c r="C90">
        <v>0</v>
      </c>
      <c r="D90">
        <v>0</v>
      </c>
      <c r="E90">
        <v>0</v>
      </c>
      <c r="F90">
        <v>0</v>
      </c>
      <c r="H90">
        <f t="shared" si="9"/>
        <v>52000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>
        <f t="shared" si="8"/>
        <v>52000</v>
      </c>
      <c r="B91">
        <v>0</v>
      </c>
      <c r="C91">
        <v>0</v>
      </c>
      <c r="D91">
        <v>0</v>
      </c>
      <c r="E91">
        <v>0</v>
      </c>
      <c r="F91">
        <v>0</v>
      </c>
      <c r="H91">
        <f t="shared" si="9"/>
        <v>52000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>
        <f t="shared" si="8"/>
        <v>52000</v>
      </c>
      <c r="B92">
        <v>0</v>
      </c>
      <c r="C92">
        <v>0</v>
      </c>
      <c r="D92">
        <v>0</v>
      </c>
      <c r="E92">
        <v>0</v>
      </c>
      <c r="F92">
        <v>0</v>
      </c>
      <c r="H92">
        <f t="shared" si="9"/>
        <v>52000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>
        <f t="shared" si="8"/>
        <v>52000</v>
      </c>
      <c r="B93">
        <v>0</v>
      </c>
      <c r="C93">
        <v>0</v>
      </c>
      <c r="D93">
        <v>0</v>
      </c>
      <c r="E93">
        <v>0</v>
      </c>
      <c r="F93">
        <v>0</v>
      </c>
      <c r="H93">
        <f t="shared" si="9"/>
        <v>52000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>
        <f t="shared" si="8"/>
        <v>52000</v>
      </c>
      <c r="B94">
        <v>0</v>
      </c>
      <c r="C94">
        <v>0</v>
      </c>
      <c r="D94">
        <v>0</v>
      </c>
      <c r="E94">
        <v>0</v>
      </c>
      <c r="F94">
        <v>0</v>
      </c>
      <c r="H94">
        <f t="shared" si="9"/>
        <v>52000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>
        <f t="shared" si="8"/>
        <v>52000</v>
      </c>
      <c r="B95">
        <v>0</v>
      </c>
      <c r="C95">
        <v>0</v>
      </c>
      <c r="D95">
        <v>0</v>
      </c>
      <c r="E95">
        <v>0</v>
      </c>
      <c r="F95">
        <v>0</v>
      </c>
      <c r="H95">
        <f t="shared" si="9"/>
        <v>52000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>
        <f t="shared" si="8"/>
        <v>52000</v>
      </c>
      <c r="B96">
        <v>0</v>
      </c>
      <c r="C96">
        <v>0</v>
      </c>
      <c r="D96">
        <v>0</v>
      </c>
      <c r="E96">
        <v>0</v>
      </c>
      <c r="F96">
        <v>0</v>
      </c>
      <c r="H96">
        <f t="shared" si="9"/>
        <v>52000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>
        <f t="shared" si="8"/>
        <v>52000</v>
      </c>
      <c r="B97">
        <v>0</v>
      </c>
      <c r="C97">
        <v>0</v>
      </c>
      <c r="D97">
        <v>0</v>
      </c>
      <c r="E97">
        <v>0</v>
      </c>
      <c r="F97">
        <v>0</v>
      </c>
      <c r="H97">
        <f t="shared" si="9"/>
        <v>52000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>
        <f t="shared" si="8"/>
        <v>52000</v>
      </c>
      <c r="B98">
        <v>0</v>
      </c>
      <c r="C98">
        <v>0</v>
      </c>
      <c r="D98">
        <v>0</v>
      </c>
      <c r="E98">
        <v>0</v>
      </c>
      <c r="F98">
        <v>0</v>
      </c>
      <c r="H98">
        <f t="shared" si="9"/>
        <v>52000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>
        <f t="shared" si="8"/>
        <v>52000</v>
      </c>
      <c r="B99">
        <v>0</v>
      </c>
      <c r="C99">
        <v>0</v>
      </c>
      <c r="D99">
        <v>0</v>
      </c>
      <c r="E99">
        <v>0</v>
      </c>
      <c r="F99">
        <v>0</v>
      </c>
      <c r="H99">
        <f t="shared" si="9"/>
        <v>52000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>
        <f t="shared" si="8"/>
        <v>52000</v>
      </c>
      <c r="B100">
        <v>0</v>
      </c>
      <c r="C100">
        <v>0</v>
      </c>
      <c r="D100">
        <v>0</v>
      </c>
      <c r="E100">
        <v>0</v>
      </c>
      <c r="F100">
        <v>0</v>
      </c>
      <c r="H100">
        <f t="shared" si="9"/>
        <v>52000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>
        <f t="shared" si="8"/>
        <v>52000</v>
      </c>
      <c r="B101">
        <v>0</v>
      </c>
      <c r="C101">
        <v>0</v>
      </c>
      <c r="D101">
        <v>0</v>
      </c>
      <c r="E101">
        <v>0</v>
      </c>
      <c r="F101">
        <v>0</v>
      </c>
      <c r="H101">
        <f t="shared" si="9"/>
        <v>52000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>
        <f t="shared" si="8"/>
        <v>52000</v>
      </c>
      <c r="B102">
        <v>0</v>
      </c>
      <c r="C102">
        <v>0</v>
      </c>
      <c r="D102">
        <v>0</v>
      </c>
      <c r="E102">
        <v>0</v>
      </c>
      <c r="F102">
        <v>0</v>
      </c>
      <c r="H102">
        <f t="shared" si="9"/>
        <v>52000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>
        <f t="shared" si="8"/>
        <v>52000</v>
      </c>
      <c r="B103">
        <v>0</v>
      </c>
      <c r="C103">
        <v>0</v>
      </c>
      <c r="D103">
        <v>0</v>
      </c>
      <c r="E103">
        <v>0</v>
      </c>
      <c r="F103">
        <v>0</v>
      </c>
      <c r="H103">
        <f t="shared" si="9"/>
        <v>52000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>
        <f t="shared" si="8"/>
        <v>52000</v>
      </c>
      <c r="B104">
        <v>0</v>
      </c>
      <c r="C104">
        <v>0</v>
      </c>
      <c r="D104">
        <v>0</v>
      </c>
      <c r="E104">
        <v>0</v>
      </c>
      <c r="F104">
        <v>0</v>
      </c>
      <c r="H104">
        <f t="shared" si="9"/>
        <v>52000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>
        <f t="shared" si="8"/>
        <v>52000</v>
      </c>
      <c r="B105">
        <v>0</v>
      </c>
      <c r="C105">
        <v>0</v>
      </c>
      <c r="D105">
        <v>0</v>
      </c>
      <c r="E105">
        <v>0</v>
      </c>
      <c r="F105">
        <v>0</v>
      </c>
      <c r="H105">
        <f t="shared" si="9"/>
        <v>52000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>
        <f t="shared" si="8"/>
        <v>52000</v>
      </c>
      <c r="B106">
        <v>0</v>
      </c>
      <c r="C106">
        <v>0</v>
      </c>
      <c r="D106">
        <v>0</v>
      </c>
      <c r="E106">
        <v>0</v>
      </c>
      <c r="F106">
        <v>0</v>
      </c>
      <c r="H106">
        <f t="shared" si="9"/>
        <v>52000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>
        <f t="shared" si="8"/>
        <v>52000</v>
      </c>
      <c r="B107">
        <v>0</v>
      </c>
      <c r="C107">
        <v>0</v>
      </c>
      <c r="D107">
        <v>0</v>
      </c>
      <c r="E107">
        <v>0</v>
      </c>
      <c r="F107">
        <v>0</v>
      </c>
      <c r="H107">
        <f t="shared" si="9"/>
        <v>52000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>
        <f t="shared" si="8"/>
        <v>52000</v>
      </c>
      <c r="B108">
        <v>0</v>
      </c>
      <c r="C108">
        <v>0</v>
      </c>
      <c r="D108">
        <v>0</v>
      </c>
      <c r="E108">
        <v>0</v>
      </c>
      <c r="F108">
        <v>0</v>
      </c>
      <c r="H108">
        <f t="shared" si="9"/>
        <v>52000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>
        <f t="shared" si="8"/>
        <v>52000</v>
      </c>
      <c r="B109">
        <v>0</v>
      </c>
      <c r="C109">
        <v>0</v>
      </c>
      <c r="D109">
        <v>0</v>
      </c>
      <c r="E109">
        <v>0</v>
      </c>
      <c r="F109">
        <v>0</v>
      </c>
      <c r="H109">
        <f t="shared" si="9"/>
        <v>52000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>
        <f t="shared" si="8"/>
        <v>52000</v>
      </c>
      <c r="B110">
        <v>0</v>
      </c>
      <c r="C110">
        <v>0</v>
      </c>
      <c r="D110">
        <v>0</v>
      </c>
      <c r="E110">
        <v>0</v>
      </c>
      <c r="F110">
        <v>0</v>
      </c>
      <c r="H110">
        <f t="shared" si="9"/>
        <v>52000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>
        <f t="shared" si="8"/>
        <v>52000</v>
      </c>
      <c r="B111">
        <v>0</v>
      </c>
      <c r="C111">
        <v>0</v>
      </c>
      <c r="D111">
        <v>0</v>
      </c>
      <c r="E111">
        <v>0</v>
      </c>
      <c r="F111">
        <v>0</v>
      </c>
      <c r="H111">
        <f t="shared" si="9"/>
        <v>52000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>
        <f t="shared" si="8"/>
        <v>52000</v>
      </c>
      <c r="B112">
        <v>0</v>
      </c>
      <c r="C112">
        <v>0</v>
      </c>
      <c r="D112">
        <v>0</v>
      </c>
      <c r="E112">
        <v>0</v>
      </c>
      <c r="F112">
        <v>0</v>
      </c>
      <c r="H112">
        <f t="shared" si="9"/>
        <v>52000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>
        <f t="shared" si="8"/>
        <v>52000</v>
      </c>
      <c r="B113">
        <v>0</v>
      </c>
      <c r="C113">
        <v>0</v>
      </c>
      <c r="D113">
        <v>0</v>
      </c>
      <c r="E113">
        <v>0</v>
      </c>
      <c r="F113">
        <v>0</v>
      </c>
      <c r="H113">
        <f t="shared" si="9"/>
        <v>52000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>
        <f t="shared" si="8"/>
        <v>52000</v>
      </c>
      <c r="B114">
        <v>0</v>
      </c>
      <c r="C114">
        <v>0</v>
      </c>
      <c r="D114">
        <v>0</v>
      </c>
      <c r="E114">
        <v>0</v>
      </c>
      <c r="F114">
        <v>0</v>
      </c>
      <c r="H114">
        <f t="shared" si="9"/>
        <v>52000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>
        <f t="shared" si="8"/>
        <v>52000</v>
      </c>
      <c r="B115">
        <v>0</v>
      </c>
      <c r="C115">
        <v>0</v>
      </c>
      <c r="D115">
        <v>0</v>
      </c>
      <c r="E115">
        <v>0</v>
      </c>
      <c r="F115">
        <v>0</v>
      </c>
      <c r="H115">
        <f t="shared" si="9"/>
        <v>52000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>
        <f t="shared" si="8"/>
        <v>52000</v>
      </c>
      <c r="B116">
        <v>0</v>
      </c>
      <c r="C116">
        <v>0</v>
      </c>
      <c r="D116">
        <v>0</v>
      </c>
      <c r="E116">
        <v>0</v>
      </c>
      <c r="F116">
        <v>0</v>
      </c>
      <c r="H116">
        <f t="shared" si="9"/>
        <v>52000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>
        <f t="shared" si="8"/>
        <v>52000</v>
      </c>
      <c r="B117">
        <v>0</v>
      </c>
      <c r="C117">
        <v>0</v>
      </c>
      <c r="D117">
        <v>0</v>
      </c>
      <c r="E117">
        <v>0</v>
      </c>
      <c r="F117">
        <v>0</v>
      </c>
      <c r="H117">
        <f t="shared" si="9"/>
        <v>52000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>
        <f t="shared" si="8"/>
        <v>52000</v>
      </c>
      <c r="B118">
        <v>0</v>
      </c>
      <c r="C118">
        <v>0</v>
      </c>
      <c r="D118">
        <v>0</v>
      </c>
      <c r="E118">
        <v>0</v>
      </c>
      <c r="F118">
        <v>0</v>
      </c>
      <c r="H118">
        <f t="shared" si="9"/>
        <v>52000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>
        <f t="shared" si="8"/>
        <v>52000</v>
      </c>
      <c r="B119">
        <v>0</v>
      </c>
      <c r="C119">
        <v>0</v>
      </c>
      <c r="D119">
        <v>0</v>
      </c>
      <c r="E119">
        <v>0</v>
      </c>
      <c r="F119">
        <v>0</v>
      </c>
      <c r="H119">
        <f t="shared" si="9"/>
        <v>52000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>
        <f t="shared" si="8"/>
        <v>52000</v>
      </c>
      <c r="B120">
        <v>0</v>
      </c>
      <c r="C120">
        <v>0</v>
      </c>
      <c r="D120">
        <v>0</v>
      </c>
      <c r="E120">
        <v>0</v>
      </c>
      <c r="F120">
        <v>0</v>
      </c>
      <c r="H120">
        <f t="shared" si="9"/>
        <v>52000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>
        <f t="shared" si="8"/>
        <v>52000</v>
      </c>
      <c r="B121">
        <v>0</v>
      </c>
      <c r="C121">
        <v>0</v>
      </c>
      <c r="D121">
        <v>0</v>
      </c>
      <c r="E121">
        <v>0</v>
      </c>
      <c r="F121">
        <v>0</v>
      </c>
      <c r="H121">
        <f t="shared" si="9"/>
        <v>52000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>
        <f t="shared" si="8"/>
        <v>52000</v>
      </c>
      <c r="B122">
        <v>0</v>
      </c>
      <c r="C122">
        <v>0</v>
      </c>
      <c r="D122">
        <v>0</v>
      </c>
      <c r="E122">
        <v>0</v>
      </c>
      <c r="F122">
        <v>0</v>
      </c>
      <c r="H122">
        <f t="shared" si="9"/>
        <v>52000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>
        <f t="shared" si="8"/>
        <v>52000</v>
      </c>
      <c r="B123">
        <v>0</v>
      </c>
      <c r="C123">
        <v>0</v>
      </c>
      <c r="D123">
        <v>0</v>
      </c>
      <c r="E123">
        <v>0</v>
      </c>
      <c r="F123">
        <v>0</v>
      </c>
      <c r="H123">
        <f t="shared" si="9"/>
        <v>52000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>
        <f t="shared" si="8"/>
        <v>52000</v>
      </c>
      <c r="B124">
        <v>0</v>
      </c>
      <c r="C124">
        <v>0</v>
      </c>
      <c r="D124">
        <v>0</v>
      </c>
      <c r="E124">
        <v>0</v>
      </c>
      <c r="F124">
        <v>0</v>
      </c>
      <c r="H124">
        <f t="shared" si="9"/>
        <v>52000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>
        <f t="shared" si="8"/>
        <v>52000</v>
      </c>
      <c r="B125">
        <v>0</v>
      </c>
      <c r="C125">
        <v>0</v>
      </c>
      <c r="D125">
        <v>0</v>
      </c>
      <c r="E125">
        <v>0</v>
      </c>
      <c r="F125">
        <v>0</v>
      </c>
      <c r="H125">
        <f t="shared" si="9"/>
        <v>52000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>
        <f t="shared" si="8"/>
        <v>52000</v>
      </c>
      <c r="B126">
        <v>0</v>
      </c>
      <c r="C126">
        <v>0</v>
      </c>
      <c r="D126">
        <v>0</v>
      </c>
      <c r="E126">
        <v>0</v>
      </c>
      <c r="F126">
        <v>0</v>
      </c>
      <c r="H126">
        <f t="shared" si="9"/>
        <v>52000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>
        <f t="shared" si="8"/>
        <v>52000</v>
      </c>
      <c r="B127">
        <v>0</v>
      </c>
      <c r="C127">
        <v>0</v>
      </c>
      <c r="D127">
        <v>0</v>
      </c>
      <c r="E127">
        <v>0</v>
      </c>
      <c r="F127">
        <v>0</v>
      </c>
      <c r="H127">
        <f t="shared" si="9"/>
        <v>52000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>
        <f t="shared" si="8"/>
        <v>52000</v>
      </c>
      <c r="B128">
        <v>0</v>
      </c>
      <c r="C128">
        <v>0</v>
      </c>
      <c r="D128">
        <v>0</v>
      </c>
      <c r="E128">
        <v>0</v>
      </c>
      <c r="F128">
        <v>0</v>
      </c>
      <c r="H128">
        <f t="shared" si="9"/>
        <v>52000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>
        <f t="shared" si="8"/>
        <v>52000</v>
      </c>
      <c r="B129">
        <v>0</v>
      </c>
      <c r="C129">
        <v>0</v>
      </c>
      <c r="D129">
        <v>0</v>
      </c>
      <c r="E129">
        <v>0</v>
      </c>
      <c r="F129">
        <v>0</v>
      </c>
      <c r="H129">
        <f t="shared" si="9"/>
        <v>52000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>
        <f t="shared" si="8"/>
        <v>52000</v>
      </c>
      <c r="B130">
        <v>0</v>
      </c>
      <c r="C130">
        <v>0</v>
      </c>
      <c r="D130">
        <v>0</v>
      </c>
      <c r="E130">
        <v>0</v>
      </c>
      <c r="F130">
        <v>0</v>
      </c>
      <c r="H130">
        <f t="shared" si="9"/>
        <v>52000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>
        <f t="shared" si="8"/>
        <v>52000</v>
      </c>
      <c r="B131">
        <v>0</v>
      </c>
      <c r="C131">
        <v>0</v>
      </c>
      <c r="D131">
        <v>0</v>
      </c>
      <c r="E131">
        <v>0</v>
      </c>
      <c r="F131">
        <v>0</v>
      </c>
      <c r="H131">
        <f t="shared" si="9"/>
        <v>52000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>
        <f t="shared" si="8"/>
        <v>52000</v>
      </c>
      <c r="B132">
        <v>0</v>
      </c>
      <c r="C132">
        <v>0</v>
      </c>
      <c r="D132">
        <v>0</v>
      </c>
      <c r="E132">
        <v>0</v>
      </c>
      <c r="F132">
        <v>0</v>
      </c>
      <c r="H132">
        <f t="shared" si="9"/>
        <v>52000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>
        <f t="shared" ref="A133:A196" si="10">IF(ABS(B133-52000)&lt;ABS(B133-55200),IF(ABS(B133-52000)&lt;ABS(B133-58400),52000,58400),IF(ABS(B133-55200)&lt;ABS(B133-58400),55200,58400))</f>
        <v>52000</v>
      </c>
      <c r="B133">
        <v>0</v>
      </c>
      <c r="C133">
        <v>0</v>
      </c>
      <c r="D133">
        <v>0</v>
      </c>
      <c r="E133">
        <v>0</v>
      </c>
      <c r="F133">
        <v>0</v>
      </c>
      <c r="H133">
        <f t="shared" ref="H133:H196" si="11">IF(ABS(I133-52000)&lt;ABS(I133-55200),IF(ABS(I133-52000)&lt;ABS(I133-58400),52000,58400),IF(ABS(I133-55200)&lt;ABS(I133-58400),55200,58400))</f>
        <v>52000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>
        <f t="shared" si="10"/>
        <v>52000</v>
      </c>
      <c r="B134">
        <v>0</v>
      </c>
      <c r="C134">
        <v>0</v>
      </c>
      <c r="D134">
        <v>0</v>
      </c>
      <c r="E134">
        <v>0</v>
      </c>
      <c r="F134">
        <v>0</v>
      </c>
      <c r="H134">
        <f t="shared" si="11"/>
        <v>52000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>
        <f t="shared" si="10"/>
        <v>52000</v>
      </c>
      <c r="B135">
        <v>0</v>
      </c>
      <c r="C135">
        <v>0</v>
      </c>
      <c r="D135">
        <v>0</v>
      </c>
      <c r="E135">
        <v>0</v>
      </c>
      <c r="F135">
        <v>0</v>
      </c>
      <c r="H135">
        <f t="shared" si="11"/>
        <v>52000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>
        <f t="shared" si="10"/>
        <v>52000</v>
      </c>
      <c r="B136">
        <v>0</v>
      </c>
      <c r="C136">
        <v>0</v>
      </c>
      <c r="D136">
        <v>0</v>
      </c>
      <c r="E136">
        <v>0</v>
      </c>
      <c r="F136">
        <v>0</v>
      </c>
      <c r="H136">
        <f t="shared" si="11"/>
        <v>52000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>
        <f t="shared" si="10"/>
        <v>52000</v>
      </c>
      <c r="B137">
        <v>0</v>
      </c>
      <c r="C137">
        <v>0</v>
      </c>
      <c r="D137">
        <v>0</v>
      </c>
      <c r="E137">
        <v>0</v>
      </c>
      <c r="F137">
        <v>0</v>
      </c>
      <c r="H137">
        <f t="shared" si="11"/>
        <v>52000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>
        <f t="shared" si="10"/>
        <v>52000</v>
      </c>
      <c r="B138">
        <v>0</v>
      </c>
      <c r="C138">
        <v>0</v>
      </c>
      <c r="D138">
        <v>0</v>
      </c>
      <c r="E138">
        <v>0</v>
      </c>
      <c r="F138">
        <v>0</v>
      </c>
      <c r="H138">
        <f t="shared" si="11"/>
        <v>52000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>
        <f t="shared" si="10"/>
        <v>52000</v>
      </c>
      <c r="B139">
        <v>0</v>
      </c>
      <c r="C139">
        <v>0</v>
      </c>
      <c r="D139">
        <v>0</v>
      </c>
      <c r="E139">
        <v>0</v>
      </c>
      <c r="F139">
        <v>0</v>
      </c>
      <c r="H139">
        <f t="shared" si="11"/>
        <v>52000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>
        <f t="shared" si="10"/>
        <v>52000</v>
      </c>
      <c r="B140">
        <v>0</v>
      </c>
      <c r="C140">
        <v>0</v>
      </c>
      <c r="D140">
        <v>0</v>
      </c>
      <c r="E140">
        <v>0</v>
      </c>
      <c r="F140">
        <v>0</v>
      </c>
      <c r="H140">
        <f t="shared" si="11"/>
        <v>52000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>
        <f t="shared" si="10"/>
        <v>52000</v>
      </c>
      <c r="B141">
        <v>0</v>
      </c>
      <c r="C141">
        <v>0</v>
      </c>
      <c r="D141">
        <v>0</v>
      </c>
      <c r="E141">
        <v>0</v>
      </c>
      <c r="F141">
        <v>0</v>
      </c>
      <c r="H141">
        <f t="shared" si="11"/>
        <v>52000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>
        <f t="shared" si="10"/>
        <v>52000</v>
      </c>
      <c r="B142">
        <v>0</v>
      </c>
      <c r="C142">
        <v>0</v>
      </c>
      <c r="D142">
        <v>0</v>
      </c>
      <c r="E142">
        <v>0</v>
      </c>
      <c r="F142">
        <v>0</v>
      </c>
      <c r="H142">
        <f t="shared" si="11"/>
        <v>52000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>
        <f t="shared" si="10"/>
        <v>52000</v>
      </c>
      <c r="B143">
        <v>0</v>
      </c>
      <c r="C143">
        <v>0</v>
      </c>
      <c r="D143">
        <v>0</v>
      </c>
      <c r="E143">
        <v>0</v>
      </c>
      <c r="F143">
        <v>0</v>
      </c>
      <c r="H143">
        <f t="shared" si="11"/>
        <v>52000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>
        <f t="shared" si="10"/>
        <v>52000</v>
      </c>
      <c r="B144">
        <v>0</v>
      </c>
      <c r="C144">
        <v>0</v>
      </c>
      <c r="D144">
        <v>0</v>
      </c>
      <c r="E144">
        <v>0</v>
      </c>
      <c r="F144">
        <v>0</v>
      </c>
      <c r="H144">
        <f t="shared" si="11"/>
        <v>52000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>
        <f t="shared" si="10"/>
        <v>52000</v>
      </c>
      <c r="B145">
        <v>0</v>
      </c>
      <c r="C145">
        <v>0</v>
      </c>
      <c r="D145">
        <v>0</v>
      </c>
      <c r="E145">
        <v>0</v>
      </c>
      <c r="F145">
        <v>0</v>
      </c>
      <c r="H145">
        <f t="shared" si="11"/>
        <v>52000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>
        <f t="shared" si="10"/>
        <v>52000</v>
      </c>
      <c r="B146">
        <v>0</v>
      </c>
      <c r="C146">
        <v>0</v>
      </c>
      <c r="D146">
        <v>0</v>
      </c>
      <c r="E146">
        <v>0</v>
      </c>
      <c r="F146">
        <v>0</v>
      </c>
      <c r="H146">
        <f t="shared" si="11"/>
        <v>52000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>
        <f t="shared" si="10"/>
        <v>52000</v>
      </c>
      <c r="B147">
        <v>0</v>
      </c>
      <c r="C147">
        <v>0</v>
      </c>
      <c r="D147">
        <v>0</v>
      </c>
      <c r="E147">
        <v>0</v>
      </c>
      <c r="F147">
        <v>0</v>
      </c>
      <c r="H147">
        <f t="shared" si="11"/>
        <v>52000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>
        <f t="shared" si="10"/>
        <v>52000</v>
      </c>
      <c r="B148">
        <v>0</v>
      </c>
      <c r="C148">
        <v>0</v>
      </c>
      <c r="D148">
        <v>0</v>
      </c>
      <c r="E148">
        <v>0</v>
      </c>
      <c r="F148">
        <v>0</v>
      </c>
      <c r="H148">
        <f t="shared" si="11"/>
        <v>52000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>
        <f t="shared" si="10"/>
        <v>52000</v>
      </c>
      <c r="B149">
        <v>0</v>
      </c>
      <c r="C149">
        <v>0</v>
      </c>
      <c r="D149">
        <v>0</v>
      </c>
      <c r="E149">
        <v>0</v>
      </c>
      <c r="F149">
        <v>0</v>
      </c>
      <c r="H149">
        <f t="shared" si="11"/>
        <v>52000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>
        <f t="shared" si="10"/>
        <v>52000</v>
      </c>
      <c r="B150">
        <v>0</v>
      </c>
      <c r="C150">
        <v>0</v>
      </c>
      <c r="D150">
        <v>0</v>
      </c>
      <c r="E150">
        <v>0</v>
      </c>
      <c r="F150">
        <v>0</v>
      </c>
      <c r="H150">
        <f t="shared" si="11"/>
        <v>52000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>
        <f t="shared" si="10"/>
        <v>52000</v>
      </c>
      <c r="B151">
        <v>0</v>
      </c>
      <c r="C151">
        <v>0</v>
      </c>
      <c r="D151">
        <v>0</v>
      </c>
      <c r="E151">
        <v>0</v>
      </c>
      <c r="F151">
        <v>0</v>
      </c>
      <c r="H151">
        <f t="shared" si="11"/>
        <v>52000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>
        <f t="shared" si="10"/>
        <v>52000</v>
      </c>
      <c r="B152">
        <v>0</v>
      </c>
      <c r="C152">
        <v>0</v>
      </c>
      <c r="D152">
        <v>0</v>
      </c>
      <c r="E152">
        <v>0</v>
      </c>
      <c r="F152">
        <v>0</v>
      </c>
      <c r="H152">
        <f t="shared" si="11"/>
        <v>52000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>
        <f t="shared" si="10"/>
        <v>52000</v>
      </c>
      <c r="B153">
        <v>0</v>
      </c>
      <c r="C153">
        <v>0</v>
      </c>
      <c r="D153">
        <v>0</v>
      </c>
      <c r="E153">
        <v>0</v>
      </c>
      <c r="F153">
        <v>0</v>
      </c>
      <c r="H153">
        <f t="shared" si="11"/>
        <v>52000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>
        <f t="shared" si="10"/>
        <v>52000</v>
      </c>
      <c r="B154">
        <v>0</v>
      </c>
      <c r="C154">
        <v>0</v>
      </c>
      <c r="D154">
        <v>0</v>
      </c>
      <c r="E154">
        <v>0</v>
      </c>
      <c r="F154">
        <v>0</v>
      </c>
      <c r="H154">
        <f t="shared" si="11"/>
        <v>52000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>
        <f t="shared" si="10"/>
        <v>52000</v>
      </c>
      <c r="B155">
        <v>0</v>
      </c>
      <c r="C155">
        <v>0</v>
      </c>
      <c r="D155">
        <v>0</v>
      </c>
      <c r="E155">
        <v>0</v>
      </c>
      <c r="F155">
        <v>0</v>
      </c>
      <c r="H155">
        <f t="shared" si="11"/>
        <v>52000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>
        <f t="shared" si="10"/>
        <v>52000</v>
      </c>
      <c r="B156">
        <v>0</v>
      </c>
      <c r="C156">
        <v>0</v>
      </c>
      <c r="D156">
        <v>0</v>
      </c>
      <c r="E156">
        <v>0</v>
      </c>
      <c r="F156">
        <v>0</v>
      </c>
      <c r="H156">
        <f t="shared" si="11"/>
        <v>52000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>
        <f t="shared" si="10"/>
        <v>52000</v>
      </c>
      <c r="B157">
        <v>0</v>
      </c>
      <c r="C157">
        <v>0</v>
      </c>
      <c r="D157">
        <v>0</v>
      </c>
      <c r="E157">
        <v>0</v>
      </c>
      <c r="F157">
        <v>0</v>
      </c>
      <c r="H157">
        <f t="shared" si="11"/>
        <v>52000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>
        <f t="shared" si="10"/>
        <v>52000</v>
      </c>
      <c r="B158">
        <v>0</v>
      </c>
      <c r="C158">
        <v>0</v>
      </c>
      <c r="D158">
        <v>0</v>
      </c>
      <c r="E158">
        <v>0</v>
      </c>
      <c r="F158">
        <v>0</v>
      </c>
      <c r="H158">
        <f t="shared" si="11"/>
        <v>52000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>
        <f t="shared" si="10"/>
        <v>52000</v>
      </c>
      <c r="B159">
        <v>0</v>
      </c>
      <c r="C159">
        <v>0</v>
      </c>
      <c r="D159">
        <v>0</v>
      </c>
      <c r="E159">
        <v>0</v>
      </c>
      <c r="F159">
        <v>0</v>
      </c>
      <c r="H159">
        <f t="shared" si="11"/>
        <v>52000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>
        <f t="shared" si="10"/>
        <v>52000</v>
      </c>
      <c r="B160">
        <v>0</v>
      </c>
      <c r="C160">
        <v>0</v>
      </c>
      <c r="D160">
        <v>0</v>
      </c>
      <c r="E160">
        <v>0</v>
      </c>
      <c r="F160">
        <v>0</v>
      </c>
      <c r="H160">
        <f t="shared" si="11"/>
        <v>52000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>
        <f t="shared" si="10"/>
        <v>52000</v>
      </c>
      <c r="B161">
        <v>0</v>
      </c>
      <c r="C161">
        <v>0</v>
      </c>
      <c r="D161">
        <v>0</v>
      </c>
      <c r="E161">
        <v>0</v>
      </c>
      <c r="F161">
        <v>0</v>
      </c>
      <c r="H161">
        <f t="shared" si="11"/>
        <v>52000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>
        <f t="shared" si="10"/>
        <v>52000</v>
      </c>
      <c r="B162">
        <v>0</v>
      </c>
      <c r="C162">
        <v>0</v>
      </c>
      <c r="D162">
        <v>0</v>
      </c>
      <c r="E162">
        <v>0</v>
      </c>
      <c r="F162">
        <v>0</v>
      </c>
      <c r="H162">
        <f t="shared" si="11"/>
        <v>52000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>
        <f t="shared" si="10"/>
        <v>52000</v>
      </c>
      <c r="B163">
        <v>0</v>
      </c>
      <c r="C163">
        <v>0</v>
      </c>
      <c r="D163">
        <v>0</v>
      </c>
      <c r="E163">
        <v>0</v>
      </c>
      <c r="F163">
        <v>0</v>
      </c>
      <c r="H163">
        <f t="shared" si="11"/>
        <v>52000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>
        <f t="shared" si="10"/>
        <v>52000</v>
      </c>
      <c r="B164">
        <v>0</v>
      </c>
      <c r="C164">
        <v>0</v>
      </c>
      <c r="D164">
        <v>0</v>
      </c>
      <c r="E164">
        <v>0</v>
      </c>
      <c r="F164">
        <v>0</v>
      </c>
      <c r="H164">
        <f t="shared" si="11"/>
        <v>52000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>
        <f t="shared" si="10"/>
        <v>52000</v>
      </c>
      <c r="B165">
        <v>0</v>
      </c>
      <c r="C165">
        <v>0</v>
      </c>
      <c r="D165">
        <v>0</v>
      </c>
      <c r="E165">
        <v>0</v>
      </c>
      <c r="F165">
        <v>0</v>
      </c>
      <c r="H165">
        <f t="shared" si="11"/>
        <v>52000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>
        <f t="shared" si="10"/>
        <v>52000</v>
      </c>
      <c r="B166">
        <v>0</v>
      </c>
      <c r="C166">
        <v>0</v>
      </c>
      <c r="D166">
        <v>0</v>
      </c>
      <c r="E166">
        <v>0</v>
      </c>
      <c r="F166">
        <v>0</v>
      </c>
      <c r="H166">
        <f t="shared" si="11"/>
        <v>52000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>
        <f t="shared" si="10"/>
        <v>52000</v>
      </c>
      <c r="B167">
        <v>0</v>
      </c>
      <c r="C167">
        <v>0</v>
      </c>
      <c r="D167">
        <v>0</v>
      </c>
      <c r="E167">
        <v>0</v>
      </c>
      <c r="F167">
        <v>0</v>
      </c>
      <c r="H167">
        <f t="shared" si="11"/>
        <v>52000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>
        <f t="shared" si="10"/>
        <v>52000</v>
      </c>
      <c r="B168">
        <v>0</v>
      </c>
      <c r="C168">
        <v>0</v>
      </c>
      <c r="D168">
        <v>0</v>
      </c>
      <c r="E168">
        <v>0</v>
      </c>
      <c r="F168">
        <v>0</v>
      </c>
      <c r="H168">
        <f t="shared" si="11"/>
        <v>52000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>
        <f t="shared" si="10"/>
        <v>52000</v>
      </c>
      <c r="B169">
        <v>0</v>
      </c>
      <c r="C169">
        <v>0</v>
      </c>
      <c r="D169">
        <v>0</v>
      </c>
      <c r="E169">
        <v>0</v>
      </c>
      <c r="F169">
        <v>0</v>
      </c>
      <c r="H169">
        <f t="shared" si="11"/>
        <v>52000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>
        <f t="shared" si="10"/>
        <v>52000</v>
      </c>
      <c r="B170">
        <v>0</v>
      </c>
      <c r="C170">
        <v>0</v>
      </c>
      <c r="D170">
        <v>0</v>
      </c>
      <c r="E170">
        <v>0</v>
      </c>
      <c r="F170">
        <v>0</v>
      </c>
      <c r="H170">
        <f t="shared" si="11"/>
        <v>52000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>
        <f t="shared" si="10"/>
        <v>52000</v>
      </c>
      <c r="B171">
        <v>0</v>
      </c>
      <c r="C171">
        <v>0</v>
      </c>
      <c r="D171">
        <v>0</v>
      </c>
      <c r="E171">
        <v>0</v>
      </c>
      <c r="F171">
        <v>0</v>
      </c>
      <c r="H171">
        <f t="shared" si="11"/>
        <v>52000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>
        <f t="shared" si="10"/>
        <v>52000</v>
      </c>
      <c r="B172">
        <v>0</v>
      </c>
      <c r="C172">
        <v>0</v>
      </c>
      <c r="D172">
        <v>0</v>
      </c>
      <c r="E172">
        <v>0</v>
      </c>
      <c r="F172">
        <v>0</v>
      </c>
      <c r="H172">
        <f t="shared" si="11"/>
        <v>52000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>
        <f t="shared" si="10"/>
        <v>52000</v>
      </c>
      <c r="B173">
        <v>0</v>
      </c>
      <c r="C173">
        <v>0</v>
      </c>
      <c r="D173">
        <v>0</v>
      </c>
      <c r="E173">
        <v>0</v>
      </c>
      <c r="F173">
        <v>0</v>
      </c>
      <c r="H173">
        <f t="shared" si="11"/>
        <v>52000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>
        <f t="shared" si="10"/>
        <v>52000</v>
      </c>
      <c r="B174">
        <v>0</v>
      </c>
      <c r="C174">
        <v>0</v>
      </c>
      <c r="D174">
        <v>0</v>
      </c>
      <c r="E174">
        <v>0</v>
      </c>
      <c r="F174">
        <v>0</v>
      </c>
      <c r="H174">
        <f t="shared" si="11"/>
        <v>52000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>
        <f t="shared" si="10"/>
        <v>52000</v>
      </c>
      <c r="B175">
        <v>0</v>
      </c>
      <c r="C175">
        <v>0</v>
      </c>
      <c r="D175">
        <v>0</v>
      </c>
      <c r="E175">
        <v>0</v>
      </c>
      <c r="F175">
        <v>0</v>
      </c>
      <c r="H175">
        <f t="shared" si="11"/>
        <v>52000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>
        <f t="shared" si="10"/>
        <v>52000</v>
      </c>
      <c r="B176">
        <v>0</v>
      </c>
      <c r="C176">
        <v>0</v>
      </c>
      <c r="D176">
        <v>0</v>
      </c>
      <c r="E176">
        <v>0</v>
      </c>
      <c r="F176">
        <v>0</v>
      </c>
      <c r="H176">
        <f t="shared" si="11"/>
        <v>52000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>
        <f t="shared" si="10"/>
        <v>52000</v>
      </c>
      <c r="B177">
        <v>0</v>
      </c>
      <c r="C177">
        <v>0</v>
      </c>
      <c r="D177">
        <v>0</v>
      </c>
      <c r="E177">
        <v>0</v>
      </c>
      <c r="F177">
        <v>0</v>
      </c>
      <c r="H177">
        <f t="shared" si="11"/>
        <v>52000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>
        <f t="shared" si="10"/>
        <v>52000</v>
      </c>
      <c r="B178">
        <v>0</v>
      </c>
      <c r="C178">
        <v>0</v>
      </c>
      <c r="D178">
        <v>0</v>
      </c>
      <c r="E178">
        <v>0</v>
      </c>
      <c r="F178">
        <v>0</v>
      </c>
      <c r="H178">
        <f t="shared" si="11"/>
        <v>52000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>
        <f t="shared" si="10"/>
        <v>52000</v>
      </c>
      <c r="B179">
        <v>0</v>
      </c>
      <c r="C179">
        <v>0</v>
      </c>
      <c r="D179">
        <v>0</v>
      </c>
      <c r="E179">
        <v>0</v>
      </c>
      <c r="F179">
        <v>0</v>
      </c>
      <c r="H179">
        <f t="shared" si="11"/>
        <v>52000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>
        <f t="shared" si="10"/>
        <v>52000</v>
      </c>
      <c r="B180">
        <v>0</v>
      </c>
      <c r="C180">
        <v>0</v>
      </c>
      <c r="D180">
        <v>0</v>
      </c>
      <c r="E180">
        <v>0</v>
      </c>
      <c r="F180">
        <v>0</v>
      </c>
      <c r="H180">
        <f t="shared" si="11"/>
        <v>52000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>
        <f t="shared" si="10"/>
        <v>52000</v>
      </c>
      <c r="B181">
        <v>0</v>
      </c>
      <c r="C181">
        <v>0</v>
      </c>
      <c r="D181">
        <v>0</v>
      </c>
      <c r="E181">
        <v>0</v>
      </c>
      <c r="F181">
        <v>0</v>
      </c>
      <c r="H181">
        <f t="shared" si="11"/>
        <v>52000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>
        <f t="shared" si="10"/>
        <v>52000</v>
      </c>
      <c r="B182">
        <v>0</v>
      </c>
      <c r="C182">
        <v>0</v>
      </c>
      <c r="D182">
        <v>0</v>
      </c>
      <c r="E182">
        <v>0</v>
      </c>
      <c r="F182">
        <v>0</v>
      </c>
      <c r="H182">
        <f t="shared" si="11"/>
        <v>52000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>
        <f t="shared" si="10"/>
        <v>52000</v>
      </c>
      <c r="B183">
        <v>0</v>
      </c>
      <c r="C183">
        <v>0</v>
      </c>
      <c r="D183">
        <v>0</v>
      </c>
      <c r="E183">
        <v>0</v>
      </c>
      <c r="F183">
        <v>0</v>
      </c>
      <c r="H183">
        <f t="shared" si="11"/>
        <v>52000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>
        <f t="shared" si="10"/>
        <v>52000</v>
      </c>
      <c r="B184">
        <v>0</v>
      </c>
      <c r="C184">
        <v>0</v>
      </c>
      <c r="D184">
        <v>0</v>
      </c>
      <c r="E184">
        <v>0</v>
      </c>
      <c r="F184">
        <v>0</v>
      </c>
      <c r="H184">
        <f t="shared" si="11"/>
        <v>52000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>
        <f t="shared" si="10"/>
        <v>52000</v>
      </c>
      <c r="B185">
        <v>0</v>
      </c>
      <c r="C185">
        <v>0</v>
      </c>
      <c r="D185">
        <v>0</v>
      </c>
      <c r="E185">
        <v>0</v>
      </c>
      <c r="F185">
        <v>0</v>
      </c>
      <c r="H185">
        <f t="shared" si="11"/>
        <v>52000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>
        <f t="shared" si="10"/>
        <v>52000</v>
      </c>
      <c r="B186">
        <v>0</v>
      </c>
      <c r="C186">
        <v>0</v>
      </c>
      <c r="D186">
        <v>0</v>
      </c>
      <c r="E186">
        <v>0</v>
      </c>
      <c r="F186">
        <v>0</v>
      </c>
      <c r="H186">
        <f t="shared" si="11"/>
        <v>52000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>
        <f t="shared" si="10"/>
        <v>52000</v>
      </c>
      <c r="B187">
        <v>0</v>
      </c>
      <c r="C187">
        <v>0</v>
      </c>
      <c r="D187">
        <v>0</v>
      </c>
      <c r="E187">
        <v>0</v>
      </c>
      <c r="F187">
        <v>0</v>
      </c>
      <c r="H187">
        <f t="shared" si="11"/>
        <v>52000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>
        <f t="shared" si="10"/>
        <v>52000</v>
      </c>
      <c r="B188">
        <v>0</v>
      </c>
      <c r="C188">
        <v>0</v>
      </c>
      <c r="D188">
        <v>0</v>
      </c>
      <c r="E188">
        <v>0</v>
      </c>
      <c r="F188">
        <v>0</v>
      </c>
      <c r="H188">
        <f t="shared" si="11"/>
        <v>52000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>
        <f t="shared" si="10"/>
        <v>52000</v>
      </c>
      <c r="B189">
        <v>0</v>
      </c>
      <c r="C189">
        <v>0</v>
      </c>
      <c r="D189">
        <v>0</v>
      </c>
      <c r="E189">
        <v>0</v>
      </c>
      <c r="F189">
        <v>0</v>
      </c>
      <c r="H189">
        <f t="shared" si="11"/>
        <v>52000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>
        <f t="shared" si="10"/>
        <v>52000</v>
      </c>
      <c r="B190">
        <v>0</v>
      </c>
      <c r="C190">
        <v>0</v>
      </c>
      <c r="D190">
        <v>0</v>
      </c>
      <c r="E190">
        <v>0</v>
      </c>
      <c r="F190">
        <v>0</v>
      </c>
      <c r="H190">
        <f t="shared" si="11"/>
        <v>52000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>
        <f t="shared" si="10"/>
        <v>52000</v>
      </c>
      <c r="B191">
        <v>0</v>
      </c>
      <c r="C191">
        <v>0</v>
      </c>
      <c r="D191">
        <v>0</v>
      </c>
      <c r="E191">
        <v>0</v>
      </c>
      <c r="F191">
        <v>0</v>
      </c>
      <c r="H191">
        <f t="shared" si="11"/>
        <v>52000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>
        <f t="shared" si="10"/>
        <v>52000</v>
      </c>
      <c r="B192">
        <v>0</v>
      </c>
      <c r="C192">
        <v>0</v>
      </c>
      <c r="D192">
        <v>0</v>
      </c>
      <c r="E192">
        <v>0</v>
      </c>
      <c r="F192">
        <v>0</v>
      </c>
      <c r="H192">
        <f t="shared" si="11"/>
        <v>52000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>
        <f t="shared" si="10"/>
        <v>52000</v>
      </c>
      <c r="B193">
        <v>0</v>
      </c>
      <c r="C193">
        <v>0</v>
      </c>
      <c r="D193">
        <v>0</v>
      </c>
      <c r="E193">
        <v>0</v>
      </c>
      <c r="F193">
        <v>0</v>
      </c>
      <c r="H193">
        <f t="shared" si="11"/>
        <v>52000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>
        <f t="shared" si="10"/>
        <v>52000</v>
      </c>
      <c r="B194">
        <v>0</v>
      </c>
      <c r="C194">
        <v>0</v>
      </c>
      <c r="D194">
        <v>0</v>
      </c>
      <c r="E194">
        <v>0</v>
      </c>
      <c r="F194">
        <v>0</v>
      </c>
      <c r="H194">
        <f t="shared" si="11"/>
        <v>52000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>
        <f t="shared" si="10"/>
        <v>52000</v>
      </c>
      <c r="B195">
        <v>0</v>
      </c>
      <c r="C195">
        <v>0</v>
      </c>
      <c r="D195">
        <v>0</v>
      </c>
      <c r="E195">
        <v>0</v>
      </c>
      <c r="F195">
        <v>0</v>
      </c>
      <c r="H195">
        <f t="shared" si="11"/>
        <v>52000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>
        <f t="shared" si="10"/>
        <v>52000</v>
      </c>
      <c r="B196">
        <v>0</v>
      </c>
      <c r="C196">
        <v>0</v>
      </c>
      <c r="D196">
        <v>0</v>
      </c>
      <c r="E196">
        <v>0</v>
      </c>
      <c r="F196">
        <v>0</v>
      </c>
      <c r="H196">
        <f t="shared" si="11"/>
        <v>52000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>
        <f t="shared" ref="A197:A212" si="12">IF(ABS(B197-52000)&lt;ABS(B197-55200),IF(ABS(B197-52000)&lt;ABS(B197-58400),52000,58400),IF(ABS(B197-55200)&lt;ABS(B197-58400),55200,58400))</f>
        <v>52000</v>
      </c>
      <c r="B197">
        <v>0</v>
      </c>
      <c r="C197">
        <v>0</v>
      </c>
      <c r="D197">
        <v>0</v>
      </c>
      <c r="E197">
        <v>0</v>
      </c>
      <c r="F197">
        <v>0</v>
      </c>
      <c r="H197">
        <f t="shared" ref="H197:H212" si="13">IF(ABS(I197-52000)&lt;ABS(I197-55200),IF(ABS(I197-52000)&lt;ABS(I197-58400),52000,58400),IF(ABS(I197-55200)&lt;ABS(I197-58400),55200,58400))</f>
        <v>52000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>
        <f t="shared" si="12"/>
        <v>52000</v>
      </c>
      <c r="B198">
        <v>0</v>
      </c>
      <c r="C198">
        <v>0</v>
      </c>
      <c r="D198">
        <v>0</v>
      </c>
      <c r="E198">
        <v>0</v>
      </c>
      <c r="F198">
        <v>0</v>
      </c>
      <c r="H198">
        <f t="shared" si="13"/>
        <v>52000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>
        <f t="shared" si="12"/>
        <v>52000</v>
      </c>
      <c r="B199">
        <v>0</v>
      </c>
      <c r="C199">
        <v>0</v>
      </c>
      <c r="D199">
        <v>0</v>
      </c>
      <c r="E199">
        <v>0</v>
      </c>
      <c r="F199">
        <v>0</v>
      </c>
      <c r="H199">
        <f t="shared" si="13"/>
        <v>52000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>
        <f t="shared" si="12"/>
        <v>52000</v>
      </c>
      <c r="B200">
        <v>0</v>
      </c>
      <c r="C200">
        <v>0</v>
      </c>
      <c r="D200">
        <v>0</v>
      </c>
      <c r="E200">
        <v>0</v>
      </c>
      <c r="F200">
        <v>0</v>
      </c>
      <c r="H200">
        <f t="shared" si="13"/>
        <v>52000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>
        <f t="shared" si="12"/>
        <v>52000</v>
      </c>
      <c r="B201">
        <v>0</v>
      </c>
      <c r="C201">
        <v>0</v>
      </c>
      <c r="D201">
        <v>0</v>
      </c>
      <c r="E201">
        <v>0</v>
      </c>
      <c r="F201">
        <v>0</v>
      </c>
      <c r="H201">
        <f t="shared" si="13"/>
        <v>52000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>
        <f t="shared" si="12"/>
        <v>52000</v>
      </c>
      <c r="B202">
        <v>0</v>
      </c>
      <c r="C202">
        <v>0</v>
      </c>
      <c r="D202">
        <v>0</v>
      </c>
      <c r="E202">
        <v>0</v>
      </c>
      <c r="F202">
        <v>0</v>
      </c>
      <c r="H202">
        <f t="shared" si="13"/>
        <v>52000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>
        <f t="shared" si="12"/>
        <v>52000</v>
      </c>
      <c r="B203">
        <v>0</v>
      </c>
      <c r="C203">
        <v>0</v>
      </c>
      <c r="D203">
        <v>0</v>
      </c>
      <c r="E203">
        <v>0</v>
      </c>
      <c r="F203">
        <v>0</v>
      </c>
      <c r="H203">
        <f t="shared" si="13"/>
        <v>52000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>
        <f t="shared" si="12"/>
        <v>52000</v>
      </c>
      <c r="B204">
        <v>0</v>
      </c>
      <c r="C204">
        <v>0</v>
      </c>
      <c r="D204">
        <v>0</v>
      </c>
      <c r="E204">
        <v>0</v>
      </c>
      <c r="F204">
        <v>0</v>
      </c>
      <c r="H204">
        <f t="shared" si="13"/>
        <v>52000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>
        <f t="shared" si="12"/>
        <v>52000</v>
      </c>
      <c r="B205">
        <v>0</v>
      </c>
      <c r="C205">
        <v>0</v>
      </c>
      <c r="D205">
        <v>0</v>
      </c>
      <c r="E205">
        <v>0</v>
      </c>
      <c r="F205">
        <v>0</v>
      </c>
      <c r="H205">
        <f t="shared" si="13"/>
        <v>52000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>
        <f t="shared" si="12"/>
        <v>52000</v>
      </c>
      <c r="B206">
        <v>0</v>
      </c>
      <c r="C206">
        <v>0</v>
      </c>
      <c r="D206">
        <v>0</v>
      </c>
      <c r="E206">
        <v>0</v>
      </c>
      <c r="F206">
        <v>0</v>
      </c>
      <c r="H206">
        <f t="shared" si="13"/>
        <v>52000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>
        <f t="shared" si="12"/>
        <v>52000</v>
      </c>
      <c r="B207">
        <v>0</v>
      </c>
      <c r="C207">
        <v>0</v>
      </c>
      <c r="D207">
        <v>0</v>
      </c>
      <c r="E207">
        <v>0</v>
      </c>
      <c r="F207">
        <v>0</v>
      </c>
      <c r="H207">
        <f t="shared" si="13"/>
        <v>52000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>
        <f t="shared" si="12"/>
        <v>52000</v>
      </c>
      <c r="B208">
        <v>0</v>
      </c>
      <c r="C208">
        <v>0</v>
      </c>
      <c r="D208">
        <v>0</v>
      </c>
      <c r="E208">
        <v>0</v>
      </c>
      <c r="F208">
        <v>0</v>
      </c>
      <c r="H208">
        <f t="shared" si="13"/>
        <v>52000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>
        <f t="shared" si="12"/>
        <v>52000</v>
      </c>
      <c r="B209">
        <v>0</v>
      </c>
      <c r="C209">
        <v>0</v>
      </c>
      <c r="D209">
        <v>0</v>
      </c>
      <c r="E209">
        <v>0</v>
      </c>
      <c r="F209">
        <v>0</v>
      </c>
      <c r="H209">
        <f t="shared" si="13"/>
        <v>52000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>
        <f t="shared" si="12"/>
        <v>52000</v>
      </c>
      <c r="B210">
        <v>0</v>
      </c>
      <c r="C210">
        <v>0</v>
      </c>
      <c r="D210">
        <v>0</v>
      </c>
      <c r="E210">
        <v>0</v>
      </c>
      <c r="F210">
        <v>0</v>
      </c>
      <c r="H210">
        <f t="shared" si="13"/>
        <v>52000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>
        <f t="shared" si="12"/>
        <v>52000</v>
      </c>
      <c r="B211">
        <v>0</v>
      </c>
      <c r="C211">
        <v>0</v>
      </c>
      <c r="D211">
        <v>0</v>
      </c>
      <c r="E211">
        <v>0</v>
      </c>
      <c r="F211">
        <v>0</v>
      </c>
      <c r="H211">
        <f t="shared" si="13"/>
        <v>52000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>
        <f t="shared" si="12"/>
        <v>52000</v>
      </c>
      <c r="B212">
        <v>0</v>
      </c>
      <c r="C212">
        <v>0</v>
      </c>
      <c r="D212">
        <v>0</v>
      </c>
      <c r="E212">
        <v>0</v>
      </c>
      <c r="F212">
        <v>0</v>
      </c>
      <c r="H212">
        <f t="shared" si="13"/>
        <v>52000</v>
      </c>
      <c r="I212">
        <v>0</v>
      </c>
      <c r="J212">
        <v>0</v>
      </c>
      <c r="K212">
        <v>0</v>
      </c>
      <c r="L212">
        <v>0</v>
      </c>
      <c r="M212">
        <v>0</v>
      </c>
    </row>
  </sheetData>
  <sortState xmlns:xlrd2="http://schemas.microsoft.com/office/spreadsheetml/2017/richdata2" ref="Y4:AD75">
    <sortCondition ref="AB4:AB75"/>
    <sortCondition ref="Z4:Z75"/>
    <sortCondition ref="AA4:AA75"/>
  </sortState>
  <mergeCells count="4">
    <mergeCell ref="B1:F1"/>
    <mergeCell ref="I1:M1"/>
    <mergeCell ref="R1:W2"/>
    <mergeCell ref="Y1:AD2"/>
  </mergeCells>
  <conditionalFormatting sqref="M1:M1048576 F1:F1048576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EE3AA-4CB7-43FD-920D-8ACE9861FADF}">
  <dimension ref="A1:BC74"/>
  <sheetViews>
    <sheetView workbookViewId="0">
      <selection activeCell="AY2" sqref="AY2:BC26"/>
    </sheetView>
  </sheetViews>
  <sheetFormatPr defaultColWidth="8.85546875" defaultRowHeight="15"/>
  <cols>
    <col min="5" max="5" width="18.42578125" customWidth="1"/>
    <col min="11" max="11" width="18.42578125" customWidth="1"/>
    <col min="18" max="18" width="18.42578125" customWidth="1"/>
    <col min="24" max="24" width="18.42578125" customWidth="1"/>
  </cols>
  <sheetData>
    <row r="1" spans="1:55">
      <c r="A1" s="88" t="s">
        <v>243</v>
      </c>
      <c r="B1" s="88"/>
      <c r="C1" s="88"/>
      <c r="D1" s="88"/>
      <c r="E1" s="88"/>
      <c r="G1" s="88" t="s">
        <v>244</v>
      </c>
      <c r="H1" s="88"/>
      <c r="I1" s="88"/>
      <c r="J1" s="88"/>
      <c r="K1" s="88"/>
      <c r="N1" s="88" t="s">
        <v>245</v>
      </c>
      <c r="O1" s="88"/>
      <c r="P1" s="88"/>
      <c r="Q1" s="88"/>
      <c r="R1" s="88"/>
      <c r="T1" s="88" t="s">
        <v>246</v>
      </c>
      <c r="U1" s="88"/>
      <c r="V1" s="88"/>
      <c r="W1" s="88"/>
      <c r="X1" s="88"/>
      <c r="Z1" s="88" t="s">
        <v>243</v>
      </c>
      <c r="AA1" s="88"/>
      <c r="AB1" s="88"/>
      <c r="AC1" s="88"/>
      <c r="AD1" s="88"/>
      <c r="AF1" s="88" t="s">
        <v>244</v>
      </c>
      <c r="AG1" s="88"/>
      <c r="AH1" s="88"/>
      <c r="AI1" s="88"/>
      <c r="AJ1" s="88"/>
      <c r="AM1" s="88" t="s">
        <v>245</v>
      </c>
      <c r="AN1" s="88"/>
      <c r="AO1" s="88"/>
      <c r="AP1" s="88"/>
      <c r="AQ1" s="88"/>
      <c r="AS1" s="88" t="s">
        <v>246</v>
      </c>
      <c r="AT1" s="88"/>
      <c r="AU1" s="88"/>
      <c r="AV1" s="88"/>
      <c r="AW1" s="88"/>
    </row>
    <row r="2" spans="1:55">
      <c r="A2" t="s">
        <v>1</v>
      </c>
      <c r="B2" t="s">
        <v>2</v>
      </c>
      <c r="C2" t="s">
        <v>3</v>
      </c>
      <c r="D2" t="s">
        <v>4</v>
      </c>
      <c r="E2" t="s">
        <v>81</v>
      </c>
      <c r="G2" t="s">
        <v>1</v>
      </c>
      <c r="H2" t="s">
        <v>2</v>
      </c>
      <c r="I2" t="s">
        <v>3</v>
      </c>
      <c r="J2" t="s">
        <v>4</v>
      </c>
      <c r="K2" t="s">
        <v>81</v>
      </c>
      <c r="N2" t="s">
        <v>1</v>
      </c>
      <c r="O2" t="s">
        <v>2</v>
      </c>
      <c r="P2" t="s">
        <v>3</v>
      </c>
      <c r="Q2" t="s">
        <v>4</v>
      </c>
      <c r="R2" t="s">
        <v>81</v>
      </c>
      <c r="T2" t="s">
        <v>1</v>
      </c>
      <c r="U2" t="s">
        <v>2</v>
      </c>
      <c r="V2" t="s">
        <v>3</v>
      </c>
      <c r="W2" t="s">
        <v>4</v>
      </c>
      <c r="X2" t="s">
        <v>81</v>
      </c>
      <c r="Z2" t="s">
        <v>252</v>
      </c>
      <c r="AA2" t="s">
        <v>2</v>
      </c>
      <c r="AB2" t="s">
        <v>3</v>
      </c>
      <c r="AC2" t="s">
        <v>4</v>
      </c>
      <c r="AD2" t="s">
        <v>81</v>
      </c>
      <c r="AF2" t="s">
        <v>252</v>
      </c>
      <c r="AG2" t="s">
        <v>2</v>
      </c>
      <c r="AH2" t="s">
        <v>3</v>
      </c>
      <c r="AI2" t="s">
        <v>4</v>
      </c>
      <c r="AJ2" t="s">
        <v>81</v>
      </c>
      <c r="AM2" t="s">
        <v>252</v>
      </c>
      <c r="AN2" t="s">
        <v>2</v>
      </c>
      <c r="AO2" t="s">
        <v>3</v>
      </c>
      <c r="AP2" t="s">
        <v>4</v>
      </c>
      <c r="AQ2" t="s">
        <v>81</v>
      </c>
      <c r="AS2" t="s">
        <v>1</v>
      </c>
      <c r="AT2" t="s">
        <v>2</v>
      </c>
      <c r="AU2" t="s">
        <v>3</v>
      </c>
      <c r="AV2" t="s">
        <v>4</v>
      </c>
      <c r="AW2" t="s">
        <v>81</v>
      </c>
      <c r="BA2" t="s">
        <v>247</v>
      </c>
      <c r="BC2" t="s">
        <v>248</v>
      </c>
    </row>
    <row r="3" spans="1:55">
      <c r="A3">
        <v>58400</v>
      </c>
      <c r="B3">
        <v>32</v>
      </c>
      <c r="C3">
        <v>1</v>
      </c>
      <c r="D3">
        <v>16</v>
      </c>
      <c r="E3">
        <v>44.629199999999997</v>
      </c>
      <c r="G3">
        <v>58400</v>
      </c>
      <c r="H3">
        <v>32</v>
      </c>
      <c r="I3">
        <v>1</v>
      </c>
      <c r="J3">
        <v>16</v>
      </c>
      <c r="K3">
        <v>49.457599999999999</v>
      </c>
      <c r="N3">
        <v>29120</v>
      </c>
      <c r="O3">
        <v>32</v>
      </c>
      <c r="P3">
        <v>1</v>
      </c>
      <c r="Q3">
        <v>4</v>
      </c>
      <c r="R3">
        <v>12.223800000000001</v>
      </c>
      <c r="T3">
        <v>29120</v>
      </c>
      <c r="U3">
        <v>32</v>
      </c>
      <c r="V3">
        <v>1</v>
      </c>
      <c r="W3">
        <v>4</v>
      </c>
      <c r="X3">
        <v>12.504799999999999</v>
      </c>
      <c r="Z3">
        <v>58400</v>
      </c>
      <c r="AA3">
        <v>32</v>
      </c>
      <c r="AB3">
        <v>2</v>
      </c>
      <c r="AC3">
        <v>8</v>
      </c>
      <c r="AD3">
        <v>47.021799999999999</v>
      </c>
      <c r="AF3">
        <v>58400</v>
      </c>
      <c r="AG3">
        <v>32</v>
      </c>
      <c r="AH3">
        <v>2</v>
      </c>
      <c r="AI3">
        <v>8</v>
      </c>
      <c r="AJ3">
        <v>47.271999999999998</v>
      </c>
      <c r="AM3">
        <v>29120</v>
      </c>
      <c r="AN3">
        <v>32</v>
      </c>
      <c r="AO3">
        <v>1</v>
      </c>
      <c r="AP3">
        <v>4</v>
      </c>
      <c r="AQ3">
        <v>12.223800000000001</v>
      </c>
      <c r="AS3">
        <v>29120</v>
      </c>
      <c r="AT3">
        <v>32</v>
      </c>
      <c r="AU3">
        <v>1</v>
      </c>
      <c r="AV3">
        <v>4</v>
      </c>
      <c r="AW3">
        <v>12.504799999999999</v>
      </c>
      <c r="AY3" t="s">
        <v>250</v>
      </c>
      <c r="AZ3">
        <v>32</v>
      </c>
      <c r="BA3">
        <f>AD3/AQ3</f>
        <v>3.8467416024476839</v>
      </c>
      <c r="BC3">
        <f>AJ3/AW3</f>
        <v>3.78030836158915</v>
      </c>
    </row>
    <row r="4" spans="1:55">
      <c r="A4">
        <v>58400</v>
      </c>
      <c r="B4">
        <v>64</v>
      </c>
      <c r="C4">
        <v>1</v>
      </c>
      <c r="D4">
        <v>16</v>
      </c>
      <c r="E4">
        <v>80.301600000000008</v>
      </c>
      <c r="G4">
        <v>58400</v>
      </c>
      <c r="H4">
        <v>64</v>
      </c>
      <c r="I4">
        <v>1</v>
      </c>
      <c r="J4">
        <v>16</v>
      </c>
      <c r="K4">
        <v>83.711199999999991</v>
      </c>
      <c r="N4">
        <v>29120</v>
      </c>
      <c r="O4">
        <v>64</v>
      </c>
      <c r="P4">
        <v>1</v>
      </c>
      <c r="Q4">
        <v>4</v>
      </c>
      <c r="R4">
        <v>22.8004</v>
      </c>
      <c r="T4">
        <v>29120</v>
      </c>
      <c r="U4">
        <v>64</v>
      </c>
      <c r="V4">
        <v>1</v>
      </c>
      <c r="W4">
        <v>4</v>
      </c>
      <c r="X4">
        <v>23.683600000000002</v>
      </c>
      <c r="Z4">
        <v>58400</v>
      </c>
      <c r="AA4">
        <v>64</v>
      </c>
      <c r="AB4">
        <v>2</v>
      </c>
      <c r="AC4">
        <v>8</v>
      </c>
      <c r="AD4">
        <v>87.531000000000006</v>
      </c>
      <c r="AF4">
        <v>58400</v>
      </c>
      <c r="AG4">
        <v>64</v>
      </c>
      <c r="AH4">
        <v>2</v>
      </c>
      <c r="AI4">
        <v>8</v>
      </c>
      <c r="AJ4">
        <v>87.895399999999995</v>
      </c>
      <c r="AM4">
        <v>29120</v>
      </c>
      <c r="AN4">
        <v>64</v>
      </c>
      <c r="AO4">
        <v>1</v>
      </c>
      <c r="AP4">
        <v>4</v>
      </c>
      <c r="AQ4">
        <v>22.8004</v>
      </c>
      <c r="AS4">
        <v>29120</v>
      </c>
      <c r="AT4">
        <v>64</v>
      </c>
      <c r="AU4">
        <v>1</v>
      </c>
      <c r="AV4">
        <v>4</v>
      </c>
      <c r="AW4">
        <v>23.683600000000002</v>
      </c>
      <c r="AY4" t="s">
        <v>250</v>
      </c>
      <c r="AZ4">
        <v>64</v>
      </c>
      <c r="BA4">
        <f t="shared" ref="BA4:BA26" si="0">AD4/AQ4</f>
        <v>3.8390115962877847</v>
      </c>
      <c r="BC4">
        <f t="shared" ref="BC4:BC26" si="1">AJ4/AW4</f>
        <v>3.7112347784965118</v>
      </c>
    </row>
    <row r="5" spans="1:55">
      <c r="A5">
        <v>58400</v>
      </c>
      <c r="B5">
        <v>96</v>
      </c>
      <c r="C5">
        <v>1</v>
      </c>
      <c r="D5">
        <v>16</v>
      </c>
      <c r="E5">
        <v>91.343199999999996</v>
      </c>
      <c r="G5">
        <v>58400</v>
      </c>
      <c r="H5">
        <v>96</v>
      </c>
      <c r="I5">
        <v>1</v>
      </c>
      <c r="J5">
        <v>16</v>
      </c>
      <c r="K5">
        <v>111.306</v>
      </c>
      <c r="N5">
        <v>29120</v>
      </c>
      <c r="O5">
        <v>96</v>
      </c>
      <c r="P5">
        <v>1</v>
      </c>
      <c r="Q5">
        <v>4</v>
      </c>
      <c r="R5">
        <v>25.344800000000003</v>
      </c>
      <c r="T5">
        <v>29120</v>
      </c>
      <c r="U5">
        <v>96</v>
      </c>
      <c r="V5">
        <v>1</v>
      </c>
      <c r="W5">
        <v>4</v>
      </c>
      <c r="X5">
        <v>32.364999999999995</v>
      </c>
      <c r="Z5">
        <v>58400</v>
      </c>
      <c r="AA5">
        <v>96</v>
      </c>
      <c r="AB5">
        <v>2</v>
      </c>
      <c r="AC5">
        <v>8</v>
      </c>
      <c r="AD5">
        <v>97.734999999999985</v>
      </c>
      <c r="AF5">
        <v>58400</v>
      </c>
      <c r="AG5">
        <v>96</v>
      </c>
      <c r="AH5">
        <v>2</v>
      </c>
      <c r="AI5">
        <v>8</v>
      </c>
      <c r="AJ5">
        <v>118.63999999999999</v>
      </c>
      <c r="AM5">
        <v>29120</v>
      </c>
      <c r="AN5">
        <v>96</v>
      </c>
      <c r="AO5">
        <v>1</v>
      </c>
      <c r="AP5">
        <v>4</v>
      </c>
      <c r="AQ5">
        <v>25.344800000000003</v>
      </c>
      <c r="AS5">
        <v>29120</v>
      </c>
      <c r="AT5">
        <v>96</v>
      </c>
      <c r="AU5">
        <v>1</v>
      </c>
      <c r="AV5">
        <v>4</v>
      </c>
      <c r="AW5">
        <v>32.364999999999995</v>
      </c>
      <c r="AY5" t="s">
        <v>250</v>
      </c>
      <c r="AZ5">
        <v>96</v>
      </c>
      <c r="BA5">
        <f t="shared" si="0"/>
        <v>3.8562150815946454</v>
      </c>
      <c r="BC5">
        <f t="shared" si="1"/>
        <v>3.6656882434728875</v>
      </c>
    </row>
    <row r="6" spans="1:55">
      <c r="A6">
        <v>58400</v>
      </c>
      <c r="B6">
        <v>128</v>
      </c>
      <c r="C6">
        <v>1</v>
      </c>
      <c r="D6">
        <v>16</v>
      </c>
      <c r="E6">
        <v>108.71199999999999</v>
      </c>
      <c r="G6">
        <v>58400</v>
      </c>
      <c r="H6">
        <v>128</v>
      </c>
      <c r="I6">
        <v>1</v>
      </c>
      <c r="J6">
        <v>16</v>
      </c>
      <c r="K6">
        <v>125.40799999999999</v>
      </c>
      <c r="N6">
        <v>29120</v>
      </c>
      <c r="O6">
        <v>128</v>
      </c>
      <c r="P6">
        <v>1</v>
      </c>
      <c r="Q6">
        <v>4</v>
      </c>
      <c r="R6">
        <v>31.927799999999998</v>
      </c>
      <c r="T6">
        <v>29120</v>
      </c>
      <c r="U6">
        <v>128</v>
      </c>
      <c r="V6">
        <v>1</v>
      </c>
      <c r="W6">
        <v>4</v>
      </c>
      <c r="X6">
        <v>38.209199999999996</v>
      </c>
      <c r="Z6">
        <v>58400</v>
      </c>
      <c r="AA6">
        <v>128</v>
      </c>
      <c r="AB6">
        <v>2</v>
      </c>
      <c r="AC6">
        <v>8</v>
      </c>
      <c r="AD6">
        <v>118.11199999999999</v>
      </c>
      <c r="AF6">
        <v>58400</v>
      </c>
      <c r="AG6">
        <v>128</v>
      </c>
      <c r="AH6">
        <v>2</v>
      </c>
      <c r="AI6">
        <v>8</v>
      </c>
      <c r="AJ6">
        <v>136.57599999999996</v>
      </c>
      <c r="AM6">
        <v>29120</v>
      </c>
      <c r="AN6">
        <v>128</v>
      </c>
      <c r="AO6">
        <v>1</v>
      </c>
      <c r="AP6">
        <v>4</v>
      </c>
      <c r="AQ6">
        <v>31.927799999999998</v>
      </c>
      <c r="AS6">
        <v>29120</v>
      </c>
      <c r="AT6">
        <v>128</v>
      </c>
      <c r="AU6">
        <v>1</v>
      </c>
      <c r="AV6">
        <v>4</v>
      </c>
      <c r="AW6">
        <v>38.209199999999996</v>
      </c>
      <c r="AY6" t="s">
        <v>250</v>
      </c>
      <c r="AZ6">
        <v>128</v>
      </c>
      <c r="BA6">
        <f t="shared" si="0"/>
        <v>3.6993466508810506</v>
      </c>
      <c r="BC6">
        <f t="shared" si="1"/>
        <v>3.5744271013263815</v>
      </c>
    </row>
    <row r="7" spans="1:55">
      <c r="A7">
        <v>58400</v>
      </c>
      <c r="B7">
        <v>160</v>
      </c>
      <c r="C7">
        <v>1</v>
      </c>
      <c r="D7">
        <v>16</v>
      </c>
      <c r="E7">
        <v>123.28</v>
      </c>
      <c r="G7">
        <v>58400</v>
      </c>
      <c r="H7">
        <v>160</v>
      </c>
      <c r="I7">
        <v>1</v>
      </c>
      <c r="J7">
        <v>16</v>
      </c>
      <c r="K7">
        <v>134.03</v>
      </c>
      <c r="N7">
        <v>29120</v>
      </c>
      <c r="O7">
        <v>160</v>
      </c>
      <c r="P7">
        <v>1</v>
      </c>
      <c r="Q7">
        <v>4</v>
      </c>
      <c r="R7">
        <v>35.976399999999998</v>
      </c>
      <c r="T7">
        <v>29120</v>
      </c>
      <c r="U7">
        <v>160</v>
      </c>
      <c r="V7">
        <v>1</v>
      </c>
      <c r="W7">
        <v>4</v>
      </c>
      <c r="X7">
        <v>40.4664</v>
      </c>
      <c r="Z7">
        <v>58400</v>
      </c>
      <c r="AA7">
        <v>160</v>
      </c>
      <c r="AB7">
        <v>2</v>
      </c>
      <c r="AC7">
        <v>8</v>
      </c>
      <c r="AD7">
        <v>131.02000000000001</v>
      </c>
      <c r="AF7">
        <v>58400</v>
      </c>
      <c r="AG7">
        <v>160</v>
      </c>
      <c r="AH7">
        <v>2</v>
      </c>
      <c r="AI7">
        <v>8</v>
      </c>
      <c r="AJ7">
        <v>142.92199999999997</v>
      </c>
      <c r="AM7">
        <v>29120</v>
      </c>
      <c r="AN7">
        <v>160</v>
      </c>
      <c r="AO7">
        <v>1</v>
      </c>
      <c r="AP7">
        <v>4</v>
      </c>
      <c r="AQ7">
        <v>35.976399999999998</v>
      </c>
      <c r="AS7">
        <v>29120</v>
      </c>
      <c r="AT7">
        <v>160</v>
      </c>
      <c r="AU7">
        <v>1</v>
      </c>
      <c r="AV7">
        <v>4</v>
      </c>
      <c r="AW7">
        <v>40.4664</v>
      </c>
      <c r="AY7" t="s">
        <v>250</v>
      </c>
      <c r="AZ7">
        <v>160</v>
      </c>
      <c r="BA7">
        <f t="shared" si="0"/>
        <v>3.6418318675576216</v>
      </c>
      <c r="BC7">
        <f t="shared" si="1"/>
        <v>3.5318684142893848</v>
      </c>
    </row>
    <row r="8" spans="1:55">
      <c r="A8">
        <v>58400</v>
      </c>
      <c r="B8">
        <v>192</v>
      </c>
      <c r="C8">
        <v>1</v>
      </c>
      <c r="D8">
        <v>16</v>
      </c>
      <c r="E8">
        <v>104.128</v>
      </c>
      <c r="G8">
        <v>58400</v>
      </c>
      <c r="H8">
        <v>192</v>
      </c>
      <c r="I8">
        <v>1</v>
      </c>
      <c r="J8">
        <v>16</v>
      </c>
      <c r="K8">
        <v>138.31399999999999</v>
      </c>
      <c r="N8">
        <v>29120</v>
      </c>
      <c r="O8">
        <v>192</v>
      </c>
      <c r="P8">
        <v>1</v>
      </c>
      <c r="Q8">
        <v>4</v>
      </c>
      <c r="R8">
        <v>32.8964</v>
      </c>
      <c r="T8">
        <v>29120</v>
      </c>
      <c r="U8">
        <v>192</v>
      </c>
      <c r="V8">
        <v>1</v>
      </c>
      <c r="W8">
        <v>4</v>
      </c>
      <c r="X8">
        <v>41.850999999999999</v>
      </c>
      <c r="Z8">
        <v>58400</v>
      </c>
      <c r="AA8">
        <v>192</v>
      </c>
      <c r="AB8">
        <v>2</v>
      </c>
      <c r="AC8">
        <v>8</v>
      </c>
      <c r="AD8">
        <v>120.32599999999999</v>
      </c>
      <c r="AF8">
        <v>58400</v>
      </c>
      <c r="AG8">
        <v>192</v>
      </c>
      <c r="AH8">
        <v>2</v>
      </c>
      <c r="AI8">
        <v>8</v>
      </c>
      <c r="AJ8">
        <v>149.90799999999999</v>
      </c>
      <c r="AM8">
        <v>29120</v>
      </c>
      <c r="AN8">
        <v>192</v>
      </c>
      <c r="AO8">
        <v>1</v>
      </c>
      <c r="AP8">
        <v>4</v>
      </c>
      <c r="AQ8">
        <v>32.8964</v>
      </c>
      <c r="AS8">
        <v>29120</v>
      </c>
      <c r="AT8">
        <v>192</v>
      </c>
      <c r="AU8">
        <v>1</v>
      </c>
      <c r="AV8">
        <v>4</v>
      </c>
      <c r="AW8">
        <v>41.850999999999999</v>
      </c>
      <c r="AY8" t="s">
        <v>250</v>
      </c>
      <c r="AZ8">
        <v>192</v>
      </c>
      <c r="BA8">
        <f t="shared" si="0"/>
        <v>3.6577254654004694</v>
      </c>
      <c r="BC8">
        <f t="shared" si="1"/>
        <v>3.5819454732264462</v>
      </c>
    </row>
    <row r="9" spans="1:55">
      <c r="A9">
        <v>58400</v>
      </c>
      <c r="B9">
        <v>224</v>
      </c>
      <c r="C9">
        <v>1</v>
      </c>
      <c r="D9">
        <v>16</v>
      </c>
      <c r="E9">
        <v>120.08399999999999</v>
      </c>
      <c r="G9">
        <v>58400</v>
      </c>
      <c r="H9">
        <v>224</v>
      </c>
      <c r="I9">
        <v>1</v>
      </c>
      <c r="J9">
        <v>16</v>
      </c>
      <c r="K9">
        <v>138.142</v>
      </c>
      <c r="N9">
        <v>29120</v>
      </c>
      <c r="O9">
        <v>224</v>
      </c>
      <c r="P9">
        <v>1</v>
      </c>
      <c r="Q9">
        <v>4</v>
      </c>
      <c r="R9">
        <v>35.116199999999992</v>
      </c>
      <c r="T9">
        <v>29120</v>
      </c>
      <c r="U9">
        <v>224</v>
      </c>
      <c r="V9">
        <v>1</v>
      </c>
      <c r="W9">
        <v>4</v>
      </c>
      <c r="X9">
        <v>42.326000000000001</v>
      </c>
      <c r="Z9">
        <v>58400</v>
      </c>
      <c r="AA9">
        <v>224</v>
      </c>
      <c r="AB9">
        <v>2</v>
      </c>
      <c r="AC9">
        <v>8</v>
      </c>
      <c r="AD9">
        <v>127.44399999999999</v>
      </c>
      <c r="AF9">
        <v>58400</v>
      </c>
      <c r="AG9">
        <v>224</v>
      </c>
      <c r="AH9">
        <v>2</v>
      </c>
      <c r="AI9">
        <v>8</v>
      </c>
      <c r="AJ9">
        <v>148.58200000000002</v>
      </c>
      <c r="AM9">
        <v>29120</v>
      </c>
      <c r="AN9">
        <v>224</v>
      </c>
      <c r="AO9">
        <v>1</v>
      </c>
      <c r="AP9">
        <v>4</v>
      </c>
      <c r="AQ9">
        <v>35.116199999999992</v>
      </c>
      <c r="AS9">
        <v>29120</v>
      </c>
      <c r="AT9">
        <v>224</v>
      </c>
      <c r="AU9">
        <v>1</v>
      </c>
      <c r="AV9">
        <v>4</v>
      </c>
      <c r="AW9">
        <v>42.326000000000001</v>
      </c>
      <c r="AY9" t="s">
        <v>250</v>
      </c>
      <c r="AZ9">
        <v>224</v>
      </c>
      <c r="BA9">
        <f t="shared" si="0"/>
        <v>3.6292081717270097</v>
      </c>
      <c r="BC9">
        <f t="shared" si="1"/>
        <v>3.5104191277229133</v>
      </c>
    </row>
    <row r="10" spans="1:55">
      <c r="A10">
        <v>58400</v>
      </c>
      <c r="B10">
        <v>256</v>
      </c>
      <c r="C10">
        <v>1</v>
      </c>
      <c r="D10">
        <v>16</v>
      </c>
      <c r="E10">
        <v>105.02200000000001</v>
      </c>
      <c r="G10">
        <v>58400</v>
      </c>
      <c r="H10">
        <v>256</v>
      </c>
      <c r="I10">
        <v>1</v>
      </c>
      <c r="J10">
        <v>16</v>
      </c>
      <c r="K10">
        <v>137.64000000000001</v>
      </c>
      <c r="N10">
        <v>29120</v>
      </c>
      <c r="O10">
        <v>256</v>
      </c>
      <c r="P10">
        <v>1</v>
      </c>
      <c r="Q10">
        <v>4</v>
      </c>
      <c r="R10">
        <v>32.614199999999997</v>
      </c>
      <c r="T10">
        <v>29120</v>
      </c>
      <c r="U10">
        <v>256</v>
      </c>
      <c r="V10">
        <v>1</v>
      </c>
      <c r="W10">
        <v>4</v>
      </c>
      <c r="X10">
        <v>41.564</v>
      </c>
      <c r="Z10">
        <v>58400</v>
      </c>
      <c r="AA10">
        <v>256</v>
      </c>
      <c r="AB10">
        <v>2</v>
      </c>
      <c r="AC10">
        <v>8</v>
      </c>
      <c r="AD10">
        <v>119.91</v>
      </c>
      <c r="AF10">
        <v>58400</v>
      </c>
      <c r="AG10">
        <v>256</v>
      </c>
      <c r="AH10">
        <v>2</v>
      </c>
      <c r="AI10">
        <v>8</v>
      </c>
      <c r="AJ10">
        <v>149.07599999999999</v>
      </c>
      <c r="AM10">
        <v>29120</v>
      </c>
      <c r="AN10">
        <v>256</v>
      </c>
      <c r="AO10">
        <v>1</v>
      </c>
      <c r="AP10">
        <v>4</v>
      </c>
      <c r="AQ10">
        <v>32.614199999999997</v>
      </c>
      <c r="AS10">
        <v>29120</v>
      </c>
      <c r="AT10">
        <v>256</v>
      </c>
      <c r="AU10">
        <v>1</v>
      </c>
      <c r="AV10">
        <v>4</v>
      </c>
      <c r="AW10">
        <v>41.564</v>
      </c>
      <c r="AY10" t="s">
        <v>250</v>
      </c>
      <c r="AZ10">
        <v>256</v>
      </c>
      <c r="BA10">
        <f t="shared" si="0"/>
        <v>3.6766193866475341</v>
      </c>
      <c r="BC10">
        <f t="shared" si="1"/>
        <v>3.5866615340198247</v>
      </c>
    </row>
    <row r="11" spans="1:55">
      <c r="A11">
        <v>55200</v>
      </c>
      <c r="B11">
        <v>32</v>
      </c>
      <c r="C11">
        <v>1</v>
      </c>
      <c r="D11">
        <v>16</v>
      </c>
      <c r="E11">
        <v>44.359000000000002</v>
      </c>
      <c r="G11">
        <v>55200</v>
      </c>
      <c r="H11">
        <v>32</v>
      </c>
      <c r="I11">
        <v>1</v>
      </c>
      <c r="J11">
        <v>16</v>
      </c>
      <c r="K11">
        <v>46.394199999999998</v>
      </c>
      <c r="N11">
        <v>27584</v>
      </c>
      <c r="O11">
        <v>32</v>
      </c>
      <c r="P11">
        <v>1</v>
      </c>
      <c r="Q11">
        <v>4</v>
      </c>
      <c r="R11">
        <v>12.228</v>
      </c>
      <c r="T11">
        <v>27584</v>
      </c>
      <c r="U11">
        <v>32</v>
      </c>
      <c r="V11">
        <v>1</v>
      </c>
      <c r="W11">
        <v>4</v>
      </c>
      <c r="X11">
        <v>12.356799999999998</v>
      </c>
      <c r="Z11">
        <v>55200</v>
      </c>
      <c r="AA11">
        <v>32</v>
      </c>
      <c r="AB11">
        <v>2</v>
      </c>
      <c r="AC11">
        <v>8</v>
      </c>
      <c r="AD11">
        <v>47.016200000000005</v>
      </c>
      <c r="AF11">
        <v>55200</v>
      </c>
      <c r="AG11">
        <v>32</v>
      </c>
      <c r="AH11">
        <v>2</v>
      </c>
      <c r="AI11">
        <v>8</v>
      </c>
      <c r="AJ11">
        <v>47.497599999999998</v>
      </c>
      <c r="AM11">
        <v>27584</v>
      </c>
      <c r="AN11">
        <v>32</v>
      </c>
      <c r="AO11">
        <v>1</v>
      </c>
      <c r="AP11">
        <v>4</v>
      </c>
      <c r="AQ11">
        <v>12.228</v>
      </c>
      <c r="AS11">
        <v>27584</v>
      </c>
      <c r="AT11">
        <v>32</v>
      </c>
      <c r="AU11">
        <v>1</v>
      </c>
      <c r="AV11">
        <v>4</v>
      </c>
      <c r="AW11">
        <v>12.356799999999998</v>
      </c>
      <c r="AY11" t="s">
        <v>251</v>
      </c>
      <c r="AZ11">
        <v>32</v>
      </c>
      <c r="BA11">
        <f t="shared" si="0"/>
        <v>3.8449623814196929</v>
      </c>
      <c r="BC11">
        <f t="shared" si="1"/>
        <v>3.8438430661659981</v>
      </c>
    </row>
    <row r="12" spans="1:55">
      <c r="A12">
        <v>55200</v>
      </c>
      <c r="B12">
        <v>64</v>
      </c>
      <c r="C12">
        <v>1</v>
      </c>
      <c r="D12">
        <v>16</v>
      </c>
      <c r="E12">
        <v>81.63239999999999</v>
      </c>
      <c r="G12">
        <v>55200</v>
      </c>
      <c r="H12">
        <v>64</v>
      </c>
      <c r="I12">
        <v>1</v>
      </c>
      <c r="J12">
        <v>16</v>
      </c>
      <c r="K12">
        <v>85.496200000000002</v>
      </c>
      <c r="N12">
        <v>27584</v>
      </c>
      <c r="O12">
        <v>64</v>
      </c>
      <c r="P12">
        <v>1</v>
      </c>
      <c r="Q12">
        <v>4</v>
      </c>
      <c r="R12">
        <v>22.976599999999998</v>
      </c>
      <c r="T12">
        <v>27584</v>
      </c>
      <c r="U12">
        <v>64</v>
      </c>
      <c r="V12">
        <v>1</v>
      </c>
      <c r="W12">
        <v>4</v>
      </c>
      <c r="X12">
        <v>23.339599999999997</v>
      </c>
      <c r="Z12">
        <v>55200</v>
      </c>
      <c r="AA12">
        <v>64</v>
      </c>
      <c r="AB12">
        <v>2</v>
      </c>
      <c r="AC12">
        <v>8</v>
      </c>
      <c r="AD12">
        <v>86.747200000000007</v>
      </c>
      <c r="AF12">
        <v>55200</v>
      </c>
      <c r="AG12">
        <v>64</v>
      </c>
      <c r="AH12">
        <v>2</v>
      </c>
      <c r="AI12">
        <v>8</v>
      </c>
      <c r="AJ12">
        <v>87.488599999999991</v>
      </c>
      <c r="AM12">
        <v>27584</v>
      </c>
      <c r="AN12">
        <v>64</v>
      </c>
      <c r="AO12">
        <v>1</v>
      </c>
      <c r="AP12">
        <v>4</v>
      </c>
      <c r="AQ12">
        <v>22.976599999999998</v>
      </c>
      <c r="AS12">
        <v>27584</v>
      </c>
      <c r="AT12">
        <v>64</v>
      </c>
      <c r="AU12">
        <v>1</v>
      </c>
      <c r="AV12">
        <v>4</v>
      </c>
      <c r="AW12">
        <v>23.339599999999997</v>
      </c>
      <c r="AY12" t="s">
        <v>251</v>
      </c>
      <c r="AZ12">
        <v>64</v>
      </c>
      <c r="BA12">
        <f t="shared" si="0"/>
        <v>3.7754585099623101</v>
      </c>
      <c r="BC12">
        <f t="shared" si="1"/>
        <v>3.7485046873125505</v>
      </c>
    </row>
    <row r="13" spans="1:55">
      <c r="A13">
        <v>55200</v>
      </c>
      <c r="B13">
        <v>96</v>
      </c>
      <c r="C13">
        <v>1</v>
      </c>
      <c r="D13">
        <v>16</v>
      </c>
      <c r="E13">
        <v>90.153999999999996</v>
      </c>
      <c r="G13">
        <v>55200</v>
      </c>
      <c r="H13">
        <v>96</v>
      </c>
      <c r="I13">
        <v>1</v>
      </c>
      <c r="J13">
        <v>16</v>
      </c>
      <c r="K13">
        <v>111.20399999999999</v>
      </c>
      <c r="N13">
        <v>27584</v>
      </c>
      <c r="O13">
        <v>96</v>
      </c>
      <c r="P13">
        <v>1</v>
      </c>
      <c r="Q13">
        <v>4</v>
      </c>
      <c r="R13">
        <v>25.7072</v>
      </c>
      <c r="T13">
        <v>27584</v>
      </c>
      <c r="U13">
        <v>96</v>
      </c>
      <c r="V13">
        <v>1</v>
      </c>
      <c r="W13">
        <v>4</v>
      </c>
      <c r="X13">
        <v>32.559400000000004</v>
      </c>
      <c r="Z13">
        <v>55200</v>
      </c>
      <c r="AA13">
        <v>96</v>
      </c>
      <c r="AB13">
        <v>2</v>
      </c>
      <c r="AC13">
        <v>8</v>
      </c>
      <c r="AD13">
        <v>96.59020000000001</v>
      </c>
      <c r="AF13">
        <v>55200</v>
      </c>
      <c r="AG13">
        <v>96</v>
      </c>
      <c r="AH13">
        <v>2</v>
      </c>
      <c r="AI13">
        <v>8</v>
      </c>
      <c r="AJ13">
        <v>112.9</v>
      </c>
      <c r="AM13">
        <v>27584</v>
      </c>
      <c r="AN13">
        <v>96</v>
      </c>
      <c r="AO13">
        <v>1</v>
      </c>
      <c r="AP13">
        <v>4</v>
      </c>
      <c r="AQ13">
        <v>25.7072</v>
      </c>
      <c r="AS13">
        <v>27584</v>
      </c>
      <c r="AT13">
        <v>96</v>
      </c>
      <c r="AU13">
        <v>1</v>
      </c>
      <c r="AV13">
        <v>4</v>
      </c>
      <c r="AW13">
        <v>32.559400000000004</v>
      </c>
      <c r="AY13" t="s">
        <v>251</v>
      </c>
      <c r="AZ13">
        <v>96</v>
      </c>
      <c r="BA13">
        <f t="shared" si="0"/>
        <v>3.7573209062052659</v>
      </c>
      <c r="BC13">
        <f t="shared" si="1"/>
        <v>3.4675086150236183</v>
      </c>
    </row>
    <row r="14" spans="1:55">
      <c r="A14">
        <v>55200</v>
      </c>
      <c r="B14">
        <v>128</v>
      </c>
      <c r="C14">
        <v>1</v>
      </c>
      <c r="D14">
        <v>16</v>
      </c>
      <c r="E14">
        <v>110.50399999999999</v>
      </c>
      <c r="G14">
        <v>55200</v>
      </c>
      <c r="H14">
        <v>128</v>
      </c>
      <c r="I14">
        <v>1</v>
      </c>
      <c r="J14">
        <v>16</v>
      </c>
      <c r="K14">
        <v>126.532</v>
      </c>
      <c r="N14">
        <v>27584</v>
      </c>
      <c r="O14">
        <v>128</v>
      </c>
      <c r="P14">
        <v>1</v>
      </c>
      <c r="Q14">
        <v>4</v>
      </c>
      <c r="R14">
        <v>31.525200000000002</v>
      </c>
      <c r="T14">
        <v>27584</v>
      </c>
      <c r="U14">
        <v>128</v>
      </c>
      <c r="V14">
        <v>1</v>
      </c>
      <c r="W14">
        <v>4</v>
      </c>
      <c r="X14">
        <v>36.5336</v>
      </c>
      <c r="Z14">
        <v>55200</v>
      </c>
      <c r="AA14">
        <v>128</v>
      </c>
      <c r="AB14">
        <v>2</v>
      </c>
      <c r="AC14">
        <v>8</v>
      </c>
      <c r="AD14">
        <v>117.31200000000001</v>
      </c>
      <c r="AF14">
        <v>55200</v>
      </c>
      <c r="AG14">
        <v>128</v>
      </c>
      <c r="AH14">
        <v>2</v>
      </c>
      <c r="AI14">
        <v>8</v>
      </c>
      <c r="AJ14">
        <v>131.11600000000001</v>
      </c>
      <c r="AM14">
        <v>27584</v>
      </c>
      <c r="AN14">
        <v>128</v>
      </c>
      <c r="AO14">
        <v>1</v>
      </c>
      <c r="AP14">
        <v>4</v>
      </c>
      <c r="AQ14">
        <v>31.525200000000002</v>
      </c>
      <c r="AS14">
        <v>27584</v>
      </c>
      <c r="AT14">
        <v>128</v>
      </c>
      <c r="AU14">
        <v>1</v>
      </c>
      <c r="AV14">
        <v>4</v>
      </c>
      <c r="AW14">
        <v>36.5336</v>
      </c>
      <c r="AY14" t="s">
        <v>251</v>
      </c>
      <c r="AZ14">
        <v>128</v>
      </c>
      <c r="BA14">
        <f t="shared" si="0"/>
        <v>3.7212135053861672</v>
      </c>
      <c r="BC14">
        <f t="shared" si="1"/>
        <v>3.5889154093765745</v>
      </c>
    </row>
    <row r="15" spans="1:55">
      <c r="A15">
        <v>55200</v>
      </c>
      <c r="B15">
        <v>160</v>
      </c>
      <c r="C15">
        <v>1</v>
      </c>
      <c r="D15">
        <v>16</v>
      </c>
      <c r="E15">
        <v>121.51399999999998</v>
      </c>
      <c r="G15">
        <v>55200</v>
      </c>
      <c r="H15">
        <v>160</v>
      </c>
      <c r="I15">
        <v>1</v>
      </c>
      <c r="J15">
        <v>16</v>
      </c>
      <c r="K15">
        <v>130.86399999999998</v>
      </c>
      <c r="N15">
        <v>27584</v>
      </c>
      <c r="O15">
        <v>160</v>
      </c>
      <c r="P15">
        <v>1</v>
      </c>
      <c r="Q15">
        <v>4</v>
      </c>
      <c r="R15">
        <v>36.129399999999997</v>
      </c>
      <c r="T15">
        <v>27584</v>
      </c>
      <c r="U15">
        <v>160</v>
      </c>
      <c r="V15">
        <v>1</v>
      </c>
      <c r="W15">
        <v>4</v>
      </c>
      <c r="X15">
        <v>40.546399999999998</v>
      </c>
      <c r="Z15">
        <v>55200</v>
      </c>
      <c r="AA15">
        <v>160</v>
      </c>
      <c r="AB15">
        <v>2</v>
      </c>
      <c r="AC15">
        <v>8</v>
      </c>
      <c r="AD15">
        <v>131.10200000000003</v>
      </c>
      <c r="AF15">
        <v>55200</v>
      </c>
      <c r="AG15">
        <v>160</v>
      </c>
      <c r="AH15">
        <v>2</v>
      </c>
      <c r="AI15">
        <v>8</v>
      </c>
      <c r="AJ15">
        <v>141.84200000000001</v>
      </c>
      <c r="AM15">
        <v>27584</v>
      </c>
      <c r="AN15">
        <v>160</v>
      </c>
      <c r="AO15">
        <v>1</v>
      </c>
      <c r="AP15">
        <v>4</v>
      </c>
      <c r="AQ15">
        <v>36.129399999999997</v>
      </c>
      <c r="AS15">
        <v>27584</v>
      </c>
      <c r="AT15">
        <v>160</v>
      </c>
      <c r="AU15">
        <v>1</v>
      </c>
      <c r="AV15">
        <v>4</v>
      </c>
      <c r="AW15">
        <v>40.546399999999998</v>
      </c>
      <c r="AY15" t="s">
        <v>251</v>
      </c>
      <c r="AZ15">
        <v>160</v>
      </c>
      <c r="BA15">
        <f t="shared" si="0"/>
        <v>3.6286791366587887</v>
      </c>
      <c r="BC15">
        <f t="shared" si="1"/>
        <v>3.4982637176173474</v>
      </c>
    </row>
    <row r="16" spans="1:55">
      <c r="A16">
        <v>55200</v>
      </c>
      <c r="B16">
        <v>192</v>
      </c>
      <c r="C16">
        <v>1</v>
      </c>
      <c r="D16">
        <v>16</v>
      </c>
      <c r="E16">
        <v>85.377199999999988</v>
      </c>
      <c r="G16">
        <v>55200</v>
      </c>
      <c r="H16">
        <v>192</v>
      </c>
      <c r="I16">
        <v>1</v>
      </c>
      <c r="J16">
        <v>16</v>
      </c>
      <c r="K16">
        <v>126.66600000000001</v>
      </c>
      <c r="N16">
        <v>27584</v>
      </c>
      <c r="O16">
        <v>192</v>
      </c>
      <c r="P16">
        <v>1</v>
      </c>
      <c r="Q16">
        <v>4</v>
      </c>
      <c r="R16">
        <v>29.786999999999999</v>
      </c>
      <c r="T16">
        <v>27584</v>
      </c>
      <c r="U16">
        <v>192</v>
      </c>
      <c r="V16">
        <v>1</v>
      </c>
      <c r="W16">
        <v>4</v>
      </c>
      <c r="X16">
        <v>41.099200000000003</v>
      </c>
      <c r="Z16">
        <v>55200</v>
      </c>
      <c r="AA16">
        <v>192</v>
      </c>
      <c r="AB16">
        <v>2</v>
      </c>
      <c r="AC16">
        <v>8</v>
      </c>
      <c r="AD16">
        <v>110.17600000000002</v>
      </c>
      <c r="AF16">
        <v>55200</v>
      </c>
      <c r="AG16">
        <v>192</v>
      </c>
      <c r="AH16">
        <v>2</v>
      </c>
      <c r="AI16">
        <v>8</v>
      </c>
      <c r="AJ16">
        <v>146.39400000000001</v>
      </c>
      <c r="AM16">
        <v>27584</v>
      </c>
      <c r="AN16">
        <v>192</v>
      </c>
      <c r="AO16">
        <v>1</v>
      </c>
      <c r="AP16">
        <v>4</v>
      </c>
      <c r="AQ16">
        <v>29.786999999999999</v>
      </c>
      <c r="AS16">
        <v>27584</v>
      </c>
      <c r="AT16">
        <v>192</v>
      </c>
      <c r="AU16">
        <v>1</v>
      </c>
      <c r="AV16">
        <v>4</v>
      </c>
      <c r="AW16">
        <v>41.099200000000003</v>
      </c>
      <c r="AY16" t="s">
        <v>251</v>
      </c>
      <c r="AZ16">
        <v>192</v>
      </c>
      <c r="BA16">
        <f t="shared" si="0"/>
        <v>3.6987947762446711</v>
      </c>
      <c r="BC16">
        <f t="shared" si="1"/>
        <v>3.5619671429127573</v>
      </c>
    </row>
    <row r="17" spans="1:55">
      <c r="A17">
        <v>55200</v>
      </c>
      <c r="B17">
        <v>224</v>
      </c>
      <c r="C17">
        <v>1</v>
      </c>
      <c r="D17">
        <v>16</v>
      </c>
      <c r="E17">
        <v>119.80799999999999</v>
      </c>
      <c r="G17">
        <v>55200</v>
      </c>
      <c r="H17">
        <v>224</v>
      </c>
      <c r="I17">
        <v>1</v>
      </c>
      <c r="J17">
        <v>16</v>
      </c>
      <c r="K17">
        <v>136.99200000000002</v>
      </c>
      <c r="N17">
        <v>27584</v>
      </c>
      <c r="O17">
        <v>224</v>
      </c>
      <c r="P17">
        <v>1</v>
      </c>
      <c r="Q17">
        <v>4</v>
      </c>
      <c r="R17">
        <v>35.366</v>
      </c>
      <c r="T17">
        <v>27584</v>
      </c>
      <c r="U17">
        <v>224</v>
      </c>
      <c r="V17">
        <v>1</v>
      </c>
      <c r="W17">
        <v>4</v>
      </c>
      <c r="X17">
        <v>42.1648</v>
      </c>
      <c r="Z17">
        <v>55200</v>
      </c>
      <c r="AA17">
        <v>224</v>
      </c>
      <c r="AB17">
        <v>2</v>
      </c>
      <c r="AC17">
        <v>8</v>
      </c>
      <c r="AD17">
        <v>128.64600000000002</v>
      </c>
      <c r="AF17">
        <v>55200</v>
      </c>
      <c r="AG17">
        <v>224</v>
      </c>
      <c r="AH17">
        <v>2</v>
      </c>
      <c r="AI17">
        <v>8</v>
      </c>
      <c r="AJ17">
        <v>149.41399999999999</v>
      </c>
      <c r="AM17">
        <v>27584</v>
      </c>
      <c r="AN17">
        <v>224</v>
      </c>
      <c r="AO17">
        <v>1</v>
      </c>
      <c r="AP17">
        <v>4</v>
      </c>
      <c r="AQ17">
        <v>35.366</v>
      </c>
      <c r="AS17">
        <v>27584</v>
      </c>
      <c r="AT17">
        <v>224</v>
      </c>
      <c r="AU17">
        <v>1</v>
      </c>
      <c r="AV17">
        <v>4</v>
      </c>
      <c r="AW17">
        <v>42.1648</v>
      </c>
      <c r="AY17" t="s">
        <v>251</v>
      </c>
      <c r="AZ17">
        <v>224</v>
      </c>
      <c r="BA17">
        <f t="shared" si="0"/>
        <v>3.6375614997455186</v>
      </c>
      <c r="BC17">
        <f t="shared" si="1"/>
        <v>3.5435718893484611</v>
      </c>
    </row>
    <row r="18" spans="1:55">
      <c r="A18">
        <v>55200</v>
      </c>
      <c r="B18">
        <v>256</v>
      </c>
      <c r="C18">
        <v>1</v>
      </c>
      <c r="D18">
        <v>16</v>
      </c>
      <c r="E18">
        <v>86.410199999999989</v>
      </c>
      <c r="G18">
        <v>55200</v>
      </c>
      <c r="H18">
        <v>256</v>
      </c>
      <c r="I18">
        <v>1</v>
      </c>
      <c r="J18">
        <v>16</v>
      </c>
      <c r="K18">
        <v>130.17600000000002</v>
      </c>
      <c r="N18">
        <v>27584</v>
      </c>
      <c r="O18">
        <v>256</v>
      </c>
      <c r="P18">
        <v>1</v>
      </c>
      <c r="Q18">
        <v>4</v>
      </c>
      <c r="R18">
        <v>30.217200000000002</v>
      </c>
      <c r="T18">
        <v>27584</v>
      </c>
      <c r="U18">
        <v>256</v>
      </c>
      <c r="V18">
        <v>1</v>
      </c>
      <c r="W18">
        <v>4</v>
      </c>
      <c r="X18">
        <v>41.422199999999997</v>
      </c>
      <c r="Z18">
        <v>55200</v>
      </c>
      <c r="AA18">
        <v>256</v>
      </c>
      <c r="AB18">
        <v>2</v>
      </c>
      <c r="AC18">
        <v>8</v>
      </c>
      <c r="AD18">
        <v>112.28800000000001</v>
      </c>
      <c r="AF18">
        <v>55200</v>
      </c>
      <c r="AG18">
        <v>256</v>
      </c>
      <c r="AH18">
        <v>2</v>
      </c>
      <c r="AI18">
        <v>8</v>
      </c>
      <c r="AJ18">
        <v>148.73399999999998</v>
      </c>
      <c r="AM18">
        <v>27584</v>
      </c>
      <c r="AN18">
        <v>256</v>
      </c>
      <c r="AO18">
        <v>1</v>
      </c>
      <c r="AP18">
        <v>4</v>
      </c>
      <c r="AQ18">
        <v>30.217200000000002</v>
      </c>
      <c r="AS18">
        <v>27584</v>
      </c>
      <c r="AT18">
        <v>256</v>
      </c>
      <c r="AU18">
        <v>1</v>
      </c>
      <c r="AV18">
        <v>4</v>
      </c>
      <c r="AW18">
        <v>41.422199999999997</v>
      </c>
      <c r="AY18" t="s">
        <v>251</v>
      </c>
      <c r="AZ18">
        <v>256</v>
      </c>
      <c r="BA18">
        <f t="shared" si="0"/>
        <v>3.7160292813364575</v>
      </c>
      <c r="BC18">
        <f t="shared" si="1"/>
        <v>3.5906832568043221</v>
      </c>
    </row>
    <row r="19" spans="1:55">
      <c r="A19">
        <v>52000</v>
      </c>
      <c r="B19">
        <v>32</v>
      </c>
      <c r="C19">
        <v>1</v>
      </c>
      <c r="D19">
        <v>16</v>
      </c>
      <c r="E19">
        <v>47.204799999999999</v>
      </c>
      <c r="G19">
        <v>52000</v>
      </c>
      <c r="H19">
        <v>32</v>
      </c>
      <c r="I19">
        <v>1</v>
      </c>
      <c r="J19">
        <v>16</v>
      </c>
      <c r="K19">
        <v>50.691400000000002</v>
      </c>
      <c r="N19">
        <v>26048</v>
      </c>
      <c r="O19">
        <v>32</v>
      </c>
      <c r="P19">
        <v>1</v>
      </c>
      <c r="Q19">
        <v>4</v>
      </c>
      <c r="R19">
        <v>12.5252</v>
      </c>
      <c r="T19">
        <v>26048</v>
      </c>
      <c r="U19">
        <v>32</v>
      </c>
      <c r="V19">
        <v>1</v>
      </c>
      <c r="W19">
        <v>4</v>
      </c>
      <c r="X19">
        <v>12.621799999999999</v>
      </c>
      <c r="Z19">
        <v>52000</v>
      </c>
      <c r="AA19">
        <v>32</v>
      </c>
      <c r="AB19">
        <v>2</v>
      </c>
      <c r="AC19">
        <v>8</v>
      </c>
      <c r="AD19">
        <v>48.067800000000005</v>
      </c>
      <c r="AF19">
        <v>52000</v>
      </c>
      <c r="AG19">
        <v>32</v>
      </c>
      <c r="AH19">
        <v>2</v>
      </c>
      <c r="AI19">
        <v>8</v>
      </c>
      <c r="AJ19">
        <v>47.740399999999994</v>
      </c>
      <c r="AM19">
        <v>26048</v>
      </c>
      <c r="AN19">
        <v>32</v>
      </c>
      <c r="AO19">
        <v>1</v>
      </c>
      <c r="AP19">
        <v>4</v>
      </c>
      <c r="AQ19">
        <v>12.5252</v>
      </c>
      <c r="AS19">
        <v>26048</v>
      </c>
      <c r="AT19">
        <v>32</v>
      </c>
      <c r="AU19">
        <v>1</v>
      </c>
      <c r="AV19">
        <v>4</v>
      </c>
      <c r="AW19">
        <v>12.621799999999999</v>
      </c>
      <c r="AY19" t="s">
        <v>249</v>
      </c>
      <c r="AZ19">
        <v>32</v>
      </c>
      <c r="BA19">
        <f t="shared" si="0"/>
        <v>3.837687222559321</v>
      </c>
      <c r="BC19">
        <f t="shared" si="1"/>
        <v>3.7823765231583448</v>
      </c>
    </row>
    <row r="20" spans="1:55">
      <c r="A20">
        <v>52000</v>
      </c>
      <c r="B20">
        <v>64</v>
      </c>
      <c r="C20">
        <v>1</v>
      </c>
      <c r="D20">
        <v>16</v>
      </c>
      <c r="E20">
        <v>84.938400000000001</v>
      </c>
      <c r="G20">
        <v>52000</v>
      </c>
      <c r="H20">
        <v>64</v>
      </c>
      <c r="I20">
        <v>1</v>
      </c>
      <c r="J20">
        <v>16</v>
      </c>
      <c r="K20">
        <v>90.708999999999989</v>
      </c>
      <c r="N20">
        <v>26048</v>
      </c>
      <c r="O20">
        <v>64</v>
      </c>
      <c r="P20">
        <v>1</v>
      </c>
      <c r="Q20">
        <v>4</v>
      </c>
      <c r="R20">
        <v>23.489200000000004</v>
      </c>
      <c r="T20">
        <v>26048</v>
      </c>
      <c r="U20">
        <v>64</v>
      </c>
      <c r="V20">
        <v>1</v>
      </c>
      <c r="W20">
        <v>4</v>
      </c>
      <c r="X20">
        <v>24.142599999999998</v>
      </c>
      <c r="Z20">
        <v>52000</v>
      </c>
      <c r="AA20">
        <v>64</v>
      </c>
      <c r="AB20">
        <v>2</v>
      </c>
      <c r="AC20">
        <v>8</v>
      </c>
      <c r="AD20">
        <v>90.080799999999996</v>
      </c>
      <c r="AF20">
        <v>52000</v>
      </c>
      <c r="AG20">
        <v>64</v>
      </c>
      <c r="AH20">
        <v>2</v>
      </c>
      <c r="AI20">
        <v>8</v>
      </c>
      <c r="AJ20">
        <v>88.404399999999995</v>
      </c>
      <c r="AM20">
        <v>26048</v>
      </c>
      <c r="AN20">
        <v>64</v>
      </c>
      <c r="AO20">
        <v>1</v>
      </c>
      <c r="AP20">
        <v>4</v>
      </c>
      <c r="AQ20">
        <v>23.489200000000004</v>
      </c>
      <c r="AS20">
        <v>26048</v>
      </c>
      <c r="AT20">
        <v>64</v>
      </c>
      <c r="AU20">
        <v>1</v>
      </c>
      <c r="AV20">
        <v>4</v>
      </c>
      <c r="AW20">
        <v>24.142599999999998</v>
      </c>
      <c r="AY20" t="s">
        <v>249</v>
      </c>
      <c r="AZ20">
        <v>64</v>
      </c>
      <c r="BA20">
        <f t="shared" si="0"/>
        <v>3.83498799448257</v>
      </c>
      <c r="BC20">
        <f t="shared" si="1"/>
        <v>3.6617597110501769</v>
      </c>
    </row>
    <row r="21" spans="1:55">
      <c r="A21">
        <v>52000</v>
      </c>
      <c r="B21">
        <v>96</v>
      </c>
      <c r="C21">
        <v>1</v>
      </c>
      <c r="D21">
        <v>16</v>
      </c>
      <c r="E21">
        <v>94.290999999999997</v>
      </c>
      <c r="G21">
        <v>52000</v>
      </c>
      <c r="H21">
        <v>96</v>
      </c>
      <c r="I21">
        <v>1</v>
      </c>
      <c r="J21">
        <v>16</v>
      </c>
      <c r="K21">
        <v>116.33599999999998</v>
      </c>
      <c r="N21">
        <v>26048</v>
      </c>
      <c r="O21">
        <v>96</v>
      </c>
      <c r="P21">
        <v>1</v>
      </c>
      <c r="Q21">
        <v>4</v>
      </c>
      <c r="R21">
        <v>26.185399999999998</v>
      </c>
      <c r="T21">
        <v>26048</v>
      </c>
      <c r="U21">
        <v>96</v>
      </c>
      <c r="V21">
        <v>1</v>
      </c>
      <c r="W21">
        <v>4</v>
      </c>
      <c r="X21">
        <v>33.066999999999993</v>
      </c>
      <c r="Z21">
        <v>52000</v>
      </c>
      <c r="AA21">
        <v>96</v>
      </c>
      <c r="AB21">
        <v>2</v>
      </c>
      <c r="AC21">
        <v>8</v>
      </c>
      <c r="AD21">
        <v>98.373199999999997</v>
      </c>
      <c r="AF21">
        <v>52000</v>
      </c>
      <c r="AG21">
        <v>96</v>
      </c>
      <c r="AH21">
        <v>2</v>
      </c>
      <c r="AI21">
        <v>8</v>
      </c>
      <c r="AJ21">
        <v>118.45399999999999</v>
      </c>
      <c r="AM21">
        <v>26048</v>
      </c>
      <c r="AN21">
        <v>96</v>
      </c>
      <c r="AO21">
        <v>1</v>
      </c>
      <c r="AP21">
        <v>4</v>
      </c>
      <c r="AQ21">
        <v>26.185399999999998</v>
      </c>
      <c r="AS21">
        <v>26048</v>
      </c>
      <c r="AT21">
        <v>96</v>
      </c>
      <c r="AU21">
        <v>1</v>
      </c>
      <c r="AV21">
        <v>4</v>
      </c>
      <c r="AW21">
        <v>33.066999999999993</v>
      </c>
      <c r="AY21" t="s">
        <v>249</v>
      </c>
      <c r="AZ21">
        <v>96</v>
      </c>
      <c r="BA21">
        <f t="shared" si="0"/>
        <v>3.7567957716895677</v>
      </c>
      <c r="BC21">
        <f t="shared" si="1"/>
        <v>3.582242114494814</v>
      </c>
    </row>
    <row r="22" spans="1:55">
      <c r="A22">
        <v>52000</v>
      </c>
      <c r="B22">
        <v>128</v>
      </c>
      <c r="C22">
        <v>1</v>
      </c>
      <c r="D22">
        <v>16</v>
      </c>
      <c r="E22">
        <v>112.346</v>
      </c>
      <c r="G22">
        <v>52000</v>
      </c>
      <c r="H22">
        <v>128</v>
      </c>
      <c r="I22">
        <v>1</v>
      </c>
      <c r="J22">
        <v>16</v>
      </c>
      <c r="K22">
        <v>127.83</v>
      </c>
      <c r="N22">
        <v>26048</v>
      </c>
      <c r="O22">
        <v>128</v>
      </c>
      <c r="P22">
        <v>1</v>
      </c>
      <c r="Q22">
        <v>4</v>
      </c>
      <c r="R22">
        <v>32.779399999999995</v>
      </c>
      <c r="T22">
        <v>26048</v>
      </c>
      <c r="U22">
        <v>128</v>
      </c>
      <c r="V22">
        <v>1</v>
      </c>
      <c r="W22">
        <v>4</v>
      </c>
      <c r="X22">
        <v>38.689399999999999</v>
      </c>
      <c r="Z22">
        <v>52000</v>
      </c>
      <c r="AA22">
        <v>128</v>
      </c>
      <c r="AB22">
        <v>2</v>
      </c>
      <c r="AC22">
        <v>8</v>
      </c>
      <c r="AD22">
        <v>119.91</v>
      </c>
      <c r="AF22">
        <v>52000</v>
      </c>
      <c r="AG22">
        <v>128</v>
      </c>
      <c r="AH22">
        <v>2</v>
      </c>
      <c r="AI22">
        <v>8</v>
      </c>
      <c r="AJ22">
        <v>135.816</v>
      </c>
      <c r="AM22">
        <v>26048</v>
      </c>
      <c r="AN22">
        <v>128</v>
      </c>
      <c r="AO22">
        <v>1</v>
      </c>
      <c r="AP22">
        <v>4</v>
      </c>
      <c r="AQ22">
        <v>32.779399999999995</v>
      </c>
      <c r="AS22">
        <v>26048</v>
      </c>
      <c r="AT22">
        <v>128</v>
      </c>
      <c r="AU22">
        <v>1</v>
      </c>
      <c r="AV22">
        <v>4</v>
      </c>
      <c r="AW22">
        <v>38.689399999999999</v>
      </c>
      <c r="AY22" t="s">
        <v>249</v>
      </c>
      <c r="AZ22">
        <v>128</v>
      </c>
      <c r="BA22">
        <f t="shared" si="0"/>
        <v>3.6580901419794145</v>
      </c>
      <c r="BC22">
        <f t="shared" si="1"/>
        <v>3.5104188744203841</v>
      </c>
    </row>
    <row r="23" spans="1:55">
      <c r="A23">
        <v>52000</v>
      </c>
      <c r="B23">
        <v>160</v>
      </c>
      <c r="C23">
        <v>1</v>
      </c>
      <c r="D23">
        <v>16</v>
      </c>
      <c r="E23">
        <v>122.08</v>
      </c>
      <c r="G23">
        <v>52000</v>
      </c>
      <c r="H23">
        <v>160</v>
      </c>
      <c r="I23">
        <v>1</v>
      </c>
      <c r="J23">
        <v>16</v>
      </c>
      <c r="K23">
        <v>132.55799999999999</v>
      </c>
      <c r="N23">
        <v>26048</v>
      </c>
      <c r="O23">
        <v>160</v>
      </c>
      <c r="P23">
        <v>1</v>
      </c>
      <c r="Q23">
        <v>4</v>
      </c>
      <c r="R23">
        <v>36.402199999999993</v>
      </c>
      <c r="T23">
        <v>26048</v>
      </c>
      <c r="U23">
        <v>160</v>
      </c>
      <c r="V23">
        <v>1</v>
      </c>
      <c r="W23">
        <v>4</v>
      </c>
      <c r="X23">
        <v>40.962400000000002</v>
      </c>
      <c r="Z23">
        <v>52000</v>
      </c>
      <c r="AA23">
        <v>160</v>
      </c>
      <c r="AB23">
        <v>2</v>
      </c>
      <c r="AC23">
        <v>8</v>
      </c>
      <c r="AD23">
        <v>131.19400000000002</v>
      </c>
      <c r="AF23">
        <v>52000</v>
      </c>
      <c r="AG23">
        <v>160</v>
      </c>
      <c r="AH23">
        <v>2</v>
      </c>
      <c r="AI23">
        <v>8</v>
      </c>
      <c r="AJ23">
        <v>143.07599999999999</v>
      </c>
      <c r="AM23">
        <v>26048</v>
      </c>
      <c r="AN23">
        <v>160</v>
      </c>
      <c r="AO23">
        <v>1</v>
      </c>
      <c r="AP23">
        <v>4</v>
      </c>
      <c r="AQ23">
        <v>36.402199999999993</v>
      </c>
      <c r="AS23">
        <v>26048</v>
      </c>
      <c r="AT23">
        <v>160</v>
      </c>
      <c r="AU23">
        <v>1</v>
      </c>
      <c r="AV23">
        <v>4</v>
      </c>
      <c r="AW23">
        <v>40.962400000000002</v>
      </c>
      <c r="AY23" t="s">
        <v>249</v>
      </c>
      <c r="AZ23">
        <v>160</v>
      </c>
      <c r="BA23">
        <f t="shared" si="0"/>
        <v>3.6040129442726001</v>
      </c>
      <c r="BC23">
        <f t="shared" si="1"/>
        <v>3.4928617463820477</v>
      </c>
    </row>
    <row r="24" spans="1:55">
      <c r="A24">
        <v>52000</v>
      </c>
      <c r="B24">
        <v>192</v>
      </c>
      <c r="C24">
        <v>1</v>
      </c>
      <c r="D24">
        <v>16</v>
      </c>
      <c r="E24">
        <v>115.22799999999999</v>
      </c>
      <c r="G24">
        <v>52000</v>
      </c>
      <c r="H24">
        <v>192</v>
      </c>
      <c r="I24">
        <v>1</v>
      </c>
      <c r="J24">
        <v>16</v>
      </c>
      <c r="K24">
        <v>136.39400000000001</v>
      </c>
      <c r="N24">
        <v>26048</v>
      </c>
      <c r="O24">
        <v>192</v>
      </c>
      <c r="P24">
        <v>1</v>
      </c>
      <c r="Q24">
        <v>4</v>
      </c>
      <c r="R24">
        <v>33.806399999999996</v>
      </c>
      <c r="T24">
        <v>26048</v>
      </c>
      <c r="U24">
        <v>192</v>
      </c>
      <c r="V24">
        <v>1</v>
      </c>
      <c r="W24">
        <v>4</v>
      </c>
      <c r="X24">
        <v>42.094000000000001</v>
      </c>
      <c r="Z24">
        <v>52000</v>
      </c>
      <c r="AA24">
        <v>192</v>
      </c>
      <c r="AB24">
        <v>2</v>
      </c>
      <c r="AC24">
        <v>8</v>
      </c>
      <c r="AD24">
        <v>121.28999999999999</v>
      </c>
      <c r="AF24">
        <v>52000</v>
      </c>
      <c r="AG24">
        <v>192</v>
      </c>
      <c r="AH24">
        <v>2</v>
      </c>
      <c r="AI24">
        <v>8</v>
      </c>
      <c r="AJ24">
        <v>147.72200000000001</v>
      </c>
      <c r="AM24">
        <v>26048</v>
      </c>
      <c r="AN24">
        <v>192</v>
      </c>
      <c r="AO24">
        <v>1</v>
      </c>
      <c r="AP24">
        <v>4</v>
      </c>
      <c r="AQ24">
        <v>33.806399999999996</v>
      </c>
      <c r="AS24">
        <v>26048</v>
      </c>
      <c r="AT24">
        <v>192</v>
      </c>
      <c r="AU24">
        <v>1</v>
      </c>
      <c r="AV24">
        <v>4</v>
      </c>
      <c r="AW24">
        <v>42.094000000000001</v>
      </c>
      <c r="AY24" t="s">
        <v>249</v>
      </c>
      <c r="AZ24">
        <v>192</v>
      </c>
      <c r="BA24">
        <f t="shared" si="0"/>
        <v>3.5877821950873208</v>
      </c>
      <c r="BC24">
        <f t="shared" si="1"/>
        <v>3.5093362474461918</v>
      </c>
    </row>
    <row r="25" spans="1:55">
      <c r="A25">
        <v>52000</v>
      </c>
      <c r="B25">
        <v>224</v>
      </c>
      <c r="C25">
        <v>1</v>
      </c>
      <c r="D25">
        <v>16</v>
      </c>
      <c r="E25">
        <v>121.82599999999999</v>
      </c>
      <c r="G25">
        <v>52000</v>
      </c>
      <c r="H25">
        <v>224</v>
      </c>
      <c r="I25">
        <v>1</v>
      </c>
      <c r="J25">
        <v>16</v>
      </c>
      <c r="K25">
        <v>137.63200000000001</v>
      </c>
      <c r="N25">
        <v>26048</v>
      </c>
      <c r="O25">
        <v>224</v>
      </c>
      <c r="P25">
        <v>1</v>
      </c>
      <c r="Q25">
        <v>4</v>
      </c>
      <c r="R25">
        <v>35.639200000000002</v>
      </c>
      <c r="T25">
        <v>26048</v>
      </c>
      <c r="U25">
        <v>224</v>
      </c>
      <c r="V25">
        <v>1</v>
      </c>
      <c r="W25">
        <v>4</v>
      </c>
      <c r="X25">
        <v>42.206000000000003</v>
      </c>
      <c r="Z25">
        <v>52000</v>
      </c>
      <c r="AA25">
        <v>224</v>
      </c>
      <c r="AB25">
        <v>2</v>
      </c>
      <c r="AC25">
        <v>8</v>
      </c>
      <c r="AD25">
        <v>129.67799999999997</v>
      </c>
      <c r="AF25">
        <v>52000</v>
      </c>
      <c r="AG25">
        <v>224</v>
      </c>
      <c r="AH25">
        <v>2</v>
      </c>
      <c r="AI25">
        <v>8</v>
      </c>
      <c r="AJ25">
        <v>150.334</v>
      </c>
      <c r="AM25">
        <v>26048</v>
      </c>
      <c r="AN25">
        <v>224</v>
      </c>
      <c r="AO25">
        <v>1</v>
      </c>
      <c r="AP25">
        <v>4</v>
      </c>
      <c r="AQ25">
        <v>35.639200000000002</v>
      </c>
      <c r="AS25">
        <v>26048</v>
      </c>
      <c r="AT25">
        <v>224</v>
      </c>
      <c r="AU25">
        <v>1</v>
      </c>
      <c r="AV25">
        <v>4</v>
      </c>
      <c r="AW25">
        <v>42.206000000000003</v>
      </c>
      <c r="AY25" t="s">
        <v>249</v>
      </c>
      <c r="AZ25">
        <v>224</v>
      </c>
      <c r="BA25">
        <f t="shared" si="0"/>
        <v>3.6386338638353264</v>
      </c>
      <c r="BC25">
        <f t="shared" si="1"/>
        <v>3.5619106288205469</v>
      </c>
    </row>
    <row r="26" spans="1:55">
      <c r="A26">
        <v>52000</v>
      </c>
      <c r="B26">
        <v>256</v>
      </c>
      <c r="C26">
        <v>1</v>
      </c>
      <c r="D26">
        <v>16</v>
      </c>
      <c r="E26">
        <v>114.354</v>
      </c>
      <c r="G26">
        <v>52000</v>
      </c>
      <c r="H26">
        <v>256</v>
      </c>
      <c r="I26">
        <v>1</v>
      </c>
      <c r="J26">
        <v>16</v>
      </c>
      <c r="K26">
        <v>134.71</v>
      </c>
      <c r="N26">
        <v>26048</v>
      </c>
      <c r="O26">
        <v>256</v>
      </c>
      <c r="P26">
        <v>1</v>
      </c>
      <c r="Q26">
        <v>4</v>
      </c>
      <c r="R26">
        <v>33.241399999999999</v>
      </c>
      <c r="T26">
        <v>26048</v>
      </c>
      <c r="U26">
        <v>256</v>
      </c>
      <c r="V26">
        <v>1</v>
      </c>
      <c r="W26">
        <v>4</v>
      </c>
      <c r="X26">
        <v>42.068799999999996</v>
      </c>
      <c r="Z26">
        <v>52000</v>
      </c>
      <c r="AA26">
        <v>256</v>
      </c>
      <c r="AB26">
        <v>2</v>
      </c>
      <c r="AC26">
        <v>8</v>
      </c>
      <c r="AD26">
        <v>119.92999999999999</v>
      </c>
      <c r="AF26">
        <v>52000</v>
      </c>
      <c r="AG26">
        <v>256</v>
      </c>
      <c r="AH26">
        <v>2</v>
      </c>
      <c r="AI26">
        <v>8</v>
      </c>
      <c r="AJ26">
        <v>146.26799999999997</v>
      </c>
      <c r="AM26">
        <v>26048</v>
      </c>
      <c r="AN26">
        <v>256</v>
      </c>
      <c r="AO26">
        <v>1</v>
      </c>
      <c r="AP26">
        <v>4</v>
      </c>
      <c r="AQ26">
        <v>33.241399999999999</v>
      </c>
      <c r="AS26">
        <v>26048</v>
      </c>
      <c r="AT26">
        <v>256</v>
      </c>
      <c r="AU26">
        <v>1</v>
      </c>
      <c r="AV26">
        <v>4</v>
      </c>
      <c r="AW26">
        <v>42.068799999999996</v>
      </c>
      <c r="AY26" t="s">
        <v>249</v>
      </c>
      <c r="AZ26">
        <v>256</v>
      </c>
      <c r="BA26">
        <f t="shared" si="0"/>
        <v>3.607850451545362</v>
      </c>
      <c r="BC26">
        <f t="shared" si="1"/>
        <v>3.4768759745939981</v>
      </c>
    </row>
    <row r="27" spans="1:55">
      <c r="A27">
        <v>58400</v>
      </c>
      <c r="B27">
        <v>32</v>
      </c>
      <c r="C27">
        <v>2</v>
      </c>
      <c r="D27">
        <v>8</v>
      </c>
      <c r="E27">
        <v>47.021799999999999</v>
      </c>
      <c r="G27">
        <v>58400</v>
      </c>
      <c r="H27">
        <v>32</v>
      </c>
      <c r="I27">
        <v>2</v>
      </c>
      <c r="J27">
        <v>8</v>
      </c>
      <c r="K27">
        <v>47.271999999999998</v>
      </c>
      <c r="N27">
        <v>29120</v>
      </c>
      <c r="O27">
        <v>32</v>
      </c>
      <c r="P27">
        <v>2</v>
      </c>
      <c r="Q27">
        <v>2</v>
      </c>
      <c r="R27">
        <v>12.037800000000001</v>
      </c>
      <c r="T27">
        <v>29120</v>
      </c>
      <c r="U27">
        <v>32</v>
      </c>
      <c r="V27">
        <v>2</v>
      </c>
      <c r="W27">
        <v>2</v>
      </c>
      <c r="X27">
        <v>11.324999999999999</v>
      </c>
    </row>
    <row r="28" spans="1:55">
      <c r="A28">
        <v>58400</v>
      </c>
      <c r="B28">
        <v>64</v>
      </c>
      <c r="C28">
        <v>2</v>
      </c>
      <c r="D28">
        <v>8</v>
      </c>
      <c r="E28">
        <v>87.531000000000006</v>
      </c>
      <c r="G28">
        <v>58400</v>
      </c>
      <c r="H28">
        <v>64</v>
      </c>
      <c r="I28">
        <v>2</v>
      </c>
      <c r="J28">
        <v>8</v>
      </c>
      <c r="K28">
        <v>87.895399999999995</v>
      </c>
      <c r="N28">
        <v>29120</v>
      </c>
      <c r="O28">
        <v>64</v>
      </c>
      <c r="P28">
        <v>2</v>
      </c>
      <c r="Q28">
        <v>2</v>
      </c>
      <c r="R28">
        <v>21.767199999999999</v>
      </c>
      <c r="T28">
        <v>29120</v>
      </c>
      <c r="U28">
        <v>64</v>
      </c>
      <c r="V28">
        <v>2</v>
      </c>
      <c r="W28">
        <v>2</v>
      </c>
      <c r="X28">
        <v>21.437999999999999</v>
      </c>
    </row>
    <row r="29" spans="1:55">
      <c r="A29">
        <v>58400</v>
      </c>
      <c r="B29">
        <v>96</v>
      </c>
      <c r="C29">
        <v>2</v>
      </c>
      <c r="D29">
        <v>8</v>
      </c>
      <c r="E29">
        <v>97.734999999999985</v>
      </c>
      <c r="G29">
        <v>58400</v>
      </c>
      <c r="H29">
        <v>96</v>
      </c>
      <c r="I29">
        <v>2</v>
      </c>
      <c r="J29">
        <v>8</v>
      </c>
      <c r="K29">
        <v>118.63999999999999</v>
      </c>
      <c r="N29">
        <v>29120</v>
      </c>
      <c r="O29">
        <v>96</v>
      </c>
      <c r="P29">
        <v>2</v>
      </c>
      <c r="Q29">
        <v>2</v>
      </c>
      <c r="R29">
        <v>24.779400000000003</v>
      </c>
      <c r="T29">
        <v>29120</v>
      </c>
      <c r="U29">
        <v>96</v>
      </c>
      <c r="V29">
        <v>2</v>
      </c>
      <c r="W29">
        <v>2</v>
      </c>
      <c r="X29">
        <v>29.785599999999999</v>
      </c>
    </row>
    <row r="30" spans="1:55">
      <c r="A30">
        <v>58400</v>
      </c>
      <c r="B30">
        <v>128</v>
      </c>
      <c r="C30">
        <v>2</v>
      </c>
      <c r="D30">
        <v>8</v>
      </c>
      <c r="E30">
        <v>118.11199999999999</v>
      </c>
      <c r="G30">
        <v>58400</v>
      </c>
      <c r="H30">
        <v>128</v>
      </c>
      <c r="I30">
        <v>2</v>
      </c>
      <c r="J30">
        <v>8</v>
      </c>
      <c r="K30">
        <v>136.57599999999996</v>
      </c>
      <c r="N30">
        <v>29120</v>
      </c>
      <c r="O30">
        <v>128</v>
      </c>
      <c r="P30">
        <v>2</v>
      </c>
      <c r="Q30">
        <v>2</v>
      </c>
      <c r="R30">
        <v>30.688200000000002</v>
      </c>
      <c r="T30">
        <v>29120</v>
      </c>
      <c r="U30">
        <v>128</v>
      </c>
      <c r="V30">
        <v>2</v>
      </c>
      <c r="W30">
        <v>2</v>
      </c>
      <c r="X30">
        <v>35.894600000000004</v>
      </c>
    </row>
    <row r="31" spans="1:55">
      <c r="A31">
        <v>58400</v>
      </c>
      <c r="B31">
        <v>160</v>
      </c>
      <c r="C31">
        <v>2</v>
      </c>
      <c r="D31">
        <v>8</v>
      </c>
      <c r="E31">
        <v>131.02000000000001</v>
      </c>
      <c r="G31">
        <v>58400</v>
      </c>
      <c r="H31">
        <v>160</v>
      </c>
      <c r="I31">
        <v>2</v>
      </c>
      <c r="J31">
        <v>8</v>
      </c>
      <c r="K31">
        <v>142.92199999999997</v>
      </c>
      <c r="N31">
        <v>29120</v>
      </c>
      <c r="O31">
        <v>160</v>
      </c>
      <c r="P31">
        <v>2</v>
      </c>
      <c r="Q31">
        <v>2</v>
      </c>
      <c r="R31">
        <v>34.842600000000004</v>
      </c>
      <c r="T31">
        <v>29120</v>
      </c>
      <c r="U31">
        <v>160</v>
      </c>
      <c r="V31">
        <v>2</v>
      </c>
      <c r="W31">
        <v>2</v>
      </c>
      <c r="X31">
        <v>38.780999999999999</v>
      </c>
    </row>
    <row r="32" spans="1:55">
      <c r="A32">
        <v>58400</v>
      </c>
      <c r="B32">
        <v>192</v>
      </c>
      <c r="C32">
        <v>2</v>
      </c>
      <c r="D32">
        <v>8</v>
      </c>
      <c r="E32">
        <v>120.32599999999999</v>
      </c>
      <c r="G32">
        <v>58400</v>
      </c>
      <c r="H32">
        <v>192</v>
      </c>
      <c r="I32">
        <v>2</v>
      </c>
      <c r="J32">
        <v>8</v>
      </c>
      <c r="K32">
        <v>149.90799999999999</v>
      </c>
      <c r="N32">
        <v>29120</v>
      </c>
      <c r="O32">
        <v>192</v>
      </c>
      <c r="P32">
        <v>2</v>
      </c>
      <c r="Q32">
        <v>2</v>
      </c>
      <c r="R32">
        <v>33.980399999999996</v>
      </c>
      <c r="T32">
        <v>29120</v>
      </c>
      <c r="U32">
        <v>192</v>
      </c>
      <c r="V32">
        <v>2</v>
      </c>
      <c r="W32">
        <v>2</v>
      </c>
      <c r="X32">
        <v>39.823</v>
      </c>
    </row>
    <row r="33" spans="1:24">
      <c r="A33">
        <v>58400</v>
      </c>
      <c r="B33">
        <v>224</v>
      </c>
      <c r="C33">
        <v>2</v>
      </c>
      <c r="D33">
        <v>8</v>
      </c>
      <c r="E33">
        <v>127.44399999999999</v>
      </c>
      <c r="G33">
        <v>58400</v>
      </c>
      <c r="H33">
        <v>224</v>
      </c>
      <c r="I33">
        <v>2</v>
      </c>
      <c r="J33">
        <v>8</v>
      </c>
      <c r="K33">
        <v>148.58200000000002</v>
      </c>
      <c r="N33">
        <v>29120</v>
      </c>
      <c r="O33">
        <v>224</v>
      </c>
      <c r="P33">
        <v>2</v>
      </c>
      <c r="Q33">
        <v>2</v>
      </c>
      <c r="R33">
        <v>35.922399999999996</v>
      </c>
      <c r="T33">
        <v>29120</v>
      </c>
      <c r="U33">
        <v>224</v>
      </c>
      <c r="V33">
        <v>2</v>
      </c>
      <c r="W33">
        <v>2</v>
      </c>
      <c r="X33">
        <v>40.862400000000001</v>
      </c>
    </row>
    <row r="34" spans="1:24">
      <c r="A34">
        <v>58400</v>
      </c>
      <c r="B34">
        <v>256</v>
      </c>
      <c r="C34">
        <v>2</v>
      </c>
      <c r="D34">
        <v>8</v>
      </c>
      <c r="E34">
        <v>119.91</v>
      </c>
      <c r="G34">
        <v>58400</v>
      </c>
      <c r="H34">
        <v>256</v>
      </c>
      <c r="I34">
        <v>2</v>
      </c>
      <c r="J34">
        <v>8</v>
      </c>
      <c r="K34">
        <v>149.07599999999999</v>
      </c>
      <c r="N34">
        <v>29120</v>
      </c>
      <c r="O34">
        <v>256</v>
      </c>
      <c r="P34">
        <v>2</v>
      </c>
      <c r="Q34">
        <v>2</v>
      </c>
      <c r="R34">
        <v>33.758600000000001</v>
      </c>
      <c r="T34">
        <v>29120</v>
      </c>
      <c r="U34">
        <v>256</v>
      </c>
      <c r="V34">
        <v>2</v>
      </c>
      <c r="W34">
        <v>2</v>
      </c>
      <c r="X34">
        <v>39.465800000000002</v>
      </c>
    </row>
    <row r="35" spans="1:24">
      <c r="A35">
        <v>55200</v>
      </c>
      <c r="B35">
        <v>32</v>
      </c>
      <c r="C35">
        <v>2</v>
      </c>
      <c r="D35">
        <v>8</v>
      </c>
      <c r="E35">
        <v>47.016200000000005</v>
      </c>
      <c r="G35">
        <v>55200</v>
      </c>
      <c r="H35">
        <v>32</v>
      </c>
      <c r="I35">
        <v>2</v>
      </c>
      <c r="J35">
        <v>8</v>
      </c>
      <c r="K35">
        <v>47.497599999999998</v>
      </c>
      <c r="N35">
        <v>27584</v>
      </c>
      <c r="O35">
        <v>32</v>
      </c>
      <c r="P35">
        <v>2</v>
      </c>
      <c r="Q35">
        <v>2</v>
      </c>
      <c r="R35">
        <v>12.1714</v>
      </c>
      <c r="T35">
        <v>27584</v>
      </c>
      <c r="U35">
        <v>32</v>
      </c>
      <c r="V35">
        <v>2</v>
      </c>
      <c r="W35">
        <v>2</v>
      </c>
      <c r="X35">
        <v>11.844000000000001</v>
      </c>
    </row>
    <row r="36" spans="1:24">
      <c r="A36">
        <v>55200</v>
      </c>
      <c r="B36">
        <v>64</v>
      </c>
      <c r="C36">
        <v>2</v>
      </c>
      <c r="D36">
        <v>8</v>
      </c>
      <c r="E36">
        <v>86.747200000000007</v>
      </c>
      <c r="G36">
        <v>55200</v>
      </c>
      <c r="H36">
        <v>64</v>
      </c>
      <c r="I36">
        <v>2</v>
      </c>
      <c r="J36">
        <v>8</v>
      </c>
      <c r="K36">
        <v>87.488599999999991</v>
      </c>
      <c r="N36">
        <v>27584</v>
      </c>
      <c r="O36">
        <v>64</v>
      </c>
      <c r="P36">
        <v>2</v>
      </c>
      <c r="Q36">
        <v>2</v>
      </c>
      <c r="R36">
        <v>22.458400000000001</v>
      </c>
      <c r="T36">
        <v>27584</v>
      </c>
      <c r="U36">
        <v>64</v>
      </c>
      <c r="V36">
        <v>2</v>
      </c>
      <c r="W36">
        <v>2</v>
      </c>
      <c r="X36">
        <v>22.638200000000001</v>
      </c>
    </row>
    <row r="37" spans="1:24">
      <c r="A37">
        <v>55200</v>
      </c>
      <c r="B37">
        <v>96</v>
      </c>
      <c r="C37">
        <v>2</v>
      </c>
      <c r="D37">
        <v>8</v>
      </c>
      <c r="E37">
        <v>96.59020000000001</v>
      </c>
      <c r="G37">
        <v>55200</v>
      </c>
      <c r="H37">
        <v>96</v>
      </c>
      <c r="I37">
        <v>2</v>
      </c>
      <c r="J37">
        <v>8</v>
      </c>
      <c r="K37">
        <v>112.9</v>
      </c>
      <c r="N37">
        <v>27584</v>
      </c>
      <c r="O37">
        <v>96</v>
      </c>
      <c r="P37">
        <v>2</v>
      </c>
      <c r="Q37">
        <v>2</v>
      </c>
      <c r="R37">
        <v>25.564399999999999</v>
      </c>
      <c r="T37">
        <v>27584</v>
      </c>
      <c r="U37">
        <v>96</v>
      </c>
      <c r="V37">
        <v>2</v>
      </c>
      <c r="W37">
        <v>2</v>
      </c>
      <c r="X37">
        <v>31.145</v>
      </c>
    </row>
    <row r="38" spans="1:24">
      <c r="A38">
        <v>55200</v>
      </c>
      <c r="B38">
        <v>128</v>
      </c>
      <c r="C38">
        <v>2</v>
      </c>
      <c r="D38">
        <v>8</v>
      </c>
      <c r="E38">
        <v>117.31200000000001</v>
      </c>
      <c r="G38">
        <v>55200</v>
      </c>
      <c r="H38">
        <v>128</v>
      </c>
      <c r="I38">
        <v>2</v>
      </c>
      <c r="J38">
        <v>8</v>
      </c>
      <c r="K38">
        <v>131.11600000000001</v>
      </c>
      <c r="N38">
        <v>27584</v>
      </c>
      <c r="O38">
        <v>128</v>
      </c>
      <c r="P38">
        <v>2</v>
      </c>
      <c r="Q38">
        <v>2</v>
      </c>
      <c r="R38">
        <v>31.5702</v>
      </c>
      <c r="T38">
        <v>27584</v>
      </c>
      <c r="U38">
        <v>128</v>
      </c>
      <c r="V38">
        <v>2</v>
      </c>
      <c r="W38">
        <v>2</v>
      </c>
      <c r="X38">
        <v>36.450800000000001</v>
      </c>
    </row>
    <row r="39" spans="1:24">
      <c r="A39">
        <v>55200</v>
      </c>
      <c r="B39">
        <v>160</v>
      </c>
      <c r="C39">
        <v>2</v>
      </c>
      <c r="D39">
        <v>8</v>
      </c>
      <c r="E39">
        <v>131.10200000000003</v>
      </c>
      <c r="G39">
        <v>55200</v>
      </c>
      <c r="H39">
        <v>160</v>
      </c>
      <c r="I39">
        <v>2</v>
      </c>
      <c r="J39">
        <v>8</v>
      </c>
      <c r="K39">
        <v>141.84200000000001</v>
      </c>
      <c r="N39">
        <v>27584</v>
      </c>
      <c r="O39">
        <v>160</v>
      </c>
      <c r="P39">
        <v>2</v>
      </c>
      <c r="Q39">
        <v>2</v>
      </c>
      <c r="R39">
        <v>35.0884</v>
      </c>
      <c r="T39">
        <v>27584</v>
      </c>
      <c r="U39">
        <v>160</v>
      </c>
      <c r="V39">
        <v>2</v>
      </c>
      <c r="W39">
        <v>2</v>
      </c>
      <c r="X39">
        <v>39.329000000000001</v>
      </c>
    </row>
    <row r="40" spans="1:24">
      <c r="A40">
        <v>55200</v>
      </c>
      <c r="B40">
        <v>192</v>
      </c>
      <c r="C40">
        <v>2</v>
      </c>
      <c r="D40">
        <v>8</v>
      </c>
      <c r="E40">
        <v>110.17600000000002</v>
      </c>
      <c r="G40">
        <v>55200</v>
      </c>
      <c r="H40">
        <v>192</v>
      </c>
      <c r="I40">
        <v>2</v>
      </c>
      <c r="J40">
        <v>8</v>
      </c>
      <c r="K40">
        <v>146.39400000000001</v>
      </c>
      <c r="N40">
        <v>27584</v>
      </c>
      <c r="O40">
        <v>192</v>
      </c>
      <c r="P40">
        <v>2</v>
      </c>
      <c r="Q40">
        <v>2</v>
      </c>
      <c r="R40">
        <v>34.383600000000001</v>
      </c>
      <c r="T40">
        <v>27584</v>
      </c>
      <c r="U40">
        <v>192</v>
      </c>
      <c r="V40">
        <v>2</v>
      </c>
      <c r="W40">
        <v>2</v>
      </c>
      <c r="X40">
        <v>40.951999999999998</v>
      </c>
    </row>
    <row r="41" spans="1:24">
      <c r="A41">
        <v>55200</v>
      </c>
      <c r="B41">
        <v>224</v>
      </c>
      <c r="C41">
        <v>2</v>
      </c>
      <c r="D41">
        <v>8</v>
      </c>
      <c r="E41">
        <v>128.64600000000002</v>
      </c>
      <c r="G41">
        <v>55200</v>
      </c>
      <c r="H41">
        <v>224</v>
      </c>
      <c r="I41">
        <v>2</v>
      </c>
      <c r="J41">
        <v>8</v>
      </c>
      <c r="K41">
        <v>149.41399999999999</v>
      </c>
      <c r="N41">
        <v>27584</v>
      </c>
      <c r="O41">
        <v>224</v>
      </c>
      <c r="P41">
        <v>2</v>
      </c>
      <c r="Q41">
        <v>2</v>
      </c>
      <c r="R41">
        <v>36.043399999999998</v>
      </c>
      <c r="T41">
        <v>27584</v>
      </c>
      <c r="U41">
        <v>224</v>
      </c>
      <c r="V41">
        <v>2</v>
      </c>
      <c r="W41">
        <v>2</v>
      </c>
      <c r="X41">
        <v>40.734599999999993</v>
      </c>
    </row>
    <row r="42" spans="1:24">
      <c r="A42">
        <v>55200</v>
      </c>
      <c r="B42">
        <v>256</v>
      </c>
      <c r="C42">
        <v>2</v>
      </c>
      <c r="D42">
        <v>8</v>
      </c>
      <c r="E42">
        <v>112.28800000000001</v>
      </c>
      <c r="G42">
        <v>55200</v>
      </c>
      <c r="H42">
        <v>256</v>
      </c>
      <c r="I42">
        <v>2</v>
      </c>
      <c r="J42">
        <v>8</v>
      </c>
      <c r="K42">
        <v>148.73399999999998</v>
      </c>
      <c r="N42">
        <v>27584</v>
      </c>
      <c r="O42">
        <v>256</v>
      </c>
      <c r="P42">
        <v>2</v>
      </c>
      <c r="Q42">
        <v>2</v>
      </c>
      <c r="R42">
        <v>34.221600000000002</v>
      </c>
      <c r="T42">
        <v>27584</v>
      </c>
      <c r="U42">
        <v>256</v>
      </c>
      <c r="V42">
        <v>2</v>
      </c>
      <c r="W42">
        <v>2</v>
      </c>
      <c r="X42">
        <v>40.196199999999997</v>
      </c>
    </row>
    <row r="43" spans="1:24">
      <c r="A43">
        <v>52000</v>
      </c>
      <c r="B43">
        <v>32</v>
      </c>
      <c r="C43">
        <v>2</v>
      </c>
      <c r="D43">
        <v>8</v>
      </c>
      <c r="E43">
        <v>48.067800000000005</v>
      </c>
      <c r="G43">
        <v>52000</v>
      </c>
      <c r="H43">
        <v>32</v>
      </c>
      <c r="I43">
        <v>2</v>
      </c>
      <c r="J43">
        <v>8</v>
      </c>
      <c r="K43">
        <v>47.740399999999994</v>
      </c>
      <c r="N43">
        <v>26048</v>
      </c>
      <c r="O43">
        <v>32</v>
      </c>
      <c r="P43">
        <v>2</v>
      </c>
      <c r="Q43">
        <v>2</v>
      </c>
      <c r="R43">
        <v>12.291799999999999</v>
      </c>
      <c r="T43">
        <v>26048</v>
      </c>
      <c r="U43">
        <v>32</v>
      </c>
      <c r="V43">
        <v>2</v>
      </c>
      <c r="W43">
        <v>2</v>
      </c>
      <c r="X43">
        <v>11.678799999999999</v>
      </c>
    </row>
    <row r="44" spans="1:24">
      <c r="A44">
        <v>52000</v>
      </c>
      <c r="B44">
        <v>64</v>
      </c>
      <c r="C44">
        <v>2</v>
      </c>
      <c r="D44">
        <v>8</v>
      </c>
      <c r="E44">
        <v>90.080799999999996</v>
      </c>
      <c r="G44">
        <v>52000</v>
      </c>
      <c r="H44">
        <v>64</v>
      </c>
      <c r="I44">
        <v>2</v>
      </c>
      <c r="J44">
        <v>8</v>
      </c>
      <c r="K44">
        <v>88.404399999999995</v>
      </c>
      <c r="N44">
        <v>26048</v>
      </c>
      <c r="O44">
        <v>64</v>
      </c>
      <c r="P44">
        <v>2</v>
      </c>
      <c r="Q44">
        <v>2</v>
      </c>
      <c r="R44">
        <v>22.555799999999998</v>
      </c>
      <c r="T44">
        <v>26048</v>
      </c>
      <c r="U44">
        <v>64</v>
      </c>
      <c r="V44">
        <v>2</v>
      </c>
      <c r="W44">
        <v>2</v>
      </c>
      <c r="X44">
        <v>22.287599999999998</v>
      </c>
    </row>
    <row r="45" spans="1:24">
      <c r="A45">
        <v>52000</v>
      </c>
      <c r="B45">
        <v>96</v>
      </c>
      <c r="C45">
        <v>2</v>
      </c>
      <c r="D45">
        <v>8</v>
      </c>
      <c r="E45">
        <v>98.373199999999997</v>
      </c>
      <c r="G45">
        <v>52000</v>
      </c>
      <c r="H45">
        <v>96</v>
      </c>
      <c r="I45">
        <v>2</v>
      </c>
      <c r="J45">
        <v>8</v>
      </c>
      <c r="K45">
        <v>118.45399999999999</v>
      </c>
      <c r="N45">
        <v>26048</v>
      </c>
      <c r="O45">
        <v>96</v>
      </c>
      <c r="P45">
        <v>2</v>
      </c>
      <c r="Q45">
        <v>2</v>
      </c>
      <c r="R45">
        <v>25.45</v>
      </c>
      <c r="T45">
        <v>26048</v>
      </c>
      <c r="U45">
        <v>96</v>
      </c>
      <c r="V45">
        <v>2</v>
      </c>
      <c r="W45">
        <v>2</v>
      </c>
      <c r="X45">
        <v>30.906600000000005</v>
      </c>
    </row>
    <row r="46" spans="1:24">
      <c r="A46">
        <v>52000</v>
      </c>
      <c r="B46">
        <v>128</v>
      </c>
      <c r="C46">
        <v>2</v>
      </c>
      <c r="D46">
        <v>8</v>
      </c>
      <c r="E46">
        <v>119.91</v>
      </c>
      <c r="G46">
        <v>52000</v>
      </c>
      <c r="H46">
        <v>128</v>
      </c>
      <c r="I46">
        <v>2</v>
      </c>
      <c r="J46">
        <v>8</v>
      </c>
      <c r="K46">
        <v>135.816</v>
      </c>
      <c r="N46">
        <v>26048</v>
      </c>
      <c r="O46">
        <v>128</v>
      </c>
      <c r="P46">
        <v>2</v>
      </c>
      <c r="Q46">
        <v>2</v>
      </c>
      <c r="R46">
        <v>31.725999999999999</v>
      </c>
      <c r="T46">
        <v>26048</v>
      </c>
      <c r="U46">
        <v>128</v>
      </c>
      <c r="V46">
        <v>2</v>
      </c>
      <c r="W46">
        <v>2</v>
      </c>
      <c r="X46">
        <v>36.85</v>
      </c>
    </row>
    <row r="47" spans="1:24">
      <c r="A47">
        <v>52000</v>
      </c>
      <c r="B47">
        <v>160</v>
      </c>
      <c r="C47">
        <v>2</v>
      </c>
      <c r="D47">
        <v>8</v>
      </c>
      <c r="E47">
        <v>131.19400000000002</v>
      </c>
      <c r="G47">
        <v>52000</v>
      </c>
      <c r="H47">
        <v>160</v>
      </c>
      <c r="I47">
        <v>2</v>
      </c>
      <c r="J47">
        <v>8</v>
      </c>
      <c r="K47">
        <v>143.07599999999999</v>
      </c>
      <c r="N47">
        <v>26048</v>
      </c>
      <c r="O47">
        <v>160</v>
      </c>
      <c r="P47">
        <v>2</v>
      </c>
      <c r="Q47">
        <v>2</v>
      </c>
      <c r="R47">
        <v>35.144999999999996</v>
      </c>
      <c r="T47">
        <v>26048</v>
      </c>
      <c r="U47">
        <v>160</v>
      </c>
      <c r="V47">
        <v>2</v>
      </c>
      <c r="W47">
        <v>2</v>
      </c>
      <c r="X47">
        <v>39.380600000000001</v>
      </c>
    </row>
    <row r="48" spans="1:24">
      <c r="A48">
        <v>52000</v>
      </c>
      <c r="B48">
        <v>192</v>
      </c>
      <c r="C48">
        <v>2</v>
      </c>
      <c r="D48">
        <v>8</v>
      </c>
      <c r="E48">
        <v>121.28999999999999</v>
      </c>
      <c r="G48">
        <v>52000</v>
      </c>
      <c r="H48">
        <v>192</v>
      </c>
      <c r="I48">
        <v>2</v>
      </c>
      <c r="J48">
        <v>8</v>
      </c>
      <c r="K48">
        <v>147.72200000000001</v>
      </c>
      <c r="N48">
        <v>26048</v>
      </c>
      <c r="O48">
        <v>192</v>
      </c>
      <c r="P48">
        <v>2</v>
      </c>
      <c r="Q48">
        <v>2</v>
      </c>
      <c r="R48">
        <v>34.605600000000003</v>
      </c>
      <c r="T48">
        <v>26048</v>
      </c>
      <c r="U48">
        <v>192</v>
      </c>
      <c r="V48">
        <v>2</v>
      </c>
      <c r="W48">
        <v>2</v>
      </c>
      <c r="X48">
        <v>40.2864</v>
      </c>
    </row>
    <row r="49" spans="1:24">
      <c r="A49">
        <v>52000</v>
      </c>
      <c r="B49">
        <v>224</v>
      </c>
      <c r="C49">
        <v>2</v>
      </c>
      <c r="D49">
        <v>8</v>
      </c>
      <c r="E49">
        <v>129.67799999999997</v>
      </c>
      <c r="G49">
        <v>52000</v>
      </c>
      <c r="H49">
        <v>224</v>
      </c>
      <c r="I49">
        <v>2</v>
      </c>
      <c r="J49">
        <v>8</v>
      </c>
      <c r="K49">
        <v>150.334</v>
      </c>
      <c r="N49">
        <v>26048</v>
      </c>
      <c r="O49">
        <v>224</v>
      </c>
      <c r="P49">
        <v>2</v>
      </c>
      <c r="Q49">
        <v>2</v>
      </c>
      <c r="R49">
        <v>36.046199999999999</v>
      </c>
      <c r="T49">
        <v>26048</v>
      </c>
      <c r="U49">
        <v>224</v>
      </c>
      <c r="V49">
        <v>2</v>
      </c>
      <c r="W49">
        <v>2</v>
      </c>
      <c r="X49">
        <v>40.903600000000004</v>
      </c>
    </row>
    <row r="50" spans="1:24">
      <c r="A50">
        <v>52000</v>
      </c>
      <c r="B50">
        <v>256</v>
      </c>
      <c r="C50">
        <v>2</v>
      </c>
      <c r="D50">
        <v>8</v>
      </c>
      <c r="E50">
        <v>119.92999999999999</v>
      </c>
      <c r="G50">
        <v>52000</v>
      </c>
      <c r="H50">
        <v>256</v>
      </c>
      <c r="I50">
        <v>2</v>
      </c>
      <c r="J50">
        <v>8</v>
      </c>
      <c r="K50">
        <v>146.26799999999997</v>
      </c>
      <c r="N50">
        <v>26048</v>
      </c>
      <c r="O50">
        <v>256</v>
      </c>
      <c r="P50">
        <v>2</v>
      </c>
      <c r="Q50">
        <v>2</v>
      </c>
      <c r="R50">
        <v>34.282799999999995</v>
      </c>
      <c r="T50">
        <v>26048</v>
      </c>
      <c r="U50">
        <v>256</v>
      </c>
      <c r="V50">
        <v>2</v>
      </c>
      <c r="W50">
        <v>2</v>
      </c>
      <c r="X50">
        <v>39.7318</v>
      </c>
    </row>
    <row r="51" spans="1:24">
      <c r="A51">
        <v>58400</v>
      </c>
      <c r="B51">
        <v>32</v>
      </c>
      <c r="C51">
        <v>4</v>
      </c>
      <c r="D51">
        <v>4</v>
      </c>
      <c r="E51">
        <v>44.854800000000004</v>
      </c>
      <c r="G51">
        <v>58400</v>
      </c>
      <c r="H51">
        <v>32</v>
      </c>
      <c r="I51">
        <v>4</v>
      </c>
      <c r="J51">
        <v>4</v>
      </c>
      <c r="K51">
        <v>42.922000000000004</v>
      </c>
    </row>
    <row r="52" spans="1:24">
      <c r="A52">
        <v>58400</v>
      </c>
      <c r="B52">
        <v>64</v>
      </c>
      <c r="C52">
        <v>4</v>
      </c>
      <c r="D52">
        <v>4</v>
      </c>
      <c r="E52">
        <v>78.570599999999985</v>
      </c>
      <c r="G52">
        <v>58400</v>
      </c>
      <c r="H52">
        <v>64</v>
      </c>
      <c r="I52">
        <v>4</v>
      </c>
      <c r="J52">
        <v>4</v>
      </c>
      <c r="K52">
        <v>77.747199999999992</v>
      </c>
    </row>
    <row r="53" spans="1:24">
      <c r="A53">
        <v>58400</v>
      </c>
      <c r="B53">
        <v>96</v>
      </c>
      <c r="C53">
        <v>4</v>
      </c>
      <c r="D53">
        <v>4</v>
      </c>
      <c r="E53">
        <v>87.605199999999996</v>
      </c>
      <c r="G53">
        <v>58400</v>
      </c>
      <c r="H53">
        <v>96</v>
      </c>
      <c r="I53">
        <v>4</v>
      </c>
      <c r="J53">
        <v>4</v>
      </c>
      <c r="K53">
        <v>103.476</v>
      </c>
    </row>
    <row r="54" spans="1:24">
      <c r="A54">
        <v>58400</v>
      </c>
      <c r="B54">
        <v>128</v>
      </c>
      <c r="C54">
        <v>4</v>
      </c>
      <c r="D54">
        <v>4</v>
      </c>
      <c r="E54">
        <v>105.348</v>
      </c>
      <c r="G54">
        <v>58400</v>
      </c>
      <c r="H54">
        <v>128</v>
      </c>
      <c r="I54">
        <v>4</v>
      </c>
      <c r="J54">
        <v>4</v>
      </c>
      <c r="K54">
        <v>120.502</v>
      </c>
    </row>
    <row r="55" spans="1:24">
      <c r="A55">
        <v>58400</v>
      </c>
      <c r="B55">
        <v>160</v>
      </c>
      <c r="C55">
        <v>4</v>
      </c>
      <c r="D55">
        <v>4</v>
      </c>
      <c r="E55">
        <v>116.78800000000001</v>
      </c>
      <c r="G55">
        <v>58400</v>
      </c>
      <c r="H55">
        <v>160</v>
      </c>
      <c r="I55">
        <v>4</v>
      </c>
      <c r="J55">
        <v>4</v>
      </c>
      <c r="K55">
        <v>129.102</v>
      </c>
    </row>
    <row r="56" spans="1:24">
      <c r="A56">
        <v>58400</v>
      </c>
      <c r="B56">
        <v>192</v>
      </c>
      <c r="C56">
        <v>4</v>
      </c>
      <c r="D56">
        <v>4</v>
      </c>
      <c r="E56">
        <v>115.00399999999999</v>
      </c>
      <c r="G56">
        <v>58400</v>
      </c>
      <c r="H56">
        <v>192</v>
      </c>
      <c r="I56">
        <v>4</v>
      </c>
      <c r="J56">
        <v>4</v>
      </c>
      <c r="K56">
        <v>132.63600000000002</v>
      </c>
    </row>
    <row r="57" spans="1:24">
      <c r="A57">
        <v>58400</v>
      </c>
      <c r="B57">
        <v>224</v>
      </c>
      <c r="C57">
        <v>4</v>
      </c>
      <c r="D57">
        <v>4</v>
      </c>
      <c r="E57">
        <v>118.928</v>
      </c>
      <c r="G57">
        <v>58400</v>
      </c>
      <c r="H57">
        <v>224</v>
      </c>
      <c r="I57">
        <v>4</v>
      </c>
      <c r="J57">
        <v>4</v>
      </c>
      <c r="K57">
        <v>134.26599999999999</v>
      </c>
    </row>
    <row r="58" spans="1:24">
      <c r="A58">
        <v>58400</v>
      </c>
      <c r="B58">
        <v>256</v>
      </c>
      <c r="C58">
        <v>4</v>
      </c>
      <c r="D58">
        <v>4</v>
      </c>
      <c r="E58">
        <v>113.502</v>
      </c>
      <c r="G58">
        <v>58400</v>
      </c>
      <c r="H58">
        <v>256</v>
      </c>
      <c r="I58">
        <v>4</v>
      </c>
      <c r="J58">
        <v>4</v>
      </c>
      <c r="K58">
        <v>132.202</v>
      </c>
    </row>
    <row r="59" spans="1:24">
      <c r="A59">
        <v>55200</v>
      </c>
      <c r="B59">
        <v>32</v>
      </c>
      <c r="C59">
        <v>4</v>
      </c>
      <c r="D59">
        <v>4</v>
      </c>
      <c r="E59">
        <v>45.969399999999993</v>
      </c>
      <c r="G59">
        <v>55200</v>
      </c>
      <c r="H59">
        <v>32</v>
      </c>
      <c r="I59">
        <v>4</v>
      </c>
      <c r="J59">
        <v>4</v>
      </c>
      <c r="K59">
        <v>44.470800000000004</v>
      </c>
    </row>
    <row r="60" spans="1:24">
      <c r="A60">
        <v>55200</v>
      </c>
      <c r="B60">
        <v>64</v>
      </c>
      <c r="C60">
        <v>4</v>
      </c>
      <c r="D60">
        <v>4</v>
      </c>
      <c r="E60">
        <v>80.770799999999994</v>
      </c>
      <c r="G60">
        <v>55200</v>
      </c>
      <c r="H60">
        <v>64</v>
      </c>
      <c r="I60">
        <v>4</v>
      </c>
      <c r="J60">
        <v>4</v>
      </c>
      <c r="K60">
        <v>80.348600000000005</v>
      </c>
    </row>
    <row r="61" spans="1:24">
      <c r="A61">
        <v>55200</v>
      </c>
      <c r="B61">
        <v>96</v>
      </c>
      <c r="C61">
        <v>4</v>
      </c>
      <c r="D61">
        <v>4</v>
      </c>
      <c r="E61">
        <v>89.801199999999994</v>
      </c>
      <c r="G61">
        <v>55200</v>
      </c>
      <c r="H61">
        <v>96</v>
      </c>
      <c r="I61">
        <v>4</v>
      </c>
      <c r="J61">
        <v>4</v>
      </c>
      <c r="K61">
        <v>105.874</v>
      </c>
    </row>
    <row r="62" spans="1:24">
      <c r="A62">
        <v>55200</v>
      </c>
      <c r="B62">
        <v>128</v>
      </c>
      <c r="C62">
        <v>4</v>
      </c>
      <c r="D62">
        <v>4</v>
      </c>
      <c r="E62">
        <v>106.84199999999998</v>
      </c>
      <c r="G62">
        <v>55200</v>
      </c>
      <c r="H62">
        <v>128</v>
      </c>
      <c r="I62">
        <v>4</v>
      </c>
      <c r="J62">
        <v>4</v>
      </c>
      <c r="K62">
        <v>121.88399999999999</v>
      </c>
    </row>
    <row r="63" spans="1:24">
      <c r="A63">
        <v>55200</v>
      </c>
      <c r="B63">
        <v>160</v>
      </c>
      <c r="C63">
        <v>4</v>
      </c>
      <c r="D63">
        <v>4</v>
      </c>
      <c r="E63">
        <v>116.78399999999999</v>
      </c>
      <c r="G63">
        <v>55200</v>
      </c>
      <c r="H63">
        <v>160</v>
      </c>
      <c r="I63">
        <v>4</v>
      </c>
      <c r="J63">
        <v>4</v>
      </c>
      <c r="K63">
        <v>128.98400000000001</v>
      </c>
    </row>
    <row r="64" spans="1:24">
      <c r="A64">
        <v>55200</v>
      </c>
      <c r="B64">
        <v>192</v>
      </c>
      <c r="C64">
        <v>4</v>
      </c>
      <c r="D64">
        <v>4</v>
      </c>
      <c r="E64">
        <v>115.63800000000001</v>
      </c>
      <c r="G64">
        <v>55200</v>
      </c>
      <c r="H64">
        <v>192</v>
      </c>
      <c r="I64">
        <v>4</v>
      </c>
      <c r="J64">
        <v>4</v>
      </c>
      <c r="K64">
        <v>133.054</v>
      </c>
    </row>
    <row r="65" spans="1:11">
      <c r="A65">
        <v>55200</v>
      </c>
      <c r="B65">
        <v>224</v>
      </c>
      <c r="C65">
        <v>4</v>
      </c>
      <c r="D65">
        <v>4</v>
      </c>
      <c r="E65">
        <v>118.89400000000001</v>
      </c>
      <c r="G65">
        <v>55200</v>
      </c>
      <c r="H65">
        <v>224</v>
      </c>
      <c r="I65">
        <v>4</v>
      </c>
      <c r="J65">
        <v>4</v>
      </c>
      <c r="K65">
        <v>132.70599999999999</v>
      </c>
    </row>
    <row r="66" spans="1:11">
      <c r="A66">
        <v>55200</v>
      </c>
      <c r="B66">
        <v>256</v>
      </c>
      <c r="C66">
        <v>4</v>
      </c>
      <c r="D66">
        <v>4</v>
      </c>
      <c r="E66">
        <v>113.96</v>
      </c>
      <c r="G66">
        <v>55200</v>
      </c>
      <c r="H66">
        <v>256</v>
      </c>
      <c r="I66">
        <v>4</v>
      </c>
      <c r="J66">
        <v>4</v>
      </c>
      <c r="K66">
        <v>132.38999999999999</v>
      </c>
    </row>
    <row r="67" spans="1:11">
      <c r="A67">
        <v>52000</v>
      </c>
      <c r="B67">
        <v>32</v>
      </c>
      <c r="C67">
        <v>4</v>
      </c>
      <c r="D67">
        <v>4</v>
      </c>
      <c r="E67">
        <v>45.805799999999991</v>
      </c>
      <c r="G67">
        <v>52000</v>
      </c>
      <c r="H67">
        <v>32</v>
      </c>
      <c r="I67">
        <v>4</v>
      </c>
      <c r="J67">
        <v>4</v>
      </c>
      <c r="K67">
        <v>43.922000000000004</v>
      </c>
    </row>
    <row r="68" spans="1:11">
      <c r="A68">
        <v>52000</v>
      </c>
      <c r="B68">
        <v>64</v>
      </c>
      <c r="C68">
        <v>4</v>
      </c>
      <c r="D68">
        <v>4</v>
      </c>
      <c r="E68">
        <v>80.292800000000014</v>
      </c>
      <c r="G68">
        <v>52000</v>
      </c>
      <c r="H68">
        <v>64</v>
      </c>
      <c r="I68">
        <v>4</v>
      </c>
      <c r="J68">
        <v>4</v>
      </c>
      <c r="K68">
        <v>78.921400000000006</v>
      </c>
    </row>
    <row r="69" spans="1:11">
      <c r="A69">
        <v>52000</v>
      </c>
      <c r="B69">
        <v>96</v>
      </c>
      <c r="C69">
        <v>4</v>
      </c>
      <c r="D69">
        <v>4</v>
      </c>
      <c r="E69">
        <v>88.286199999999994</v>
      </c>
      <c r="G69">
        <v>52000</v>
      </c>
      <c r="H69">
        <v>96</v>
      </c>
      <c r="I69">
        <v>4</v>
      </c>
      <c r="J69">
        <v>4</v>
      </c>
      <c r="K69">
        <v>104.44200000000001</v>
      </c>
    </row>
    <row r="70" spans="1:11">
      <c r="A70">
        <v>52000</v>
      </c>
      <c r="B70">
        <v>128</v>
      </c>
      <c r="C70">
        <v>4</v>
      </c>
      <c r="D70">
        <v>4</v>
      </c>
      <c r="E70">
        <v>105.75399999999999</v>
      </c>
      <c r="G70">
        <v>52000</v>
      </c>
      <c r="H70">
        <v>128</v>
      </c>
      <c r="I70">
        <v>4</v>
      </c>
      <c r="J70">
        <v>4</v>
      </c>
      <c r="K70">
        <v>120.47799999999999</v>
      </c>
    </row>
    <row r="71" spans="1:11">
      <c r="A71">
        <v>52000</v>
      </c>
      <c r="B71">
        <v>160</v>
      </c>
      <c r="C71">
        <v>4</v>
      </c>
      <c r="D71">
        <v>4</v>
      </c>
      <c r="E71">
        <v>115.58</v>
      </c>
      <c r="G71">
        <v>52000</v>
      </c>
      <c r="H71">
        <v>160</v>
      </c>
      <c r="I71">
        <v>4</v>
      </c>
      <c r="J71">
        <v>4</v>
      </c>
      <c r="K71">
        <v>127.10599999999999</v>
      </c>
    </row>
    <row r="72" spans="1:11">
      <c r="A72">
        <v>52000</v>
      </c>
      <c r="B72">
        <v>192</v>
      </c>
      <c r="C72">
        <v>4</v>
      </c>
      <c r="D72">
        <v>4</v>
      </c>
      <c r="E72">
        <v>114.61599999999999</v>
      </c>
      <c r="G72">
        <v>52000</v>
      </c>
      <c r="H72">
        <v>192</v>
      </c>
      <c r="I72">
        <v>4</v>
      </c>
      <c r="J72">
        <v>4</v>
      </c>
      <c r="K72">
        <v>130.928</v>
      </c>
    </row>
    <row r="73" spans="1:11">
      <c r="A73">
        <v>52000</v>
      </c>
      <c r="B73">
        <v>224</v>
      </c>
      <c r="C73">
        <v>4</v>
      </c>
      <c r="D73">
        <v>4</v>
      </c>
      <c r="E73">
        <v>118.48799999999999</v>
      </c>
      <c r="G73">
        <v>52000</v>
      </c>
      <c r="H73">
        <v>224</v>
      </c>
      <c r="I73">
        <v>4</v>
      </c>
      <c r="J73">
        <v>4</v>
      </c>
      <c r="K73">
        <v>132.94400000000002</v>
      </c>
    </row>
    <row r="74" spans="1:11">
      <c r="A74">
        <v>52000</v>
      </c>
      <c r="B74">
        <v>256</v>
      </c>
      <c r="C74">
        <v>4</v>
      </c>
      <c r="D74">
        <v>4</v>
      </c>
      <c r="E74">
        <v>112.66600000000001</v>
      </c>
      <c r="G74">
        <v>52000</v>
      </c>
      <c r="H74">
        <v>256</v>
      </c>
      <c r="I74">
        <v>4</v>
      </c>
      <c r="J74">
        <v>4</v>
      </c>
      <c r="K74">
        <v>130.48399999999998</v>
      </c>
    </row>
  </sheetData>
  <mergeCells count="8">
    <mergeCell ref="AM1:AQ1"/>
    <mergeCell ref="AS1:AW1"/>
    <mergeCell ref="AF1:AJ1"/>
    <mergeCell ref="A1:E1"/>
    <mergeCell ref="G1:K1"/>
    <mergeCell ref="N1:R1"/>
    <mergeCell ref="T1:X1"/>
    <mergeCell ref="Z1:AD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9</vt:i4>
      </vt:variant>
    </vt:vector>
  </HeadingPairs>
  <TitlesOfParts>
    <vt:vector size="9" baseType="lpstr">
      <vt:lpstr>Arch details</vt:lpstr>
      <vt:lpstr>ATLAS builds</vt:lpstr>
      <vt:lpstr>Arch flags GFLOPs</vt:lpstr>
      <vt:lpstr>4 nodes, builds, RAW</vt:lpstr>
      <vt:lpstr>1 node, params, RAW</vt:lpstr>
      <vt:lpstr>4 node, params, RAW</vt:lpstr>
      <vt:lpstr>1 node, params</vt:lpstr>
      <vt:lpstr>4 node, params</vt:lpstr>
      <vt:lpstr>Scalability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Zdravko Krpić</dc:creator>
  <cp:keywords/>
  <dc:description/>
  <cp:lastModifiedBy>Zdravko Krpić</cp:lastModifiedBy>
  <cp:revision/>
  <dcterms:created xsi:type="dcterms:W3CDTF">2022-06-10T13:31:47Z</dcterms:created>
  <dcterms:modified xsi:type="dcterms:W3CDTF">2025-05-21T14:00:40Z</dcterms:modified>
  <cp:category/>
  <cp:contentStatus/>
</cp:coreProperties>
</file>