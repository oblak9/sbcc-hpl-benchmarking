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foshr-my.sharepoint.com/personal/krpic_etfos_hr/Documents/Istraživanje/1. SBCC/Results2/"/>
    </mc:Choice>
  </mc:AlternateContent>
  <xr:revisionPtr revIDLastSave="138" documentId="13_ncr:1_{2B320410-528B-4737-8404-E6BDF5222BF0}" xr6:coauthVersionLast="47" xr6:coauthVersionMax="47" xr10:uidLastSave="{D8649733-F3DD-40E3-8462-26AC164022C3}"/>
  <bookViews>
    <workbookView xWindow="0" yWindow="0" windowWidth="38610" windowHeight="20880" activeTab="8" xr2:uid="{A2AD9453-B2DD-442A-8FF6-DE56922957DD}"/>
  </bookViews>
  <sheets>
    <sheet name="ATLAS make time results" sheetId="10" r:id="rId1"/>
    <sheet name="Arch details" sheetId="6" r:id="rId2"/>
    <sheet name="HPL_Builds" sheetId="8" r:id="rId3"/>
    <sheet name="ATLAS builds" sheetId="9" r:id="rId4"/>
    <sheet name="HPL 4 nodes, builds" sheetId="12" r:id="rId5"/>
    <sheet name="1 node, params, RAW" sheetId="15" r:id="rId6"/>
    <sheet name="4 node, params, RAW" sheetId="14" r:id="rId7"/>
    <sheet name="1 node, params" sheetId="16" r:id="rId8"/>
    <sheet name="4 node, params" sheetId="17" r:id="rId9"/>
    <sheet name="Scalability analysis" sheetId="1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6" i="18" l="1"/>
  <c r="AY26" i="18"/>
  <c r="BA25" i="18"/>
  <c r="AY25" i="18"/>
  <c r="BA24" i="18"/>
  <c r="AY24" i="18"/>
  <c r="BA23" i="18"/>
  <c r="AY23" i="18"/>
  <c r="BA22" i="18"/>
  <c r="AY22" i="18"/>
  <c r="BA21" i="18"/>
  <c r="AY21" i="18"/>
  <c r="BA20" i="18"/>
  <c r="AY20" i="18"/>
  <c r="BA19" i="18"/>
  <c r="AY19" i="18"/>
  <c r="BA18" i="18"/>
  <c r="AY18" i="18"/>
  <c r="BA17" i="18"/>
  <c r="AY17" i="18"/>
  <c r="BA16" i="18"/>
  <c r="AY16" i="18"/>
  <c r="BA15" i="18"/>
  <c r="AY15" i="18"/>
  <c r="BA14" i="18"/>
  <c r="AY14" i="18"/>
  <c r="BA13" i="18"/>
  <c r="AY13" i="18"/>
  <c r="BA12" i="18"/>
  <c r="AY12" i="18"/>
  <c r="BA11" i="18"/>
  <c r="AY11" i="18"/>
  <c r="BA10" i="18"/>
  <c r="AY10" i="18"/>
  <c r="BA9" i="18"/>
  <c r="AY9" i="18"/>
  <c r="BA8" i="18"/>
  <c r="AY8" i="18"/>
  <c r="BA7" i="18"/>
  <c r="AY7" i="18"/>
  <c r="BA6" i="18"/>
  <c r="AY6" i="18"/>
  <c r="BA5" i="18"/>
  <c r="AY5" i="18"/>
  <c r="BA4" i="18"/>
  <c r="AY4" i="18"/>
  <c r="BA3" i="18"/>
  <c r="AY3" i="18"/>
  <c r="U5" i="17"/>
  <c r="U6" i="17"/>
  <c r="U7" i="17"/>
  <c r="U8" i="17"/>
  <c r="U9" i="17"/>
  <c r="U10" i="17"/>
  <c r="U11" i="17"/>
  <c r="U12" i="17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49" i="17"/>
  <c r="U50" i="17"/>
  <c r="U51" i="17"/>
  <c r="U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4" i="17"/>
  <c r="U5" i="16"/>
  <c r="U6" i="16"/>
  <c r="U7" i="16"/>
  <c r="U8" i="16"/>
  <c r="U9" i="16"/>
  <c r="U10" i="16"/>
  <c r="U11" i="16"/>
  <c r="U12" i="16"/>
  <c r="U13" i="16"/>
  <c r="U14" i="16"/>
  <c r="U15" i="16"/>
  <c r="U16" i="16"/>
  <c r="U17" i="16"/>
  <c r="U18" i="16"/>
  <c r="U19" i="16"/>
  <c r="U20" i="16"/>
  <c r="U21" i="16"/>
  <c r="U22" i="16"/>
  <c r="U23" i="16"/>
  <c r="U24" i="16"/>
  <c r="U25" i="16"/>
  <c r="U26" i="16"/>
  <c r="U27" i="16"/>
  <c r="U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4" i="16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36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17" i="12"/>
  <c r="M17" i="12" a="1"/>
  <c r="M17" i="12" s="1"/>
  <c r="A4" i="16" a="1"/>
  <c r="A4" i="16" s="1"/>
  <c r="K56" i="12"/>
  <c r="K57" i="12" s="1"/>
  <c r="K58" i="12" s="1"/>
  <c r="K59" i="12" s="1"/>
  <c r="K60" i="12"/>
  <c r="K61" i="12" s="1"/>
  <c r="K62" i="12" s="1"/>
  <c r="K63" i="12" s="1"/>
  <c r="K40" i="12"/>
  <c r="K41" i="12" s="1"/>
  <c r="K42" i="12" s="1"/>
  <c r="K43" i="12" s="1"/>
  <c r="K44" i="12"/>
  <c r="K45" i="12" s="1"/>
  <c r="K46" i="12" s="1"/>
  <c r="K47" i="12" s="1"/>
  <c r="K52" i="12"/>
  <c r="K53" i="12" s="1"/>
  <c r="K54" i="12" s="1"/>
  <c r="K55" i="12" s="1"/>
  <c r="K36" i="12"/>
  <c r="K37" i="12" s="1"/>
  <c r="K38" i="12" s="1"/>
  <c r="K39" i="12" s="1"/>
  <c r="K28" i="12"/>
  <c r="K29" i="12" s="1"/>
  <c r="K30" i="12" s="1"/>
  <c r="K31" i="12" s="1"/>
  <c r="K68" i="12"/>
  <c r="K69" i="12" s="1"/>
  <c r="K70" i="12" s="1"/>
  <c r="K71" i="12" s="1"/>
  <c r="K24" i="12"/>
  <c r="K25" i="12" s="1"/>
  <c r="K26" i="12" s="1"/>
  <c r="K27" i="12" s="1"/>
  <c r="K32" i="12"/>
  <c r="K33" i="12" s="1"/>
  <c r="K34" i="12" s="1"/>
  <c r="K35" i="12" s="1"/>
  <c r="K20" i="12"/>
  <c r="K21" i="12" s="1"/>
  <c r="K22" i="12" s="1"/>
  <c r="K23" i="12" s="1"/>
  <c r="K12" i="12"/>
  <c r="K13" i="12"/>
  <c r="K14" i="12"/>
  <c r="K15" i="12"/>
  <c r="K4" i="12"/>
  <c r="K5" i="12" s="1"/>
  <c r="K6" i="12" s="1"/>
  <c r="K7" i="12" s="1"/>
  <c r="K8" i="12"/>
  <c r="K9" i="12" s="1"/>
  <c r="K10" i="12" s="1"/>
  <c r="K11" i="12" s="1"/>
  <c r="K16" i="12"/>
  <c r="K17" i="12"/>
  <c r="K18" i="12" s="1"/>
  <c r="K19" i="12" s="1"/>
  <c r="K64" i="12"/>
  <c r="K65" i="12" s="1"/>
  <c r="K66" i="12" s="1"/>
  <c r="K67" i="12" s="1"/>
  <c r="G1" i="14"/>
  <c r="H1" i="14"/>
  <c r="I1" i="14"/>
  <c r="F1" i="14"/>
  <c r="C2" i="14"/>
  <c r="E1" i="14"/>
  <c r="G4" i="16" a="1"/>
  <c r="G4" i="16" s="1"/>
  <c r="J2" i="16" l="1"/>
  <c r="I2" i="16"/>
  <c r="K2" i="16"/>
  <c r="A2" i="16"/>
  <c r="B2" i="16"/>
  <c r="C2" i="16"/>
  <c r="D2" i="16"/>
  <c r="E2" i="16"/>
  <c r="H2" i="16"/>
  <c r="G2" i="16"/>
  <c r="AC9" i="15" l="1"/>
  <c r="AC10" i="15" s="1"/>
  <c r="AC11" i="15" s="1"/>
  <c r="AC12" i="15" s="1"/>
  <c r="AC13" i="15" s="1"/>
  <c r="AC14" i="15"/>
  <c r="AC15" i="15"/>
  <c r="AC16" i="15" s="1"/>
  <c r="AC17" i="15" s="1"/>
  <c r="AC18" i="15" s="1"/>
  <c r="AC19" i="15"/>
  <c r="AC20" i="15" s="1"/>
  <c r="AC21" i="15" s="1"/>
  <c r="AC22" i="15" s="1"/>
  <c r="AC23" i="15" s="1"/>
  <c r="AC24" i="15"/>
  <c r="AC25" i="15" s="1"/>
  <c r="AC26" i="15" s="1"/>
  <c r="AC27" i="15" s="1"/>
  <c r="AC28" i="15" s="1"/>
  <c r="AC29" i="15"/>
  <c r="AC30" i="15" s="1"/>
  <c r="AC31" i="15" s="1"/>
  <c r="AC32" i="15" s="1"/>
  <c r="AC33" i="15" s="1"/>
  <c r="AC34" i="15"/>
  <c r="AC35" i="15"/>
  <c r="AC36" i="15"/>
  <c r="AC37" i="15" s="1"/>
  <c r="AC38" i="15" s="1"/>
  <c r="AC39" i="15"/>
  <c r="AC40" i="15" s="1"/>
  <c r="AC41" i="15" s="1"/>
  <c r="AC42" i="15" s="1"/>
  <c r="AC43" i="15" s="1"/>
  <c r="AC44" i="15"/>
  <c r="AC45" i="15" s="1"/>
  <c r="AC46" i="15" s="1"/>
  <c r="AC47" i="15" s="1"/>
  <c r="AC48" i="15" s="1"/>
  <c r="AC49" i="15"/>
  <c r="AC50" i="15" s="1"/>
  <c r="AC51" i="15" s="1"/>
  <c r="AC52" i="15" s="1"/>
  <c r="AC53" i="15" s="1"/>
  <c r="AC54" i="15"/>
  <c r="AC55" i="15"/>
  <c r="AC56" i="15" s="1"/>
  <c r="AC57" i="15" s="1"/>
  <c r="AC58" i="15" s="1"/>
  <c r="AC59" i="15"/>
  <c r="AC60" i="15"/>
  <c r="AC61" i="15" s="1"/>
  <c r="AC62" i="15" s="1"/>
  <c r="AC63" i="15" s="1"/>
  <c r="AC64" i="15"/>
  <c r="AC65" i="15"/>
  <c r="AC66" i="15" s="1"/>
  <c r="AC67" i="15" s="1"/>
  <c r="AC68" i="15" s="1"/>
  <c r="AC69" i="15"/>
  <c r="AC70" i="15" s="1"/>
  <c r="AC71" i="15" s="1"/>
  <c r="AC72" i="15" s="1"/>
  <c r="AC73" i="15" s="1"/>
  <c r="AC74" i="15"/>
  <c r="AC75" i="15"/>
  <c r="AC76" i="15" s="1"/>
  <c r="AC77" i="15" s="1"/>
  <c r="AC78" i="15" s="1"/>
  <c r="AC79" i="15"/>
  <c r="AC80" i="15" s="1"/>
  <c r="AC81" i="15" s="1"/>
  <c r="AC82" i="15" s="1"/>
  <c r="AC83" i="15" s="1"/>
  <c r="AC84" i="15"/>
  <c r="AC85" i="15" s="1"/>
  <c r="AC86" i="15" s="1"/>
  <c r="AC87" i="15" s="1"/>
  <c r="AC88" i="15" s="1"/>
  <c r="AC89" i="15"/>
  <c r="AC90" i="15" s="1"/>
  <c r="AC91" i="15" s="1"/>
  <c r="AC92" i="15" s="1"/>
  <c r="AC93" i="15" s="1"/>
  <c r="AC94" i="15"/>
  <c r="AC95" i="15"/>
  <c r="AC96" i="15"/>
  <c r="AC97" i="15" s="1"/>
  <c r="AC98" i="15" s="1"/>
  <c r="AC99" i="15"/>
  <c r="AC100" i="15" s="1"/>
  <c r="AC101" i="15" s="1"/>
  <c r="AC102" i="15" s="1"/>
  <c r="AC103" i="15" s="1"/>
  <c r="AC104" i="15"/>
  <c r="AC105" i="15" s="1"/>
  <c r="AC106" i="15" s="1"/>
  <c r="AC107" i="15" s="1"/>
  <c r="AC108" i="15" s="1"/>
  <c r="AC109" i="15"/>
  <c r="AC110" i="15" s="1"/>
  <c r="AC111" i="15" s="1"/>
  <c r="AC112" i="15" s="1"/>
  <c r="AC113" i="15" s="1"/>
  <c r="AC114" i="15"/>
  <c r="AC115" i="15"/>
  <c r="AC116" i="15" s="1"/>
  <c r="AC117" i="15" s="1"/>
  <c r="AC118" i="15" s="1"/>
  <c r="AC119" i="15"/>
  <c r="AC120" i="15"/>
  <c r="AC121" i="15" s="1"/>
  <c r="AC122" i="15" s="1"/>
  <c r="AC123" i="15" s="1"/>
  <c r="AC4" i="15"/>
  <c r="AC5" i="15" s="1"/>
  <c r="AC6" i="15" s="1"/>
  <c r="AC7" i="15" s="1"/>
  <c r="AC8" i="15" s="1"/>
  <c r="N14" i="15"/>
  <c r="N15" i="15" s="1"/>
  <c r="N16" i="15" s="1"/>
  <c r="N17" i="15" s="1"/>
  <c r="N18" i="15" s="1"/>
  <c r="N19" i="15"/>
  <c r="N20" i="15"/>
  <c r="N21" i="15" s="1"/>
  <c r="N22" i="15" s="1"/>
  <c r="N23" i="15" s="1"/>
  <c r="N24" i="15"/>
  <c r="N25" i="15"/>
  <c r="N26" i="15" s="1"/>
  <c r="N27" i="15" s="1"/>
  <c r="N28" i="15" s="1"/>
  <c r="N29" i="15"/>
  <c r="N30" i="15" s="1"/>
  <c r="N31" i="15" s="1"/>
  <c r="N32" i="15" s="1"/>
  <c r="N33" i="15" s="1"/>
  <c r="N34" i="15"/>
  <c r="N35" i="15"/>
  <c r="N36" i="15" s="1"/>
  <c r="N37" i="15" s="1"/>
  <c r="N38" i="15" s="1"/>
  <c r="N39" i="15"/>
  <c r="N40" i="15"/>
  <c r="N41" i="15" s="1"/>
  <c r="N42" i="15" s="1"/>
  <c r="N43" i="15" s="1"/>
  <c r="N44" i="15"/>
  <c r="N45" i="15" s="1"/>
  <c r="N46" i="15" s="1"/>
  <c r="N47" i="15" s="1"/>
  <c r="N48" i="15" s="1"/>
  <c r="N49" i="15"/>
  <c r="N50" i="15" s="1"/>
  <c r="N51" i="15" s="1"/>
  <c r="N52" i="15" s="1"/>
  <c r="N53" i="15" s="1"/>
  <c r="N54" i="15"/>
  <c r="N55" i="15"/>
  <c r="N56" i="15"/>
  <c r="N57" i="15"/>
  <c r="N58" i="15"/>
  <c r="N59" i="15"/>
  <c r="N60" i="15" s="1"/>
  <c r="N61" i="15" s="1"/>
  <c r="N62" i="15" s="1"/>
  <c r="N63" i="15" s="1"/>
  <c r="N64" i="15"/>
  <c r="N65" i="15" s="1"/>
  <c r="N66" i="15" s="1"/>
  <c r="N67" i="15" s="1"/>
  <c r="N68" i="15" s="1"/>
  <c r="N69" i="15"/>
  <c r="N70" i="15"/>
  <c r="N71" i="15"/>
  <c r="N72" i="15" s="1"/>
  <c r="N73" i="15" s="1"/>
  <c r="N74" i="15"/>
  <c r="N75" i="15" s="1"/>
  <c r="N76" i="15" s="1"/>
  <c r="N77" i="15" s="1"/>
  <c r="N78" i="15" s="1"/>
  <c r="N79" i="15"/>
  <c r="N80" i="15"/>
  <c r="N81" i="15"/>
  <c r="N82" i="15"/>
  <c r="N83" i="15"/>
  <c r="N84" i="15"/>
  <c r="N85" i="15"/>
  <c r="N86" i="15" s="1"/>
  <c r="N87" i="15" s="1"/>
  <c r="N88" i="15" s="1"/>
  <c r="N89" i="15"/>
  <c r="N90" i="15" s="1"/>
  <c r="N91" i="15" s="1"/>
  <c r="N92" i="15" s="1"/>
  <c r="N93" i="15" s="1"/>
  <c r="N94" i="15"/>
  <c r="N95" i="15"/>
  <c r="N96" i="15" s="1"/>
  <c r="N97" i="15" s="1"/>
  <c r="N98" i="15" s="1"/>
  <c r="N99" i="15"/>
  <c r="N100" i="15"/>
  <c r="N101" i="15" s="1"/>
  <c r="N102" i="15" s="1"/>
  <c r="N103" i="15" s="1"/>
  <c r="N104" i="15"/>
  <c r="N105" i="15" s="1"/>
  <c r="N106" i="15" s="1"/>
  <c r="N107" i="15" s="1"/>
  <c r="N108" i="15" s="1"/>
  <c r="N109" i="15"/>
  <c r="N110" i="15" s="1"/>
  <c r="N111" i="15" s="1"/>
  <c r="N112" i="15" s="1"/>
  <c r="N113" i="15" s="1"/>
  <c r="N114" i="15"/>
  <c r="N115" i="15"/>
  <c r="N116" i="15"/>
  <c r="N117" i="15"/>
  <c r="N118" i="15"/>
  <c r="N119" i="15"/>
  <c r="N120" i="15" s="1"/>
  <c r="N121" i="15" s="1"/>
  <c r="N122" i="15" s="1"/>
  <c r="N123" i="15" s="1"/>
  <c r="N9" i="15"/>
  <c r="N10" i="15" s="1"/>
  <c r="N11" i="15" s="1"/>
  <c r="N12" i="15" s="1"/>
  <c r="N13" i="15" s="1"/>
  <c r="N6" i="15"/>
  <c r="N7" i="15" s="1"/>
  <c r="N8" i="15" s="1"/>
  <c r="N5" i="15"/>
  <c r="AU9" i="14"/>
  <c r="AU10" i="14"/>
  <c r="AU11" i="14" s="1"/>
  <c r="AU12" i="14" s="1"/>
  <c r="AU13" i="14" s="1"/>
  <c r="AU14" i="14"/>
  <c r="AU15" i="14" s="1"/>
  <c r="AU16" i="14" s="1"/>
  <c r="AU17" i="14" s="1"/>
  <c r="AU18" i="14" s="1"/>
  <c r="AU19" i="14"/>
  <c r="AU20" i="14" s="1"/>
  <c r="AU21" i="14" s="1"/>
  <c r="AU22" i="14" s="1"/>
  <c r="AU23" i="14" s="1"/>
  <c r="AU24" i="14"/>
  <c r="AU25" i="14" s="1"/>
  <c r="AU26" i="14" s="1"/>
  <c r="AU27" i="14" s="1"/>
  <c r="AU28" i="14" s="1"/>
  <c r="AU29" i="14"/>
  <c r="AU30" i="14" s="1"/>
  <c r="AU31" i="14" s="1"/>
  <c r="AU32" i="14" s="1"/>
  <c r="AU33" i="14" s="1"/>
  <c r="AU34" i="14"/>
  <c r="AU35" i="14" s="1"/>
  <c r="AU36" i="14" s="1"/>
  <c r="AU37" i="14" s="1"/>
  <c r="AU38" i="14" s="1"/>
  <c r="AU39" i="14"/>
  <c r="AU40" i="14" s="1"/>
  <c r="AU41" i="14" s="1"/>
  <c r="AU42" i="14" s="1"/>
  <c r="AU43" i="14" s="1"/>
  <c r="AU44" i="14"/>
  <c r="AU45" i="14" s="1"/>
  <c r="AU46" i="14" s="1"/>
  <c r="AU47" i="14" s="1"/>
  <c r="AU48" i="14" s="1"/>
  <c r="AU49" i="14"/>
  <c r="AU50" i="14" s="1"/>
  <c r="AU51" i="14" s="1"/>
  <c r="AU52" i="14" s="1"/>
  <c r="AU53" i="14" s="1"/>
  <c r="AU54" i="14"/>
  <c r="AU55" i="14"/>
  <c r="AU56" i="14" s="1"/>
  <c r="AU57" i="14" s="1"/>
  <c r="AU58" i="14" s="1"/>
  <c r="AU59" i="14"/>
  <c r="AU60" i="14" s="1"/>
  <c r="AU61" i="14" s="1"/>
  <c r="AU62" i="14" s="1"/>
  <c r="AU63" i="14" s="1"/>
  <c r="AU64" i="14"/>
  <c r="AU65" i="14" s="1"/>
  <c r="AU66" i="14" s="1"/>
  <c r="AU67" i="14" s="1"/>
  <c r="AU68" i="14" s="1"/>
  <c r="AU69" i="14"/>
  <c r="AU70" i="14" s="1"/>
  <c r="AU71" i="14" s="1"/>
  <c r="AU72" i="14" s="1"/>
  <c r="AU73" i="14" s="1"/>
  <c r="AU74" i="14"/>
  <c r="AU75" i="14"/>
  <c r="AU76" i="14" s="1"/>
  <c r="AU77" i="14" s="1"/>
  <c r="AU78" i="14" s="1"/>
  <c r="AU79" i="14"/>
  <c r="AU80" i="14" s="1"/>
  <c r="AU81" i="14" s="1"/>
  <c r="AU82" i="14" s="1"/>
  <c r="AU83" i="14" s="1"/>
  <c r="AU84" i="14"/>
  <c r="AU85" i="14" s="1"/>
  <c r="AU86" i="14" s="1"/>
  <c r="AU87" i="14" s="1"/>
  <c r="AU88" i="14" s="1"/>
  <c r="AU89" i="14"/>
  <c r="AU90" i="14" s="1"/>
  <c r="AU91" i="14" s="1"/>
  <c r="AU92" i="14" s="1"/>
  <c r="AU93" i="14" s="1"/>
  <c r="AU94" i="14"/>
  <c r="AU95" i="14" s="1"/>
  <c r="AU96" i="14" s="1"/>
  <c r="AU97" i="14" s="1"/>
  <c r="AU98" i="14" s="1"/>
  <c r="AU99" i="14"/>
  <c r="AU100" i="14" s="1"/>
  <c r="AU101" i="14" s="1"/>
  <c r="AU102" i="14" s="1"/>
  <c r="AU103" i="14" s="1"/>
  <c r="AU104" i="14"/>
  <c r="AU105" i="14" s="1"/>
  <c r="AU106" i="14" s="1"/>
  <c r="AU107" i="14" s="1"/>
  <c r="AU108" i="14" s="1"/>
  <c r="AU109" i="14"/>
  <c r="AU110" i="14" s="1"/>
  <c r="AU111" i="14" s="1"/>
  <c r="AU112" i="14" s="1"/>
  <c r="AU113" i="14" s="1"/>
  <c r="AU114" i="14"/>
  <c r="AU115" i="14" s="1"/>
  <c r="AU116" i="14" s="1"/>
  <c r="AU117" i="14" s="1"/>
  <c r="AU118" i="14" s="1"/>
  <c r="AU119" i="14"/>
  <c r="AU120" i="14" s="1"/>
  <c r="AU121" i="14" s="1"/>
  <c r="AU122" i="14" s="1"/>
  <c r="AU123" i="14" s="1"/>
  <c r="AU124" i="14"/>
  <c r="AU125" i="14" s="1"/>
  <c r="AU126" i="14" s="1"/>
  <c r="AU127" i="14" s="1"/>
  <c r="AU128" i="14" s="1"/>
  <c r="AU129" i="14"/>
  <c r="AU130" i="14" s="1"/>
  <c r="AU131" i="14" s="1"/>
  <c r="AU132" i="14" s="1"/>
  <c r="AU133" i="14" s="1"/>
  <c r="AU134" i="14"/>
  <c r="AU135" i="14" s="1"/>
  <c r="AU136" i="14" s="1"/>
  <c r="AU137" i="14" s="1"/>
  <c r="AU138" i="14" s="1"/>
  <c r="AU139" i="14"/>
  <c r="AU140" i="14" s="1"/>
  <c r="AU141" i="14" s="1"/>
  <c r="AU142" i="14" s="1"/>
  <c r="AU143" i="14" s="1"/>
  <c r="AU144" i="14"/>
  <c r="AU145" i="14" s="1"/>
  <c r="AU146" i="14" s="1"/>
  <c r="AU147" i="14" s="1"/>
  <c r="AU148" i="14" s="1"/>
  <c r="AU149" i="14"/>
  <c r="AU150" i="14" s="1"/>
  <c r="AU151" i="14" s="1"/>
  <c r="AU152" i="14" s="1"/>
  <c r="AU153" i="14" s="1"/>
  <c r="AU154" i="14"/>
  <c r="AU155" i="14" s="1"/>
  <c r="AU156" i="14" s="1"/>
  <c r="AU157" i="14" s="1"/>
  <c r="AU158" i="14" s="1"/>
  <c r="AU159" i="14"/>
  <c r="AU160" i="14" s="1"/>
  <c r="AU161" i="14" s="1"/>
  <c r="AU162" i="14" s="1"/>
  <c r="AU163" i="14" s="1"/>
  <c r="AU164" i="14"/>
  <c r="AU165" i="14" s="1"/>
  <c r="AU166" i="14" s="1"/>
  <c r="AU167" i="14" s="1"/>
  <c r="AU168" i="14" s="1"/>
  <c r="AU169" i="14"/>
  <c r="AU170" i="14" s="1"/>
  <c r="AU171" i="14" s="1"/>
  <c r="AU172" i="14" s="1"/>
  <c r="AU173" i="14" s="1"/>
  <c r="AU174" i="14"/>
  <c r="AU175" i="14" s="1"/>
  <c r="AU176" i="14" s="1"/>
  <c r="AU177" i="14" s="1"/>
  <c r="AU178" i="14" s="1"/>
  <c r="AU179" i="14"/>
  <c r="AU180" i="14" s="1"/>
  <c r="AU181" i="14" s="1"/>
  <c r="AU182" i="14" s="1"/>
  <c r="AU183" i="14" s="1"/>
  <c r="AU184" i="14"/>
  <c r="AU185" i="14" s="1"/>
  <c r="AU186" i="14" s="1"/>
  <c r="AU187" i="14" s="1"/>
  <c r="AU188" i="14" s="1"/>
  <c r="AU189" i="14"/>
  <c r="AU190" i="14" s="1"/>
  <c r="AU191" i="14" s="1"/>
  <c r="AU192" i="14" s="1"/>
  <c r="AU193" i="14" s="1"/>
  <c r="AU194" i="14"/>
  <c r="AU195" i="14" s="1"/>
  <c r="AU196" i="14" s="1"/>
  <c r="AU197" i="14" s="1"/>
  <c r="AU198" i="14" s="1"/>
  <c r="AU199" i="14"/>
  <c r="AU200" i="14" s="1"/>
  <c r="AU201" i="14" s="1"/>
  <c r="AU202" i="14" s="1"/>
  <c r="AU203" i="14" s="1"/>
  <c r="AU204" i="14"/>
  <c r="AU205" i="14" s="1"/>
  <c r="AU206" i="14" s="1"/>
  <c r="AU207" i="14" s="1"/>
  <c r="AU208" i="14" s="1"/>
  <c r="AU209" i="14"/>
  <c r="AU210" i="14" s="1"/>
  <c r="AU211" i="14" s="1"/>
  <c r="AU212" i="14" s="1"/>
  <c r="AU213" i="14" s="1"/>
  <c r="AU214" i="14"/>
  <c r="AU215" i="14" s="1"/>
  <c r="AU216" i="14" s="1"/>
  <c r="AU217" i="14" s="1"/>
  <c r="AU218" i="14" s="1"/>
  <c r="AU219" i="14"/>
  <c r="AU220" i="14" s="1"/>
  <c r="AU221" i="14" s="1"/>
  <c r="AU222" i="14" s="1"/>
  <c r="AU223" i="14" s="1"/>
  <c r="AU224" i="14"/>
  <c r="AU225" i="14" s="1"/>
  <c r="AU226" i="14" s="1"/>
  <c r="AU227" i="14" s="1"/>
  <c r="AU228" i="14" s="1"/>
  <c r="AU229" i="14"/>
  <c r="AU230" i="14" s="1"/>
  <c r="AU231" i="14" s="1"/>
  <c r="AU232" i="14" s="1"/>
  <c r="AU233" i="14" s="1"/>
  <c r="AU234" i="14"/>
  <c r="AU235" i="14"/>
  <c r="AU236" i="14" s="1"/>
  <c r="AU237" i="14" s="1"/>
  <c r="AU238" i="14" s="1"/>
  <c r="AU239" i="14"/>
  <c r="AU240" i="14" s="1"/>
  <c r="AU241" i="14" s="1"/>
  <c r="AU242" i="14" s="1"/>
  <c r="AU243" i="14" s="1"/>
  <c r="AU4" i="14"/>
  <c r="BS14" i="14"/>
  <c r="BS15" i="14" s="1"/>
  <c r="BS19" i="14"/>
  <c r="BS24" i="14"/>
  <c r="BS29" i="14"/>
  <c r="BS34" i="14"/>
  <c r="BS35" i="14" s="1"/>
  <c r="BS39" i="14"/>
  <c r="BS40" i="14" s="1"/>
  <c r="BS44" i="14"/>
  <c r="BS45" i="14" s="1"/>
  <c r="BS49" i="14"/>
  <c r="BS54" i="14"/>
  <c r="BS59" i="14"/>
  <c r="BS64" i="14"/>
  <c r="BS65" i="14" s="1"/>
  <c r="BS66" i="14" s="1"/>
  <c r="BS67" i="14" s="1"/>
  <c r="BS68" i="14" s="1"/>
  <c r="BS69" i="14"/>
  <c r="BS70" i="14" s="1"/>
  <c r="BS71" i="14" s="1"/>
  <c r="BS72" i="14" s="1"/>
  <c r="BS73" i="14" s="1"/>
  <c r="BS74" i="14"/>
  <c r="BS75" i="14" s="1"/>
  <c r="BS76" i="14" s="1"/>
  <c r="BS77" i="14" s="1"/>
  <c r="BS78" i="14" s="1"/>
  <c r="BS79" i="14"/>
  <c r="BS84" i="14"/>
  <c r="BS89" i="14"/>
  <c r="BS94" i="14"/>
  <c r="BS95" i="14" s="1"/>
  <c r="BS99" i="14"/>
  <c r="BS104" i="14"/>
  <c r="BS105" i="14" s="1"/>
  <c r="BS109" i="14"/>
  <c r="BS114" i="14"/>
  <c r="BS119" i="14"/>
  <c r="BS120" i="14" s="1"/>
  <c r="BS124" i="14"/>
  <c r="BS125" i="14" s="1"/>
  <c r="BS129" i="14"/>
  <c r="BS134" i="14"/>
  <c r="BS139" i="14"/>
  <c r="BS144" i="14"/>
  <c r="BS149" i="14"/>
  <c r="BS150" i="14" s="1"/>
  <c r="BS154" i="14"/>
  <c r="BS155" i="14" s="1"/>
  <c r="BS159" i="14"/>
  <c r="BS164" i="14"/>
  <c r="BS165" i="14" s="1"/>
  <c r="W4" i="14"/>
  <c r="W9" i="14"/>
  <c r="W14" i="14"/>
  <c r="W15" i="14" s="1"/>
  <c r="W19" i="14"/>
  <c r="W24" i="14"/>
  <c r="W29" i="14"/>
  <c r="W34" i="14"/>
  <c r="W35" i="14" s="1"/>
  <c r="W39" i="14"/>
  <c r="W40" i="14" s="1"/>
  <c r="W44" i="14"/>
  <c r="W49" i="14"/>
  <c r="W54" i="14"/>
  <c r="W59" i="14"/>
  <c r="W64" i="14"/>
  <c r="BS80" i="14" s="1"/>
  <c r="W69" i="14"/>
  <c r="W74" i="14"/>
  <c r="W79" i="14"/>
  <c r="W84" i="14"/>
  <c r="W89" i="14"/>
  <c r="W90" i="14" s="1"/>
  <c r="W94" i="14"/>
  <c r="W99" i="14"/>
  <c r="W104" i="14"/>
  <c r="W109" i="14"/>
  <c r="W114" i="14"/>
  <c r="BS130" i="14" s="1"/>
  <c r="W119" i="14"/>
  <c r="W124" i="14"/>
  <c r="W129" i="14"/>
  <c r="W134" i="14"/>
  <c r="W139" i="14"/>
  <c r="W144" i="14"/>
  <c r="W149" i="14"/>
  <c r="W154" i="14"/>
  <c r="W155" i="14" s="1"/>
  <c r="W156" i="14" s="1"/>
  <c r="W157" i="14" s="1"/>
  <c r="W158" i="14" s="1"/>
  <c r="W159" i="14"/>
  <c r="W160" i="14" s="1"/>
  <c r="W161" i="14" s="1"/>
  <c r="W162" i="14" s="1"/>
  <c r="W163" i="14" s="1"/>
  <c r="W164" i="14"/>
  <c r="W165" i="14" s="1"/>
  <c r="W166" i="14" s="1"/>
  <c r="W167" i="14" s="1"/>
  <c r="W168" i="14" s="1"/>
  <c r="W169" i="14"/>
  <c r="W170" i="14" s="1"/>
  <c r="W171" i="14" s="1"/>
  <c r="W172" i="14" s="1"/>
  <c r="W173" i="14" s="1"/>
  <c r="W174" i="14"/>
  <c r="W175" i="14" s="1"/>
  <c r="W176" i="14" s="1"/>
  <c r="W177" i="14" s="1"/>
  <c r="W178" i="14" s="1"/>
  <c r="W179" i="14"/>
  <c r="W180" i="14" s="1"/>
  <c r="W181" i="14" s="1"/>
  <c r="W182" i="14" s="1"/>
  <c r="W183" i="14" s="1"/>
  <c r="W184" i="14"/>
  <c r="W185" i="14" s="1"/>
  <c r="W186" i="14" s="1"/>
  <c r="W187" i="14" s="1"/>
  <c r="W188" i="14" s="1"/>
  <c r="W189" i="14"/>
  <c r="W190" i="14" s="1"/>
  <c r="W191" i="14" s="1"/>
  <c r="W192" i="14" s="1"/>
  <c r="W193" i="14" s="1"/>
  <c r="W194" i="14"/>
  <c r="W195" i="14" s="1"/>
  <c r="W196" i="14" s="1"/>
  <c r="W197" i="14" s="1"/>
  <c r="W198" i="14" s="1"/>
  <c r="W199" i="14"/>
  <c r="W200" i="14" s="1"/>
  <c r="W201" i="14" s="1"/>
  <c r="W202" i="14" s="1"/>
  <c r="W203" i="14" s="1"/>
  <c r="W204" i="14"/>
  <c r="W205" i="14" s="1"/>
  <c r="W206" i="14" s="1"/>
  <c r="W207" i="14" s="1"/>
  <c r="W208" i="14" s="1"/>
  <c r="W209" i="14"/>
  <c r="W210" i="14" s="1"/>
  <c r="W211" i="14" s="1"/>
  <c r="W212" i="14" s="1"/>
  <c r="W213" i="14" s="1"/>
  <c r="W214" i="14"/>
  <c r="W215" i="14" s="1"/>
  <c r="W216" i="14" s="1"/>
  <c r="W217" i="14" s="1"/>
  <c r="W218" i="14" s="1"/>
  <c r="W219" i="14"/>
  <c r="W220" i="14" s="1"/>
  <c r="W221" i="14" s="1"/>
  <c r="W222" i="14" s="1"/>
  <c r="W223" i="14" s="1"/>
  <c r="W224" i="14"/>
  <c r="W225" i="14" s="1"/>
  <c r="W226" i="14" s="1"/>
  <c r="W227" i="14" s="1"/>
  <c r="W228" i="14" s="1"/>
  <c r="W229" i="14"/>
  <c r="W230" i="14" s="1"/>
  <c r="W231" i="14" s="1"/>
  <c r="W232" i="14" s="1"/>
  <c r="W233" i="14" s="1"/>
  <c r="W234" i="14"/>
  <c r="W235" i="14" s="1"/>
  <c r="W236" i="14" s="1"/>
  <c r="W237" i="14" s="1"/>
  <c r="W238" i="14" s="1"/>
  <c r="W239" i="14"/>
  <c r="W240" i="14" s="1"/>
  <c r="W241" i="14" s="1"/>
  <c r="W242" i="14" s="1"/>
  <c r="W243" i="14" s="1"/>
  <c r="BS9" i="14"/>
  <c r="BS10" i="14" s="1"/>
  <c r="BS4" i="14"/>
  <c r="BS135" i="14" l="1"/>
  <c r="BS85" i="14"/>
  <c r="A4" i="17" a="1"/>
  <c r="E2" i="17" s="1"/>
  <c r="BS25" i="14"/>
  <c r="AU5" i="14"/>
  <c r="AU6" i="14" s="1"/>
  <c r="AU7" i="14" s="1"/>
  <c r="AU8" i="14" s="1"/>
  <c r="G4" i="17" a="1"/>
  <c r="BS60" i="14"/>
  <c r="W60" i="14" s="1"/>
  <c r="BS61" i="14" s="1"/>
  <c r="BS145" i="14"/>
  <c r="BS5" i="14"/>
  <c r="BS81" i="14"/>
  <c r="BS86" i="14"/>
  <c r="W120" i="14"/>
  <c r="BS136" i="14" s="1"/>
  <c r="W115" i="14"/>
  <c r="W25" i="14"/>
  <c r="BS160" i="14"/>
  <c r="BS41" i="14"/>
  <c r="BS36" i="14"/>
  <c r="W65" i="14"/>
  <c r="BS151" i="14"/>
  <c r="BS30" i="14"/>
  <c r="BS115" i="14"/>
  <c r="BS110" i="14"/>
  <c r="BS156" i="14"/>
  <c r="W110" i="14"/>
  <c r="BS140" i="14"/>
  <c r="BS106" i="14"/>
  <c r="BS20" i="14"/>
  <c r="BS166" i="14"/>
  <c r="W150" i="14"/>
  <c r="W50" i="14"/>
  <c r="W140" i="14"/>
  <c r="W105" i="14"/>
  <c r="W80" i="14"/>
  <c r="W45" i="14"/>
  <c r="BS100" i="14"/>
  <c r="W135" i="14"/>
  <c r="BS90" i="14"/>
  <c r="W41" i="14"/>
  <c r="BS16" i="14"/>
  <c r="W10" i="14"/>
  <c r="BS55" i="14"/>
  <c r="BS11" i="14"/>
  <c r="W130" i="14"/>
  <c r="W70" i="14"/>
  <c r="W5" i="14"/>
  <c r="BS50" i="14"/>
  <c r="D2" i="12"/>
  <c r="R2" i="15"/>
  <c r="N4" i="15"/>
  <c r="AY2" i="14"/>
  <c r="AA2" i="14"/>
  <c r="A2" i="17" l="1"/>
  <c r="G4" i="17"/>
  <c r="G2" i="17"/>
  <c r="H2" i="17"/>
  <c r="J2" i="17"/>
  <c r="K2" i="17"/>
  <c r="I2" i="17"/>
  <c r="A4" i="17"/>
  <c r="C2" i="17"/>
  <c r="D2" i="17"/>
  <c r="B2" i="17"/>
  <c r="W61" i="14"/>
  <c r="W62" i="14" s="1"/>
  <c r="BS62" i="14"/>
  <c r="BS137" i="14"/>
  <c r="W121" i="14"/>
  <c r="W85" i="14"/>
  <c r="BS101" i="14" s="1"/>
  <c r="BS126" i="14"/>
  <c r="BS157" i="14"/>
  <c r="BS42" i="14"/>
  <c r="BS87" i="14"/>
  <c r="BS91" i="14"/>
  <c r="W75" i="14"/>
  <c r="W145" i="14"/>
  <c r="W91" i="14"/>
  <c r="W26" i="14"/>
  <c r="W81" i="14"/>
  <c r="W125" i="14"/>
  <c r="W106" i="14"/>
  <c r="BS121" i="14"/>
  <c r="BS111" i="14"/>
  <c r="W95" i="14"/>
  <c r="W141" i="14"/>
  <c r="BS26" i="14"/>
  <c r="BS51" i="14"/>
  <c r="W11" i="14"/>
  <c r="W136" i="14"/>
  <c r="BS131" i="14"/>
  <c r="W116" i="14" s="1"/>
  <c r="W100" i="14"/>
  <c r="W55" i="14"/>
  <c r="W30" i="14"/>
  <c r="BS31" i="14" s="1"/>
  <c r="BS6" i="14"/>
  <c r="W16" i="14"/>
  <c r="BS17" i="14" s="1"/>
  <c r="W151" i="14"/>
  <c r="W66" i="14"/>
  <c r="W71" i="14"/>
  <c r="BS96" i="14"/>
  <c r="W36" i="14"/>
  <c r="BS37" i="14" s="1"/>
  <c r="BS82" i="14"/>
  <c r="W20" i="14"/>
  <c r="BS46" i="14"/>
  <c r="BS146" i="14"/>
  <c r="V1" i="15"/>
  <c r="I1" i="15"/>
  <c r="E1" i="15"/>
  <c r="C2" i="15"/>
  <c r="F1" i="15"/>
  <c r="G1" i="15"/>
  <c r="H1" i="15"/>
  <c r="T1" i="15"/>
  <c r="BS38" i="14" l="1"/>
  <c r="W37" i="14"/>
  <c r="BS18" i="14"/>
  <c r="W76" i="14"/>
  <c r="BS43" i="14"/>
  <c r="BS7" i="14"/>
  <c r="W17" i="14"/>
  <c r="W42" i="14"/>
  <c r="W111" i="14"/>
  <c r="W107" i="14"/>
  <c r="W82" i="14"/>
  <c r="W6" i="14"/>
  <c r="W46" i="14"/>
  <c r="BS132" i="14"/>
  <c r="W12" i="14"/>
  <c r="BS52" i="14"/>
  <c r="W31" i="14"/>
  <c r="BS107" i="14"/>
  <c r="BS27" i="14"/>
  <c r="W27" i="14" s="1"/>
  <c r="W86" i="14"/>
  <c r="BS21" i="14"/>
  <c r="W142" i="14"/>
  <c r="BS97" i="14"/>
  <c r="BS56" i="14"/>
  <c r="BS161" i="14"/>
  <c r="W122" i="14"/>
  <c r="W63" i="14"/>
  <c r="BS167" i="14"/>
  <c r="BS88" i="14"/>
  <c r="BS83" i="14"/>
  <c r="BS152" i="14"/>
  <c r="BS12" i="14"/>
  <c r="BS158" i="14"/>
  <c r="W131" i="14"/>
  <c r="W51" i="14"/>
  <c r="W72" i="14"/>
  <c r="W101" i="14"/>
  <c r="W96" i="14"/>
  <c r="BS112" i="14" s="1"/>
  <c r="BS141" i="14"/>
  <c r="BS138" i="14"/>
  <c r="W67" i="14"/>
  <c r="BS116" i="14"/>
  <c r="BS122" i="14"/>
  <c r="BS63" i="14"/>
  <c r="X1" i="15"/>
  <c r="W1" i="15"/>
  <c r="U1" i="15"/>
  <c r="W97" i="14" l="1"/>
  <c r="BS153" i="14"/>
  <c r="BS142" i="14"/>
  <c r="W47" i="14"/>
  <c r="BS47" i="14"/>
  <c r="BS22" i="14"/>
  <c r="W87" i="14"/>
  <c r="BS28" i="14"/>
  <c r="W28" i="14" s="1"/>
  <c r="BS108" i="14"/>
  <c r="W92" i="14"/>
  <c r="W126" i="14"/>
  <c r="BS92" i="14"/>
  <c r="W77" i="14" s="1"/>
  <c r="W123" i="14"/>
  <c r="W13" i="14"/>
  <c r="BS133" i="14"/>
  <c r="W43" i="14"/>
  <c r="BS8" i="14"/>
  <c r="W137" i="14"/>
  <c r="W21" i="14"/>
  <c r="BS102" i="14"/>
  <c r="BS162" i="14"/>
  <c r="BS32" i="14"/>
  <c r="BS123" i="14"/>
  <c r="W108" i="14" s="1"/>
  <c r="BS117" i="14"/>
  <c r="BS98" i="14"/>
  <c r="W83" i="14" s="1"/>
  <c r="W152" i="14"/>
  <c r="W18" i="14"/>
  <c r="W38" i="14"/>
  <c r="W7" i="14"/>
  <c r="W73" i="14"/>
  <c r="W52" i="14"/>
  <c r="BS57" i="14"/>
  <c r="W132" i="14"/>
  <c r="W68" i="14"/>
  <c r="W146" i="14"/>
  <c r="BS147" i="14"/>
  <c r="BS13" i="14"/>
  <c r="W143" i="14"/>
  <c r="W56" i="14"/>
  <c r="BS127" i="14"/>
  <c r="W117" i="14"/>
  <c r="AC1" i="14"/>
  <c r="AF1" i="14"/>
  <c r="AD1" i="14"/>
  <c r="AE1" i="14"/>
  <c r="AG1" i="14"/>
  <c r="H13" i="6"/>
  <c r="I13" i="6" s="1"/>
  <c r="F13" i="6"/>
  <c r="G13" i="6" s="1"/>
  <c r="O13" i="6" s="1"/>
  <c r="F14" i="6"/>
  <c r="G14" i="6" s="1"/>
  <c r="H14" i="6"/>
  <c r="I14" i="6"/>
  <c r="BS48" i="14" l="1"/>
  <c r="W48" i="14" s="1"/>
  <c r="BS103" i="14"/>
  <c r="W88" i="14" s="1"/>
  <c r="BS53" i="14"/>
  <c r="W53" i="14" s="1"/>
  <c r="W93" i="14"/>
  <c r="W98" i="14"/>
  <c r="W118" i="14"/>
  <c r="W112" i="14"/>
  <c r="W57" i="14"/>
  <c r="W127" i="14"/>
  <c r="BS143" i="14" s="1"/>
  <c r="W8" i="14"/>
  <c r="BS113" i="14"/>
  <c r="BS93" i="14"/>
  <c r="W78" i="14" s="1"/>
  <c r="W102" i="14"/>
  <c r="BS148" i="14"/>
  <c r="W133" i="14" s="1"/>
  <c r="W22" i="14"/>
  <c r="W32" i="14"/>
  <c r="W147" i="14"/>
  <c r="W138" i="14"/>
  <c r="BS168" i="14"/>
  <c r="M13" i="6"/>
  <c r="N13" i="6" s="1"/>
  <c r="P13" i="6" s="1"/>
  <c r="Q13" i="6" s="1"/>
  <c r="O14" i="6"/>
  <c r="M14" i="6"/>
  <c r="N14" i="6" s="1"/>
  <c r="W153" i="14" l="1"/>
  <c r="W23" i="14"/>
  <c r="W58" i="14"/>
  <c r="BS33" i="14"/>
  <c r="W33" i="14" s="1"/>
  <c r="W128" i="14"/>
  <c r="BS163" i="14"/>
  <c r="W103" i="14"/>
  <c r="BS128" i="14"/>
  <c r="W113" i="14" s="1"/>
  <c r="BS23" i="14"/>
  <c r="BS58" i="14"/>
  <c r="BS118" i="14"/>
  <c r="P14" i="6"/>
  <c r="Q14" i="6" s="1"/>
  <c r="BB1" i="14" l="1"/>
  <c r="BE1" i="14"/>
  <c r="BD1" i="14"/>
  <c r="W148" i="14"/>
  <c r="BA1" i="14"/>
  <c r="BC1" i="14"/>
  <c r="K48" i="12"/>
  <c r="K49" i="12" s="1"/>
  <c r="K50" i="12" s="1"/>
  <c r="K51" i="12" s="1"/>
  <c r="J1" i="12" l="1"/>
  <c r="F1" i="12"/>
  <c r="AA5" i="10" a="1"/>
  <c r="AA5" i="10" s="1"/>
  <c r="AA6" i="10" a="1"/>
  <c r="AA6" i="10" s="1"/>
  <c r="AA7" i="10" a="1"/>
  <c r="AA7" i="10" s="1"/>
  <c r="AA8" i="10" a="1"/>
  <c r="AA8" i="10" s="1"/>
  <c r="AA9" i="10" a="1"/>
  <c r="AA9" i="10" s="1"/>
  <c r="AA10" i="10" a="1"/>
  <c r="AA10" i="10" s="1"/>
  <c r="AA11" i="10" a="1"/>
  <c r="AA11" i="10" s="1"/>
  <c r="AA4" i="10" a="1"/>
  <c r="AA4" i="10" s="1"/>
  <c r="S5" i="10" a="1"/>
  <c r="S5" i="10" s="1"/>
  <c r="S6" i="10" a="1"/>
  <c r="S6" i="10" s="1"/>
  <c r="S7" i="10" a="1"/>
  <c r="S7" i="10" s="1"/>
  <c r="S8" i="10" a="1"/>
  <c r="S8" i="10" s="1"/>
  <c r="S9" i="10" a="1"/>
  <c r="S9" i="10" s="1"/>
  <c r="S10" i="10" a="1"/>
  <c r="S10" i="10" s="1"/>
  <c r="S11" i="10" a="1"/>
  <c r="S11" i="10" s="1"/>
  <c r="S4" i="10" a="1"/>
  <c r="S4" i="10" s="1"/>
  <c r="K5" i="10" a="1"/>
  <c r="K5" i="10" s="1"/>
  <c r="K6" i="10" a="1"/>
  <c r="K6" i="10" s="1"/>
  <c r="K7" i="10" a="1"/>
  <c r="K7" i="10" s="1"/>
  <c r="K8" i="10" a="1"/>
  <c r="K8" i="10" s="1"/>
  <c r="K9" i="10" a="1"/>
  <c r="K9" i="10" s="1"/>
  <c r="K10" i="10" a="1"/>
  <c r="K10" i="10" s="1"/>
  <c r="K11" i="10" a="1"/>
  <c r="K11" i="10" s="1"/>
  <c r="K4" i="10" a="1"/>
  <c r="K4" i="10" s="1"/>
  <c r="C5" i="10" a="1"/>
  <c r="C5" i="10" s="1"/>
  <c r="C6" i="10" a="1"/>
  <c r="C6" i="10" s="1"/>
  <c r="C7" i="10" a="1"/>
  <c r="C7" i="10" s="1"/>
  <c r="C8" i="10" a="1"/>
  <c r="C8" i="10" s="1"/>
  <c r="C9" i="10" a="1"/>
  <c r="C9" i="10" s="1"/>
  <c r="C10" i="10" a="1"/>
  <c r="C10" i="10" s="1"/>
  <c r="C11" i="10" a="1"/>
  <c r="C11" i="10" s="1"/>
  <c r="C4" i="10" a="1"/>
  <c r="C4" i="10" s="1"/>
  <c r="B1" i="12" l="1"/>
  <c r="I1" i="12"/>
  <c r="H1" i="12"/>
  <c r="G1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<sst xmlns="http://schemas.openxmlformats.org/spreadsheetml/2006/main" count="1692" uniqueCount="191">
  <si>
    <t>Single precision</t>
  </si>
  <si>
    <t>Double precision</t>
  </si>
  <si>
    <t>Real</t>
  </si>
  <si>
    <t>Complex</t>
  </si>
  <si>
    <t>Raspberry Pi 1B</t>
  </si>
  <si>
    <t>kSelMM</t>
  </si>
  <si>
    <t>kGenMM</t>
  </si>
  <si>
    <t>kMM_NT</t>
  </si>
  <si>
    <t>kMM_TN</t>
  </si>
  <si>
    <t>BIG_MM</t>
  </si>
  <si>
    <t>kMV_N</t>
  </si>
  <si>
    <t>kMV_T</t>
  </si>
  <si>
    <t>kGER</t>
  </si>
  <si>
    <t>arch</t>
  </si>
  <si>
    <t>arch-zk</t>
  </si>
  <si>
    <t>arch-tune</t>
  </si>
  <si>
    <t>arch-zk-tune</t>
  </si>
  <si>
    <t>arch-flags</t>
  </si>
  <si>
    <t>arch-zk-flags</t>
  </si>
  <si>
    <t>arch-tune-flags</t>
  </si>
  <si>
    <t>arch-zk-tune-flags</t>
  </si>
  <si>
    <t>Raspi1B</t>
  </si>
  <si>
    <t>SBC</t>
  </si>
  <si>
    <t>Cores</t>
  </si>
  <si>
    <t>march</t>
  </si>
  <si>
    <t>mcpu</t>
  </si>
  <si>
    <t>mtune</t>
  </si>
  <si>
    <t>fpu</t>
  </si>
  <si>
    <t>mfloat-abi</t>
  </si>
  <si>
    <t>ostalo</t>
  </si>
  <si>
    <t>ostalo (Thumb)</t>
  </si>
  <si>
    <t>Rpi 1B</t>
  </si>
  <si>
    <t>armv6</t>
  </si>
  <si>
    <t>arm1176jzf-s</t>
  </si>
  <si>
    <t>vfpv2 (alias is vfp)</t>
  </si>
  <si>
    <t>hard</t>
  </si>
  <si>
    <t>Thumb</t>
  </si>
  <si>
    <t>16KB L1 and no L2</t>
  </si>
  <si>
    <t>Cubieboard2</t>
  </si>
  <si>
    <t>armv7-a</t>
  </si>
  <si>
    <t>cortex-a7</t>
  </si>
  <si>
    <t>neon-vfpv4</t>
  </si>
  <si>
    <t>-funsafe-math-optimizations</t>
  </si>
  <si>
    <t>Thumb-2</t>
  </si>
  <si>
    <t>OdroidU3</t>
  </si>
  <si>
    <t>cortex-a9</t>
  </si>
  <si>
    <t>neon-vfpv3 (alias is neon)</t>
  </si>
  <si>
    <t>Thumb or Thumb-2</t>
  </si>
  <si>
    <t>1MB L2 cache total? From paper…</t>
  </si>
  <si>
    <t>OdroidMC1</t>
  </si>
  <si>
    <t>LITTLE</t>
  </si>
  <si>
    <t>2 sockets, 2,5MB L2 cache per socket</t>
  </si>
  <si>
    <t>Big</t>
  </si>
  <si>
    <t>cortex-a15</t>
  </si>
  <si>
    <t>HPL Runs (fixed parameters)</t>
  </si>
  <si>
    <t>Number of nodes</t>
  </si>
  <si>
    <t>Node</t>
  </si>
  <si>
    <t>Total memory of a node (kB)</t>
  </si>
  <si>
    <t>N, alpha</t>
  </si>
  <si>
    <t>N, alpha (NB round)</t>
  </si>
  <si>
    <t>N, beta</t>
  </si>
  <si>
    <t>N, beta (NB round)</t>
  </si>
  <si>
    <t>NB</t>
  </si>
  <si>
    <t>P</t>
  </si>
  <si>
    <t>Q</t>
  </si>
  <si>
    <t>Ns difference</t>
  </si>
  <si>
    <t>Half of the Ns difference</t>
  </si>
  <si>
    <t>N1</t>
  </si>
  <si>
    <t>N2</t>
  </si>
  <si>
    <t>N3</t>
  </si>
  <si>
    <t>RPi</t>
  </si>
  <si>
    <t>Percentage of mem</t>
  </si>
  <si>
    <t>Flags used for building ATLAS</t>
  </si>
  <si>
    <t>Flags used for flagsearching - mandatory</t>
  </si>
  <si>
    <t>Flags used for building HPL</t>
  </si>
  <si>
    <t>Machine setup for building HPL</t>
  </si>
  <si>
    <t>Ran?</t>
  </si>
  <si>
    <t>NOTE</t>
  </si>
  <si>
    <t>-D c -DWALL -b 32 -F al "-march=armv6"</t>
  </si>
  <si>
    <t>-march=armv6</t>
  </si>
  <si>
    <t>raspi01</t>
  </si>
  <si>
    <t>-D c -DWALL -b 32 -F al "-march=armv6zk"</t>
  </si>
  <si>
    <t>-march=armv6zk</t>
  </si>
  <si>
    <t>raspi03</t>
  </si>
  <si>
    <t>-D c -DWALL -b 32 -F al "-march=armv6 -mtune=arm1176jzf-s -mfpu=vfp -mfloat-abi=hard"</t>
  </si>
  <si>
    <t>-march=armv6 -mtune=arm1176jzf-s -mfpu=vfp -mfloat-abi=hard</t>
  </si>
  <si>
    <t>raspi02</t>
  </si>
  <si>
    <t>-D c -DWALL -b 32 -V 1 -F al "-march=armv6zk -mtune=arm1176jzf-s -mfpu=vfp -mfloat-abi=hard"</t>
  </si>
  <si>
    <t>-march=armv6zk -mtune=arm1176jzf-s -mfpu=vfp -mfloat-abi=hard</t>
  </si>
  <si>
    <t xml:space="preserve"> -D c -DWALL -b 32 -V 1 -F al "-O1 -march=armv6 -fschedule-insns2 -mtune=arm1176jzf-s"</t>
  </si>
  <si>
    <t>-w</t>
  </si>
  <si>
    <t>-O1 -march=armv6 -fschedule-insns2 -mtune=arm1176jzf-s</t>
  </si>
  <si>
    <t>-D c -DWALL -b 32 -V 1 -F al "-Os -march=armv6zk"</t>
  </si>
  <si>
    <t>-Os -march=armv6zk</t>
  </si>
  <si>
    <t>-D c -DWALL -b 32 -V 1 -F al "-Os -march=armv6 -mtune=arm1176jzf-s -mfpu=vfp -mfloat-abi=hard"</t>
  </si>
  <si>
    <t>-Os -march=armv6 -mtune=arm1176jzf-s -mfpu=vfp -mfloat-abi=hard</t>
  </si>
  <si>
    <t>-D c -DWALL -b 32 -V 1 -F al "-Os -march=armv6zk -mtune=arm1176jzf-s -mfpu=vfp -mfloat-abi=hard"</t>
  </si>
  <si>
    <t>-Os -march=armv6zk -mtune=arm1176jzf-s -mfpu=vfp -mfloat-abi=hard</t>
  </si>
  <si>
    <t>raspi04</t>
  </si>
  <si>
    <t>x-none</t>
  </si>
  <si>
    <t>-D c -DWALL -b 32 -V 1</t>
  </si>
  <si>
    <t>x-no-arch</t>
  </si>
  <si>
    <t>-D c -DWALL -b 32 -V 1 -Si archdef 0</t>
  </si>
  <si>
    <t>x-cpu</t>
  </si>
  <si>
    <t>-D c -DWALL -b 32 -V 1 -F al "-mcpu=arm1176jzf-s"</t>
  </si>
  <si>
    <t>-mcpu=arm1176jzf-s</t>
  </si>
  <si>
    <t>x-arch-native</t>
  </si>
  <si>
    <t>-D c -DWALL -b 32 -V 1 -F al "-march=native"</t>
  </si>
  <si>
    <t>-march=native</t>
  </si>
  <si>
    <t>x-cpu-append</t>
  </si>
  <si>
    <t>-D c -DWALL -b 32 -V 1 -Fa al "-mcpu=arm1176jzf-s"</t>
  </si>
  <si>
    <t>x-cpu-native</t>
  </si>
  <si>
    <t>-D c -DWALL -b 32 -V 1 -F al "-mcpu=native"</t>
  </si>
  <si>
    <t>-mcpu=native</t>
  </si>
  <si>
    <t>x-none-flags</t>
  </si>
  <si>
    <t>-D c -DWALL -b 32 -V 1 -F al "-O1 -march=armv6zk -fschedule-insns -fselective-scheduling"</t>
  </si>
  <si>
    <t>-O1 -march=armv6zk -fschedule-insns -fselective-scheduling</t>
  </si>
  <si>
    <t>x-no-arch-flags</t>
  </si>
  <si>
    <t>-D c -DWALL -b 32 -V 1 -Si archdef 0 -F al "-O1 -march=armv6zk -fschedule-insns2 -frename-registers"</t>
  </si>
  <si>
    <t>Not built</t>
  </si>
  <si>
    <t>x-cpu-flags</t>
  </si>
  <si>
    <t>-D c -DWALL -b 32 -V 1 -F al "-Os -mcpu=arm1176jzf-s -mfpu=vfp -mfloat-abi=hard"</t>
  </si>
  <si>
    <t>-Os -mcpu=arm1176jzf-s -mfpu=vfp -mfloat-abi=hard</t>
  </si>
  <si>
    <t>x-arch-native-flags</t>
  </si>
  <si>
    <t>-D c -DWALL -b 32 -V 1 -F al "-O1 -march=native -fschedule-insns2"</t>
  </si>
  <si>
    <t>-O1 -march=native -fschedule-insns2</t>
  </si>
  <si>
    <t>arch-tune-flags-nof77</t>
  </si>
  <si>
    <t>-D c -DWALL -b 32 --nof77 -V 1  -F al "-Os -march=armv6 -mtune=arm1176jzf-s -mfpu=vfp -mfloat-abi=hard"</t>
  </si>
  <si>
    <t>Not built?</t>
  </si>
  <si>
    <t>arch-tune-flags-wfort</t>
  </si>
  <si>
    <t>The same ATLAS build as build 7</t>
  </si>
  <si>
    <t>Using the same ATLAS build as build 7, only HPL is different</t>
  </si>
  <si>
    <t>arch-tune-flags-nohplopt</t>
  </si>
  <si>
    <t>-</t>
  </si>
  <si>
    <t>Without arch flags in HPL build, same ATLAS build as build 7</t>
  </si>
  <si>
    <t>Flags used for building</t>
  </si>
  <si>
    <t>Flags used for flagsearching - optional</t>
  </si>
  <si>
    <t>Machine originally
built on</t>
  </si>
  <si>
    <t>Needs
flagsearching</t>
  </si>
  <si>
    <t>Flagsearched (d)</t>
  </si>
  <si>
    <t>Flagsearched (s)
No need! HPL uses only double precision! See ATLAS install manual</t>
  </si>
  <si>
    <t>Flagsearched (Td)</t>
  </si>
  <si>
    <t>Kernel</t>
  </si>
  <si>
    <t>TODO</t>
  </si>
  <si>
    <t>-mtune=arm1176jzf-s
-mcpu=arm1176jzf-s
-mfpu=vfp
-mfloat-abi=hard</t>
  </si>
  <si>
    <t>In progress</t>
  </si>
  <si>
    <t>Freshly finished</t>
  </si>
  <si>
    <t>Done</t>
  </si>
  <si>
    <t>TODO with the same settings!</t>
  </si>
  <si>
    <t>-march=armv6zk
-march=armv6
-mtune=arm1176jzf-s
-mcpu=arm1176jzf-s
-mfpu=vfp
-mfloat-abi=hard</t>
  </si>
  <si>
    <t>-mfpu=vfp
-mfloat-abi=hard</t>
  </si>
  <si>
    <t>-mtune=arm1176jzf-s
-mfpu=vfp
-mfloat-abi=hard</t>
  </si>
  <si>
    <t>-march=armv6
-mtune=arm1176jzf-s
-mfpu=vfp
-mfloat-abi=hard</t>
  </si>
  <si>
    <t>Pokrenuo build atlasa na raspi03, error bacio negdje na sred buildanja, sada sam probao na raspi02 jer je tamo i originalni build napravljen. Bacio error i na raspi02, vjerojatno kombinacije flagova nisu dobre</t>
  </si>
  <si>
    <t>Did not create HPL for this one</t>
  </si>
  <si>
    <t>Max avg. GFLOPS (and params):</t>
  </si>
  <si>
    <t>Average GFLOP/s</t>
  </si>
  <si>
    <t>MAX GFLOPS:</t>
  </si>
  <si>
    <t>Build</t>
  </si>
  <si>
    <t>RUN</t>
  </si>
  <si>
    <t>N</t>
  </si>
  <si>
    <t>Time</t>
  </si>
  <si>
    <t>GFLOPS</t>
  </si>
  <si>
    <t>RANK</t>
  </si>
  <si>
    <t>WR00L2L2</t>
  </si>
  <si>
    <t>none-flags</t>
  </si>
  <si>
    <t>cpu-flags</t>
  </si>
  <si>
    <t>cpu-append</t>
  </si>
  <si>
    <t>arch-native-flags</t>
  </si>
  <si>
    <t>arch-native</t>
  </si>
  <si>
    <t>none</t>
  </si>
  <si>
    <t>no-arch</t>
  </si>
  <si>
    <t>cpu</t>
  </si>
  <si>
    <t>cpu-native</t>
  </si>
  <si>
    <t>no-arch-flags</t>
  </si>
  <si>
    <t>ATLAS (arch-tune-flags)</t>
  </si>
  <si>
    <t>OpenBLAS</t>
  </si>
  <si>
    <t>raspi01 throttling time [1/100s]</t>
  </si>
  <si>
    <t>raspi02 throttling time [1/100s]</t>
  </si>
  <si>
    <t>Date</t>
  </si>
  <si>
    <t>700MHz</t>
  </si>
  <si>
    <t>ATLAS</t>
  </si>
  <si>
    <t>ATLAS (arch-tune-flags) - OLD</t>
  </si>
  <si>
    <t>raspi03 throttling time [1/100s]</t>
  </si>
  <si>
    <t>raspi04 throttling time [1/100s]</t>
  </si>
  <si>
    <t>N (rounded)</t>
  </si>
  <si>
    <t>ATLAS speedup</t>
  </si>
  <si>
    <t>OpenBLAS speedup</t>
  </si>
  <si>
    <t>N(beta)</t>
  </si>
  <si>
    <t>N(mid)</t>
  </si>
  <si>
    <t>N(alpha)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</si>
</sst>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[$-F400]h:mm:ss\ AM/PM"/>
  </numFmts>
  <fonts count="1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charset val="238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charset val="238"/>
      <scheme val="minor"/>
    </font>
    <font>
      <sz val="11"/>
      <color theme="0" tint="-0.34998626667073579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  <xf numFmtId="49" fontId="0" fillId="0" borderId="0" xfId="0" quotePrefix="1" applyNumberFormat="1" applyAlignment="1">
      <alignment wrapText="1"/>
    </xf>
    <xf numFmtId="49" fontId="0" fillId="3" borderId="0" xfId="0" applyNumberFormat="1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0" borderId="0" xfId="0" applyNumberFormat="1"/>
    <xf numFmtId="164" fontId="1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49" fontId="0" fillId="0" borderId="0" xfId="0" quotePrefix="1" applyNumberFormat="1" applyAlignment="1">
      <alignment vertical="center" wrapText="1"/>
    </xf>
    <xf numFmtId="0" fontId="5" fillId="0" borderId="0" xfId="0" quotePrefix="1" applyFont="1" applyAlignment="1">
      <alignment horizontal="left" vertical="center"/>
    </xf>
    <xf numFmtId="0" fontId="0" fillId="5" borderId="1" xfId="0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/>
    <xf numFmtId="49" fontId="0" fillId="0" borderId="0" xfId="0" quotePrefix="1" applyNumberFormat="1" applyAlignment="1">
      <alignment horizontal="left" vertical="center" wrapText="1"/>
    </xf>
    <xf numFmtId="0" fontId="8" fillId="0" borderId="0" xfId="0" applyFont="1" applyAlignment="1">
      <alignment vertical="center"/>
    </xf>
    <xf numFmtId="49" fontId="9" fillId="3" borderId="0" xfId="0" applyNumberFormat="1" applyFont="1" applyFill="1" applyAlignment="1">
      <alignment vertical="center" wrapText="1"/>
    </xf>
    <xf numFmtId="0" fontId="2" fillId="6" borderId="0" xfId="0" applyFont="1" applyFill="1" applyAlignment="1">
      <alignment vertical="center"/>
    </xf>
    <xf numFmtId="49" fontId="2" fillId="6" borderId="0" xfId="0" quotePrefix="1" applyNumberFormat="1" applyFont="1" applyFill="1" applyAlignment="1">
      <alignment vertical="center" wrapText="1"/>
    </xf>
    <xf numFmtId="49" fontId="2" fillId="6" borderId="0" xfId="0" applyNumberFormat="1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0" xfId="0" applyFont="1" applyFill="1"/>
    <xf numFmtId="165" fontId="0" fillId="0" borderId="0" xfId="0" applyNumberFormat="1"/>
    <xf numFmtId="0" fontId="0" fillId="7" borderId="0" xfId="0" applyFill="1"/>
    <xf numFmtId="165" fontId="0" fillId="7" borderId="0" xfId="0" applyNumberFormat="1" applyFill="1"/>
    <xf numFmtId="165" fontId="0" fillId="0" borderId="0" xfId="0" applyNumberFormat="1" applyAlignment="1">
      <alignment horizontal="center" vertical="center"/>
    </xf>
    <xf numFmtId="14" fontId="0" fillId="0" borderId="0" xfId="0" applyNumberFormat="1"/>
    <xf numFmtId="21" fontId="0" fillId="0" borderId="0" xfId="0" applyNumberFormat="1"/>
    <xf numFmtId="166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/>
    <xf numFmtId="165" fontId="1" fillId="0" borderId="1" xfId="0" applyNumberFormat="1" applyFont="1" applyBorder="1"/>
    <xf numFmtId="0" fontId="11" fillId="0" borderId="1" xfId="0" applyFont="1" applyBorder="1" applyAlignment="1">
      <alignment horizontal="center"/>
    </xf>
    <xf numFmtId="166" fontId="10" fillId="0" borderId="1" xfId="0" applyNumberFormat="1" applyFont="1" applyBorder="1"/>
    <xf numFmtId="165" fontId="4" fillId="0" borderId="1" xfId="0" applyNumberFormat="1" applyFont="1" applyBorder="1"/>
    <xf numFmtId="1" fontId="1" fillId="0" borderId="1" xfId="0" applyNumberFormat="1" applyFont="1" applyBorder="1"/>
    <xf numFmtId="165" fontId="0" fillId="0" borderId="0" xfId="0" applyNumberFormat="1" applyAlignment="1">
      <alignment vertical="center"/>
    </xf>
    <xf numFmtId="14" fontId="1" fillId="0" borderId="1" xfId="0" applyNumberFormat="1" applyFont="1" applyBorder="1"/>
    <xf numFmtId="14" fontId="0" fillId="0" borderId="1" xfId="0" applyNumberFormat="1" applyBorder="1"/>
    <xf numFmtId="14" fontId="0" fillId="0" borderId="0" xfId="0" applyNumberFormat="1" applyAlignment="1">
      <alignment vertical="center"/>
    </xf>
    <xf numFmtId="167" fontId="0" fillId="0" borderId="1" xfId="0" applyNumberFormat="1" applyBorder="1"/>
    <xf numFmtId="167" fontId="1" fillId="0" borderId="1" xfId="0" applyNumberFormat="1" applyFont="1" applyBorder="1"/>
    <xf numFmtId="167" fontId="0" fillId="0" borderId="0" xfId="0" applyNumberFormat="1" applyAlignment="1">
      <alignment horizontal="center" vertical="center"/>
    </xf>
    <xf numFmtId="167" fontId="0" fillId="0" borderId="0" xfId="0" applyNumberFormat="1"/>
    <xf numFmtId="166" fontId="0" fillId="0" borderId="0" xfId="0" quotePrefix="1" applyNumberFormat="1"/>
    <xf numFmtId="1" fontId="11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166" fontId="0" fillId="0" borderId="0" xfId="0" applyNumberFormat="1" applyAlignment="1">
      <alignment vertical="center"/>
    </xf>
    <xf numFmtId="165" fontId="0" fillId="0" borderId="0" xfId="0" quotePrefix="1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1" fontId="0" fillId="0" borderId="1" xfId="0" applyNumberFormat="1" applyBorder="1"/>
    <xf numFmtId="2" fontId="0" fillId="0" borderId="1" xfId="0" applyNumberFormat="1" applyBorder="1"/>
    <xf numFmtId="2" fontId="1" fillId="0" borderId="1" xfId="0" applyNumberFormat="1" applyFont="1" applyBorder="1"/>
    <xf numFmtId="166" fontId="0" fillId="0" borderId="1" xfId="0" applyNumberFormat="1" applyBorder="1"/>
    <xf numFmtId="166" fontId="1" fillId="0" borderId="1" xfId="0" applyNumberFormat="1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166" fontId="1" fillId="0" borderId="2" xfId="0" applyNumberFormat="1" applyFont="1" applyBorder="1" applyAlignment="1">
      <alignment horizontal="center" vertical="center" wrapText="1"/>
    </xf>
    <xf numFmtId="166" fontId="1" fillId="0" borderId="3" xfId="0" applyNumberFormat="1" applyFont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506978-BF68-4F49-93AF-9BC0E0DEF0DE}" name="Table1" displayName="Table1" ref="A2:E50" totalsRowShown="0">
  <autoFilter ref="A2:E50" xr:uid="{D6506978-BF68-4F49-93AF-9BC0E0DEF0DE}"/>
  <sortState xmlns:xlrd2="http://schemas.microsoft.com/office/spreadsheetml/2017/richdata2" ref="A3:E50">
    <sortCondition ref="C3:C50"/>
    <sortCondition descending="1" ref="A3:A50"/>
    <sortCondition ref="B3:B50"/>
  </sortState>
  <tableColumns count="5">
    <tableColumn id="1" xr3:uid="{9222D575-EF30-4CDC-AC24-19F8C5F88BCC}" name="N"/>
    <tableColumn id="2" xr3:uid="{F4E5755D-EB3E-4ADA-BBC1-614591980E1E}" name="NB"/>
    <tableColumn id="3" xr3:uid="{DAB5648D-A28B-4E0C-AFED-31FB5179D2F8}" name="P"/>
    <tableColumn id="4" xr3:uid="{E3DA66F5-C5FD-428C-A242-165CA0755E38}" name="Q"/>
    <tableColumn id="5" xr3:uid="{6B034F56-C5A3-41B9-B3D4-7288FD8C966E}" name="Average GFLOP/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8D5860-E2EF-442B-9382-4CE118176104}" name="Table2" displayName="Table2" ref="G2:K50" totalsRowShown="0">
  <autoFilter ref="G2:K50" xr:uid="{A48D5860-E2EF-442B-9382-4CE118176104}"/>
  <sortState xmlns:xlrd2="http://schemas.microsoft.com/office/spreadsheetml/2017/richdata2" ref="G3:K50">
    <sortCondition ref="I3:I50"/>
    <sortCondition descending="1" ref="G3:G50"/>
    <sortCondition ref="H3:H50"/>
  </sortState>
  <tableColumns count="5">
    <tableColumn id="1" xr3:uid="{1262A3E5-E08C-4ADA-8C96-DFA8F89C0978}" name="N"/>
    <tableColumn id="2" xr3:uid="{62B7FC7F-3EC8-4729-BEBF-B3D0F8C1CDE1}" name="NB"/>
    <tableColumn id="3" xr3:uid="{2C615A69-4A08-4723-8C63-2188DAD9BF8F}" name="P"/>
    <tableColumn id="4" xr3:uid="{250B1394-7390-45BE-B0B5-9557119668A3}" name="Q"/>
    <tableColumn id="5" xr3:uid="{4157F42C-2881-4A5C-81C2-BF6E61393CC4}" name="Average GFLOP/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323AA1-D802-4381-B336-E515026D280E}" name="Table3" displayName="Table3" ref="M2:Q26" totalsRowShown="0">
  <autoFilter ref="M2:Q26" xr:uid="{E1323AA1-D802-4381-B336-E515026D280E}"/>
  <sortState xmlns:xlrd2="http://schemas.microsoft.com/office/spreadsheetml/2017/richdata2" ref="M3:Q26">
    <sortCondition ref="O3:O26"/>
    <sortCondition descending="1" ref="M3:M26"/>
    <sortCondition ref="N3:N26"/>
  </sortState>
  <tableColumns count="5">
    <tableColumn id="1" xr3:uid="{A3EA0C3D-27DB-4471-8372-4E29BC7C3A30}" name="N (rounded)"/>
    <tableColumn id="2" xr3:uid="{3B0D0C3F-0204-4968-AD64-F3B0F4AC6695}" name="NB"/>
    <tableColumn id="3" xr3:uid="{6F6C6569-5A32-4DC4-B614-4B48BE3BE24E}" name="P"/>
    <tableColumn id="4" xr3:uid="{02DBCFF1-603E-41EF-A85C-3EC96310CAD4}" name="Q"/>
    <tableColumn id="5" xr3:uid="{9964ABE9-BFC8-4968-81F4-EC8252429F4F}" name="Average GFLOP/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396030-2839-4971-8712-21CA1AC23686}" name="Table5" displayName="Table5" ref="S2:W26" totalsRowShown="0">
  <autoFilter ref="S2:W26" xr:uid="{ED396030-2839-4971-8712-21CA1AC23686}"/>
  <sortState xmlns:xlrd2="http://schemas.microsoft.com/office/spreadsheetml/2017/richdata2" ref="S3:W26">
    <sortCondition ref="U3:U26"/>
    <sortCondition descending="1" ref="S3:S26"/>
    <sortCondition ref="T3:T26"/>
  </sortState>
  <tableColumns count="5">
    <tableColumn id="1" xr3:uid="{B9899DCA-2F26-4D0A-9E43-D4609E0E6B14}" name="N (rounded)"/>
    <tableColumn id="2" xr3:uid="{765CF1A5-0ACB-4C4C-B0F1-280E6A5026D5}" name="NB"/>
    <tableColumn id="3" xr3:uid="{E02258D0-C8BC-470C-9A20-1798A185BE5C}" name="P"/>
    <tableColumn id="4" xr3:uid="{2D050C94-AB84-42E9-8FC3-37D4F3213493}" name="Q"/>
    <tableColumn id="5" xr3:uid="{DD0607A6-632D-4ECB-AF02-B06D5A301A64}" name="Average GFLOP/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sustav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EB9E-3A04-464B-AE8F-C6BCDE492893}">
  <dimension ref="A1:AJ81"/>
  <sheetViews>
    <sheetView workbookViewId="0">
      <selection activeCell="B14" sqref="B14"/>
    </sheetView>
  </sheetViews>
  <sheetFormatPr defaultRowHeight="15" x14ac:dyDescent="0.25"/>
  <cols>
    <col min="1" max="1" width="2" bestFit="1" customWidth="1"/>
    <col min="2" max="2" width="29.42578125" bestFit="1" customWidth="1"/>
    <col min="3" max="4" width="9" bestFit="1" customWidth="1"/>
    <col min="5" max="6" width="8.85546875" bestFit="1" customWidth="1"/>
    <col min="7" max="7" width="8.42578125" bestFit="1" customWidth="1"/>
    <col min="8" max="8" width="7.42578125" bestFit="1" customWidth="1"/>
    <col min="9" max="9" width="7" bestFit="1" customWidth="1"/>
    <col min="10" max="10" width="9" bestFit="1" customWidth="1"/>
    <col min="11" max="11" width="8.140625" bestFit="1" customWidth="1"/>
    <col min="12" max="12" width="9" bestFit="1" customWidth="1"/>
    <col min="13" max="14" width="8.85546875" bestFit="1" customWidth="1"/>
    <col min="15" max="15" width="8.42578125" bestFit="1" customWidth="1"/>
    <col min="16" max="16" width="7.42578125" bestFit="1" customWidth="1"/>
    <col min="17" max="17" width="7" bestFit="1" customWidth="1"/>
    <col min="18" max="18" width="5.42578125" bestFit="1" customWidth="1"/>
    <col min="36" max="36" width="9.140625" style="1"/>
  </cols>
  <sheetData>
    <row r="1" spans="1:34" x14ac:dyDescent="0.25">
      <c r="C1" s="78" t="s">
        <v>0</v>
      </c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 t="s">
        <v>1</v>
      </c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</row>
    <row r="2" spans="1:34" x14ac:dyDescent="0.25">
      <c r="C2" s="78" t="s">
        <v>2</v>
      </c>
      <c r="D2" s="78"/>
      <c r="E2" s="78"/>
      <c r="F2" s="78"/>
      <c r="G2" s="78"/>
      <c r="H2" s="78"/>
      <c r="I2" s="78"/>
      <c r="J2" s="78"/>
      <c r="K2" s="78" t="s">
        <v>3</v>
      </c>
      <c r="L2" s="78"/>
      <c r="M2" s="78"/>
      <c r="N2" s="78"/>
      <c r="O2" s="78"/>
      <c r="P2" s="78"/>
      <c r="Q2" s="78"/>
      <c r="R2" s="78"/>
      <c r="S2" s="78" t="s">
        <v>2</v>
      </c>
      <c r="T2" s="78"/>
      <c r="U2" s="78"/>
      <c r="V2" s="78"/>
      <c r="W2" s="78"/>
      <c r="X2" s="78"/>
      <c r="Y2" s="78"/>
      <c r="Z2" s="78"/>
      <c r="AA2" s="78" t="s">
        <v>3</v>
      </c>
      <c r="AB2" s="78"/>
      <c r="AC2" s="78"/>
      <c r="AD2" s="78"/>
      <c r="AE2" s="78"/>
      <c r="AF2" s="78"/>
      <c r="AG2" s="78"/>
      <c r="AH2" s="78"/>
    </row>
    <row r="3" spans="1:34" x14ac:dyDescent="0.25">
      <c r="A3" s="79" t="s">
        <v>4</v>
      </c>
      <c r="B3" s="79"/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5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  <c r="Z3" t="s">
        <v>12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G3" t="s">
        <v>11</v>
      </c>
      <c r="AH3" t="s">
        <v>12</v>
      </c>
    </row>
    <row r="4" spans="1:34" x14ac:dyDescent="0.25">
      <c r="A4">
        <v>1</v>
      </c>
      <c r="B4" t="s">
        <v>13</v>
      </c>
      <c r="C4" cm="1">
        <f t="array" aca="1" ref="C4:J4" ca="1">TRANSPOSE((OFFSET($D$18,(ROW(D1)-1)*8,0)):(OFFSET($D$25,(ROW(D1)-1)*8,0)))</f>
        <v>67.900000000000006</v>
      </c>
      <c r="D4">
        <f ca="1"/>
        <v>28.9</v>
      </c>
      <c r="E4">
        <f ca="1"/>
        <v>23</v>
      </c>
      <c r="F4">
        <f ca="1"/>
        <v>27.7</v>
      </c>
      <c r="G4">
        <f ca="1"/>
        <v>67.099999999999994</v>
      </c>
      <c r="H4">
        <f ca="1"/>
        <v>5.5</v>
      </c>
      <c r="I4">
        <f ca="1"/>
        <v>6.4</v>
      </c>
      <c r="J4">
        <f ca="1"/>
        <v>5.0999999999999996</v>
      </c>
      <c r="K4" cm="1">
        <f t="array" aca="1" ref="K4:R4" ca="1">TRANSPOSE((OFFSET($E$18,(ROW(E1)-1)*8,0)):(OFFSET($E$25,(ROW(E1)-1)*8,0)))</f>
        <v>64.400000000000006</v>
      </c>
      <c r="L4">
        <f ca="1"/>
        <v>27.3</v>
      </c>
      <c r="M4">
        <f ca="1"/>
        <v>22.6</v>
      </c>
      <c r="N4">
        <f ca="1"/>
        <v>26.4</v>
      </c>
      <c r="O4">
        <f ca="1"/>
        <v>68.2</v>
      </c>
      <c r="P4">
        <f ca="1"/>
        <v>9.8000000000000007</v>
      </c>
      <c r="Q4">
        <f ca="1"/>
        <v>9.6999999999999993</v>
      </c>
      <c r="R4">
        <f ca="1"/>
        <v>8.9</v>
      </c>
      <c r="S4" cm="1">
        <f t="array" aca="1" ref="S4:Z4" ca="1">TRANSPOSE((OFFSET($F$18,(ROW(F1)-1)*8,0)):(OFFSET($F$25,(ROW(F1)-1)*8,0)))</f>
        <v>18.3</v>
      </c>
      <c r="T4">
        <f ca="1"/>
        <v>18.3</v>
      </c>
      <c r="U4">
        <f ca="1"/>
        <v>13</v>
      </c>
      <c r="V4">
        <f ca="1"/>
        <v>18.100000000000001</v>
      </c>
      <c r="W4">
        <f ca="1"/>
        <v>18.5</v>
      </c>
      <c r="X4">
        <f ca="1"/>
        <v>2.9</v>
      </c>
      <c r="Y4">
        <f ca="1"/>
        <v>4.3</v>
      </c>
      <c r="Z4">
        <f ca="1"/>
        <v>3</v>
      </c>
      <c r="AA4" cm="1">
        <f t="array" aca="1" ref="AA4:AH4" ca="1">TRANSPOSE((OFFSET($G$18,(ROW(G1)-1)*8,0)):(OFFSET($G$25,(ROW(G1)-1)*8,0)))</f>
        <v>17.7</v>
      </c>
      <c r="AB4">
        <f ca="1"/>
        <v>17.7</v>
      </c>
      <c r="AC4">
        <f ca="1"/>
        <v>12.2</v>
      </c>
      <c r="AD4">
        <f ca="1"/>
        <v>15.6</v>
      </c>
      <c r="AE4">
        <f ca="1"/>
        <v>18.600000000000001</v>
      </c>
      <c r="AF4">
        <f ca="1"/>
        <v>6.7</v>
      </c>
      <c r="AG4">
        <f ca="1"/>
        <v>8</v>
      </c>
      <c r="AH4">
        <f ca="1"/>
        <v>5.4</v>
      </c>
    </row>
    <row r="5" spans="1:34" x14ac:dyDescent="0.25">
      <c r="A5">
        <v>2</v>
      </c>
      <c r="B5" t="s">
        <v>14</v>
      </c>
      <c r="C5" cm="1">
        <f t="array" aca="1" ref="C5:J5" ca="1">TRANSPOSE((OFFSET($D$18,(ROW(D2)-1)*8,0)):(OFFSET($D$25,(ROW(D2)-1)*8,0)))</f>
        <v>69.400000000000006</v>
      </c>
      <c r="D5">
        <f ca="1"/>
        <v>29.8</v>
      </c>
      <c r="E5">
        <f ca="1"/>
        <v>23.5</v>
      </c>
      <c r="F5">
        <f ca="1"/>
        <v>28.3</v>
      </c>
      <c r="G5">
        <f ca="1"/>
        <v>66.3</v>
      </c>
      <c r="H5">
        <f ca="1"/>
        <v>5.4</v>
      </c>
      <c r="I5">
        <f ca="1"/>
        <v>6.5</v>
      </c>
      <c r="J5">
        <f ca="1"/>
        <v>5</v>
      </c>
      <c r="K5" cm="1">
        <f t="array" aca="1" ref="K5:R5" ca="1">TRANSPOSE((OFFSET($E$18,(ROW(E2)-1)*8,0)):(OFFSET($E$25,(ROW(E2)-1)*8,0)))</f>
        <v>66.099999999999994</v>
      </c>
      <c r="L5">
        <f ca="1"/>
        <v>28.4</v>
      </c>
      <c r="M5">
        <f ca="1"/>
        <v>23.2</v>
      </c>
      <c r="N5">
        <f ca="1"/>
        <v>27.2</v>
      </c>
      <c r="O5">
        <f ca="1"/>
        <v>68.900000000000006</v>
      </c>
      <c r="P5">
        <f ca="1"/>
        <v>9.9</v>
      </c>
      <c r="Q5">
        <f ca="1"/>
        <v>9.8000000000000007</v>
      </c>
      <c r="R5">
        <f ca="1"/>
        <v>9</v>
      </c>
      <c r="S5" cm="1">
        <f t="array" aca="1" ref="S5:Z5" ca="1">TRANSPOSE((OFFSET($F$18,(ROW(F2)-1)*8,0)):(OFFSET($F$25,(ROW(F2)-1)*8,0)))</f>
        <v>18.7</v>
      </c>
      <c r="T5">
        <f ca="1"/>
        <v>18.7</v>
      </c>
      <c r="U5">
        <f ca="1"/>
        <v>13.2</v>
      </c>
      <c r="V5">
        <f ca="1"/>
        <v>18.3</v>
      </c>
      <c r="W5">
        <f ca="1"/>
        <v>18.3</v>
      </c>
      <c r="X5">
        <f ca="1"/>
        <v>2.9</v>
      </c>
      <c r="Y5">
        <f ca="1"/>
        <v>4.4000000000000004</v>
      </c>
      <c r="Z5">
        <f ca="1"/>
        <v>3</v>
      </c>
      <c r="AA5" cm="1">
        <f t="array" aca="1" ref="AA5:AH5" ca="1">TRANSPOSE((OFFSET($G$18,(ROW(G2)-1)*8,0)):(OFFSET($G$25,(ROW(G2)-1)*8,0)))</f>
        <v>18.100000000000001</v>
      </c>
      <c r="AB5">
        <f ca="1"/>
        <v>18.100000000000001</v>
      </c>
      <c r="AC5">
        <f ca="1"/>
        <v>12.4</v>
      </c>
      <c r="AD5">
        <f ca="1"/>
        <v>16</v>
      </c>
      <c r="AE5">
        <f ca="1"/>
        <v>18.7</v>
      </c>
      <c r="AF5">
        <f ca="1"/>
        <v>6.8</v>
      </c>
      <c r="AG5">
        <f ca="1"/>
        <v>8.1999999999999993</v>
      </c>
      <c r="AH5">
        <f ca="1"/>
        <v>5.5</v>
      </c>
    </row>
    <row r="6" spans="1:34" x14ac:dyDescent="0.25">
      <c r="A6">
        <v>3</v>
      </c>
      <c r="B6" t="s">
        <v>15</v>
      </c>
      <c r="C6" cm="1">
        <f t="array" aca="1" ref="C6:J6" ca="1">TRANSPOSE((OFFSET($D$18,(ROW(D3)-1)*8,0)):(OFFSET($D$25,(ROW(D3)-1)*8,0)))</f>
        <v>69</v>
      </c>
      <c r="D6">
        <f ca="1"/>
        <v>29.9</v>
      </c>
      <c r="E6">
        <f ca="1"/>
        <v>23.5</v>
      </c>
      <c r="F6">
        <f ca="1"/>
        <v>28.2</v>
      </c>
      <c r="G6">
        <f ca="1"/>
        <v>67.599999999999994</v>
      </c>
      <c r="H6">
        <f ca="1"/>
        <v>5.4</v>
      </c>
      <c r="I6">
        <f ca="1"/>
        <v>6.5</v>
      </c>
      <c r="J6">
        <f ca="1"/>
        <v>5</v>
      </c>
      <c r="K6" cm="1">
        <f t="array" aca="1" ref="K6:R6" ca="1">TRANSPOSE((OFFSET($E$18,(ROW(E3)-1)*8,0)):(OFFSET($E$25,(ROW(E3)-1)*8,0)))</f>
        <v>66.2</v>
      </c>
      <c r="L6">
        <f ca="1"/>
        <v>28.8</v>
      </c>
      <c r="M6">
        <f ca="1"/>
        <v>23.2</v>
      </c>
      <c r="N6">
        <f ca="1"/>
        <v>27.2</v>
      </c>
      <c r="O6">
        <f ca="1"/>
        <v>69</v>
      </c>
      <c r="P6">
        <f ca="1"/>
        <v>10</v>
      </c>
      <c r="Q6">
        <f ca="1"/>
        <v>9.8000000000000007</v>
      </c>
      <c r="R6">
        <f ca="1"/>
        <v>9</v>
      </c>
      <c r="S6" cm="1">
        <f t="array" aca="1" ref="S6:Z6" ca="1">TRANSPOSE((OFFSET($F$18,(ROW(F3)-1)*8,0)):(OFFSET($F$25,(ROW(F3)-1)*8,0)))</f>
        <v>18.7</v>
      </c>
      <c r="T6">
        <f ca="1"/>
        <v>18.7</v>
      </c>
      <c r="U6">
        <f ca="1"/>
        <v>13.4</v>
      </c>
      <c r="V6">
        <f ca="1"/>
        <v>18.5</v>
      </c>
      <c r="W6">
        <f ca="1"/>
        <v>18.7</v>
      </c>
      <c r="X6">
        <f ca="1"/>
        <v>2.9</v>
      </c>
      <c r="Y6">
        <f ca="1"/>
        <v>4.4000000000000004</v>
      </c>
      <c r="Z6">
        <f ca="1"/>
        <v>3.1</v>
      </c>
      <c r="AA6" cm="1">
        <f t="array" aca="1" ref="AA6:AH6" ca="1">TRANSPOSE((OFFSET($G$18,(ROW(G3)-1)*8,0)):(OFFSET($G$25,(ROW(G3)-1)*8,0)))</f>
        <v>18.100000000000001</v>
      </c>
      <c r="AB6">
        <f ca="1"/>
        <v>18.100000000000001</v>
      </c>
      <c r="AC6">
        <f ca="1"/>
        <v>12.3</v>
      </c>
      <c r="AD6">
        <f ca="1"/>
        <v>15.8</v>
      </c>
      <c r="AE6">
        <f ca="1"/>
        <v>18.899999999999999</v>
      </c>
      <c r="AF6">
        <f ca="1"/>
        <v>6.8</v>
      </c>
      <c r="AG6">
        <f ca="1"/>
        <v>8.1999999999999993</v>
      </c>
      <c r="AH6">
        <f ca="1"/>
        <v>5.5</v>
      </c>
    </row>
    <row r="7" spans="1:34" x14ac:dyDescent="0.25">
      <c r="A7">
        <v>4</v>
      </c>
      <c r="B7" t="s">
        <v>16</v>
      </c>
      <c r="C7" cm="1">
        <f t="array" aca="1" ref="C7:J7" ca="1">TRANSPOSE((OFFSET($D$18,(ROW(D4)-1)*8,0)):(OFFSET($D$25,(ROW(D4)-1)*8,0)))</f>
        <v>69.099999999999994</v>
      </c>
      <c r="D7">
        <f ca="1"/>
        <v>29.8</v>
      </c>
      <c r="E7">
        <f ca="1"/>
        <v>23.5</v>
      </c>
      <c r="F7">
        <f ca="1"/>
        <v>28.2</v>
      </c>
      <c r="G7">
        <f ca="1"/>
        <v>65.7</v>
      </c>
      <c r="H7">
        <f ca="1"/>
        <v>5.4</v>
      </c>
      <c r="I7">
        <f ca="1"/>
        <v>6.5</v>
      </c>
      <c r="J7">
        <f ca="1"/>
        <v>5</v>
      </c>
      <c r="K7" cm="1">
        <f t="array" aca="1" ref="K7:R7" ca="1">TRANSPOSE((OFFSET($E$18,(ROW(E4)-1)*8,0)):(OFFSET($E$25,(ROW(E4)-1)*8,0)))</f>
        <v>65.400000000000006</v>
      </c>
      <c r="L7">
        <f ca="1"/>
        <v>28.9</v>
      </c>
      <c r="M7">
        <f ca="1"/>
        <v>23.2</v>
      </c>
      <c r="N7">
        <f ca="1"/>
        <v>27.2</v>
      </c>
      <c r="O7">
        <f ca="1"/>
        <v>68.5</v>
      </c>
      <c r="P7">
        <f ca="1"/>
        <v>9.9</v>
      </c>
      <c r="Q7">
        <f ca="1"/>
        <v>9.8000000000000007</v>
      </c>
      <c r="R7">
        <f ca="1"/>
        <v>9</v>
      </c>
      <c r="S7" cm="1">
        <f t="array" aca="1" ref="S7:Z7" ca="1">TRANSPOSE((OFFSET($F$18,(ROW(F4)-1)*8,0)):(OFFSET($F$25,(ROW(F4)-1)*8,0)))</f>
        <v>18.600000000000001</v>
      </c>
      <c r="T7">
        <f ca="1"/>
        <v>18.600000000000001</v>
      </c>
      <c r="U7">
        <f ca="1"/>
        <v>13.2</v>
      </c>
      <c r="V7">
        <f ca="1"/>
        <v>18.3</v>
      </c>
      <c r="W7">
        <f ca="1"/>
        <v>18.399999999999999</v>
      </c>
      <c r="X7">
        <f ca="1"/>
        <v>2.9</v>
      </c>
      <c r="Y7">
        <f ca="1"/>
        <v>4.4000000000000004</v>
      </c>
      <c r="Z7">
        <f ca="1"/>
        <v>3.1</v>
      </c>
      <c r="AA7" cm="1">
        <f t="array" aca="1" ref="AA7:AH7" ca="1">TRANSPOSE((OFFSET($G$18,(ROW(G4)-1)*8,0)):(OFFSET($G$25,(ROW(G4)-1)*8,0)))</f>
        <v>18</v>
      </c>
      <c r="AB7">
        <f ca="1"/>
        <v>18</v>
      </c>
      <c r="AC7">
        <f ca="1"/>
        <v>12.3</v>
      </c>
      <c r="AD7">
        <f ca="1"/>
        <v>15.8</v>
      </c>
      <c r="AE7">
        <f ca="1"/>
        <v>18.600000000000001</v>
      </c>
      <c r="AF7">
        <f ca="1"/>
        <v>6.8</v>
      </c>
      <c r="AG7">
        <f ca="1"/>
        <v>8.1</v>
      </c>
      <c r="AH7">
        <f ca="1"/>
        <v>5.5</v>
      </c>
    </row>
    <row r="8" spans="1:34" x14ac:dyDescent="0.25">
      <c r="A8">
        <v>5</v>
      </c>
      <c r="B8" t="s">
        <v>17</v>
      </c>
      <c r="C8" cm="1">
        <f t="array" aca="1" ref="C8:J8" ca="1">TRANSPOSE((OFFSET($D$18,(ROW(D5)-1)*8,0)):(OFFSET($D$25,(ROW(D5)-1)*8,0)))</f>
        <v>69.7</v>
      </c>
      <c r="D8">
        <f ca="1"/>
        <v>69.7</v>
      </c>
      <c r="E8">
        <f ca="1"/>
        <v>58.9</v>
      </c>
      <c r="F8">
        <f ca="1"/>
        <v>68.3</v>
      </c>
      <c r="G8">
        <f ca="1"/>
        <v>66.7</v>
      </c>
      <c r="H8">
        <f ca="1"/>
        <v>9.6</v>
      </c>
      <c r="I8">
        <f ca="1"/>
        <v>8.6</v>
      </c>
      <c r="J8">
        <f ca="1"/>
        <v>7.2</v>
      </c>
      <c r="K8" cm="1">
        <f t="array" aca="1" ref="K8:R8" ca="1">TRANSPOSE((OFFSET($E$18,(ROW(E5)-1)*8,0)):(OFFSET($E$25,(ROW(E5)-1)*8,0)))</f>
        <v>68</v>
      </c>
      <c r="L8">
        <f ca="1"/>
        <v>68</v>
      </c>
      <c r="M8">
        <f ca="1"/>
        <v>59.2</v>
      </c>
      <c r="N8">
        <f ca="1"/>
        <v>65.400000000000006</v>
      </c>
      <c r="O8">
        <f ca="1"/>
        <v>70.099999999999994</v>
      </c>
      <c r="P8">
        <f ca="1"/>
        <v>23.9</v>
      </c>
      <c r="Q8">
        <f ca="1"/>
        <v>19.7</v>
      </c>
      <c r="R8">
        <f ca="1"/>
        <v>21.5</v>
      </c>
      <c r="S8" cm="1">
        <f t="array" aca="1" ref="S8:Z8" ca="1">TRANSPOSE((OFFSET($F$18,(ROW(F5)-1)*8,0)):(OFFSET($F$25,(ROW(F5)-1)*8,0)))</f>
        <v>44.2</v>
      </c>
      <c r="T8">
        <f ca="1"/>
        <v>44.2</v>
      </c>
      <c r="U8">
        <f ca="1"/>
        <v>32.4</v>
      </c>
      <c r="V8">
        <f ca="1"/>
        <v>37.799999999999997</v>
      </c>
      <c r="W8">
        <f ca="1"/>
        <v>36.1</v>
      </c>
      <c r="X8">
        <f ca="1"/>
        <v>5.3</v>
      </c>
      <c r="Y8">
        <f ca="1"/>
        <v>5.5</v>
      </c>
      <c r="Z8">
        <f ca="1"/>
        <v>3.6</v>
      </c>
      <c r="AA8" cm="1">
        <f t="array" aca="1" ref="AA8:AH8" ca="1">TRANSPOSE((OFFSET($G$18,(ROW(G5)-1)*8,0)):(OFFSET($G$25,(ROW(G5)-1)*8,0)))</f>
        <v>45.3</v>
      </c>
      <c r="AB8">
        <f ca="1"/>
        <v>45.3</v>
      </c>
      <c r="AC8">
        <f ca="1"/>
        <v>33.1</v>
      </c>
      <c r="AD8">
        <f ca="1"/>
        <v>35.299999999999997</v>
      </c>
      <c r="AE8">
        <f ca="1"/>
        <v>41.6</v>
      </c>
      <c r="AF8">
        <f ca="1"/>
        <v>10</v>
      </c>
      <c r="AG8">
        <f ca="1"/>
        <v>14</v>
      </c>
      <c r="AH8">
        <f ca="1"/>
        <v>7.8</v>
      </c>
    </row>
    <row r="9" spans="1:34" x14ac:dyDescent="0.25">
      <c r="A9">
        <v>6</v>
      </c>
      <c r="B9" t="s">
        <v>18</v>
      </c>
      <c r="C9" cm="1">
        <f t="array" aca="1" ref="C9:J9" ca="1">TRANSPOSE((OFFSET($D$18,(ROW(D6)-1)*8,0)):(OFFSET($D$25,(ROW(D6)-1)*8,0)))</f>
        <v>73</v>
      </c>
      <c r="D9">
        <f ca="1"/>
        <v>72.400000000000006</v>
      </c>
      <c r="E9">
        <f ca="1"/>
        <v>54.7</v>
      </c>
      <c r="F9">
        <f ca="1"/>
        <v>63.7</v>
      </c>
      <c r="G9">
        <f ca="1"/>
        <v>69.900000000000006</v>
      </c>
      <c r="H9">
        <f ca="1"/>
        <v>9.6</v>
      </c>
      <c r="I9">
        <f ca="1"/>
        <v>8.6</v>
      </c>
      <c r="J9">
        <f ca="1"/>
        <v>7.3</v>
      </c>
      <c r="K9" cm="1">
        <f t="array" aca="1" ref="K9:R9" ca="1">TRANSPOSE((OFFSET($E$18,(ROW(E6)-1)*8,0)):(OFFSET($E$25,(ROW(E6)-1)*8,0)))</f>
        <v>68</v>
      </c>
      <c r="L9">
        <f ca="1"/>
        <v>68</v>
      </c>
      <c r="M9">
        <f ca="1"/>
        <v>59.2</v>
      </c>
      <c r="N9">
        <f ca="1"/>
        <v>65.5</v>
      </c>
      <c r="O9">
        <f ca="1"/>
        <v>70.099999999999994</v>
      </c>
      <c r="P9">
        <f ca="1"/>
        <v>21.2</v>
      </c>
      <c r="Q9">
        <f ca="1"/>
        <v>20.3</v>
      </c>
      <c r="R9">
        <f ca="1"/>
        <v>19</v>
      </c>
      <c r="S9" cm="1">
        <f t="array" aca="1" ref="S9:Z9" ca="1">TRANSPOSE((OFFSET($F$18,(ROW(F6)-1)*8,0)):(OFFSET($F$25,(ROW(F6)-1)*8,0)))</f>
        <v>44.2</v>
      </c>
      <c r="T9">
        <f ca="1"/>
        <v>44.2</v>
      </c>
      <c r="U9">
        <f ca="1"/>
        <v>34.6</v>
      </c>
      <c r="V9">
        <f ca="1"/>
        <v>43.4</v>
      </c>
      <c r="W9">
        <f ca="1"/>
        <v>41.5</v>
      </c>
      <c r="X9">
        <f ca="1"/>
        <v>5.3</v>
      </c>
      <c r="Y9">
        <f ca="1"/>
        <v>5.9</v>
      </c>
      <c r="Z9">
        <f ca="1"/>
        <v>3.9</v>
      </c>
      <c r="AA9" cm="1">
        <f t="array" aca="1" ref="AA9:AH9" ca="1">TRANSPOSE((OFFSET($G$18,(ROW(G6)-1)*8,0)):(OFFSET($G$25,(ROW(G6)-1)*8,0)))</f>
        <v>45.3</v>
      </c>
      <c r="AB9">
        <f ca="1"/>
        <v>45.3</v>
      </c>
      <c r="AC9">
        <f ca="1"/>
        <v>33</v>
      </c>
      <c r="AD9">
        <f ca="1"/>
        <v>30.8</v>
      </c>
      <c r="AE9">
        <f ca="1"/>
        <v>45.3</v>
      </c>
      <c r="AF9">
        <f ca="1"/>
        <v>10.7</v>
      </c>
      <c r="AG9">
        <f ca="1"/>
        <v>13.9</v>
      </c>
      <c r="AH9">
        <f ca="1"/>
        <v>7.8</v>
      </c>
    </row>
    <row r="10" spans="1:34" x14ac:dyDescent="0.25">
      <c r="A10">
        <v>7</v>
      </c>
      <c r="B10" t="s">
        <v>19</v>
      </c>
      <c r="C10" cm="1">
        <f t="array" aca="1" ref="C10:J10" ca="1">TRANSPOSE((OFFSET($D$18,(ROW(D7)-1)*8,0)):(OFFSET($D$25,(ROW(D7)-1)*8,0)))</f>
        <v>72.900000000000006</v>
      </c>
      <c r="D10">
        <f ca="1"/>
        <v>72.3</v>
      </c>
      <c r="E10">
        <f ca="1"/>
        <v>58.5</v>
      </c>
      <c r="F10">
        <f ca="1"/>
        <v>67.900000000000006</v>
      </c>
      <c r="G10">
        <f ca="1"/>
        <v>69.8</v>
      </c>
      <c r="H10">
        <f ca="1"/>
        <v>9.4</v>
      </c>
      <c r="I10">
        <f ca="1"/>
        <v>8.6</v>
      </c>
      <c r="J10">
        <f ca="1"/>
        <v>7.3</v>
      </c>
      <c r="K10" cm="1">
        <f t="array" aca="1" ref="K10:R10" ca="1">TRANSPOSE((OFFSET($E$18,(ROW(E7)-1)*8,0)):(OFFSET($E$25,(ROW(E7)-1)*8,0)))</f>
        <v>67.7</v>
      </c>
      <c r="L10">
        <f ca="1"/>
        <v>67.7</v>
      </c>
      <c r="M10">
        <f ca="1"/>
        <v>59</v>
      </c>
      <c r="N10">
        <f ca="1"/>
        <v>65.3</v>
      </c>
      <c r="O10">
        <f ca="1"/>
        <v>70.099999999999994</v>
      </c>
      <c r="P10">
        <f ca="1"/>
        <v>21.1</v>
      </c>
      <c r="Q10">
        <f ca="1"/>
        <v>19.8</v>
      </c>
      <c r="R10">
        <f ca="1"/>
        <v>19</v>
      </c>
      <c r="S10" cm="1">
        <f t="array" aca="1" ref="S10:Z10" ca="1">TRANSPOSE((OFFSET($F$18,(ROW(F7)-1)*8,0)):(OFFSET($F$25,(ROW(F7)-1)*8,0)))</f>
        <v>44.1</v>
      </c>
      <c r="T10">
        <f ca="1"/>
        <v>44.1</v>
      </c>
      <c r="U10">
        <f ca="1"/>
        <v>34.799999999999997</v>
      </c>
      <c r="V10">
        <f ca="1"/>
        <v>43.9</v>
      </c>
      <c r="W10">
        <f ca="1"/>
        <v>41.9</v>
      </c>
      <c r="X10">
        <f ca="1"/>
        <v>5.2</v>
      </c>
      <c r="Y10">
        <f ca="1"/>
        <v>5.8</v>
      </c>
      <c r="Z10">
        <f ca="1"/>
        <v>3.9</v>
      </c>
      <c r="AA10" cm="1">
        <f t="array" aca="1" ref="AA10:AH10" ca="1">TRANSPOSE((OFFSET($G$18,(ROW(G7)-1)*8,0)):(OFFSET($G$25,(ROW(G7)-1)*8,0)))</f>
        <v>45.1</v>
      </c>
      <c r="AB10">
        <f ca="1"/>
        <v>45.1</v>
      </c>
      <c r="AC10">
        <f ca="1"/>
        <v>32.799999999999997</v>
      </c>
      <c r="AD10">
        <f ca="1"/>
        <v>30.6</v>
      </c>
      <c r="AE10">
        <f ca="1"/>
        <v>45.6</v>
      </c>
      <c r="AF10">
        <f ca="1"/>
        <v>10.6</v>
      </c>
      <c r="AG10">
        <f ca="1"/>
        <v>13.8</v>
      </c>
      <c r="AH10">
        <f ca="1"/>
        <v>7.7</v>
      </c>
    </row>
    <row r="11" spans="1:34" x14ac:dyDescent="0.25">
      <c r="A11">
        <v>8</v>
      </c>
      <c r="B11" t="s">
        <v>20</v>
      </c>
      <c r="C11" cm="1">
        <f t="array" aca="1" ref="C11:J11" ca="1">TRANSPOSE((OFFSET($D$18,(ROW(D8)-1)*8,0)):(OFFSET($D$25,(ROW(D8)-1)*8,0)))</f>
        <v>72.8</v>
      </c>
      <c r="D11">
        <f ca="1"/>
        <v>72.3</v>
      </c>
      <c r="E11">
        <f ca="1"/>
        <v>54.9</v>
      </c>
      <c r="F11">
        <f ca="1"/>
        <v>63.6</v>
      </c>
      <c r="G11">
        <f ca="1"/>
        <v>69.900000000000006</v>
      </c>
      <c r="H11">
        <f ca="1"/>
        <v>9.4</v>
      </c>
      <c r="I11">
        <f ca="1"/>
        <v>8.6</v>
      </c>
      <c r="J11">
        <f ca="1"/>
        <v>7.3</v>
      </c>
      <c r="K11" cm="1">
        <f t="array" aca="1" ref="K11:R11" ca="1">TRANSPOSE((OFFSET($E$18,(ROW(E8)-1)*8,0)):(OFFSET($E$25,(ROW(E8)-1)*8,0)))</f>
        <v>67.599999999999994</v>
      </c>
      <c r="L11">
        <f ca="1"/>
        <v>67.599999999999994</v>
      </c>
      <c r="M11">
        <f ca="1"/>
        <v>58.9</v>
      </c>
      <c r="N11">
        <f ca="1"/>
        <v>65.2</v>
      </c>
      <c r="O11">
        <f ca="1"/>
        <v>70</v>
      </c>
      <c r="P11">
        <f ca="1"/>
        <v>21</v>
      </c>
      <c r="Q11">
        <f ca="1"/>
        <v>19.5</v>
      </c>
      <c r="R11">
        <f ca="1"/>
        <v>19</v>
      </c>
      <c r="S11" cm="1">
        <f t="array" aca="1" ref="S11:Z11" ca="1">TRANSPOSE((OFFSET($F$18,(ROW(F8)-1)*8,0)):(OFFSET($F$25,(ROW(F8)-1)*8,0)))</f>
        <v>44.1</v>
      </c>
      <c r="T11">
        <f ca="1"/>
        <v>44.1</v>
      </c>
      <c r="U11">
        <f ca="1"/>
        <v>34.4</v>
      </c>
      <c r="V11">
        <f ca="1"/>
        <v>43</v>
      </c>
      <c r="W11">
        <f ca="1"/>
        <v>41.1</v>
      </c>
      <c r="X11">
        <f ca="1"/>
        <v>5.2</v>
      </c>
      <c r="Y11">
        <f ca="1"/>
        <v>5.4</v>
      </c>
      <c r="Z11">
        <f ca="1"/>
        <v>3.9</v>
      </c>
      <c r="AA11" cm="1">
        <f t="array" aca="1" ref="AA11:AH11" ca="1">TRANSPOSE((OFFSET($G$18,(ROW(G8)-1)*8,0)):(OFFSET($G$25,(ROW(G8)-1)*8,0)))</f>
        <v>45.1</v>
      </c>
      <c r="AB11">
        <f ca="1"/>
        <v>45.1</v>
      </c>
      <c r="AC11">
        <f ca="1"/>
        <v>32.6</v>
      </c>
      <c r="AD11">
        <f ca="1"/>
        <v>29.8</v>
      </c>
      <c r="AE11">
        <f ca="1"/>
        <v>45.3</v>
      </c>
      <c r="AF11">
        <f ca="1"/>
        <v>10.6</v>
      </c>
      <c r="AG11">
        <f ca="1"/>
        <v>13.8</v>
      </c>
      <c r="AH11">
        <f ca="1"/>
        <v>7.7</v>
      </c>
    </row>
    <row r="17" spans="2:7" x14ac:dyDescent="0.25">
      <c r="C17" s="78" t="s">
        <v>21</v>
      </c>
      <c r="D17" s="78"/>
      <c r="E17" s="78"/>
      <c r="F17" s="78"/>
      <c r="G17" s="78"/>
    </row>
    <row r="18" spans="2:7" x14ac:dyDescent="0.25">
      <c r="B18">
        <v>1</v>
      </c>
      <c r="C18" t="s">
        <v>5</v>
      </c>
      <c r="D18">
        <v>67.900000000000006</v>
      </c>
      <c r="E18">
        <v>64.400000000000006</v>
      </c>
      <c r="F18">
        <v>18.3</v>
      </c>
      <c r="G18">
        <v>17.7</v>
      </c>
    </row>
    <row r="19" spans="2:7" x14ac:dyDescent="0.25">
      <c r="C19" t="s">
        <v>6</v>
      </c>
      <c r="D19">
        <v>28.9</v>
      </c>
      <c r="E19">
        <v>27.3</v>
      </c>
      <c r="F19">
        <v>18.3</v>
      </c>
      <c r="G19">
        <v>17.7</v>
      </c>
    </row>
    <row r="20" spans="2:7" x14ac:dyDescent="0.25">
      <c r="C20" t="s">
        <v>7</v>
      </c>
      <c r="D20">
        <v>23</v>
      </c>
      <c r="E20">
        <v>22.6</v>
      </c>
      <c r="F20">
        <v>13</v>
      </c>
      <c r="G20">
        <v>12.2</v>
      </c>
    </row>
    <row r="21" spans="2:7" x14ac:dyDescent="0.25">
      <c r="C21" t="s">
        <v>8</v>
      </c>
      <c r="D21">
        <v>27.7</v>
      </c>
      <c r="E21">
        <v>26.4</v>
      </c>
      <c r="F21">
        <v>18.100000000000001</v>
      </c>
      <c r="G21">
        <v>15.6</v>
      </c>
    </row>
    <row r="22" spans="2:7" x14ac:dyDescent="0.25">
      <c r="C22" t="s">
        <v>9</v>
      </c>
      <c r="D22">
        <v>67.099999999999994</v>
      </c>
      <c r="E22">
        <v>68.2</v>
      </c>
      <c r="F22">
        <v>18.5</v>
      </c>
      <c r="G22">
        <v>18.600000000000001</v>
      </c>
    </row>
    <row r="23" spans="2:7" x14ac:dyDescent="0.25">
      <c r="C23" t="s">
        <v>10</v>
      </c>
      <c r="D23">
        <v>5.5</v>
      </c>
      <c r="E23">
        <v>9.8000000000000007</v>
      </c>
      <c r="F23">
        <v>2.9</v>
      </c>
      <c r="G23">
        <v>6.7</v>
      </c>
    </row>
    <row r="24" spans="2:7" x14ac:dyDescent="0.25">
      <c r="C24" t="s">
        <v>11</v>
      </c>
      <c r="D24">
        <v>6.4</v>
      </c>
      <c r="E24">
        <v>9.6999999999999993</v>
      </c>
      <c r="F24">
        <v>4.3</v>
      </c>
      <c r="G24">
        <v>8</v>
      </c>
    </row>
    <row r="25" spans="2:7" x14ac:dyDescent="0.25">
      <c r="C25" t="s">
        <v>12</v>
      </c>
      <c r="D25">
        <v>5.0999999999999996</v>
      </c>
      <c r="E25">
        <v>8.9</v>
      </c>
      <c r="F25">
        <v>3</v>
      </c>
      <c r="G25">
        <v>5.4</v>
      </c>
    </row>
    <row r="26" spans="2:7" x14ac:dyDescent="0.25">
      <c r="B26">
        <v>2</v>
      </c>
      <c r="C26" t="s">
        <v>5</v>
      </c>
      <c r="D26">
        <v>69.400000000000006</v>
      </c>
      <c r="E26">
        <v>66.099999999999994</v>
      </c>
      <c r="F26">
        <v>18.7</v>
      </c>
      <c r="G26">
        <v>18.100000000000001</v>
      </c>
    </row>
    <row r="27" spans="2:7" x14ac:dyDescent="0.25">
      <c r="C27" t="s">
        <v>6</v>
      </c>
      <c r="D27">
        <v>29.8</v>
      </c>
      <c r="E27">
        <v>28.4</v>
      </c>
      <c r="F27">
        <v>18.7</v>
      </c>
      <c r="G27">
        <v>18.100000000000001</v>
      </c>
    </row>
    <row r="28" spans="2:7" x14ac:dyDescent="0.25">
      <c r="C28" t="s">
        <v>7</v>
      </c>
      <c r="D28">
        <v>23.5</v>
      </c>
      <c r="E28">
        <v>23.2</v>
      </c>
      <c r="F28">
        <v>13.2</v>
      </c>
      <c r="G28">
        <v>12.4</v>
      </c>
    </row>
    <row r="29" spans="2:7" x14ac:dyDescent="0.25">
      <c r="C29" t="s">
        <v>8</v>
      </c>
      <c r="D29">
        <v>28.3</v>
      </c>
      <c r="E29">
        <v>27.2</v>
      </c>
      <c r="F29">
        <v>18.3</v>
      </c>
      <c r="G29">
        <v>16</v>
      </c>
    </row>
    <row r="30" spans="2:7" x14ac:dyDescent="0.25">
      <c r="C30" t="s">
        <v>9</v>
      </c>
      <c r="D30">
        <v>66.3</v>
      </c>
      <c r="E30">
        <v>68.900000000000006</v>
      </c>
      <c r="F30">
        <v>18.3</v>
      </c>
      <c r="G30">
        <v>18.7</v>
      </c>
    </row>
    <row r="31" spans="2:7" x14ac:dyDescent="0.25">
      <c r="C31" t="s">
        <v>10</v>
      </c>
      <c r="D31">
        <v>5.4</v>
      </c>
      <c r="E31">
        <v>9.9</v>
      </c>
      <c r="F31">
        <v>2.9</v>
      </c>
      <c r="G31">
        <v>6.8</v>
      </c>
    </row>
    <row r="32" spans="2:7" x14ac:dyDescent="0.25">
      <c r="C32" t="s">
        <v>11</v>
      </c>
      <c r="D32">
        <v>6.5</v>
      </c>
      <c r="E32">
        <v>9.8000000000000007</v>
      </c>
      <c r="F32">
        <v>4.4000000000000004</v>
      </c>
      <c r="G32">
        <v>8.1999999999999993</v>
      </c>
    </row>
    <row r="33" spans="2:7" x14ac:dyDescent="0.25">
      <c r="C33" t="s">
        <v>12</v>
      </c>
      <c r="D33">
        <v>5</v>
      </c>
      <c r="E33">
        <v>9</v>
      </c>
      <c r="F33">
        <v>3</v>
      </c>
      <c r="G33">
        <v>5.5</v>
      </c>
    </row>
    <row r="34" spans="2:7" x14ac:dyDescent="0.25">
      <c r="B34">
        <v>3</v>
      </c>
      <c r="C34" t="s">
        <v>5</v>
      </c>
      <c r="D34">
        <v>69</v>
      </c>
      <c r="E34">
        <v>66.2</v>
      </c>
      <c r="F34">
        <v>18.7</v>
      </c>
      <c r="G34">
        <v>18.100000000000001</v>
      </c>
    </row>
    <row r="35" spans="2:7" x14ac:dyDescent="0.25">
      <c r="C35" t="s">
        <v>6</v>
      </c>
      <c r="D35">
        <v>29.9</v>
      </c>
      <c r="E35">
        <v>28.8</v>
      </c>
      <c r="F35">
        <v>18.7</v>
      </c>
      <c r="G35">
        <v>18.100000000000001</v>
      </c>
    </row>
    <row r="36" spans="2:7" x14ac:dyDescent="0.25">
      <c r="C36" t="s">
        <v>7</v>
      </c>
      <c r="D36">
        <v>23.5</v>
      </c>
      <c r="E36">
        <v>23.2</v>
      </c>
      <c r="F36">
        <v>13.4</v>
      </c>
      <c r="G36">
        <v>12.3</v>
      </c>
    </row>
    <row r="37" spans="2:7" x14ac:dyDescent="0.25">
      <c r="C37" t="s">
        <v>8</v>
      </c>
      <c r="D37">
        <v>28.2</v>
      </c>
      <c r="E37">
        <v>27.2</v>
      </c>
      <c r="F37">
        <v>18.5</v>
      </c>
      <c r="G37">
        <v>15.8</v>
      </c>
    </row>
    <row r="38" spans="2:7" x14ac:dyDescent="0.25">
      <c r="C38" t="s">
        <v>9</v>
      </c>
      <c r="D38">
        <v>67.599999999999994</v>
      </c>
      <c r="E38">
        <v>69</v>
      </c>
      <c r="F38">
        <v>18.7</v>
      </c>
      <c r="G38">
        <v>18.899999999999999</v>
      </c>
    </row>
    <row r="39" spans="2:7" x14ac:dyDescent="0.25">
      <c r="C39" t="s">
        <v>10</v>
      </c>
      <c r="D39">
        <v>5.4</v>
      </c>
      <c r="E39">
        <v>10</v>
      </c>
      <c r="F39">
        <v>2.9</v>
      </c>
      <c r="G39">
        <v>6.8</v>
      </c>
    </row>
    <row r="40" spans="2:7" x14ac:dyDescent="0.25">
      <c r="C40" t="s">
        <v>11</v>
      </c>
      <c r="D40">
        <v>6.5</v>
      </c>
      <c r="E40">
        <v>9.8000000000000007</v>
      </c>
      <c r="F40">
        <v>4.4000000000000004</v>
      </c>
      <c r="G40">
        <v>8.1999999999999993</v>
      </c>
    </row>
    <row r="41" spans="2:7" x14ac:dyDescent="0.25">
      <c r="C41" t="s">
        <v>12</v>
      </c>
      <c r="D41">
        <v>5</v>
      </c>
      <c r="E41">
        <v>9</v>
      </c>
      <c r="F41">
        <v>3.1</v>
      </c>
      <c r="G41">
        <v>5.5</v>
      </c>
    </row>
    <row r="42" spans="2:7" x14ac:dyDescent="0.25">
      <c r="B42">
        <v>4</v>
      </c>
      <c r="C42" t="s">
        <v>5</v>
      </c>
      <c r="D42">
        <v>69.099999999999994</v>
      </c>
      <c r="E42">
        <v>65.400000000000006</v>
      </c>
      <c r="F42">
        <v>18.600000000000001</v>
      </c>
      <c r="G42">
        <v>18</v>
      </c>
    </row>
    <row r="43" spans="2:7" x14ac:dyDescent="0.25">
      <c r="C43" t="s">
        <v>6</v>
      </c>
      <c r="D43">
        <v>29.8</v>
      </c>
      <c r="E43">
        <v>28.9</v>
      </c>
      <c r="F43">
        <v>18.600000000000001</v>
      </c>
      <c r="G43">
        <v>18</v>
      </c>
    </row>
    <row r="44" spans="2:7" x14ac:dyDescent="0.25">
      <c r="C44" t="s">
        <v>7</v>
      </c>
      <c r="D44">
        <v>23.5</v>
      </c>
      <c r="E44">
        <v>23.2</v>
      </c>
      <c r="F44">
        <v>13.2</v>
      </c>
      <c r="G44">
        <v>12.3</v>
      </c>
    </row>
    <row r="45" spans="2:7" x14ac:dyDescent="0.25">
      <c r="C45" t="s">
        <v>8</v>
      </c>
      <c r="D45">
        <v>28.2</v>
      </c>
      <c r="E45">
        <v>27.2</v>
      </c>
      <c r="F45">
        <v>18.3</v>
      </c>
      <c r="G45">
        <v>15.8</v>
      </c>
    </row>
    <row r="46" spans="2:7" x14ac:dyDescent="0.25">
      <c r="C46" t="s">
        <v>9</v>
      </c>
      <c r="D46">
        <v>65.7</v>
      </c>
      <c r="E46">
        <v>68.5</v>
      </c>
      <c r="F46">
        <v>18.399999999999999</v>
      </c>
      <c r="G46">
        <v>18.600000000000001</v>
      </c>
    </row>
    <row r="47" spans="2:7" x14ac:dyDescent="0.25">
      <c r="C47" t="s">
        <v>10</v>
      </c>
      <c r="D47">
        <v>5.4</v>
      </c>
      <c r="E47">
        <v>9.9</v>
      </c>
      <c r="F47">
        <v>2.9</v>
      </c>
      <c r="G47">
        <v>6.8</v>
      </c>
    </row>
    <row r="48" spans="2:7" x14ac:dyDescent="0.25">
      <c r="C48" t="s">
        <v>11</v>
      </c>
      <c r="D48">
        <v>6.5</v>
      </c>
      <c r="E48">
        <v>9.8000000000000007</v>
      </c>
      <c r="F48">
        <v>4.4000000000000004</v>
      </c>
      <c r="G48">
        <v>8.1</v>
      </c>
    </row>
    <row r="49" spans="2:7" x14ac:dyDescent="0.25">
      <c r="C49" t="s">
        <v>12</v>
      </c>
      <c r="D49">
        <v>5</v>
      </c>
      <c r="E49">
        <v>9</v>
      </c>
      <c r="F49">
        <v>3.1</v>
      </c>
      <c r="G49">
        <v>5.5</v>
      </c>
    </row>
    <row r="50" spans="2:7" x14ac:dyDescent="0.25">
      <c r="B50">
        <v>5</v>
      </c>
      <c r="C50" t="s">
        <v>5</v>
      </c>
      <c r="D50">
        <v>69.7</v>
      </c>
      <c r="E50">
        <v>68</v>
      </c>
      <c r="F50">
        <v>44.2</v>
      </c>
      <c r="G50">
        <v>45.3</v>
      </c>
    </row>
    <row r="51" spans="2:7" x14ac:dyDescent="0.25">
      <c r="C51" t="s">
        <v>6</v>
      </c>
      <c r="D51">
        <v>69.7</v>
      </c>
      <c r="E51">
        <v>68</v>
      </c>
      <c r="F51">
        <v>44.2</v>
      </c>
      <c r="G51">
        <v>45.3</v>
      </c>
    </row>
    <row r="52" spans="2:7" x14ac:dyDescent="0.25">
      <c r="C52" t="s">
        <v>7</v>
      </c>
      <c r="D52">
        <v>58.9</v>
      </c>
      <c r="E52">
        <v>59.2</v>
      </c>
      <c r="F52">
        <v>32.4</v>
      </c>
      <c r="G52">
        <v>33.1</v>
      </c>
    </row>
    <row r="53" spans="2:7" x14ac:dyDescent="0.25">
      <c r="C53" t="s">
        <v>8</v>
      </c>
      <c r="D53">
        <v>68.3</v>
      </c>
      <c r="E53">
        <v>65.400000000000006</v>
      </c>
      <c r="F53">
        <v>37.799999999999997</v>
      </c>
      <c r="G53">
        <v>35.299999999999997</v>
      </c>
    </row>
    <row r="54" spans="2:7" x14ac:dyDescent="0.25">
      <c r="C54" t="s">
        <v>9</v>
      </c>
      <c r="D54">
        <v>66.7</v>
      </c>
      <c r="E54">
        <v>70.099999999999994</v>
      </c>
      <c r="F54">
        <v>36.1</v>
      </c>
      <c r="G54">
        <v>41.6</v>
      </c>
    </row>
    <row r="55" spans="2:7" x14ac:dyDescent="0.25">
      <c r="C55" t="s">
        <v>10</v>
      </c>
      <c r="D55">
        <v>9.6</v>
      </c>
      <c r="E55">
        <v>23.9</v>
      </c>
      <c r="F55">
        <v>5.3</v>
      </c>
      <c r="G55">
        <v>10</v>
      </c>
    </row>
    <row r="56" spans="2:7" x14ac:dyDescent="0.25">
      <c r="C56" t="s">
        <v>11</v>
      </c>
      <c r="D56">
        <v>8.6</v>
      </c>
      <c r="E56">
        <v>19.7</v>
      </c>
      <c r="F56">
        <v>5.5</v>
      </c>
      <c r="G56">
        <v>14</v>
      </c>
    </row>
    <row r="57" spans="2:7" x14ac:dyDescent="0.25">
      <c r="C57" t="s">
        <v>12</v>
      </c>
      <c r="D57">
        <v>7.2</v>
      </c>
      <c r="E57">
        <v>21.5</v>
      </c>
      <c r="F57">
        <v>3.6</v>
      </c>
      <c r="G57">
        <v>7.8</v>
      </c>
    </row>
    <row r="58" spans="2:7" x14ac:dyDescent="0.25">
      <c r="B58">
        <v>6</v>
      </c>
      <c r="C58" t="s">
        <v>5</v>
      </c>
      <c r="D58">
        <v>73</v>
      </c>
      <c r="E58">
        <v>68</v>
      </c>
      <c r="F58">
        <v>44.2</v>
      </c>
      <c r="G58">
        <v>45.3</v>
      </c>
    </row>
    <row r="59" spans="2:7" x14ac:dyDescent="0.25">
      <c r="C59" t="s">
        <v>6</v>
      </c>
      <c r="D59">
        <v>72.400000000000006</v>
      </c>
      <c r="E59">
        <v>68</v>
      </c>
      <c r="F59">
        <v>44.2</v>
      </c>
      <c r="G59">
        <v>45.3</v>
      </c>
    </row>
    <row r="60" spans="2:7" x14ac:dyDescent="0.25">
      <c r="C60" t="s">
        <v>7</v>
      </c>
      <c r="D60">
        <v>54.7</v>
      </c>
      <c r="E60">
        <v>59.2</v>
      </c>
      <c r="F60">
        <v>34.6</v>
      </c>
      <c r="G60">
        <v>33</v>
      </c>
    </row>
    <row r="61" spans="2:7" x14ac:dyDescent="0.25">
      <c r="C61" t="s">
        <v>8</v>
      </c>
      <c r="D61">
        <v>63.7</v>
      </c>
      <c r="E61">
        <v>65.5</v>
      </c>
      <c r="F61">
        <v>43.4</v>
      </c>
      <c r="G61">
        <v>30.8</v>
      </c>
    </row>
    <row r="62" spans="2:7" x14ac:dyDescent="0.25">
      <c r="C62" t="s">
        <v>9</v>
      </c>
      <c r="D62">
        <v>69.900000000000006</v>
      </c>
      <c r="E62">
        <v>70.099999999999994</v>
      </c>
      <c r="F62">
        <v>41.5</v>
      </c>
      <c r="G62">
        <v>45.3</v>
      </c>
    </row>
    <row r="63" spans="2:7" x14ac:dyDescent="0.25">
      <c r="C63" t="s">
        <v>10</v>
      </c>
      <c r="D63">
        <v>9.6</v>
      </c>
      <c r="E63">
        <v>21.2</v>
      </c>
      <c r="F63">
        <v>5.3</v>
      </c>
      <c r="G63">
        <v>10.7</v>
      </c>
    </row>
    <row r="64" spans="2:7" x14ac:dyDescent="0.25">
      <c r="C64" t="s">
        <v>11</v>
      </c>
      <c r="D64">
        <v>8.6</v>
      </c>
      <c r="E64">
        <v>20.3</v>
      </c>
      <c r="F64">
        <v>5.9</v>
      </c>
      <c r="G64">
        <v>13.9</v>
      </c>
    </row>
    <row r="65" spans="2:7" x14ac:dyDescent="0.25">
      <c r="C65" t="s">
        <v>12</v>
      </c>
      <c r="D65">
        <v>7.3</v>
      </c>
      <c r="E65">
        <v>19</v>
      </c>
      <c r="F65">
        <v>3.9</v>
      </c>
      <c r="G65">
        <v>7.8</v>
      </c>
    </row>
    <row r="66" spans="2:7" x14ac:dyDescent="0.25">
      <c r="B66">
        <v>7</v>
      </c>
      <c r="C66" t="s">
        <v>5</v>
      </c>
      <c r="D66">
        <v>72.900000000000006</v>
      </c>
      <c r="E66">
        <v>67.7</v>
      </c>
      <c r="F66">
        <v>44.1</v>
      </c>
      <c r="G66">
        <v>45.1</v>
      </c>
    </row>
    <row r="67" spans="2:7" x14ac:dyDescent="0.25">
      <c r="C67" t="s">
        <v>6</v>
      </c>
      <c r="D67">
        <v>72.3</v>
      </c>
      <c r="E67">
        <v>67.7</v>
      </c>
      <c r="F67">
        <v>44.1</v>
      </c>
      <c r="G67">
        <v>45.1</v>
      </c>
    </row>
    <row r="68" spans="2:7" x14ac:dyDescent="0.25">
      <c r="C68" t="s">
        <v>7</v>
      </c>
      <c r="D68">
        <v>58.5</v>
      </c>
      <c r="E68">
        <v>59</v>
      </c>
      <c r="F68">
        <v>34.799999999999997</v>
      </c>
      <c r="G68">
        <v>32.799999999999997</v>
      </c>
    </row>
    <row r="69" spans="2:7" x14ac:dyDescent="0.25">
      <c r="C69" t="s">
        <v>8</v>
      </c>
      <c r="D69">
        <v>67.900000000000006</v>
      </c>
      <c r="E69">
        <v>65.3</v>
      </c>
      <c r="F69">
        <v>43.9</v>
      </c>
      <c r="G69">
        <v>30.6</v>
      </c>
    </row>
    <row r="70" spans="2:7" x14ac:dyDescent="0.25">
      <c r="C70" t="s">
        <v>9</v>
      </c>
      <c r="D70">
        <v>69.8</v>
      </c>
      <c r="E70">
        <v>70.099999999999994</v>
      </c>
      <c r="F70">
        <v>41.9</v>
      </c>
      <c r="G70">
        <v>45.6</v>
      </c>
    </row>
    <row r="71" spans="2:7" x14ac:dyDescent="0.25">
      <c r="C71" t="s">
        <v>10</v>
      </c>
      <c r="D71">
        <v>9.4</v>
      </c>
      <c r="E71">
        <v>21.1</v>
      </c>
      <c r="F71">
        <v>5.2</v>
      </c>
      <c r="G71">
        <v>10.6</v>
      </c>
    </row>
    <row r="72" spans="2:7" x14ac:dyDescent="0.25">
      <c r="C72" t="s">
        <v>11</v>
      </c>
      <c r="D72">
        <v>8.6</v>
      </c>
      <c r="E72">
        <v>19.8</v>
      </c>
      <c r="F72">
        <v>5.8</v>
      </c>
      <c r="G72">
        <v>13.8</v>
      </c>
    </row>
    <row r="73" spans="2:7" x14ac:dyDescent="0.25">
      <c r="C73" t="s">
        <v>12</v>
      </c>
      <c r="D73">
        <v>7.3</v>
      </c>
      <c r="E73">
        <v>19</v>
      </c>
      <c r="F73">
        <v>3.9</v>
      </c>
      <c r="G73">
        <v>7.7</v>
      </c>
    </row>
    <row r="74" spans="2:7" x14ac:dyDescent="0.25">
      <c r="B74">
        <v>8</v>
      </c>
      <c r="C74" t="s">
        <v>5</v>
      </c>
      <c r="D74">
        <v>72.8</v>
      </c>
      <c r="E74">
        <v>67.599999999999994</v>
      </c>
      <c r="F74">
        <v>44.1</v>
      </c>
      <c r="G74">
        <v>45.1</v>
      </c>
    </row>
    <row r="75" spans="2:7" x14ac:dyDescent="0.25">
      <c r="C75" t="s">
        <v>6</v>
      </c>
      <c r="D75">
        <v>72.3</v>
      </c>
      <c r="E75">
        <v>67.599999999999994</v>
      </c>
      <c r="F75">
        <v>44.1</v>
      </c>
      <c r="G75">
        <v>45.1</v>
      </c>
    </row>
    <row r="76" spans="2:7" x14ac:dyDescent="0.25">
      <c r="C76" t="s">
        <v>7</v>
      </c>
      <c r="D76">
        <v>54.9</v>
      </c>
      <c r="E76">
        <v>58.9</v>
      </c>
      <c r="F76">
        <v>34.4</v>
      </c>
      <c r="G76">
        <v>32.6</v>
      </c>
    </row>
    <row r="77" spans="2:7" x14ac:dyDescent="0.25">
      <c r="C77" t="s">
        <v>8</v>
      </c>
      <c r="D77">
        <v>63.6</v>
      </c>
      <c r="E77">
        <v>65.2</v>
      </c>
      <c r="F77">
        <v>43</v>
      </c>
      <c r="G77">
        <v>29.8</v>
      </c>
    </row>
    <row r="78" spans="2:7" x14ac:dyDescent="0.25">
      <c r="C78" t="s">
        <v>9</v>
      </c>
      <c r="D78">
        <v>69.900000000000006</v>
      </c>
      <c r="E78">
        <v>70</v>
      </c>
      <c r="F78">
        <v>41.1</v>
      </c>
      <c r="G78">
        <v>45.3</v>
      </c>
    </row>
    <row r="79" spans="2:7" x14ac:dyDescent="0.25">
      <c r="C79" t="s">
        <v>10</v>
      </c>
      <c r="D79">
        <v>9.4</v>
      </c>
      <c r="E79">
        <v>21</v>
      </c>
      <c r="F79">
        <v>5.2</v>
      </c>
      <c r="G79">
        <v>10.6</v>
      </c>
    </row>
    <row r="80" spans="2:7" x14ac:dyDescent="0.25">
      <c r="C80" t="s">
        <v>11</v>
      </c>
      <c r="D80">
        <v>8.6</v>
      </c>
      <c r="E80">
        <v>19.5</v>
      </c>
      <c r="F80">
        <v>5.4</v>
      </c>
      <c r="G80">
        <v>13.8</v>
      </c>
    </row>
    <row r="81" spans="3:7" x14ac:dyDescent="0.25">
      <c r="C81" t="s">
        <v>12</v>
      </c>
      <c r="D81">
        <v>7.3</v>
      </c>
      <c r="E81">
        <v>19</v>
      </c>
      <c r="F81">
        <v>3.9</v>
      </c>
      <c r="G81">
        <v>7.7</v>
      </c>
    </row>
  </sheetData>
  <mergeCells count="8">
    <mergeCell ref="C17:G17"/>
    <mergeCell ref="C1:R1"/>
    <mergeCell ref="S1:AH1"/>
    <mergeCell ref="AA2:AH2"/>
    <mergeCell ref="A3:B3"/>
    <mergeCell ref="C2:J2"/>
    <mergeCell ref="K2:R2"/>
    <mergeCell ref="S2:Z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A4B5-93CF-4B8A-8DFF-B002923152E4}">
  <dimension ref="A1:Q14"/>
  <sheetViews>
    <sheetView workbookViewId="0">
      <selection activeCell="O14" sqref="O14:Q14"/>
    </sheetView>
  </sheetViews>
  <sheetFormatPr defaultRowHeight="15" x14ac:dyDescent="0.25"/>
  <cols>
    <col min="1" max="1" width="19.5703125" customWidth="1"/>
    <col min="2" max="2" width="6.28515625" bestFit="1" customWidth="1"/>
    <col min="3" max="3" width="20.5703125" customWidth="1"/>
    <col min="4" max="5" width="12.140625" bestFit="1" customWidth="1"/>
    <col min="6" max="6" width="26.28515625" customWidth="1"/>
    <col min="7" max="7" width="10.5703125" customWidth="1"/>
    <col min="10" max="10" width="27.140625" bestFit="1" customWidth="1"/>
    <col min="11" max="11" width="18" bestFit="1" customWidth="1"/>
    <col min="12" max="12" width="31.140625" bestFit="1" customWidth="1"/>
  </cols>
  <sheetData>
    <row r="1" spans="1:17" x14ac:dyDescent="0.25">
      <c r="A1" s="6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/>
      <c r="I1" s="5"/>
      <c r="J1" s="5" t="s">
        <v>29</v>
      </c>
      <c r="K1" t="s">
        <v>30</v>
      </c>
    </row>
    <row r="2" spans="1:17" x14ac:dyDescent="0.25">
      <c r="A2" s="6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K2" t="s">
        <v>36</v>
      </c>
      <c r="L2" t="s">
        <v>37</v>
      </c>
    </row>
    <row r="3" spans="1:17" x14ac:dyDescent="0.25">
      <c r="A3" s="6" t="s">
        <v>38</v>
      </c>
      <c r="C3" t="s">
        <v>39</v>
      </c>
      <c r="D3" t="s">
        <v>40</v>
      </c>
      <c r="E3" t="s">
        <v>40</v>
      </c>
      <c r="F3" t="s">
        <v>41</v>
      </c>
      <c r="G3" t="s">
        <v>35</v>
      </c>
      <c r="J3" t="s">
        <v>42</v>
      </c>
      <c r="K3" t="s">
        <v>43</v>
      </c>
    </row>
    <row r="4" spans="1:17" x14ac:dyDescent="0.25">
      <c r="A4" s="6" t="s">
        <v>44</v>
      </c>
      <c r="C4" t="s">
        <v>39</v>
      </c>
      <c r="D4" t="s">
        <v>45</v>
      </c>
      <c r="E4" t="s">
        <v>45</v>
      </c>
      <c r="F4" t="s">
        <v>46</v>
      </c>
      <c r="G4" t="s">
        <v>35</v>
      </c>
      <c r="J4" t="s">
        <v>42</v>
      </c>
      <c r="K4" t="s">
        <v>47</v>
      </c>
      <c r="L4" t="s">
        <v>48</v>
      </c>
    </row>
    <row r="5" spans="1:17" x14ac:dyDescent="0.25">
      <c r="A5" s="80" t="s">
        <v>49</v>
      </c>
      <c r="B5" s="2" t="s">
        <v>50</v>
      </c>
      <c r="C5" t="s">
        <v>39</v>
      </c>
      <c r="D5" t="s">
        <v>40</v>
      </c>
      <c r="E5" t="s">
        <v>40</v>
      </c>
      <c r="F5" t="s">
        <v>41</v>
      </c>
      <c r="G5" t="s">
        <v>35</v>
      </c>
      <c r="J5" t="s">
        <v>42</v>
      </c>
      <c r="K5" t="s">
        <v>43</v>
      </c>
      <c r="L5" s="81" t="s">
        <v>51</v>
      </c>
    </row>
    <row r="6" spans="1:17" x14ac:dyDescent="0.25">
      <c r="A6" s="80"/>
      <c r="B6" s="2" t="s">
        <v>52</v>
      </c>
      <c r="C6" t="s">
        <v>39</v>
      </c>
      <c r="D6" t="s">
        <v>53</v>
      </c>
      <c r="E6" t="s">
        <v>53</v>
      </c>
      <c r="F6" t="s">
        <v>41</v>
      </c>
      <c r="G6" t="s">
        <v>35</v>
      </c>
      <c r="J6" t="s">
        <v>42</v>
      </c>
      <c r="K6" t="s">
        <v>43</v>
      </c>
      <c r="L6" s="81"/>
    </row>
    <row r="12" spans="1:17" s="3" customFormat="1" ht="44.25" customHeight="1" x14ac:dyDescent="0.25">
      <c r="A12" s="82" t="s">
        <v>54</v>
      </c>
      <c r="B12" s="82"/>
      <c r="C12" s="12" t="s">
        <v>55</v>
      </c>
      <c r="D12" s="12" t="s">
        <v>56</v>
      </c>
      <c r="E12" s="12" t="s">
        <v>57</v>
      </c>
      <c r="F12" s="12" t="s">
        <v>58</v>
      </c>
      <c r="G12" s="12" t="s">
        <v>59</v>
      </c>
      <c r="H12" s="12" t="s">
        <v>60</v>
      </c>
      <c r="I12" s="12" t="s">
        <v>61</v>
      </c>
      <c r="J12" s="12" t="s">
        <v>62</v>
      </c>
      <c r="K12" s="12" t="s">
        <v>63</v>
      </c>
      <c r="L12" s="12" t="s">
        <v>64</v>
      </c>
      <c r="M12" s="12" t="s">
        <v>65</v>
      </c>
      <c r="N12" s="12" t="s">
        <v>66</v>
      </c>
      <c r="O12" s="12" t="s">
        <v>67</v>
      </c>
      <c r="P12" s="12" t="s">
        <v>68</v>
      </c>
      <c r="Q12" s="12" t="s">
        <v>69</v>
      </c>
    </row>
    <row r="13" spans="1:17" x14ac:dyDescent="0.25">
      <c r="A13" t="s">
        <v>55</v>
      </c>
      <c r="B13">
        <v>4</v>
      </c>
      <c r="C13">
        <v>1</v>
      </c>
      <c r="D13" t="s">
        <v>70</v>
      </c>
      <c r="E13">
        <v>489064</v>
      </c>
      <c r="F13">
        <f>$B$14*SQRT(($C13*$E13*1024)/8)</f>
        <v>6329.6226491000234</v>
      </c>
      <c r="G13">
        <f>_xlfn.CEILING.MATH(F13/J13)*J13</f>
        <v>6336</v>
      </c>
      <c r="H13">
        <f>SQRT($B$14*($C13*$E13*1024)/8)</f>
        <v>7076.7332576549752</v>
      </c>
      <c r="I13">
        <f>_xlfn.CEILING.MATH(H13/J13)*J13</f>
        <v>7104</v>
      </c>
      <c r="J13">
        <v>64</v>
      </c>
      <c r="K13">
        <v>1</v>
      </c>
      <c r="L13">
        <v>1</v>
      </c>
      <c r="M13">
        <f>I13-G13</f>
        <v>768</v>
      </c>
      <c r="N13">
        <f>M13/2</f>
        <v>384</v>
      </c>
      <c r="O13">
        <f>G13</f>
        <v>6336</v>
      </c>
      <c r="P13">
        <f>_xlfn.CEILING.MATH((O13+N13)/J13)*J13</f>
        <v>6720</v>
      </c>
      <c r="Q13">
        <f>_xlfn.CEILING.MATH((P13+N13)/J13)*J13</f>
        <v>7104</v>
      </c>
    </row>
    <row r="14" spans="1:17" x14ac:dyDescent="0.25">
      <c r="A14" t="s">
        <v>71</v>
      </c>
      <c r="B14">
        <v>0.8</v>
      </c>
      <c r="C14">
        <v>4</v>
      </c>
      <c r="D14" t="s">
        <v>70</v>
      </c>
      <c r="E14">
        <v>489064</v>
      </c>
      <c r="F14">
        <f>$B$14*SQRT(($B$13*$E14*1024)/8)</f>
        <v>12659.245298200047</v>
      </c>
      <c r="G14">
        <f>_xlfn.CEILING.MATH(F14/J14)*J14</f>
        <v>12672</v>
      </c>
      <c r="H14">
        <f>SQRT($B$14*($B$13*$E14*1024)/8)</f>
        <v>14153.46651530995</v>
      </c>
      <c r="I14">
        <f>_xlfn.CEILING.MATH(H14/J14)*J14</f>
        <v>14208</v>
      </c>
      <c r="J14">
        <v>64</v>
      </c>
      <c r="K14">
        <v>1</v>
      </c>
      <c r="L14">
        <v>4</v>
      </c>
      <c r="M14">
        <f>I14-G14</f>
        <v>1536</v>
      </c>
      <c r="N14">
        <f>M14/2</f>
        <v>768</v>
      </c>
      <c r="O14">
        <f>G14</f>
        <v>12672</v>
      </c>
      <c r="P14">
        <f>_xlfn.CEILING.MATH((O14+N14)/J14)*J14</f>
        <v>13440</v>
      </c>
      <c r="Q14">
        <f>_xlfn.CEILING.MATH((P14+N14)/J14)*J14</f>
        <v>14208</v>
      </c>
    </row>
  </sheetData>
  <mergeCells count="3">
    <mergeCell ref="A5:A6"/>
    <mergeCell ref="L5:L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CB29-1A3B-42C4-A0B1-1C7B04D9111F}">
  <dimension ref="A1:H22"/>
  <sheetViews>
    <sheetView zoomScale="85" zoomScaleNormal="85" workbookViewId="0">
      <selection activeCell="B2" sqref="B2:C20"/>
    </sheetView>
  </sheetViews>
  <sheetFormatPr defaultRowHeight="15" x14ac:dyDescent="0.25"/>
  <cols>
    <col min="1" max="1" width="3" bestFit="1" customWidth="1"/>
    <col min="2" max="2" width="30.5703125" bestFit="1" customWidth="1"/>
    <col min="3" max="3" width="46.28515625" style="4" bestFit="1" customWidth="1"/>
    <col min="4" max="4" width="35.85546875" bestFit="1" customWidth="1"/>
    <col min="5" max="5" width="53.85546875" style="7" bestFit="1" customWidth="1"/>
    <col min="6" max="6" width="17.5703125" bestFit="1" customWidth="1"/>
    <col min="7" max="7" width="17.5703125" customWidth="1"/>
    <col min="8" max="8" width="13.140625" style="3" customWidth="1"/>
  </cols>
  <sheetData>
    <row r="1" spans="1:8" ht="30" x14ac:dyDescent="0.25">
      <c r="A1" s="80" t="s">
        <v>4</v>
      </c>
      <c r="B1" s="80"/>
      <c r="C1" s="11" t="s">
        <v>72</v>
      </c>
      <c r="D1" s="11" t="s">
        <v>73</v>
      </c>
      <c r="E1" s="11" t="s">
        <v>74</v>
      </c>
      <c r="F1" s="12" t="s">
        <v>75</v>
      </c>
      <c r="G1" s="12" t="s">
        <v>76</v>
      </c>
      <c r="H1" s="12" t="s">
        <v>77</v>
      </c>
    </row>
    <row r="2" spans="1:8" x14ac:dyDescent="0.25">
      <c r="A2" s="8">
        <v>1</v>
      </c>
      <c r="B2" s="8" t="s">
        <v>13</v>
      </c>
      <c r="C2" s="15" t="s">
        <v>78</v>
      </c>
      <c r="D2" s="15" t="s">
        <v>79</v>
      </c>
      <c r="E2" s="18" t="s">
        <v>79</v>
      </c>
      <c r="F2" s="8" t="s">
        <v>80</v>
      </c>
      <c r="G2" s="19"/>
      <c r="H2" s="9"/>
    </row>
    <row r="3" spans="1:8" x14ac:dyDescent="0.25">
      <c r="A3" s="8">
        <v>2</v>
      </c>
      <c r="B3" s="8" t="s">
        <v>14</v>
      </c>
      <c r="C3" s="15" t="s">
        <v>81</v>
      </c>
      <c r="D3" s="15" t="s">
        <v>82</v>
      </c>
      <c r="E3" s="18" t="s">
        <v>82</v>
      </c>
      <c r="F3" s="8" t="s">
        <v>83</v>
      </c>
      <c r="G3" s="19"/>
      <c r="H3" s="9"/>
    </row>
    <row r="4" spans="1:8" ht="30" x14ac:dyDescent="0.25">
      <c r="A4" s="8">
        <v>3</v>
      </c>
      <c r="B4" s="8" t="s">
        <v>15</v>
      </c>
      <c r="C4" s="15" t="s">
        <v>84</v>
      </c>
      <c r="D4" s="15" t="s">
        <v>85</v>
      </c>
      <c r="E4" s="18" t="s">
        <v>85</v>
      </c>
      <c r="F4" s="8" t="s">
        <v>86</v>
      </c>
      <c r="G4" s="19"/>
      <c r="H4" s="9"/>
    </row>
    <row r="5" spans="1:8" ht="30" x14ac:dyDescent="0.25">
      <c r="A5" s="8">
        <v>4</v>
      </c>
      <c r="B5" s="8" t="s">
        <v>16</v>
      </c>
      <c r="C5" s="15" t="s">
        <v>87</v>
      </c>
      <c r="D5" s="15" t="s">
        <v>88</v>
      </c>
      <c r="E5" s="18" t="s">
        <v>88</v>
      </c>
      <c r="F5" s="8" t="s">
        <v>83</v>
      </c>
      <c r="G5" s="19"/>
      <c r="H5" s="9"/>
    </row>
    <row r="6" spans="1:8" ht="30" x14ac:dyDescent="0.25">
      <c r="A6" s="8">
        <v>5</v>
      </c>
      <c r="B6" s="8" t="s">
        <v>17</v>
      </c>
      <c r="C6" s="28" t="s">
        <v>89</v>
      </c>
      <c r="D6" s="15" t="s">
        <v>90</v>
      </c>
      <c r="E6" s="18" t="s">
        <v>91</v>
      </c>
      <c r="F6" s="8" t="s">
        <v>80</v>
      </c>
      <c r="G6" s="19"/>
      <c r="H6" s="9"/>
    </row>
    <row r="7" spans="1:8" x14ac:dyDescent="0.25">
      <c r="A7" s="8">
        <v>6</v>
      </c>
      <c r="B7" s="8" t="s">
        <v>18</v>
      </c>
      <c r="C7" s="28" t="s">
        <v>92</v>
      </c>
      <c r="D7" s="15" t="s">
        <v>90</v>
      </c>
      <c r="E7" s="18" t="s">
        <v>93</v>
      </c>
      <c r="F7" s="8" t="s">
        <v>86</v>
      </c>
      <c r="G7" s="19"/>
      <c r="H7" s="9"/>
    </row>
    <row r="8" spans="1:8" ht="30" x14ac:dyDescent="0.25">
      <c r="A8" s="8">
        <v>7</v>
      </c>
      <c r="B8" s="8" t="s">
        <v>19</v>
      </c>
      <c r="C8" s="28" t="s">
        <v>94</v>
      </c>
      <c r="D8" s="15" t="s">
        <v>90</v>
      </c>
      <c r="E8" s="18" t="s">
        <v>95</v>
      </c>
      <c r="F8" s="8" t="s">
        <v>86</v>
      </c>
      <c r="G8" s="19"/>
      <c r="H8" s="9"/>
    </row>
    <row r="9" spans="1:8" ht="30" x14ac:dyDescent="0.25">
      <c r="A9" s="8">
        <v>8</v>
      </c>
      <c r="B9" s="8" t="s">
        <v>20</v>
      </c>
      <c r="C9" s="28" t="s">
        <v>96</v>
      </c>
      <c r="D9" s="15" t="s">
        <v>90</v>
      </c>
      <c r="E9" s="18" t="s">
        <v>97</v>
      </c>
      <c r="F9" s="8" t="s">
        <v>98</v>
      </c>
      <c r="G9" s="19"/>
      <c r="H9" s="9"/>
    </row>
    <row r="10" spans="1:8" x14ac:dyDescent="0.25">
      <c r="A10" s="8">
        <v>9</v>
      </c>
      <c r="B10" s="8" t="s">
        <v>99</v>
      </c>
      <c r="C10" s="28" t="s">
        <v>100</v>
      </c>
      <c r="D10" s="15" t="s">
        <v>90</v>
      </c>
      <c r="E10" s="18"/>
      <c r="F10" s="8" t="s">
        <v>80</v>
      </c>
      <c r="G10" s="19"/>
      <c r="H10" s="9"/>
    </row>
    <row r="11" spans="1:8" x14ac:dyDescent="0.25">
      <c r="A11" s="8">
        <v>10</v>
      </c>
      <c r="B11" s="8" t="s">
        <v>101</v>
      </c>
      <c r="C11" s="28" t="s">
        <v>102</v>
      </c>
      <c r="D11" s="15" t="s">
        <v>90</v>
      </c>
      <c r="E11" s="18"/>
      <c r="F11" s="8" t="s">
        <v>86</v>
      </c>
      <c r="G11" s="19"/>
      <c r="H11" s="9"/>
    </row>
    <row r="12" spans="1:8" x14ac:dyDescent="0.25">
      <c r="A12" s="8">
        <v>11</v>
      </c>
      <c r="B12" s="8" t="s">
        <v>103</v>
      </c>
      <c r="C12" s="28" t="s">
        <v>104</v>
      </c>
      <c r="D12" s="29" t="s">
        <v>105</v>
      </c>
      <c r="E12" s="18" t="s">
        <v>105</v>
      </c>
      <c r="F12" s="8" t="s">
        <v>83</v>
      </c>
      <c r="G12" s="19"/>
      <c r="H12" s="9"/>
    </row>
    <row r="13" spans="1:8" x14ac:dyDescent="0.25">
      <c r="A13" s="8">
        <v>12</v>
      </c>
      <c r="B13" s="8" t="s">
        <v>106</v>
      </c>
      <c r="C13" s="28" t="s">
        <v>107</v>
      </c>
      <c r="D13" s="15" t="s">
        <v>108</v>
      </c>
      <c r="E13" s="18"/>
      <c r="F13" s="8" t="s">
        <v>98</v>
      </c>
      <c r="G13" s="19"/>
      <c r="H13" s="9"/>
    </row>
    <row r="14" spans="1:8" ht="30" x14ac:dyDescent="0.25">
      <c r="A14" s="8">
        <v>13</v>
      </c>
      <c r="B14" s="8" t="s">
        <v>109</v>
      </c>
      <c r="C14" s="34" t="s">
        <v>110</v>
      </c>
      <c r="D14" s="15" t="s">
        <v>105</v>
      </c>
      <c r="E14" s="18" t="s">
        <v>105</v>
      </c>
      <c r="F14" s="8"/>
      <c r="G14" s="19"/>
      <c r="H14" s="9"/>
    </row>
    <row r="15" spans="1:8" x14ac:dyDescent="0.25">
      <c r="A15" s="8">
        <v>14</v>
      </c>
      <c r="B15" s="8" t="s">
        <v>111</v>
      </c>
      <c r="C15" s="28" t="s">
        <v>112</v>
      </c>
      <c r="D15" s="15" t="s">
        <v>113</v>
      </c>
      <c r="E15" s="18" t="s">
        <v>113</v>
      </c>
      <c r="F15" s="8"/>
      <c r="G15" s="19"/>
      <c r="H15" s="9"/>
    </row>
    <row r="16" spans="1:8" ht="30" x14ac:dyDescent="0.25">
      <c r="A16" s="8">
        <v>15</v>
      </c>
      <c r="B16" s="8" t="s">
        <v>114</v>
      </c>
      <c r="C16" s="28" t="s">
        <v>115</v>
      </c>
      <c r="D16" s="15" t="s">
        <v>116</v>
      </c>
      <c r="E16" s="18" t="s">
        <v>116</v>
      </c>
      <c r="F16" s="8"/>
      <c r="G16" s="19"/>
      <c r="H16" s="9"/>
    </row>
    <row r="17" spans="1:8" s="41" customFormat="1" ht="45" x14ac:dyDescent="0.25">
      <c r="A17" s="37">
        <v>16</v>
      </c>
      <c r="B17" s="37" t="s">
        <v>117</v>
      </c>
      <c r="C17" s="38" t="s">
        <v>118</v>
      </c>
      <c r="D17" s="39"/>
      <c r="E17" s="39"/>
      <c r="F17" s="37"/>
      <c r="G17" s="37"/>
      <c r="H17" s="40" t="s">
        <v>119</v>
      </c>
    </row>
    <row r="18" spans="1:8" ht="30" x14ac:dyDescent="0.25">
      <c r="A18" s="8">
        <v>17</v>
      </c>
      <c r="B18" s="8" t="s">
        <v>120</v>
      </c>
      <c r="C18" s="28" t="s">
        <v>121</v>
      </c>
      <c r="D18" s="15"/>
      <c r="E18" s="18" t="s">
        <v>122</v>
      </c>
      <c r="F18" s="8"/>
      <c r="G18" s="19"/>
      <c r="H18" s="9"/>
    </row>
    <row r="19" spans="1:8" ht="30" x14ac:dyDescent="0.25">
      <c r="A19" s="8">
        <v>18</v>
      </c>
      <c r="B19" s="8" t="s">
        <v>123</v>
      </c>
      <c r="C19" s="28" t="s">
        <v>124</v>
      </c>
      <c r="D19" s="15"/>
      <c r="E19" s="18" t="s">
        <v>125</v>
      </c>
      <c r="F19" s="8"/>
      <c r="G19" s="19"/>
      <c r="H19" s="9"/>
    </row>
    <row r="20" spans="1:8" s="41" customFormat="1" ht="45" x14ac:dyDescent="0.25">
      <c r="A20" s="37">
        <v>19</v>
      </c>
      <c r="B20" s="37" t="s">
        <v>126</v>
      </c>
      <c r="C20" s="38" t="s">
        <v>127</v>
      </c>
      <c r="D20" s="39"/>
      <c r="E20" s="39"/>
      <c r="F20" s="37" t="s">
        <v>86</v>
      </c>
      <c r="G20" s="37"/>
      <c r="H20" s="40" t="s">
        <v>128</v>
      </c>
    </row>
    <row r="21" spans="1:8" ht="75" x14ac:dyDescent="0.25">
      <c r="A21" s="8">
        <v>20</v>
      </c>
      <c r="B21" s="8" t="s">
        <v>129</v>
      </c>
      <c r="C21" s="28" t="s">
        <v>130</v>
      </c>
      <c r="D21" s="15"/>
      <c r="E21" s="36" t="s">
        <v>95</v>
      </c>
      <c r="F21" s="8" t="s">
        <v>80</v>
      </c>
      <c r="G21" s="8"/>
      <c r="H21" s="9" t="s">
        <v>131</v>
      </c>
    </row>
    <row r="22" spans="1:8" ht="75" x14ac:dyDescent="0.25">
      <c r="A22" s="8">
        <v>21</v>
      </c>
      <c r="B22" s="8" t="s">
        <v>132</v>
      </c>
      <c r="C22" s="28" t="s">
        <v>130</v>
      </c>
      <c r="D22" s="15"/>
      <c r="E22" s="15" t="s">
        <v>133</v>
      </c>
      <c r="F22" s="8" t="s">
        <v>80</v>
      </c>
      <c r="G22" s="8"/>
      <c r="H22" s="9" t="s">
        <v>134</v>
      </c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2C3B-9CE2-42F1-979D-DD3786550C7D}">
  <dimension ref="A1:Q33"/>
  <sheetViews>
    <sheetView topLeftCell="A4" zoomScale="85" zoomScaleNormal="85" workbookViewId="0">
      <selection activeCell="B2" sqref="B2:C20"/>
    </sheetView>
  </sheetViews>
  <sheetFormatPr defaultRowHeight="15" x14ac:dyDescent="0.25"/>
  <cols>
    <col min="2" max="2" width="32.28515625" bestFit="1" customWidth="1"/>
    <col min="3" max="3" width="56.140625" style="7" customWidth="1"/>
    <col min="4" max="4" width="34.140625" style="7" bestFit="1" customWidth="1"/>
    <col min="5" max="5" width="35.140625" style="4" bestFit="1" customWidth="1"/>
    <col min="6" max="6" width="17.5703125" bestFit="1" customWidth="1"/>
    <col min="7" max="7" width="12.7109375" bestFit="1" customWidth="1"/>
    <col min="8" max="8" width="15.7109375" bestFit="1" customWidth="1"/>
    <col min="9" max="9" width="15.42578125" bestFit="1" customWidth="1"/>
    <col min="10" max="10" width="16.7109375" bestFit="1" customWidth="1"/>
    <col min="11" max="11" width="16.42578125" bestFit="1" customWidth="1"/>
    <col min="12" max="12" width="16.42578125" customWidth="1"/>
    <col min="13" max="13" width="79.140625" style="3" customWidth="1"/>
    <col min="15" max="15" width="16.140625" bestFit="1" customWidth="1"/>
  </cols>
  <sheetData>
    <row r="1" spans="1:15" s="14" customFormat="1" ht="105" customHeight="1" x14ac:dyDescent="0.25">
      <c r="A1" s="80" t="s">
        <v>4</v>
      </c>
      <c r="B1" s="80"/>
      <c r="C1" s="11" t="s">
        <v>135</v>
      </c>
      <c r="D1" s="11" t="s">
        <v>73</v>
      </c>
      <c r="E1" s="11" t="s">
        <v>136</v>
      </c>
      <c r="F1" s="12" t="s">
        <v>137</v>
      </c>
      <c r="G1" s="12" t="s">
        <v>138</v>
      </c>
      <c r="H1" s="10" t="s">
        <v>139</v>
      </c>
      <c r="I1" s="22" t="s">
        <v>140</v>
      </c>
      <c r="J1" s="10" t="s">
        <v>141</v>
      </c>
      <c r="K1" s="10" t="s">
        <v>142</v>
      </c>
      <c r="L1" s="10"/>
      <c r="M1" s="13" t="s">
        <v>77</v>
      </c>
      <c r="N1" s="23"/>
      <c r="O1" s="24" t="s">
        <v>143</v>
      </c>
    </row>
    <row r="2" spans="1:15" s="8" customFormat="1" ht="60" x14ac:dyDescent="0.25">
      <c r="A2" s="8">
        <v>1</v>
      </c>
      <c r="B2" s="8" t="s">
        <v>13</v>
      </c>
      <c r="C2" s="15" t="s">
        <v>78</v>
      </c>
      <c r="D2" s="15" t="s">
        <v>79</v>
      </c>
      <c r="E2" s="15" t="s">
        <v>144</v>
      </c>
      <c r="F2" s="8" t="s">
        <v>80</v>
      </c>
      <c r="M2" s="9"/>
      <c r="N2" s="25"/>
      <c r="O2" s="24" t="s">
        <v>145</v>
      </c>
    </row>
    <row r="3" spans="1:15" s="8" customFormat="1" ht="60" x14ac:dyDescent="0.25">
      <c r="A3" s="8">
        <v>2</v>
      </c>
      <c r="B3" s="8" t="s">
        <v>14</v>
      </c>
      <c r="C3" s="15" t="s">
        <v>81</v>
      </c>
      <c r="D3" s="15" t="s">
        <v>82</v>
      </c>
      <c r="E3" s="15" t="s">
        <v>144</v>
      </c>
      <c r="F3" s="8" t="s">
        <v>83</v>
      </c>
      <c r="M3" s="9"/>
      <c r="N3" s="27"/>
      <c r="O3" s="24" t="s">
        <v>146</v>
      </c>
    </row>
    <row r="4" spans="1:15" s="8" customFormat="1" ht="30" x14ac:dyDescent="0.25">
      <c r="A4" s="8">
        <v>3</v>
      </c>
      <c r="B4" s="8" t="s">
        <v>15</v>
      </c>
      <c r="C4" s="15" t="s">
        <v>84</v>
      </c>
      <c r="D4" s="15" t="s">
        <v>85</v>
      </c>
      <c r="E4" s="16" t="s">
        <v>105</v>
      </c>
      <c r="F4" s="8" t="s">
        <v>86</v>
      </c>
      <c r="M4" s="9"/>
      <c r="N4" s="26"/>
      <c r="O4" s="24" t="s">
        <v>147</v>
      </c>
    </row>
    <row r="5" spans="1:15" s="8" customFormat="1" ht="30" x14ac:dyDescent="0.25">
      <c r="A5" s="8">
        <v>4</v>
      </c>
      <c r="B5" s="8" t="s">
        <v>16</v>
      </c>
      <c r="C5" s="15" t="s">
        <v>87</v>
      </c>
      <c r="D5" s="15" t="s">
        <v>88</v>
      </c>
      <c r="E5" s="16" t="s">
        <v>105</v>
      </c>
      <c r="F5" s="8" t="s">
        <v>83</v>
      </c>
      <c r="M5" s="9"/>
      <c r="N5" s="30"/>
      <c r="O5" s="31" t="s">
        <v>148</v>
      </c>
    </row>
    <row r="6" spans="1:15" s="8" customFormat="1" ht="90" x14ac:dyDescent="0.25">
      <c r="A6" s="8">
        <v>5</v>
      </c>
      <c r="B6" s="8" t="s">
        <v>17</v>
      </c>
      <c r="C6" s="28" t="s">
        <v>89</v>
      </c>
      <c r="D6" s="15" t="s">
        <v>90</v>
      </c>
      <c r="E6" s="15" t="s">
        <v>149</v>
      </c>
      <c r="F6" s="8" t="s">
        <v>80</v>
      </c>
      <c r="M6" s="9"/>
    </row>
    <row r="7" spans="1:15" s="8" customFormat="1" ht="90" x14ac:dyDescent="0.25">
      <c r="A7" s="8">
        <v>6</v>
      </c>
      <c r="B7" s="8" t="s">
        <v>18</v>
      </c>
      <c r="C7" s="28" t="s">
        <v>92</v>
      </c>
      <c r="D7" s="15" t="s">
        <v>90</v>
      </c>
      <c r="E7" s="15" t="s">
        <v>149</v>
      </c>
      <c r="F7" s="8" t="s">
        <v>86</v>
      </c>
      <c r="M7" s="9"/>
    </row>
    <row r="8" spans="1:15" s="8" customFormat="1" ht="45" x14ac:dyDescent="0.25">
      <c r="A8" s="8">
        <v>7</v>
      </c>
      <c r="B8" s="8" t="s">
        <v>19</v>
      </c>
      <c r="C8" s="28" t="s">
        <v>94</v>
      </c>
      <c r="D8" s="15" t="s">
        <v>95</v>
      </c>
      <c r="E8" s="15"/>
      <c r="F8" s="8" t="s">
        <v>83</v>
      </c>
      <c r="M8" s="9"/>
    </row>
    <row r="9" spans="1:15" s="8" customFormat="1" ht="90" x14ac:dyDescent="0.25">
      <c r="A9" s="8">
        <v>8</v>
      </c>
      <c r="B9" s="8" t="s">
        <v>20</v>
      </c>
      <c r="C9" s="28" t="s">
        <v>96</v>
      </c>
      <c r="D9" s="15" t="s">
        <v>90</v>
      </c>
      <c r="E9" s="15" t="s">
        <v>149</v>
      </c>
      <c r="F9" s="8" t="s">
        <v>98</v>
      </c>
      <c r="M9" s="9"/>
    </row>
    <row r="10" spans="1:15" s="8" customFormat="1" ht="90" x14ac:dyDescent="0.25">
      <c r="A10" s="8">
        <v>9</v>
      </c>
      <c r="B10" s="8" t="s">
        <v>99</v>
      </c>
      <c r="C10" s="28" t="s">
        <v>100</v>
      </c>
      <c r="D10" s="15" t="s">
        <v>90</v>
      </c>
      <c r="E10" s="15" t="s">
        <v>149</v>
      </c>
      <c r="F10" s="8" t="s">
        <v>80</v>
      </c>
      <c r="M10" s="9"/>
    </row>
    <row r="11" spans="1:15" s="8" customFormat="1" ht="90" x14ac:dyDescent="0.25">
      <c r="A11" s="8">
        <v>10</v>
      </c>
      <c r="B11" s="8" t="s">
        <v>101</v>
      </c>
      <c r="C11" s="28" t="s">
        <v>102</v>
      </c>
      <c r="D11" s="15" t="s">
        <v>90</v>
      </c>
      <c r="E11" s="15" t="s">
        <v>149</v>
      </c>
      <c r="F11" s="8" t="s">
        <v>86</v>
      </c>
      <c r="M11" s="9"/>
    </row>
    <row r="12" spans="1:15" s="8" customFormat="1" ht="30" x14ac:dyDescent="0.25">
      <c r="A12" s="8">
        <v>11</v>
      </c>
      <c r="B12" s="8" t="s">
        <v>103</v>
      </c>
      <c r="C12" s="28" t="s">
        <v>104</v>
      </c>
      <c r="D12" s="29" t="s">
        <v>105</v>
      </c>
      <c r="E12" s="15" t="s">
        <v>150</v>
      </c>
      <c r="F12" s="8" t="s">
        <v>83</v>
      </c>
      <c r="M12" s="9"/>
    </row>
    <row r="13" spans="1:15" s="8" customFormat="1" ht="45" x14ac:dyDescent="0.25">
      <c r="A13" s="8">
        <v>12</v>
      </c>
      <c r="B13" s="8" t="s">
        <v>106</v>
      </c>
      <c r="C13" s="28" t="s">
        <v>107</v>
      </c>
      <c r="D13" s="15" t="s">
        <v>108</v>
      </c>
      <c r="E13" s="15" t="s">
        <v>151</v>
      </c>
      <c r="F13" s="8" t="s">
        <v>98</v>
      </c>
      <c r="M13" s="9"/>
    </row>
    <row r="14" spans="1:15" s="8" customFormat="1" ht="30" x14ac:dyDescent="0.25">
      <c r="A14" s="8">
        <v>13</v>
      </c>
      <c r="B14" s="8" t="s">
        <v>109</v>
      </c>
      <c r="C14" s="34" t="s">
        <v>110</v>
      </c>
      <c r="D14" s="15" t="s">
        <v>105</v>
      </c>
      <c r="E14" s="15" t="s">
        <v>150</v>
      </c>
      <c r="F14" s="8" t="s">
        <v>86</v>
      </c>
      <c r="M14" s="9"/>
    </row>
    <row r="15" spans="1:15" s="8" customFormat="1" ht="30" x14ac:dyDescent="0.25">
      <c r="A15" s="8">
        <v>14</v>
      </c>
      <c r="B15" s="8" t="s">
        <v>111</v>
      </c>
      <c r="C15" s="28" t="s">
        <v>112</v>
      </c>
      <c r="D15" s="15" t="s">
        <v>113</v>
      </c>
      <c r="E15" s="15" t="s">
        <v>150</v>
      </c>
      <c r="F15" s="8" t="s">
        <v>98</v>
      </c>
      <c r="M15" s="9"/>
    </row>
    <row r="16" spans="1:15" s="8" customFormat="1" ht="60" x14ac:dyDescent="0.25">
      <c r="A16" s="8">
        <v>15</v>
      </c>
      <c r="B16" s="8" t="s">
        <v>114</v>
      </c>
      <c r="C16" s="28" t="s">
        <v>115</v>
      </c>
      <c r="D16" s="15" t="s">
        <v>116</v>
      </c>
      <c r="E16" s="15" t="s">
        <v>152</v>
      </c>
      <c r="F16" s="8" t="s">
        <v>80</v>
      </c>
    </row>
    <row r="17" spans="1:17" s="37" customFormat="1" ht="45" x14ac:dyDescent="0.25">
      <c r="A17" s="37">
        <v>16</v>
      </c>
      <c r="B17" s="37" t="s">
        <v>117</v>
      </c>
      <c r="C17" s="38" t="s">
        <v>118</v>
      </c>
      <c r="D17" s="39"/>
      <c r="E17" s="39"/>
      <c r="F17" s="37" t="s">
        <v>86</v>
      </c>
      <c r="M17" s="40" t="s">
        <v>153</v>
      </c>
    </row>
    <row r="18" spans="1:17" s="8" customFormat="1" ht="30" x14ac:dyDescent="0.25">
      <c r="A18" s="8">
        <v>17</v>
      </c>
      <c r="B18" s="8" t="s">
        <v>120</v>
      </c>
      <c r="C18" s="28" t="s">
        <v>121</v>
      </c>
      <c r="D18" s="15"/>
      <c r="E18" s="15"/>
      <c r="F18" s="8" t="s">
        <v>80</v>
      </c>
      <c r="M18" s="9"/>
    </row>
    <row r="19" spans="1:17" s="8" customFormat="1" ht="30" x14ac:dyDescent="0.25">
      <c r="A19" s="8">
        <v>18</v>
      </c>
      <c r="B19" s="8" t="s">
        <v>123</v>
      </c>
      <c r="C19" s="28" t="s">
        <v>124</v>
      </c>
      <c r="D19" s="15"/>
      <c r="E19" s="15"/>
      <c r="F19" s="8" t="s">
        <v>83</v>
      </c>
      <c r="M19" s="9"/>
    </row>
    <row r="20" spans="1:17" s="37" customFormat="1" ht="30" x14ac:dyDescent="0.25">
      <c r="A20" s="37">
        <v>19</v>
      </c>
      <c r="B20" s="37" t="s">
        <v>126</v>
      </c>
      <c r="C20" s="38" t="s">
        <v>127</v>
      </c>
      <c r="D20" s="39"/>
      <c r="E20" s="39"/>
      <c r="F20" s="37" t="s">
        <v>86</v>
      </c>
      <c r="M20" s="40" t="s">
        <v>154</v>
      </c>
    </row>
    <row r="21" spans="1:17" s="8" customFormat="1" x14ac:dyDescent="0.25">
      <c r="C21" s="17"/>
      <c r="D21" s="15"/>
      <c r="E21" s="15"/>
      <c r="M21" s="9"/>
    </row>
    <row r="22" spans="1:17" s="8" customFormat="1" x14ac:dyDescent="0.25">
      <c r="A22"/>
      <c r="B22"/>
      <c r="C22" s="7"/>
      <c r="D22" s="7"/>
      <c r="E22" s="4"/>
      <c r="F22"/>
      <c r="G22"/>
      <c r="H22"/>
      <c r="I22"/>
      <c r="J22"/>
      <c r="K22"/>
      <c r="L22"/>
      <c r="M22" s="3"/>
      <c r="N22"/>
      <c r="O22"/>
      <c r="P22"/>
      <c r="Q22"/>
    </row>
    <row r="23" spans="1:17" s="8" customFormat="1" x14ac:dyDescent="0.25">
      <c r="A23"/>
      <c r="B23"/>
      <c r="C23" s="7"/>
      <c r="D23" s="7"/>
      <c r="E23" s="4"/>
      <c r="F23"/>
      <c r="G23"/>
      <c r="H23"/>
      <c r="I23"/>
      <c r="J23"/>
      <c r="K23"/>
      <c r="L23"/>
      <c r="M23" s="3"/>
      <c r="N23"/>
      <c r="O23"/>
      <c r="P23"/>
      <c r="Q23"/>
    </row>
    <row r="24" spans="1:17" s="8" customFormat="1" x14ac:dyDescent="0.25">
      <c r="A24"/>
      <c r="B24"/>
      <c r="C24" s="7"/>
      <c r="D24" s="7"/>
      <c r="E24" s="4"/>
      <c r="F24"/>
      <c r="G24"/>
      <c r="H24"/>
      <c r="I24"/>
      <c r="J24"/>
      <c r="K24"/>
      <c r="L24"/>
      <c r="M24" s="3"/>
      <c r="N24"/>
      <c r="O24"/>
      <c r="P24"/>
      <c r="Q24"/>
    </row>
    <row r="25" spans="1:17" s="8" customFormat="1" x14ac:dyDescent="0.25">
      <c r="A25"/>
      <c r="B25"/>
      <c r="C25" s="7"/>
      <c r="D25" s="7"/>
      <c r="E25" s="4"/>
      <c r="F25"/>
      <c r="G25"/>
      <c r="H25"/>
      <c r="I25"/>
      <c r="J25"/>
      <c r="K25"/>
      <c r="L25"/>
      <c r="M25" s="3"/>
      <c r="N25"/>
      <c r="O25"/>
      <c r="P25"/>
      <c r="Q25"/>
    </row>
    <row r="26" spans="1:17" s="8" customFormat="1" x14ac:dyDescent="0.25">
      <c r="A26"/>
      <c r="B26"/>
      <c r="C26" s="7"/>
      <c r="D26" s="7"/>
      <c r="E26" s="4"/>
      <c r="F26"/>
      <c r="G26"/>
      <c r="H26"/>
      <c r="I26"/>
      <c r="J26"/>
      <c r="K26"/>
      <c r="L26"/>
      <c r="M26" s="3"/>
      <c r="N26"/>
      <c r="O26"/>
      <c r="P26"/>
      <c r="Q26"/>
    </row>
    <row r="27" spans="1:17" s="8" customFormat="1" x14ac:dyDescent="0.25">
      <c r="A27"/>
      <c r="B27"/>
      <c r="C27" s="7"/>
      <c r="D27" s="7"/>
      <c r="E27" s="4"/>
      <c r="F27"/>
      <c r="G27"/>
      <c r="H27"/>
      <c r="I27"/>
      <c r="J27"/>
      <c r="K27"/>
      <c r="L27"/>
      <c r="M27" s="3"/>
      <c r="N27"/>
      <c r="O27"/>
      <c r="P27"/>
      <c r="Q27"/>
    </row>
    <row r="28" spans="1:17" s="32" customFormat="1" x14ac:dyDescent="0.25">
      <c r="A28"/>
      <c r="B28"/>
      <c r="C28" s="7"/>
      <c r="D28" s="7"/>
      <c r="E28" s="4"/>
      <c r="F28"/>
      <c r="G28"/>
      <c r="H28"/>
      <c r="I28"/>
      <c r="J28"/>
      <c r="K28"/>
      <c r="L28"/>
      <c r="M28" s="3"/>
      <c r="N28"/>
      <c r="O28"/>
      <c r="P28"/>
      <c r="Q28"/>
    </row>
    <row r="29" spans="1:17" s="8" customFormat="1" x14ac:dyDescent="0.25">
      <c r="A29"/>
      <c r="B29"/>
      <c r="C29" s="7"/>
      <c r="D29" s="7"/>
      <c r="E29" s="4"/>
      <c r="F29"/>
      <c r="G29"/>
      <c r="H29"/>
      <c r="I29"/>
      <c r="J29"/>
      <c r="K29"/>
      <c r="L29"/>
      <c r="M29" s="3"/>
      <c r="N29"/>
      <c r="O29"/>
      <c r="P29"/>
      <c r="Q29"/>
    </row>
    <row r="30" spans="1:17" s="8" customFormat="1" x14ac:dyDescent="0.25">
      <c r="A30"/>
      <c r="B30"/>
      <c r="C30" s="7"/>
      <c r="D30" s="7"/>
      <c r="E30" s="4"/>
      <c r="F30"/>
      <c r="G30"/>
      <c r="H30"/>
      <c r="I30"/>
      <c r="J30"/>
      <c r="K30"/>
      <c r="L30"/>
      <c r="M30" s="3"/>
      <c r="N30"/>
      <c r="O30"/>
      <c r="P30"/>
      <c r="Q30"/>
    </row>
    <row r="31" spans="1:17" s="35" customFormat="1" x14ac:dyDescent="0.25">
      <c r="A31"/>
      <c r="B31"/>
      <c r="C31" s="7"/>
      <c r="D31" s="7"/>
      <c r="E31" s="4"/>
      <c r="F31"/>
      <c r="G31"/>
      <c r="H31"/>
      <c r="I31"/>
      <c r="J31"/>
      <c r="K31"/>
      <c r="L31"/>
      <c r="M31" s="3"/>
      <c r="N31"/>
      <c r="O31"/>
      <c r="P31"/>
      <c r="Q31"/>
    </row>
    <row r="32" spans="1:17" s="8" customFormat="1" x14ac:dyDescent="0.25">
      <c r="A32"/>
      <c r="B32"/>
      <c r="C32" s="7"/>
      <c r="D32" s="7"/>
      <c r="E32" s="4"/>
      <c r="F32"/>
      <c r="G32"/>
      <c r="H32"/>
      <c r="I32"/>
      <c r="J32"/>
      <c r="K32"/>
      <c r="L32"/>
      <c r="M32" s="3"/>
      <c r="N32"/>
      <c r="O32"/>
      <c r="P32"/>
      <c r="Q32"/>
    </row>
    <row r="33" spans="1:17" s="33" customFormat="1" x14ac:dyDescent="0.25">
      <c r="A33"/>
      <c r="B33"/>
      <c r="C33" s="7"/>
      <c r="D33" s="7"/>
      <c r="E33" s="4"/>
      <c r="F33"/>
      <c r="G33"/>
      <c r="H33"/>
      <c r="I33"/>
      <c r="J33"/>
      <c r="K33"/>
      <c r="L33"/>
      <c r="M33" s="3"/>
      <c r="N33"/>
      <c r="O33"/>
      <c r="P33"/>
      <c r="Q33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1260-EAAF-4A97-9410-92857D597ED2}">
  <dimension ref="A1:P71"/>
  <sheetViews>
    <sheetView topLeftCell="A7" zoomScaleNormal="100" workbookViewId="0">
      <selection activeCell="N36" sqref="N36:O54"/>
    </sheetView>
  </sheetViews>
  <sheetFormatPr defaultRowHeight="15" x14ac:dyDescent="0.25"/>
  <cols>
    <col min="1" max="1" width="17.85546875" bestFit="1" customWidth="1"/>
    <col min="2" max="2" width="6.7109375" bestFit="1" customWidth="1"/>
    <col min="3" max="3" width="15.7109375" bestFit="1" customWidth="1"/>
    <col min="4" max="4" width="7" bestFit="1" customWidth="1"/>
    <col min="5" max="5" width="4" bestFit="1" customWidth="1"/>
    <col min="6" max="6" width="8.140625" bestFit="1" customWidth="1"/>
    <col min="7" max="7" width="6.85546875" customWidth="1"/>
    <col min="8" max="8" width="11.140625" customWidth="1"/>
    <col min="9" max="10" width="13.140625" style="48" customWidth="1"/>
    <col min="11" max="11" width="12.7109375" style="48" customWidth="1"/>
    <col min="13" max="13" width="17.28515625" bestFit="1" customWidth="1"/>
    <col min="14" max="14" width="91.28515625" bestFit="1" customWidth="1"/>
    <col min="16" max="16" width="9.140625" style="20"/>
  </cols>
  <sheetData>
    <row r="1" spans="1:16" x14ac:dyDescent="0.25">
      <c r="A1" s="72" t="s">
        <v>155</v>
      </c>
      <c r="B1" s="83" t="str">
        <f>INDEX(A:A,MATCH(MAX($K:$K),$K:$K,0))</f>
        <v>arch-tune-flags</v>
      </c>
      <c r="C1" s="83"/>
      <c r="D1" s="83"/>
      <c r="E1" s="83"/>
      <c r="F1" s="54">
        <f>MAX(K4:K500)</f>
        <v>0.99841249999999993</v>
      </c>
      <c r="G1" s="73">
        <f>INDEX(D:D,MATCH(MAX($K:$K),$K:$K,0))</f>
        <v>12672</v>
      </c>
      <c r="H1" s="73">
        <f>INDEX(E:E,MATCH(MAX($K:$K),$K:$K,0))</f>
        <v>64</v>
      </c>
      <c r="I1" s="73">
        <f>INDEX(F:F,MATCH(MAX($K:$K),$K:$K,0))</f>
        <v>1</v>
      </c>
      <c r="J1" s="73">
        <f>INDEX(G:G,MATCH(MAX($K:$K),$K:$K,0))</f>
        <v>4</v>
      </c>
      <c r="K1" s="85" t="s">
        <v>156</v>
      </c>
    </row>
    <row r="2" spans="1:16" x14ac:dyDescent="0.25">
      <c r="A2" s="84" t="s">
        <v>157</v>
      </c>
      <c r="B2" s="84"/>
      <c r="C2" s="84"/>
      <c r="D2" s="55">
        <f>MAX(I4:I841)</f>
        <v>0.99882000000000004</v>
      </c>
      <c r="E2" s="49"/>
      <c r="F2" s="49"/>
      <c r="G2" s="49"/>
      <c r="H2" s="74"/>
      <c r="I2" s="76"/>
      <c r="J2" s="76"/>
      <c r="K2" s="86"/>
    </row>
    <row r="3" spans="1:16" x14ac:dyDescent="0.25">
      <c r="A3" s="71" t="s">
        <v>158</v>
      </c>
      <c r="B3" s="51" t="s">
        <v>159</v>
      </c>
      <c r="C3" s="51"/>
      <c r="D3" s="51" t="s">
        <v>160</v>
      </c>
      <c r="E3" s="51" t="s">
        <v>62</v>
      </c>
      <c r="F3" s="51" t="s">
        <v>63</v>
      </c>
      <c r="G3" s="51" t="s">
        <v>64</v>
      </c>
      <c r="H3" s="75" t="s">
        <v>161</v>
      </c>
      <c r="I3" s="77" t="s">
        <v>162</v>
      </c>
      <c r="J3" s="77"/>
      <c r="K3" s="87"/>
      <c r="O3" t="s">
        <v>163</v>
      </c>
      <c r="P3" s="21" t="s">
        <v>162</v>
      </c>
    </row>
    <row r="4" spans="1:16" x14ac:dyDescent="0.25">
      <c r="A4" t="s">
        <v>19</v>
      </c>
      <c r="B4">
        <v>1</v>
      </c>
      <c r="C4" t="s">
        <v>164</v>
      </c>
      <c r="D4">
        <v>12672</v>
      </c>
      <c r="E4">
        <v>64</v>
      </c>
      <c r="F4">
        <v>1</v>
      </c>
      <c r="G4">
        <v>4</v>
      </c>
      <c r="H4">
        <v>1359.34</v>
      </c>
      <c r="I4">
        <v>0.99814999999999998</v>
      </c>
      <c r="J4"/>
      <c r="K4" s="48">
        <f>AVERAGE(I4:I7)</f>
        <v>0.99841249999999993</v>
      </c>
      <c r="M4" s="8" t="s">
        <v>19</v>
      </c>
      <c r="N4" s="17" t="s">
        <v>94</v>
      </c>
      <c r="O4">
        <v>1</v>
      </c>
      <c r="P4" s="20">
        <v>0.998</v>
      </c>
    </row>
    <row r="5" spans="1:16" x14ac:dyDescent="0.25">
      <c r="A5" t="s">
        <v>19</v>
      </c>
      <c r="B5">
        <v>2</v>
      </c>
      <c r="C5" t="s">
        <v>164</v>
      </c>
      <c r="D5">
        <v>12672</v>
      </c>
      <c r="E5">
        <v>64</v>
      </c>
      <c r="F5">
        <v>1</v>
      </c>
      <c r="G5">
        <v>4</v>
      </c>
      <c r="H5">
        <v>1359.72</v>
      </c>
      <c r="I5">
        <v>0.99787000000000003</v>
      </c>
      <c r="J5"/>
      <c r="K5" s="48">
        <f>K4</f>
        <v>0.99841249999999993</v>
      </c>
      <c r="M5" s="8" t="s">
        <v>20</v>
      </c>
      <c r="N5" s="17" t="s">
        <v>96</v>
      </c>
      <c r="O5">
        <v>2</v>
      </c>
      <c r="P5" s="20">
        <v>0.98499999999999999</v>
      </c>
    </row>
    <row r="6" spans="1:16" x14ac:dyDescent="0.25">
      <c r="A6" t="s">
        <v>19</v>
      </c>
      <c r="B6">
        <v>3</v>
      </c>
      <c r="C6" t="s">
        <v>164</v>
      </c>
      <c r="D6">
        <v>12672</v>
      </c>
      <c r="E6">
        <v>64</v>
      </c>
      <c r="F6">
        <v>1</v>
      </c>
      <c r="G6">
        <v>4</v>
      </c>
      <c r="H6">
        <v>1358.42</v>
      </c>
      <c r="I6">
        <v>0.99882000000000004</v>
      </c>
      <c r="J6"/>
      <c r="K6" s="48">
        <f>K5</f>
        <v>0.99841249999999993</v>
      </c>
      <c r="M6" s="8" t="s">
        <v>18</v>
      </c>
      <c r="N6" s="17" t="s">
        <v>92</v>
      </c>
      <c r="O6">
        <v>3</v>
      </c>
      <c r="P6" s="20">
        <v>0.98399999999999999</v>
      </c>
    </row>
    <row r="7" spans="1:16" x14ac:dyDescent="0.25">
      <c r="A7" t="s">
        <v>19</v>
      </c>
      <c r="B7">
        <v>4</v>
      </c>
      <c r="C7" t="s">
        <v>164</v>
      </c>
      <c r="D7">
        <v>12672</v>
      </c>
      <c r="E7">
        <v>64</v>
      </c>
      <c r="F7">
        <v>1</v>
      </c>
      <c r="G7">
        <v>4</v>
      </c>
      <c r="H7">
        <v>1358.43</v>
      </c>
      <c r="I7">
        <v>0.99880999999999998</v>
      </c>
      <c r="J7"/>
      <c r="K7" s="48">
        <f>K6</f>
        <v>0.99841249999999993</v>
      </c>
      <c r="M7" s="8" t="s">
        <v>17</v>
      </c>
      <c r="N7" s="17" t="s">
        <v>89</v>
      </c>
      <c r="O7">
        <v>4</v>
      </c>
      <c r="P7" s="20">
        <v>0.86899999999999999</v>
      </c>
    </row>
    <row r="8" spans="1:16" x14ac:dyDescent="0.25">
      <c r="A8" t="s">
        <v>20</v>
      </c>
      <c r="B8">
        <v>1</v>
      </c>
      <c r="C8" t="s">
        <v>164</v>
      </c>
      <c r="D8">
        <v>12672</v>
      </c>
      <c r="E8">
        <v>64</v>
      </c>
      <c r="F8">
        <v>1</v>
      </c>
      <c r="G8">
        <v>4</v>
      </c>
      <c r="H8">
        <v>1384.17</v>
      </c>
      <c r="I8">
        <v>0.98024</v>
      </c>
      <c r="J8"/>
      <c r="K8" s="48">
        <f>AVERAGE(I8:I11)</f>
        <v>0.98465249999999993</v>
      </c>
      <c r="M8" s="8" t="s">
        <v>13</v>
      </c>
      <c r="N8" s="15" t="s">
        <v>78</v>
      </c>
      <c r="O8">
        <v>5</v>
      </c>
      <c r="P8" s="20">
        <v>0.46300000000000002</v>
      </c>
    </row>
    <row r="9" spans="1:16" x14ac:dyDescent="0.25">
      <c r="A9" t="s">
        <v>20</v>
      </c>
      <c r="B9">
        <v>2</v>
      </c>
      <c r="C9" t="s">
        <v>164</v>
      </c>
      <c r="D9">
        <v>12672</v>
      </c>
      <c r="E9">
        <v>64</v>
      </c>
      <c r="F9">
        <v>1</v>
      </c>
      <c r="G9">
        <v>4</v>
      </c>
      <c r="H9">
        <v>1376.21</v>
      </c>
      <c r="I9">
        <v>0.98590999999999995</v>
      </c>
      <c r="J9"/>
      <c r="K9" s="48">
        <f>K8</f>
        <v>0.98465249999999993</v>
      </c>
      <c r="M9" s="8" t="s">
        <v>15</v>
      </c>
      <c r="N9" s="15" t="s">
        <v>84</v>
      </c>
      <c r="O9">
        <v>6</v>
      </c>
      <c r="P9" s="20">
        <v>0.46200000000000002</v>
      </c>
    </row>
    <row r="10" spans="1:16" x14ac:dyDescent="0.25">
      <c r="A10" t="s">
        <v>20</v>
      </c>
      <c r="B10">
        <v>3</v>
      </c>
      <c r="C10" t="s">
        <v>164</v>
      </c>
      <c r="D10">
        <v>12672</v>
      </c>
      <c r="E10">
        <v>64</v>
      </c>
      <c r="F10">
        <v>1</v>
      </c>
      <c r="G10">
        <v>4</v>
      </c>
      <c r="H10">
        <v>1374.81</v>
      </c>
      <c r="I10">
        <v>0.98690999999999995</v>
      </c>
      <c r="J10"/>
      <c r="K10" s="48">
        <f>K9</f>
        <v>0.98465249999999993</v>
      </c>
      <c r="M10" s="8" t="s">
        <v>16</v>
      </c>
      <c r="N10" s="15" t="s">
        <v>87</v>
      </c>
      <c r="O10">
        <v>7</v>
      </c>
      <c r="P10" s="20">
        <v>0.46</v>
      </c>
    </row>
    <row r="11" spans="1:16" x14ac:dyDescent="0.25">
      <c r="A11" t="s">
        <v>20</v>
      </c>
      <c r="B11">
        <v>4</v>
      </c>
      <c r="C11" t="s">
        <v>164</v>
      </c>
      <c r="D11">
        <v>12672</v>
      </c>
      <c r="E11">
        <v>64</v>
      </c>
      <c r="F11">
        <v>1</v>
      </c>
      <c r="G11">
        <v>4</v>
      </c>
      <c r="H11">
        <v>1376.71</v>
      </c>
      <c r="I11">
        <v>0.98555000000000004</v>
      </c>
      <c r="J11"/>
      <c r="K11" s="48">
        <f>K10</f>
        <v>0.98465249999999993</v>
      </c>
      <c r="M11" s="8" t="s">
        <v>14</v>
      </c>
      <c r="N11" s="15" t="s">
        <v>81</v>
      </c>
      <c r="O11">
        <v>8</v>
      </c>
      <c r="P11" s="20">
        <v>0.45900000000000002</v>
      </c>
    </row>
    <row r="12" spans="1:16" x14ac:dyDescent="0.25">
      <c r="A12" t="s">
        <v>18</v>
      </c>
      <c r="B12">
        <v>1</v>
      </c>
      <c r="C12" t="s">
        <v>164</v>
      </c>
      <c r="D12">
        <v>12672</v>
      </c>
      <c r="E12">
        <v>64</v>
      </c>
      <c r="F12">
        <v>1</v>
      </c>
      <c r="G12">
        <v>4</v>
      </c>
      <c r="H12">
        <v>1375.41</v>
      </c>
      <c r="I12">
        <v>0.98648000000000002</v>
      </c>
      <c r="J12"/>
      <c r="K12" s="48">
        <f>AVERAGE(I12:I15)</f>
        <v>0.98354499999999989</v>
      </c>
      <c r="M12" s="8" t="s">
        <v>99</v>
      </c>
    </row>
    <row r="13" spans="1:16" x14ac:dyDescent="0.25">
      <c r="A13" t="s">
        <v>18</v>
      </c>
      <c r="B13">
        <v>2</v>
      </c>
      <c r="C13" t="s">
        <v>164</v>
      </c>
      <c r="D13">
        <v>12672</v>
      </c>
      <c r="E13">
        <v>64</v>
      </c>
      <c r="F13">
        <v>1</v>
      </c>
      <c r="G13">
        <v>4</v>
      </c>
      <c r="H13">
        <v>1389.78</v>
      </c>
      <c r="I13">
        <v>0.97628000000000004</v>
      </c>
      <c r="J13"/>
      <c r="K13" s="48">
        <f>K12</f>
        <v>0.98354499999999989</v>
      </c>
      <c r="M13" s="8" t="s">
        <v>101</v>
      </c>
    </row>
    <row r="14" spans="1:16" x14ac:dyDescent="0.25">
      <c r="A14" t="s">
        <v>18</v>
      </c>
      <c r="B14">
        <v>3</v>
      </c>
      <c r="C14" t="s">
        <v>164</v>
      </c>
      <c r="D14">
        <v>12672</v>
      </c>
      <c r="E14">
        <v>64</v>
      </c>
      <c r="F14">
        <v>1</v>
      </c>
      <c r="G14">
        <v>4</v>
      </c>
      <c r="H14">
        <v>1376.7</v>
      </c>
      <c r="I14">
        <v>0.98555999999999999</v>
      </c>
      <c r="J14"/>
      <c r="K14" s="48">
        <f>K13</f>
        <v>0.98354499999999989</v>
      </c>
      <c r="M14" s="8" t="s">
        <v>103</v>
      </c>
    </row>
    <row r="15" spans="1:16" x14ac:dyDescent="0.25">
      <c r="A15" t="s">
        <v>18</v>
      </c>
      <c r="B15">
        <v>4</v>
      </c>
      <c r="C15" t="s">
        <v>164</v>
      </c>
      <c r="D15">
        <v>12672</v>
      </c>
      <c r="E15">
        <v>64</v>
      </c>
      <c r="F15">
        <v>1</v>
      </c>
      <c r="G15">
        <v>4</v>
      </c>
      <c r="H15">
        <v>1376.28</v>
      </c>
      <c r="I15">
        <v>0.98585999999999996</v>
      </c>
      <c r="J15"/>
      <c r="K15" s="48">
        <f>K14</f>
        <v>0.98354499999999989</v>
      </c>
      <c r="M15" s="8" t="s">
        <v>106</v>
      </c>
    </row>
    <row r="16" spans="1:16" x14ac:dyDescent="0.25">
      <c r="A16" t="s">
        <v>165</v>
      </c>
      <c r="B16">
        <v>1</v>
      </c>
      <c r="C16" t="s">
        <v>164</v>
      </c>
      <c r="D16">
        <v>12672</v>
      </c>
      <c r="E16">
        <v>64</v>
      </c>
      <c r="F16">
        <v>1</v>
      </c>
      <c r="G16">
        <v>4</v>
      </c>
      <c r="H16">
        <v>1511.65</v>
      </c>
      <c r="I16" s="48">
        <v>0.89758000000000004</v>
      </c>
      <c r="K16" s="48">
        <f>AVERAGE(I16:I19)</f>
        <v>0.89823500000000012</v>
      </c>
    </row>
    <row r="17" spans="1:15" x14ac:dyDescent="0.25">
      <c r="A17" t="s">
        <v>165</v>
      </c>
      <c r="B17">
        <v>2</v>
      </c>
      <c r="C17" t="s">
        <v>164</v>
      </c>
      <c r="D17">
        <v>12672</v>
      </c>
      <c r="E17">
        <v>64</v>
      </c>
      <c r="F17">
        <v>1</v>
      </c>
      <c r="G17">
        <v>4</v>
      </c>
      <c r="H17">
        <v>1510.28</v>
      </c>
      <c r="I17" s="48">
        <v>0.89839000000000002</v>
      </c>
      <c r="K17" s="48">
        <f>K16</f>
        <v>0.89823500000000012</v>
      </c>
      <c r="M17" t="str" cm="1">
        <f t="array" ref="M17:N33">_xlfn.CHOOSECOLS(_xlfn._xlws.FILTER(A4:K500,B4:B500=1),1,11)</f>
        <v>arch-tune-flags</v>
      </c>
      <c r="N17">
        <v>0.99841249999999993</v>
      </c>
      <c r="O17" t="str">
        <f>VLOOKUP(M17,'ATLAS builds'!B2:C20,2,FALSE)</f>
        <v>-D c -DWALL -b 32 -V 1 -F al "-Os -march=armv6 -mtune=arm1176jzf-s -mfpu=vfp -mfloat-abi=hard"</v>
      </c>
    </row>
    <row r="18" spans="1:15" x14ac:dyDescent="0.25">
      <c r="A18" t="s">
        <v>165</v>
      </c>
      <c r="B18">
        <v>3</v>
      </c>
      <c r="C18" t="s">
        <v>164</v>
      </c>
      <c r="D18">
        <v>12672</v>
      </c>
      <c r="E18">
        <v>64</v>
      </c>
      <c r="F18">
        <v>1</v>
      </c>
      <c r="G18">
        <v>4</v>
      </c>
      <c r="H18">
        <v>1510.22</v>
      </c>
      <c r="I18" s="48">
        <v>0.89842</v>
      </c>
      <c r="K18" s="48">
        <f>K17</f>
        <v>0.89823500000000012</v>
      </c>
      <c r="M18" t="str">
        <v>arch-zk-tune-flags</v>
      </c>
      <c r="N18">
        <v>0.98465249999999993</v>
      </c>
      <c r="O18" t="str">
        <f>VLOOKUP(M18,'ATLAS builds'!B3:C21,2,FALSE)</f>
        <v>-D c -DWALL -b 32 -V 1 -F al "-Os -march=armv6zk -mtune=arm1176jzf-s -mfpu=vfp -mfloat-abi=hard"</v>
      </c>
    </row>
    <row r="19" spans="1:15" x14ac:dyDescent="0.25">
      <c r="A19" t="s">
        <v>165</v>
      </c>
      <c r="B19">
        <v>4</v>
      </c>
      <c r="C19" t="s">
        <v>164</v>
      </c>
      <c r="D19">
        <v>12672</v>
      </c>
      <c r="E19">
        <v>64</v>
      </c>
      <c r="F19">
        <v>1</v>
      </c>
      <c r="G19">
        <v>4</v>
      </c>
      <c r="H19">
        <v>1510</v>
      </c>
      <c r="I19" s="48">
        <v>0.89854999999999996</v>
      </c>
      <c r="K19" s="48">
        <f>K18</f>
        <v>0.89823500000000012</v>
      </c>
      <c r="M19" t="str">
        <v>arch-zk-flags</v>
      </c>
      <c r="N19">
        <v>0.98354499999999989</v>
      </c>
      <c r="O19" t="str">
        <f>VLOOKUP(M19,'ATLAS builds'!B4:C22,2,FALSE)</f>
        <v>-D c -DWALL -b 32 -V 1 -F al "-Os -march=armv6zk"</v>
      </c>
    </row>
    <row r="20" spans="1:15" x14ac:dyDescent="0.25">
      <c r="A20" t="s">
        <v>17</v>
      </c>
      <c r="B20">
        <v>1</v>
      </c>
      <c r="C20" t="s">
        <v>164</v>
      </c>
      <c r="D20">
        <v>12672</v>
      </c>
      <c r="E20">
        <v>64</v>
      </c>
      <c r="F20">
        <v>1</v>
      </c>
      <c r="G20">
        <v>4</v>
      </c>
      <c r="H20">
        <v>1559.65</v>
      </c>
      <c r="I20">
        <v>0.86995</v>
      </c>
      <c r="J20"/>
      <c r="K20" s="48">
        <f>AVERAGE(I20:I23)</f>
        <v>0.8687125</v>
      </c>
      <c r="M20" t="str">
        <v>none-flags</v>
      </c>
      <c r="N20">
        <v>0.89823500000000012</v>
      </c>
      <c r="O20" t="e">
        <f>VLOOKUP(M20,'ATLAS builds'!B5:C23,2,FALSE)</f>
        <v>#N/A</v>
      </c>
    </row>
    <row r="21" spans="1:15" x14ac:dyDescent="0.25">
      <c r="A21" t="s">
        <v>17</v>
      </c>
      <c r="B21">
        <v>2</v>
      </c>
      <c r="C21" t="s">
        <v>164</v>
      </c>
      <c r="D21">
        <v>12672</v>
      </c>
      <c r="E21">
        <v>64</v>
      </c>
      <c r="F21">
        <v>1</v>
      </c>
      <c r="G21">
        <v>4</v>
      </c>
      <c r="H21">
        <v>1560.32</v>
      </c>
      <c r="I21">
        <v>0.86958000000000002</v>
      </c>
      <c r="J21"/>
      <c r="K21" s="48">
        <f>K20</f>
        <v>0.8687125</v>
      </c>
      <c r="M21" t="str">
        <v>arch-flags</v>
      </c>
      <c r="N21">
        <v>0.8687125</v>
      </c>
      <c r="O21" t="str">
        <f>VLOOKUP(M21,'ATLAS builds'!B6:C24,2,FALSE)</f>
        <v xml:space="preserve"> -D c -DWALL -b 32 -V 1 -F al "-O1 -march=armv6 -fschedule-insns2 -mtune=arm1176jzf-s"</v>
      </c>
    </row>
    <row r="22" spans="1:15" x14ac:dyDescent="0.25">
      <c r="A22" t="s">
        <v>17</v>
      </c>
      <c r="B22">
        <v>3</v>
      </c>
      <c r="C22" t="s">
        <v>164</v>
      </c>
      <c r="D22">
        <v>12672</v>
      </c>
      <c r="E22">
        <v>64</v>
      </c>
      <c r="F22">
        <v>1</v>
      </c>
      <c r="G22">
        <v>4</v>
      </c>
      <c r="H22">
        <v>1567.35</v>
      </c>
      <c r="I22">
        <v>0.86567000000000005</v>
      </c>
      <c r="J22"/>
      <c r="K22" s="48">
        <f>K21</f>
        <v>0.8687125</v>
      </c>
      <c r="M22" t="str">
        <v>cpu-flags</v>
      </c>
      <c r="N22">
        <v>0.86082749999999997</v>
      </c>
      <c r="O22" t="e">
        <f>VLOOKUP(M22,'ATLAS builds'!B7:C25,2,FALSE)</f>
        <v>#N/A</v>
      </c>
    </row>
    <row r="23" spans="1:15" x14ac:dyDescent="0.25">
      <c r="A23" t="s">
        <v>17</v>
      </c>
      <c r="B23">
        <v>4</v>
      </c>
      <c r="C23" t="s">
        <v>164</v>
      </c>
      <c r="D23">
        <v>12672</v>
      </c>
      <c r="E23">
        <v>64</v>
      </c>
      <c r="F23">
        <v>1</v>
      </c>
      <c r="G23">
        <v>4</v>
      </c>
      <c r="H23">
        <v>1560.19</v>
      </c>
      <c r="I23">
        <v>0.86965000000000003</v>
      </c>
      <c r="J23"/>
      <c r="K23" s="48">
        <f>K22</f>
        <v>0.8687125</v>
      </c>
      <c r="M23" t="str">
        <v>cpu-append</v>
      </c>
      <c r="N23">
        <v>0.85719250000000002</v>
      </c>
      <c r="O23" t="e">
        <f>VLOOKUP(M23,'ATLAS builds'!B8:C26,2,FALSE)</f>
        <v>#N/A</v>
      </c>
    </row>
    <row r="24" spans="1:15" x14ac:dyDescent="0.25">
      <c r="A24" t="s">
        <v>166</v>
      </c>
      <c r="B24">
        <v>1</v>
      </c>
      <c r="C24" t="s">
        <v>164</v>
      </c>
      <c r="D24">
        <v>12672</v>
      </c>
      <c r="E24">
        <v>64</v>
      </c>
      <c r="F24">
        <v>1</v>
      </c>
      <c r="G24">
        <v>4</v>
      </c>
      <c r="H24">
        <v>1571.22</v>
      </c>
      <c r="I24">
        <v>0.86353999999999997</v>
      </c>
      <c r="J24"/>
      <c r="K24" s="48">
        <f>AVERAGE(I24:I27)</f>
        <v>0.86082749999999997</v>
      </c>
      <c r="M24" t="str">
        <v>arch-native-flags</v>
      </c>
      <c r="N24">
        <v>0.82982000000000011</v>
      </c>
      <c r="O24" t="e">
        <f>VLOOKUP(M24,'ATLAS builds'!B9:C27,2,FALSE)</f>
        <v>#N/A</v>
      </c>
    </row>
    <row r="25" spans="1:15" x14ac:dyDescent="0.25">
      <c r="A25" t="s">
        <v>166</v>
      </c>
      <c r="B25">
        <v>2</v>
      </c>
      <c r="C25" t="s">
        <v>164</v>
      </c>
      <c r="D25">
        <v>12672</v>
      </c>
      <c r="E25">
        <v>64</v>
      </c>
      <c r="F25">
        <v>1</v>
      </c>
      <c r="G25">
        <v>4</v>
      </c>
      <c r="H25">
        <v>1571.9</v>
      </c>
      <c r="I25">
        <v>0.86316999999999999</v>
      </c>
      <c r="J25"/>
      <c r="K25" s="48">
        <f>K24</f>
        <v>0.86082749999999997</v>
      </c>
      <c r="M25" t="str">
        <v>arch-native</v>
      </c>
      <c r="N25">
        <v>0.8103475</v>
      </c>
      <c r="O25" t="e">
        <f>VLOOKUP(M25,'ATLAS builds'!B10:C28,2,FALSE)</f>
        <v>#N/A</v>
      </c>
    </row>
    <row r="26" spans="1:15" x14ac:dyDescent="0.25">
      <c r="A26" t="s">
        <v>166</v>
      </c>
      <c r="B26">
        <v>3</v>
      </c>
      <c r="C26" t="s">
        <v>164</v>
      </c>
      <c r="D26">
        <v>12672</v>
      </c>
      <c r="E26">
        <v>64</v>
      </c>
      <c r="F26">
        <v>1</v>
      </c>
      <c r="G26">
        <v>4</v>
      </c>
      <c r="H26">
        <v>1571.79</v>
      </c>
      <c r="I26">
        <v>0.86323000000000005</v>
      </c>
      <c r="J26"/>
      <c r="K26" s="48">
        <f>K25</f>
        <v>0.86082749999999997</v>
      </c>
      <c r="M26" t="str">
        <v>none</v>
      </c>
      <c r="N26">
        <v>0.69351250000000009</v>
      </c>
      <c r="O26" t="e">
        <f>VLOOKUP(M26,'ATLAS builds'!B11:C29,2,FALSE)</f>
        <v>#N/A</v>
      </c>
    </row>
    <row r="27" spans="1:15" x14ac:dyDescent="0.25">
      <c r="A27" t="s">
        <v>166</v>
      </c>
      <c r="B27">
        <v>4</v>
      </c>
      <c r="C27" t="s">
        <v>164</v>
      </c>
      <c r="D27">
        <v>12672</v>
      </c>
      <c r="E27">
        <v>64</v>
      </c>
      <c r="F27">
        <v>1</v>
      </c>
      <c r="G27">
        <v>4</v>
      </c>
      <c r="H27">
        <v>1589.95</v>
      </c>
      <c r="I27">
        <v>0.85336999999999996</v>
      </c>
      <c r="J27"/>
      <c r="K27" s="48">
        <f>K26</f>
        <v>0.86082749999999997</v>
      </c>
      <c r="M27" t="str">
        <v>no-arch</v>
      </c>
      <c r="N27">
        <v>0.68973249999999997</v>
      </c>
      <c r="O27" t="e">
        <f>VLOOKUP(M27,'ATLAS builds'!B12:C30,2,FALSE)</f>
        <v>#N/A</v>
      </c>
    </row>
    <row r="28" spans="1:15" x14ac:dyDescent="0.25">
      <c r="A28" t="s">
        <v>167</v>
      </c>
      <c r="B28">
        <v>1</v>
      </c>
      <c r="C28" t="s">
        <v>164</v>
      </c>
      <c r="D28">
        <v>12672</v>
      </c>
      <c r="E28">
        <v>64</v>
      </c>
      <c r="F28">
        <v>1</v>
      </c>
      <c r="G28">
        <v>4</v>
      </c>
      <c r="H28">
        <v>1583.81</v>
      </c>
      <c r="I28" s="48">
        <v>0.85668</v>
      </c>
      <c r="K28" s="48">
        <f>AVERAGE(I28:I31)</f>
        <v>0.85719250000000002</v>
      </c>
      <c r="M28" t="str">
        <v>arch</v>
      </c>
      <c r="N28">
        <v>0.46254499999999998</v>
      </c>
      <c r="O28" t="e">
        <f>VLOOKUP(M28,'ATLAS builds'!B13:C31,2,FALSE)</f>
        <v>#N/A</v>
      </c>
    </row>
    <row r="29" spans="1:15" x14ac:dyDescent="0.25">
      <c r="A29" t="s">
        <v>167</v>
      </c>
      <c r="B29">
        <v>2</v>
      </c>
      <c r="C29" t="s">
        <v>164</v>
      </c>
      <c r="D29">
        <v>12672</v>
      </c>
      <c r="E29">
        <v>64</v>
      </c>
      <c r="F29">
        <v>1</v>
      </c>
      <c r="G29">
        <v>4</v>
      </c>
      <c r="H29">
        <v>1582.34</v>
      </c>
      <c r="I29" s="48">
        <v>0.85748000000000002</v>
      </c>
      <c r="K29" s="48">
        <f>K28</f>
        <v>0.85719250000000002</v>
      </c>
      <c r="M29" t="str">
        <v>cpu</v>
      </c>
      <c r="N29">
        <v>0.46249999999999997</v>
      </c>
      <c r="O29" t="e">
        <f>VLOOKUP(M29,'ATLAS builds'!B14:C32,2,FALSE)</f>
        <v>#N/A</v>
      </c>
    </row>
    <row r="30" spans="1:15" x14ac:dyDescent="0.25">
      <c r="A30" t="s">
        <v>167</v>
      </c>
      <c r="B30">
        <v>3</v>
      </c>
      <c r="C30" t="s">
        <v>164</v>
      </c>
      <c r="D30">
        <v>12672</v>
      </c>
      <c r="E30">
        <v>64</v>
      </c>
      <c r="F30">
        <v>1</v>
      </c>
      <c r="G30">
        <v>4</v>
      </c>
      <c r="H30">
        <v>1582.1</v>
      </c>
      <c r="I30" s="48">
        <v>0.85760000000000003</v>
      </c>
      <c r="K30" s="48">
        <f>K29</f>
        <v>0.85719250000000002</v>
      </c>
      <c r="M30" t="str">
        <v>arch-tune</v>
      </c>
      <c r="N30">
        <v>0.462115</v>
      </c>
      <c r="O30" t="e">
        <f>VLOOKUP(M30,'ATLAS builds'!B15:C33,2,FALSE)</f>
        <v>#N/A</v>
      </c>
    </row>
    <row r="31" spans="1:15" x14ac:dyDescent="0.25">
      <c r="A31" t="s">
        <v>167</v>
      </c>
      <c r="B31">
        <v>4</v>
      </c>
      <c r="C31" t="s">
        <v>164</v>
      </c>
      <c r="D31">
        <v>12672</v>
      </c>
      <c r="E31">
        <v>64</v>
      </c>
      <c r="F31">
        <v>1</v>
      </c>
      <c r="G31">
        <v>4</v>
      </c>
      <c r="H31">
        <v>1583.19</v>
      </c>
      <c r="I31" s="48">
        <v>0.85701000000000005</v>
      </c>
      <c r="K31" s="48">
        <f>K30</f>
        <v>0.85719250000000002</v>
      </c>
      <c r="M31" t="str">
        <v>arch-zk-tune</v>
      </c>
      <c r="N31">
        <v>0.45952500000000002</v>
      </c>
      <c r="O31" t="e">
        <f>VLOOKUP(M31,'ATLAS builds'!B16:C34,2,FALSE)</f>
        <v>#N/A</v>
      </c>
    </row>
    <row r="32" spans="1:15" x14ac:dyDescent="0.25">
      <c r="A32" t="s">
        <v>168</v>
      </c>
      <c r="B32">
        <v>1</v>
      </c>
      <c r="C32" t="s">
        <v>164</v>
      </c>
      <c r="D32">
        <v>12672</v>
      </c>
      <c r="E32">
        <v>64</v>
      </c>
      <c r="F32">
        <v>1</v>
      </c>
      <c r="G32">
        <v>4</v>
      </c>
      <c r="H32">
        <v>1637.7</v>
      </c>
      <c r="I32">
        <v>0.82848999999999995</v>
      </c>
      <c r="J32"/>
      <c r="K32" s="48">
        <f>AVERAGE(I32:I35)</f>
        <v>0.82982000000000011</v>
      </c>
      <c r="M32" t="str">
        <v>arch-zk</v>
      </c>
      <c r="N32">
        <v>0.45939000000000002</v>
      </c>
      <c r="O32" t="e">
        <f>VLOOKUP(M32,'ATLAS builds'!B17:C35,2,FALSE)</f>
        <v>#N/A</v>
      </c>
    </row>
    <row r="33" spans="1:15" x14ac:dyDescent="0.25">
      <c r="A33" t="s">
        <v>168</v>
      </c>
      <c r="B33">
        <v>2</v>
      </c>
      <c r="C33" t="s">
        <v>164</v>
      </c>
      <c r="D33">
        <v>12672</v>
      </c>
      <c r="E33">
        <v>64</v>
      </c>
      <c r="F33">
        <v>1</v>
      </c>
      <c r="G33">
        <v>4</v>
      </c>
      <c r="H33">
        <v>1639.41</v>
      </c>
      <c r="I33">
        <v>0.82762999999999998</v>
      </c>
      <c r="J33"/>
      <c r="K33" s="48">
        <f>K32</f>
        <v>0.82982000000000011</v>
      </c>
      <c r="M33" t="str">
        <v>cpu-native</v>
      </c>
      <c r="N33">
        <v>0.45936500000000002</v>
      </c>
      <c r="O33" t="e">
        <f>VLOOKUP(M33,'ATLAS builds'!B18:C36,2,FALSE)</f>
        <v>#N/A</v>
      </c>
    </row>
    <row r="34" spans="1:15" x14ac:dyDescent="0.25">
      <c r="A34" t="s">
        <v>168</v>
      </c>
      <c r="B34">
        <v>3</v>
      </c>
      <c r="C34" t="s">
        <v>164</v>
      </c>
      <c r="D34">
        <v>12672</v>
      </c>
      <c r="E34">
        <v>64</v>
      </c>
      <c r="F34">
        <v>1</v>
      </c>
      <c r="G34">
        <v>4</v>
      </c>
      <c r="H34">
        <v>1631.2</v>
      </c>
      <c r="I34">
        <v>0.83179000000000003</v>
      </c>
      <c r="J34"/>
      <c r="K34" s="48">
        <f>K33</f>
        <v>0.82982000000000011</v>
      </c>
    </row>
    <row r="35" spans="1:15" x14ac:dyDescent="0.25">
      <c r="A35" t="s">
        <v>168</v>
      </c>
      <c r="B35">
        <v>4</v>
      </c>
      <c r="C35" t="s">
        <v>164</v>
      </c>
      <c r="D35">
        <v>12672</v>
      </c>
      <c r="E35">
        <v>64</v>
      </c>
      <c r="F35">
        <v>1</v>
      </c>
      <c r="G35">
        <v>4</v>
      </c>
      <c r="H35">
        <v>1632.02</v>
      </c>
      <c r="I35">
        <v>0.83137000000000005</v>
      </c>
      <c r="J35"/>
      <c r="K35" s="48">
        <f>K34</f>
        <v>0.82982000000000011</v>
      </c>
    </row>
    <row r="36" spans="1:15" x14ac:dyDescent="0.25">
      <c r="A36" t="s">
        <v>169</v>
      </c>
      <c r="B36">
        <v>1</v>
      </c>
      <c r="C36" t="s">
        <v>164</v>
      </c>
      <c r="D36">
        <v>12672</v>
      </c>
      <c r="E36">
        <v>64</v>
      </c>
      <c r="F36">
        <v>1</v>
      </c>
      <c r="G36">
        <v>4</v>
      </c>
      <c r="H36">
        <v>1674.58</v>
      </c>
      <c r="I36" s="48">
        <v>0.81023999999999996</v>
      </c>
      <c r="K36" s="48">
        <f>AVERAGE(I36:I39)</f>
        <v>0.8103475</v>
      </c>
      <c r="M36" t="s">
        <v>13</v>
      </c>
      <c r="N36" t="s">
        <v>78</v>
      </c>
      <c r="O36">
        <f>VLOOKUP(M36,$M$17:$N$33,2,FALSE)</f>
        <v>0.46254499999999998</v>
      </c>
    </row>
    <row r="37" spans="1:15" x14ac:dyDescent="0.25">
      <c r="A37" t="s">
        <v>169</v>
      </c>
      <c r="B37">
        <v>2</v>
      </c>
      <c r="C37" t="s">
        <v>164</v>
      </c>
      <c r="D37">
        <v>12672</v>
      </c>
      <c r="E37">
        <v>64</v>
      </c>
      <c r="F37">
        <v>1</v>
      </c>
      <c r="G37">
        <v>4</v>
      </c>
      <c r="H37">
        <v>1673.79</v>
      </c>
      <c r="I37" s="48">
        <v>0.81062999999999996</v>
      </c>
      <c r="K37" s="48">
        <f>K36</f>
        <v>0.8103475</v>
      </c>
      <c r="M37" t="s">
        <v>14</v>
      </c>
      <c r="N37" t="s">
        <v>81</v>
      </c>
      <c r="O37">
        <f t="shared" ref="O37:O54" si="0">VLOOKUP(M37,$M$17:$N$33,2,FALSE)</f>
        <v>0.45939000000000002</v>
      </c>
    </row>
    <row r="38" spans="1:15" x14ac:dyDescent="0.25">
      <c r="A38" t="s">
        <v>169</v>
      </c>
      <c r="B38">
        <v>3</v>
      </c>
      <c r="C38" t="s">
        <v>164</v>
      </c>
      <c r="D38">
        <v>12672</v>
      </c>
      <c r="E38">
        <v>64</v>
      </c>
      <c r="F38">
        <v>1</v>
      </c>
      <c r="G38">
        <v>4</v>
      </c>
      <c r="H38">
        <v>1675.33</v>
      </c>
      <c r="I38" s="48">
        <v>0.80988000000000004</v>
      </c>
      <c r="K38" s="48">
        <f>K37</f>
        <v>0.8103475</v>
      </c>
      <c r="M38" t="s">
        <v>15</v>
      </c>
      <c r="N38" t="s">
        <v>84</v>
      </c>
      <c r="O38">
        <f t="shared" si="0"/>
        <v>0.462115</v>
      </c>
    </row>
    <row r="39" spans="1:15" x14ac:dyDescent="0.25">
      <c r="A39" t="s">
        <v>169</v>
      </c>
      <c r="B39">
        <v>4</v>
      </c>
      <c r="C39" t="s">
        <v>164</v>
      </c>
      <c r="D39">
        <v>12672</v>
      </c>
      <c r="E39">
        <v>64</v>
      </c>
      <c r="F39">
        <v>1</v>
      </c>
      <c r="G39">
        <v>4</v>
      </c>
      <c r="H39">
        <v>1673.75</v>
      </c>
      <c r="I39" s="48">
        <v>0.81064000000000003</v>
      </c>
      <c r="K39" s="48">
        <f>K38</f>
        <v>0.8103475</v>
      </c>
      <c r="M39" t="s">
        <v>16</v>
      </c>
      <c r="N39" t="s">
        <v>87</v>
      </c>
      <c r="O39">
        <f t="shared" si="0"/>
        <v>0.45952500000000002</v>
      </c>
    </row>
    <row r="40" spans="1:15" x14ac:dyDescent="0.25">
      <c r="A40" t="s">
        <v>170</v>
      </c>
      <c r="B40">
        <v>1</v>
      </c>
      <c r="C40" t="s">
        <v>164</v>
      </c>
      <c r="D40">
        <v>12672</v>
      </c>
      <c r="E40">
        <v>64</v>
      </c>
      <c r="F40">
        <v>1</v>
      </c>
      <c r="G40">
        <v>4</v>
      </c>
      <c r="H40">
        <v>1951.01</v>
      </c>
      <c r="I40" s="48">
        <v>0.69543999999999995</v>
      </c>
      <c r="K40" s="48">
        <f>AVERAGE(I40:I43)</f>
        <v>0.69351250000000009</v>
      </c>
      <c r="M40" t="s">
        <v>17</v>
      </c>
      <c r="N40" t="s">
        <v>89</v>
      </c>
      <c r="O40">
        <f t="shared" si="0"/>
        <v>0.8687125</v>
      </c>
    </row>
    <row r="41" spans="1:15" x14ac:dyDescent="0.25">
      <c r="A41" t="s">
        <v>170</v>
      </c>
      <c r="B41">
        <v>2</v>
      </c>
      <c r="C41" t="s">
        <v>164</v>
      </c>
      <c r="D41">
        <v>12672</v>
      </c>
      <c r="E41">
        <v>64</v>
      </c>
      <c r="F41">
        <v>1</v>
      </c>
      <c r="G41">
        <v>4</v>
      </c>
      <c r="H41">
        <v>1965.26</v>
      </c>
      <c r="I41" s="48">
        <v>0.69040000000000001</v>
      </c>
      <c r="K41" s="48">
        <f>K40</f>
        <v>0.69351250000000009</v>
      </c>
      <c r="M41" t="s">
        <v>18</v>
      </c>
      <c r="N41" t="s">
        <v>92</v>
      </c>
      <c r="O41">
        <f t="shared" si="0"/>
        <v>0.98354499999999989</v>
      </c>
    </row>
    <row r="42" spans="1:15" x14ac:dyDescent="0.25">
      <c r="A42" t="s">
        <v>170</v>
      </c>
      <c r="B42">
        <v>3</v>
      </c>
      <c r="C42" t="s">
        <v>164</v>
      </c>
      <c r="D42">
        <v>12672</v>
      </c>
      <c r="E42">
        <v>64</v>
      </c>
      <c r="F42">
        <v>1</v>
      </c>
      <c r="G42">
        <v>4</v>
      </c>
      <c r="H42">
        <v>1950.94</v>
      </c>
      <c r="I42" s="48">
        <v>0.69547000000000003</v>
      </c>
      <c r="K42" s="48">
        <f>K41</f>
        <v>0.69351250000000009</v>
      </c>
      <c r="M42" t="s">
        <v>19</v>
      </c>
      <c r="N42" t="s">
        <v>94</v>
      </c>
      <c r="O42">
        <f t="shared" si="0"/>
        <v>0.99841249999999993</v>
      </c>
    </row>
    <row r="43" spans="1:15" x14ac:dyDescent="0.25">
      <c r="A43" t="s">
        <v>170</v>
      </c>
      <c r="B43">
        <v>4</v>
      </c>
      <c r="C43" t="s">
        <v>164</v>
      </c>
      <c r="D43">
        <v>12672</v>
      </c>
      <c r="E43">
        <v>64</v>
      </c>
      <c r="F43">
        <v>1</v>
      </c>
      <c r="G43">
        <v>4</v>
      </c>
      <c r="H43">
        <v>1958.62</v>
      </c>
      <c r="I43" s="48">
        <v>0.69274000000000002</v>
      </c>
      <c r="K43" s="48">
        <f>K42</f>
        <v>0.69351250000000009</v>
      </c>
      <c r="M43" t="s">
        <v>20</v>
      </c>
      <c r="N43" t="s">
        <v>96</v>
      </c>
      <c r="O43">
        <f t="shared" si="0"/>
        <v>0.98465249999999993</v>
      </c>
    </row>
    <row r="44" spans="1:15" x14ac:dyDescent="0.25">
      <c r="A44" t="s">
        <v>171</v>
      </c>
      <c r="B44">
        <v>1</v>
      </c>
      <c r="C44" t="s">
        <v>164</v>
      </c>
      <c r="D44">
        <v>12672</v>
      </c>
      <c r="E44">
        <v>64</v>
      </c>
      <c r="F44">
        <v>1</v>
      </c>
      <c r="G44">
        <v>4</v>
      </c>
      <c r="H44">
        <v>1965.41</v>
      </c>
      <c r="I44" s="48">
        <v>0.69035000000000002</v>
      </c>
      <c r="K44" s="48">
        <f>AVERAGE(I44:I47)</f>
        <v>0.68973249999999997</v>
      </c>
      <c r="M44" t="s">
        <v>170</v>
      </c>
      <c r="N44" t="s">
        <v>100</v>
      </c>
      <c r="O44">
        <f t="shared" si="0"/>
        <v>0.69351250000000009</v>
      </c>
    </row>
    <row r="45" spans="1:15" x14ac:dyDescent="0.25">
      <c r="A45" t="s">
        <v>171</v>
      </c>
      <c r="B45">
        <v>2</v>
      </c>
      <c r="C45" t="s">
        <v>164</v>
      </c>
      <c r="D45">
        <v>12672</v>
      </c>
      <c r="E45">
        <v>64</v>
      </c>
      <c r="F45">
        <v>1</v>
      </c>
      <c r="G45">
        <v>4</v>
      </c>
      <c r="H45">
        <v>1965.03</v>
      </c>
      <c r="I45" s="48">
        <v>0.69047999999999998</v>
      </c>
      <c r="K45" s="48">
        <f>K44</f>
        <v>0.68973249999999997</v>
      </c>
      <c r="M45" t="s">
        <v>171</v>
      </c>
      <c r="N45" t="s">
        <v>102</v>
      </c>
      <c r="O45">
        <f t="shared" si="0"/>
        <v>0.68973249999999997</v>
      </c>
    </row>
    <row r="46" spans="1:15" x14ac:dyDescent="0.25">
      <c r="A46" t="s">
        <v>171</v>
      </c>
      <c r="B46">
        <v>3</v>
      </c>
      <c r="C46" t="s">
        <v>164</v>
      </c>
      <c r="D46">
        <v>12672</v>
      </c>
      <c r="E46">
        <v>64</v>
      </c>
      <c r="F46">
        <v>1</v>
      </c>
      <c r="G46">
        <v>4</v>
      </c>
      <c r="H46">
        <v>1972.98</v>
      </c>
      <c r="I46" s="48">
        <v>0.68769999999999998</v>
      </c>
      <c r="K46" s="48">
        <f>K45</f>
        <v>0.68973249999999997</v>
      </c>
      <c r="M46" t="s">
        <v>172</v>
      </c>
      <c r="N46" t="s">
        <v>104</v>
      </c>
      <c r="O46">
        <f t="shared" si="0"/>
        <v>0.46249999999999997</v>
      </c>
    </row>
    <row r="47" spans="1:15" x14ac:dyDescent="0.25">
      <c r="A47" t="s">
        <v>171</v>
      </c>
      <c r="B47">
        <v>4</v>
      </c>
      <c r="C47" t="s">
        <v>164</v>
      </c>
      <c r="D47">
        <v>12672</v>
      </c>
      <c r="E47">
        <v>64</v>
      </c>
      <c r="F47">
        <v>1</v>
      </c>
      <c r="G47">
        <v>4</v>
      </c>
      <c r="H47">
        <v>1965.25</v>
      </c>
      <c r="I47" s="48">
        <v>0.69040000000000001</v>
      </c>
      <c r="K47" s="48">
        <f>K46</f>
        <v>0.68973249999999997</v>
      </c>
      <c r="M47" t="s">
        <v>169</v>
      </c>
      <c r="N47" t="s">
        <v>107</v>
      </c>
      <c r="O47">
        <f t="shared" si="0"/>
        <v>0.8103475</v>
      </c>
    </row>
    <row r="48" spans="1:15" x14ac:dyDescent="0.25">
      <c r="A48" t="s">
        <v>13</v>
      </c>
      <c r="B48">
        <v>1</v>
      </c>
      <c r="C48" t="s">
        <v>164</v>
      </c>
      <c r="D48">
        <v>12672</v>
      </c>
      <c r="E48">
        <v>64</v>
      </c>
      <c r="F48">
        <v>1</v>
      </c>
      <c r="G48">
        <v>4</v>
      </c>
      <c r="H48">
        <v>2937.77</v>
      </c>
      <c r="I48" s="48">
        <v>0.46184999999999998</v>
      </c>
      <c r="K48" s="48">
        <f>AVERAGE(I48:I51)</f>
        <v>0.46254499999999998</v>
      </c>
      <c r="M48" t="s">
        <v>167</v>
      </c>
      <c r="N48" t="s">
        <v>110</v>
      </c>
      <c r="O48">
        <f t="shared" si="0"/>
        <v>0.85719250000000002</v>
      </c>
    </row>
    <row r="49" spans="1:15" x14ac:dyDescent="0.25">
      <c r="A49" t="s">
        <v>13</v>
      </c>
      <c r="B49">
        <v>2</v>
      </c>
      <c r="C49" t="s">
        <v>164</v>
      </c>
      <c r="D49">
        <v>12672</v>
      </c>
      <c r="E49">
        <v>64</v>
      </c>
      <c r="F49">
        <v>1</v>
      </c>
      <c r="G49">
        <v>4</v>
      </c>
      <c r="H49">
        <v>2932.72</v>
      </c>
      <c r="I49" s="48">
        <v>0.46265000000000001</v>
      </c>
      <c r="K49" s="48">
        <f>K48</f>
        <v>0.46254499999999998</v>
      </c>
      <c r="M49" t="s">
        <v>173</v>
      </c>
      <c r="N49" t="s">
        <v>112</v>
      </c>
      <c r="O49">
        <f t="shared" si="0"/>
        <v>0.45936500000000002</v>
      </c>
    </row>
    <row r="50" spans="1:15" x14ac:dyDescent="0.25">
      <c r="A50" t="s">
        <v>13</v>
      </c>
      <c r="B50">
        <v>3</v>
      </c>
      <c r="C50" t="s">
        <v>164</v>
      </c>
      <c r="D50">
        <v>12672</v>
      </c>
      <c r="E50">
        <v>64</v>
      </c>
      <c r="F50">
        <v>1</v>
      </c>
      <c r="G50">
        <v>4</v>
      </c>
      <c r="H50">
        <v>2931.18</v>
      </c>
      <c r="I50" s="48">
        <v>0.46289000000000002</v>
      </c>
      <c r="K50" s="48">
        <f>K49</f>
        <v>0.46254499999999998</v>
      </c>
      <c r="M50" t="s">
        <v>165</v>
      </c>
      <c r="N50" t="s">
        <v>115</v>
      </c>
      <c r="O50">
        <f t="shared" si="0"/>
        <v>0.89823500000000012</v>
      </c>
    </row>
    <row r="51" spans="1:15" x14ac:dyDescent="0.25">
      <c r="A51" t="s">
        <v>13</v>
      </c>
      <c r="B51">
        <v>4</v>
      </c>
      <c r="C51" t="s">
        <v>164</v>
      </c>
      <c r="D51">
        <v>12672</v>
      </c>
      <c r="E51">
        <v>64</v>
      </c>
      <c r="F51">
        <v>1</v>
      </c>
      <c r="G51">
        <v>4</v>
      </c>
      <c r="H51">
        <v>2931.82</v>
      </c>
      <c r="I51" s="48">
        <v>0.46278999999999998</v>
      </c>
      <c r="K51" s="48">
        <f>K50</f>
        <v>0.46254499999999998</v>
      </c>
      <c r="M51" t="s">
        <v>174</v>
      </c>
      <c r="N51" t="s">
        <v>118</v>
      </c>
      <c r="O51" t="e">
        <f t="shared" si="0"/>
        <v>#N/A</v>
      </c>
    </row>
    <row r="52" spans="1:15" x14ac:dyDescent="0.25">
      <c r="A52" t="s">
        <v>172</v>
      </c>
      <c r="B52">
        <v>1</v>
      </c>
      <c r="C52" t="s">
        <v>164</v>
      </c>
      <c r="D52">
        <v>12672</v>
      </c>
      <c r="E52">
        <v>64</v>
      </c>
      <c r="F52">
        <v>1</v>
      </c>
      <c r="G52">
        <v>4</v>
      </c>
      <c r="H52">
        <v>2944.41</v>
      </c>
      <c r="I52" s="48">
        <v>0.46081</v>
      </c>
      <c r="K52" s="48">
        <f>AVERAGE(I52:I55)</f>
        <v>0.46249999999999997</v>
      </c>
      <c r="M52" t="s">
        <v>166</v>
      </c>
      <c r="N52" t="s">
        <v>121</v>
      </c>
      <c r="O52">
        <f t="shared" si="0"/>
        <v>0.86082749999999997</v>
      </c>
    </row>
    <row r="53" spans="1:15" x14ac:dyDescent="0.25">
      <c r="A53" t="s">
        <v>172</v>
      </c>
      <c r="B53">
        <v>2</v>
      </c>
      <c r="C53" t="s">
        <v>164</v>
      </c>
      <c r="D53">
        <v>12672</v>
      </c>
      <c r="E53">
        <v>64</v>
      </c>
      <c r="F53">
        <v>1</v>
      </c>
      <c r="G53">
        <v>4</v>
      </c>
      <c r="H53">
        <v>2930.72</v>
      </c>
      <c r="I53" s="48">
        <v>0.46295999999999998</v>
      </c>
      <c r="K53" s="48">
        <f>K52</f>
        <v>0.46249999999999997</v>
      </c>
      <c r="M53" t="s">
        <v>168</v>
      </c>
      <c r="N53" t="s">
        <v>124</v>
      </c>
      <c r="O53">
        <f t="shared" si="0"/>
        <v>0.82982000000000011</v>
      </c>
    </row>
    <row r="54" spans="1:15" x14ac:dyDescent="0.25">
      <c r="A54" t="s">
        <v>172</v>
      </c>
      <c r="B54">
        <v>3</v>
      </c>
      <c r="C54" t="s">
        <v>164</v>
      </c>
      <c r="D54">
        <v>12672</v>
      </c>
      <c r="E54">
        <v>64</v>
      </c>
      <c r="F54">
        <v>1</v>
      </c>
      <c r="G54">
        <v>4</v>
      </c>
      <c r="H54">
        <v>2929.57</v>
      </c>
      <c r="I54" s="48">
        <v>0.46315000000000001</v>
      </c>
      <c r="K54" s="48">
        <f>K53</f>
        <v>0.46249999999999997</v>
      </c>
      <c r="M54" t="s">
        <v>126</v>
      </c>
      <c r="N54" t="s">
        <v>127</v>
      </c>
      <c r="O54" t="e">
        <f t="shared" si="0"/>
        <v>#N/A</v>
      </c>
    </row>
    <row r="55" spans="1:15" x14ac:dyDescent="0.25">
      <c r="A55" t="s">
        <v>172</v>
      </c>
      <c r="B55">
        <v>4</v>
      </c>
      <c r="C55" t="s">
        <v>164</v>
      </c>
      <c r="D55">
        <v>12672</v>
      </c>
      <c r="E55">
        <v>64</v>
      </c>
      <c r="F55">
        <v>1</v>
      </c>
      <c r="G55">
        <v>4</v>
      </c>
      <c r="H55">
        <v>2929.99</v>
      </c>
      <c r="I55" s="48">
        <v>0.46307999999999999</v>
      </c>
      <c r="K55" s="48">
        <f>K54</f>
        <v>0.46249999999999997</v>
      </c>
    </row>
    <row r="56" spans="1:15" x14ac:dyDescent="0.25">
      <c r="A56" t="s">
        <v>15</v>
      </c>
      <c r="B56">
        <v>1</v>
      </c>
      <c r="C56" t="s">
        <v>164</v>
      </c>
      <c r="D56">
        <v>12672</v>
      </c>
      <c r="E56">
        <v>64</v>
      </c>
      <c r="F56">
        <v>1</v>
      </c>
      <c r="G56">
        <v>4</v>
      </c>
      <c r="H56">
        <v>2932.03</v>
      </c>
      <c r="I56" s="48">
        <v>0.46276</v>
      </c>
      <c r="K56" s="48">
        <f>AVERAGE(I56:I59)</f>
        <v>0.462115</v>
      </c>
    </row>
    <row r="57" spans="1:15" x14ac:dyDescent="0.25">
      <c r="A57" t="s">
        <v>15</v>
      </c>
      <c r="B57">
        <v>2</v>
      </c>
      <c r="C57" t="s">
        <v>164</v>
      </c>
      <c r="D57">
        <v>12672</v>
      </c>
      <c r="E57">
        <v>64</v>
      </c>
      <c r="F57">
        <v>1</v>
      </c>
      <c r="G57">
        <v>4</v>
      </c>
      <c r="H57">
        <v>2932.17</v>
      </c>
      <c r="I57" s="48">
        <v>0.46272999999999997</v>
      </c>
      <c r="K57" s="48">
        <f>K56</f>
        <v>0.462115</v>
      </c>
    </row>
    <row r="58" spans="1:15" x14ac:dyDescent="0.25">
      <c r="A58" t="s">
        <v>15</v>
      </c>
      <c r="B58">
        <v>3</v>
      </c>
      <c r="C58" t="s">
        <v>164</v>
      </c>
      <c r="D58">
        <v>12672</v>
      </c>
      <c r="E58">
        <v>64</v>
      </c>
      <c r="F58">
        <v>1</v>
      </c>
      <c r="G58">
        <v>4</v>
      </c>
      <c r="H58">
        <v>2931.61</v>
      </c>
      <c r="I58" s="48">
        <v>0.46282000000000001</v>
      </c>
      <c r="K58" s="48">
        <f>K57</f>
        <v>0.462115</v>
      </c>
    </row>
    <row r="59" spans="1:15" x14ac:dyDescent="0.25">
      <c r="A59" t="s">
        <v>15</v>
      </c>
      <c r="B59">
        <v>4</v>
      </c>
      <c r="C59" t="s">
        <v>164</v>
      </c>
      <c r="D59">
        <v>12672</v>
      </c>
      <c r="E59">
        <v>64</v>
      </c>
      <c r="F59">
        <v>1</v>
      </c>
      <c r="G59">
        <v>4</v>
      </c>
      <c r="H59">
        <v>2948.64</v>
      </c>
      <c r="I59" s="48">
        <v>0.46015</v>
      </c>
      <c r="K59" s="48">
        <f>K58</f>
        <v>0.462115</v>
      </c>
    </row>
    <row r="60" spans="1:15" x14ac:dyDescent="0.25">
      <c r="A60" t="s">
        <v>16</v>
      </c>
      <c r="B60">
        <v>1</v>
      </c>
      <c r="C60" t="s">
        <v>164</v>
      </c>
      <c r="D60">
        <v>12672</v>
      </c>
      <c r="E60">
        <v>64</v>
      </c>
      <c r="F60">
        <v>1</v>
      </c>
      <c r="G60">
        <v>4</v>
      </c>
      <c r="H60">
        <v>2950.83</v>
      </c>
      <c r="I60" s="48">
        <v>0.45981</v>
      </c>
      <c r="K60" s="48">
        <f>AVERAGE(I60:I63)</f>
        <v>0.45952500000000002</v>
      </c>
    </row>
    <row r="61" spans="1:15" x14ac:dyDescent="0.25">
      <c r="A61" t="s">
        <v>16</v>
      </c>
      <c r="B61">
        <v>2</v>
      </c>
      <c r="C61" t="s">
        <v>164</v>
      </c>
      <c r="D61">
        <v>12672</v>
      </c>
      <c r="E61">
        <v>64</v>
      </c>
      <c r="F61">
        <v>1</v>
      </c>
      <c r="G61">
        <v>4</v>
      </c>
      <c r="H61">
        <v>2954.52</v>
      </c>
      <c r="I61" s="48">
        <v>0.45923000000000003</v>
      </c>
      <c r="K61" s="48">
        <f>K60</f>
        <v>0.45952500000000002</v>
      </c>
    </row>
    <row r="62" spans="1:15" x14ac:dyDescent="0.25">
      <c r="A62" t="s">
        <v>16</v>
      </c>
      <c r="B62">
        <v>3</v>
      </c>
      <c r="C62" t="s">
        <v>164</v>
      </c>
      <c r="D62">
        <v>12672</v>
      </c>
      <c r="E62">
        <v>64</v>
      </c>
      <c r="F62">
        <v>1</v>
      </c>
      <c r="G62">
        <v>4</v>
      </c>
      <c r="H62">
        <v>2951.58</v>
      </c>
      <c r="I62" s="48">
        <v>0.45968999999999999</v>
      </c>
      <c r="K62" s="48">
        <f>K61</f>
        <v>0.45952500000000002</v>
      </c>
    </row>
    <row r="63" spans="1:15" x14ac:dyDescent="0.25">
      <c r="A63" t="s">
        <v>16</v>
      </c>
      <c r="B63">
        <v>4</v>
      </c>
      <c r="C63" t="s">
        <v>164</v>
      </c>
      <c r="D63">
        <v>12672</v>
      </c>
      <c r="E63">
        <v>64</v>
      </c>
      <c r="F63">
        <v>1</v>
      </c>
      <c r="G63">
        <v>4</v>
      </c>
      <c r="H63">
        <v>2953.67</v>
      </c>
      <c r="I63" s="48">
        <v>0.45937</v>
      </c>
      <c r="K63" s="48">
        <f>K62</f>
        <v>0.45952500000000002</v>
      </c>
    </row>
    <row r="64" spans="1:15" x14ac:dyDescent="0.25">
      <c r="A64" t="s">
        <v>14</v>
      </c>
      <c r="B64">
        <v>1</v>
      </c>
      <c r="C64" t="s">
        <v>164</v>
      </c>
      <c r="D64">
        <v>12672</v>
      </c>
      <c r="E64">
        <v>64</v>
      </c>
      <c r="F64">
        <v>1</v>
      </c>
      <c r="G64">
        <v>4</v>
      </c>
      <c r="H64">
        <v>2952.54</v>
      </c>
      <c r="I64" s="48">
        <v>0.45954</v>
      </c>
      <c r="K64" s="48">
        <f>AVERAGE(I64:I67)</f>
        <v>0.45939000000000002</v>
      </c>
    </row>
    <row r="65" spans="1:11" x14ac:dyDescent="0.25">
      <c r="A65" t="s">
        <v>14</v>
      </c>
      <c r="B65">
        <v>2</v>
      </c>
      <c r="C65" t="s">
        <v>164</v>
      </c>
      <c r="D65">
        <v>12672</v>
      </c>
      <c r="E65">
        <v>64</v>
      </c>
      <c r="F65">
        <v>1</v>
      </c>
      <c r="G65">
        <v>4</v>
      </c>
      <c r="H65">
        <v>2954.06</v>
      </c>
      <c r="I65" s="48">
        <v>0.45931</v>
      </c>
      <c r="K65" s="48">
        <f>K64</f>
        <v>0.45939000000000002</v>
      </c>
    </row>
    <row r="66" spans="1:11" x14ac:dyDescent="0.25">
      <c r="A66" t="s">
        <v>14</v>
      </c>
      <c r="B66">
        <v>3</v>
      </c>
      <c r="C66" t="s">
        <v>164</v>
      </c>
      <c r="D66">
        <v>12672</v>
      </c>
      <c r="E66">
        <v>64</v>
      </c>
      <c r="F66">
        <v>1</v>
      </c>
      <c r="G66">
        <v>4</v>
      </c>
      <c r="H66">
        <v>2953.2</v>
      </c>
      <c r="I66" s="48">
        <v>0.45944000000000002</v>
      </c>
      <c r="K66" s="48">
        <f>K65</f>
        <v>0.45939000000000002</v>
      </c>
    </row>
    <row r="67" spans="1:11" x14ac:dyDescent="0.25">
      <c r="A67" t="s">
        <v>14</v>
      </c>
      <c r="B67">
        <v>4</v>
      </c>
      <c r="C67" t="s">
        <v>164</v>
      </c>
      <c r="D67">
        <v>12672</v>
      </c>
      <c r="E67">
        <v>64</v>
      </c>
      <c r="F67">
        <v>1</v>
      </c>
      <c r="G67">
        <v>4</v>
      </c>
      <c r="H67">
        <v>2954.31</v>
      </c>
      <c r="I67" s="48">
        <v>0.45927000000000001</v>
      </c>
      <c r="K67" s="48">
        <f>K66</f>
        <v>0.45939000000000002</v>
      </c>
    </row>
    <row r="68" spans="1:11" x14ac:dyDescent="0.25">
      <c r="A68" t="s">
        <v>173</v>
      </c>
      <c r="B68">
        <v>1</v>
      </c>
      <c r="C68" t="s">
        <v>164</v>
      </c>
      <c r="D68">
        <v>12672</v>
      </c>
      <c r="E68">
        <v>64</v>
      </c>
      <c r="F68">
        <v>1</v>
      </c>
      <c r="G68">
        <v>4</v>
      </c>
      <c r="H68">
        <v>2951.09</v>
      </c>
      <c r="I68" s="48">
        <v>0.45977000000000001</v>
      </c>
      <c r="K68" s="48">
        <f>AVERAGE(I68:I71)</f>
        <v>0.45936500000000002</v>
      </c>
    </row>
    <row r="69" spans="1:11" x14ac:dyDescent="0.25">
      <c r="A69" t="s">
        <v>173</v>
      </c>
      <c r="B69">
        <v>2</v>
      </c>
      <c r="C69" t="s">
        <v>164</v>
      </c>
      <c r="D69">
        <v>12672</v>
      </c>
      <c r="E69">
        <v>64</v>
      </c>
      <c r="F69">
        <v>1</v>
      </c>
      <c r="G69">
        <v>4</v>
      </c>
      <c r="H69">
        <v>2952.55</v>
      </c>
      <c r="I69" s="48">
        <v>0.45954</v>
      </c>
      <c r="K69" s="48">
        <f>K68</f>
        <v>0.45936500000000002</v>
      </c>
    </row>
    <row r="70" spans="1:11" x14ac:dyDescent="0.25">
      <c r="A70" t="s">
        <v>173</v>
      </c>
      <c r="B70">
        <v>3</v>
      </c>
      <c r="C70" t="s">
        <v>164</v>
      </c>
      <c r="D70">
        <v>12672</v>
      </c>
      <c r="E70">
        <v>64</v>
      </c>
      <c r="F70">
        <v>1</v>
      </c>
      <c r="G70">
        <v>4</v>
      </c>
      <c r="H70">
        <v>2952.08</v>
      </c>
      <c r="I70" s="48">
        <v>0.45961000000000002</v>
      </c>
      <c r="K70" s="48">
        <f>K69</f>
        <v>0.45936500000000002</v>
      </c>
    </row>
    <row r="71" spans="1:11" x14ac:dyDescent="0.25">
      <c r="A71" t="s">
        <v>173</v>
      </c>
      <c r="B71">
        <v>4</v>
      </c>
      <c r="C71" t="s">
        <v>164</v>
      </c>
      <c r="D71">
        <v>12672</v>
      </c>
      <c r="E71">
        <v>64</v>
      </c>
      <c r="F71">
        <v>1</v>
      </c>
      <c r="G71">
        <v>4</v>
      </c>
      <c r="H71">
        <v>2959</v>
      </c>
      <c r="I71">
        <v>0.45854</v>
      </c>
      <c r="J71"/>
      <c r="K71" s="48">
        <f>K70</f>
        <v>0.45936500000000002</v>
      </c>
    </row>
  </sheetData>
  <sortState xmlns:xlrd2="http://schemas.microsoft.com/office/spreadsheetml/2017/richdata2" ref="A4:K71">
    <sortCondition descending="1" ref="K4:K71"/>
    <sortCondition ref="A4:A71"/>
    <sortCondition ref="B4:B71"/>
  </sortState>
  <mergeCells count="3">
    <mergeCell ref="B1:E1"/>
    <mergeCell ref="A2:C2"/>
    <mergeCell ref="K1:K3"/>
  </mergeCells>
  <conditionalFormatting sqref="J68:J71 J88:J1048576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7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9F92-A008-4291-A3AF-7C5705BEC46E}">
  <dimension ref="A1:AC243"/>
  <sheetViews>
    <sheetView zoomScale="85" zoomScaleNormal="85" workbookViewId="0">
      <selection activeCell="K1" sqref="K1:M1"/>
    </sheetView>
  </sheetViews>
  <sheetFormatPr defaultRowHeight="15" x14ac:dyDescent="0.25"/>
  <cols>
    <col min="8" max="8" width="10.42578125" style="42" bestFit="1" customWidth="1"/>
    <col min="9" max="9" width="15.7109375" style="46" bestFit="1" customWidth="1"/>
    <col min="10" max="10" width="8.140625" style="64" bestFit="1" customWidth="1"/>
    <col min="11" max="13" width="10.28515625" style="68" customWidth="1"/>
    <col min="14" max="14" width="10.7109375" style="42" customWidth="1"/>
    <col min="23" max="23" width="9.140625" style="48"/>
    <col min="24" max="24" width="9.140625" bestFit="1" customWidth="1"/>
    <col min="25" max="25" width="8.140625" bestFit="1" customWidth="1"/>
    <col min="26" max="28" width="9.85546875" customWidth="1"/>
  </cols>
  <sheetData>
    <row r="1" spans="1:29" s="5" customFormat="1" x14ac:dyDescent="0.25">
      <c r="A1" s="24" t="s">
        <v>155</v>
      </c>
      <c r="B1" s="24"/>
      <c r="C1" s="24"/>
      <c r="D1" s="24"/>
      <c r="E1" s="54">
        <f>MAX(N:N)</f>
        <v>0.286854</v>
      </c>
      <c r="F1" s="56">
        <f>INDEX(C:C,MATCH(MAX($N:$N),$N:$N,0))</f>
        <v>6720</v>
      </c>
      <c r="G1" s="56">
        <f>INDEX(D:D,MATCH(MAX($N:$N),$N:$N,0))</f>
        <v>64</v>
      </c>
      <c r="H1" s="56">
        <f>INDEX(E:E,MATCH(MAX($N:$N),$N:$N,0))</f>
        <v>1</v>
      </c>
      <c r="I1" s="56">
        <f>INDEX(F:F,MATCH(MAX($N:$N),$N:$N,0))</f>
        <v>1</v>
      </c>
      <c r="J1" s="61"/>
      <c r="K1" s="88" t="s">
        <v>175</v>
      </c>
      <c r="L1" s="88"/>
      <c r="M1" s="88"/>
      <c r="N1" s="91" t="s">
        <v>156</v>
      </c>
      <c r="P1" s="24" t="s">
        <v>155</v>
      </c>
      <c r="Q1" s="24"/>
      <c r="R1" s="24"/>
      <c r="S1" s="24"/>
      <c r="T1" s="54">
        <f>MAX(AC:AC)</f>
        <v>0.22967599999999999</v>
      </c>
      <c r="U1" s="56">
        <f>INDEX(R:R,MATCH(MAX($AC:$AC),$AC:$AC,0))</f>
        <v>6720</v>
      </c>
      <c r="V1" s="56">
        <f>INDEX(S:S,MATCH(MAX($AC:$AC),$AC:$AC,0))</f>
        <v>64</v>
      </c>
      <c r="W1" s="56">
        <f>INDEX(T:T,MATCH(MAX($AC:$AC),$AC:$AC,0))</f>
        <v>1</v>
      </c>
      <c r="X1" s="56">
        <f>INDEX(U:U,MATCH(MAX($AC:$AC),$AC:$AC,0))</f>
        <v>1</v>
      </c>
      <c r="Y1" s="49"/>
      <c r="Z1" s="88" t="s">
        <v>176</v>
      </c>
      <c r="AA1" s="88"/>
      <c r="AB1" s="88"/>
      <c r="AC1" s="91" t="s">
        <v>156</v>
      </c>
    </row>
    <row r="2" spans="1:29" s="5" customFormat="1" x14ac:dyDescent="0.25">
      <c r="A2" s="51" t="s">
        <v>157</v>
      </c>
      <c r="B2" s="51"/>
      <c r="C2" s="55">
        <f>MAX(H4:H500)</f>
        <v>0.28745999999999999</v>
      </c>
      <c r="D2" s="49"/>
      <c r="E2" s="49"/>
      <c r="F2" s="49"/>
      <c r="G2" s="49"/>
      <c r="H2" s="50"/>
      <c r="I2" s="59"/>
      <c r="J2" s="61"/>
      <c r="K2" s="89" t="s">
        <v>177</v>
      </c>
      <c r="L2" s="89"/>
      <c r="M2" s="89"/>
      <c r="N2" s="91"/>
      <c r="P2" s="51" t="s">
        <v>157</v>
      </c>
      <c r="Q2" s="51"/>
      <c r="R2" s="55">
        <f>MAX(W4:W500)</f>
        <v>0.22999</v>
      </c>
      <c r="S2" s="49"/>
      <c r="T2" s="49"/>
      <c r="U2" s="49"/>
      <c r="V2" s="49"/>
      <c r="W2" s="50"/>
      <c r="X2" s="49"/>
      <c r="Y2" s="49"/>
      <c r="Z2" s="90" t="s">
        <v>178</v>
      </c>
      <c r="AA2" s="90"/>
      <c r="AB2" s="90"/>
      <c r="AC2" s="91"/>
    </row>
    <row r="3" spans="1:29" s="5" customFormat="1" x14ac:dyDescent="0.25">
      <c r="A3" s="51" t="s">
        <v>159</v>
      </c>
      <c r="B3" s="51"/>
      <c r="C3" s="51" t="s">
        <v>160</v>
      </c>
      <c r="D3" s="51" t="s">
        <v>62</v>
      </c>
      <c r="E3" s="51" t="s">
        <v>63</v>
      </c>
      <c r="F3" s="51" t="s">
        <v>64</v>
      </c>
      <c r="G3" s="51" t="s">
        <v>161</v>
      </c>
      <c r="H3" s="52" t="s">
        <v>162</v>
      </c>
      <c r="I3" s="58" t="s">
        <v>179</v>
      </c>
      <c r="J3" s="62" t="s">
        <v>161</v>
      </c>
      <c r="K3" s="66" t="s">
        <v>133</v>
      </c>
      <c r="L3" s="66" t="s">
        <v>133</v>
      </c>
      <c r="M3" s="66" t="s">
        <v>180</v>
      </c>
      <c r="N3" s="91"/>
      <c r="P3" s="51" t="s">
        <v>159</v>
      </c>
      <c r="Q3" s="51"/>
      <c r="R3" s="51" t="s">
        <v>160</v>
      </c>
      <c r="S3" s="51" t="s">
        <v>62</v>
      </c>
      <c r="T3" s="51" t="s">
        <v>63</v>
      </c>
      <c r="U3" s="51" t="s">
        <v>64</v>
      </c>
      <c r="V3" s="51" t="s">
        <v>161</v>
      </c>
      <c r="W3" s="52" t="s">
        <v>162</v>
      </c>
      <c r="X3" s="52" t="s">
        <v>179</v>
      </c>
      <c r="Y3" s="51" t="s">
        <v>161</v>
      </c>
      <c r="Z3" s="53" t="s">
        <v>133</v>
      </c>
      <c r="AA3" s="53" t="s">
        <v>133</v>
      </c>
      <c r="AB3" s="53" t="s">
        <v>180</v>
      </c>
      <c r="AC3" s="91"/>
    </row>
    <row r="4" spans="1:29" x14ac:dyDescent="0.25">
      <c r="A4">
        <v>0</v>
      </c>
      <c r="B4" t="s">
        <v>164</v>
      </c>
      <c r="C4">
        <v>6336</v>
      </c>
      <c r="D4">
        <v>32</v>
      </c>
      <c r="E4">
        <v>1</v>
      </c>
      <c r="F4">
        <v>1</v>
      </c>
      <c r="G4">
        <v>627.47</v>
      </c>
      <c r="H4" s="65">
        <v>0.27034000000000002</v>
      </c>
      <c r="I4" s="60">
        <v>45472</v>
      </c>
      <c r="J4" s="63">
        <v>0.7394560185185185</v>
      </c>
      <c r="K4" s="67">
        <v>69128</v>
      </c>
      <c r="L4" s="67">
        <v>69129</v>
      </c>
      <c r="M4" s="67">
        <v>69129</v>
      </c>
      <c r="N4" s="57">
        <f>AVERAGE(H4:H8)</f>
        <v>0.27027999999999996</v>
      </c>
      <c r="P4">
        <v>0</v>
      </c>
      <c r="Q4" t="s">
        <v>164</v>
      </c>
      <c r="R4">
        <v>6336</v>
      </c>
      <c r="S4">
        <v>32</v>
      </c>
      <c r="T4">
        <v>1</v>
      </c>
      <c r="U4">
        <v>1</v>
      </c>
      <c r="V4">
        <v>752.28</v>
      </c>
      <c r="W4" s="65">
        <v>0.22549</v>
      </c>
      <c r="X4" s="46">
        <v>45472</v>
      </c>
      <c r="Y4" s="47">
        <v>0.74340277777777775</v>
      </c>
      <c r="Z4">
        <v>102299</v>
      </c>
      <c r="AA4">
        <v>102298</v>
      </c>
      <c r="AB4">
        <v>102299</v>
      </c>
      <c r="AC4" s="57">
        <f>AVERAGE(W4:W8)</f>
        <v>0.22606000000000001</v>
      </c>
    </row>
    <row r="5" spans="1:29" x14ac:dyDescent="0.25">
      <c r="A5">
        <v>1</v>
      </c>
      <c r="B5" t="s">
        <v>164</v>
      </c>
      <c r="C5">
        <v>6336</v>
      </c>
      <c r="D5">
        <v>32</v>
      </c>
      <c r="E5">
        <v>1</v>
      </c>
      <c r="F5">
        <v>1</v>
      </c>
      <c r="G5">
        <v>628.54</v>
      </c>
      <c r="H5" s="65">
        <v>0.26988000000000001</v>
      </c>
      <c r="I5" s="60">
        <v>45472</v>
      </c>
      <c r="J5" s="63">
        <v>0.95932870370370371</v>
      </c>
      <c r="K5" s="67">
        <v>69152</v>
      </c>
      <c r="L5" s="67">
        <v>69152</v>
      </c>
      <c r="M5" s="67">
        <v>69151</v>
      </c>
      <c r="N5" s="57">
        <f>N4</f>
        <v>0.27027999999999996</v>
      </c>
      <c r="P5">
        <v>1</v>
      </c>
      <c r="Q5" t="s">
        <v>164</v>
      </c>
      <c r="R5">
        <v>6336</v>
      </c>
      <c r="S5">
        <v>32</v>
      </c>
      <c r="T5">
        <v>1</v>
      </c>
      <c r="U5">
        <v>1</v>
      </c>
      <c r="V5">
        <v>751.95</v>
      </c>
      <c r="W5" s="65">
        <v>0.22559000000000001</v>
      </c>
      <c r="X5" s="46">
        <v>45473</v>
      </c>
      <c r="Y5" s="47">
        <v>8.2025462962962967E-2</v>
      </c>
      <c r="Z5">
        <v>102271</v>
      </c>
      <c r="AA5">
        <v>102270</v>
      </c>
      <c r="AB5">
        <v>102271</v>
      </c>
      <c r="AC5" s="57">
        <f>AC4</f>
        <v>0.22606000000000001</v>
      </c>
    </row>
    <row r="6" spans="1:29" x14ac:dyDescent="0.25">
      <c r="A6">
        <v>2</v>
      </c>
      <c r="B6" t="s">
        <v>164</v>
      </c>
      <c r="C6">
        <v>6336</v>
      </c>
      <c r="D6">
        <v>32</v>
      </c>
      <c r="E6">
        <v>1</v>
      </c>
      <c r="F6">
        <v>1</v>
      </c>
      <c r="G6">
        <v>626.79999999999995</v>
      </c>
      <c r="H6" s="65">
        <v>0.27062999999999998</v>
      </c>
      <c r="I6" s="60">
        <v>45473</v>
      </c>
      <c r="J6" s="63">
        <v>0.17895833333333333</v>
      </c>
      <c r="K6" s="67">
        <v>69114</v>
      </c>
      <c r="L6" s="67">
        <v>69114</v>
      </c>
      <c r="M6" s="67">
        <v>69114</v>
      </c>
      <c r="N6" s="57">
        <f t="shared" ref="N6:N8" si="0">N5</f>
        <v>0.27027999999999996</v>
      </c>
      <c r="P6">
        <v>2</v>
      </c>
      <c r="Q6" t="s">
        <v>164</v>
      </c>
      <c r="R6">
        <v>6336</v>
      </c>
      <c r="S6">
        <v>32</v>
      </c>
      <c r="T6">
        <v>1</v>
      </c>
      <c r="U6">
        <v>1</v>
      </c>
      <c r="V6">
        <v>749.17</v>
      </c>
      <c r="W6" s="65">
        <v>0.22642999999999999</v>
      </c>
      <c r="X6" s="46">
        <v>45473</v>
      </c>
      <c r="Y6" s="47">
        <v>0.42322916666666666</v>
      </c>
      <c r="Z6">
        <v>101946</v>
      </c>
      <c r="AA6">
        <v>101945</v>
      </c>
      <c r="AB6">
        <v>101946</v>
      </c>
      <c r="AC6" s="57">
        <f t="shared" ref="AC6:AC8" si="1">AC5</f>
        <v>0.22606000000000001</v>
      </c>
    </row>
    <row r="7" spans="1:29" x14ac:dyDescent="0.25">
      <c r="A7">
        <v>3</v>
      </c>
      <c r="B7" t="s">
        <v>164</v>
      </c>
      <c r="C7">
        <v>6336</v>
      </c>
      <c r="D7">
        <v>32</v>
      </c>
      <c r="E7">
        <v>1</v>
      </c>
      <c r="F7">
        <v>1</v>
      </c>
      <c r="G7">
        <v>628.84</v>
      </c>
      <c r="H7" s="65">
        <v>0.26974999999999999</v>
      </c>
      <c r="I7" s="60">
        <v>45473</v>
      </c>
      <c r="J7" s="63">
        <v>0.39846064814814813</v>
      </c>
      <c r="K7" s="67">
        <v>69127</v>
      </c>
      <c r="L7" s="67">
        <v>69127</v>
      </c>
      <c r="M7" s="67">
        <v>69127</v>
      </c>
      <c r="N7" s="57">
        <f t="shared" si="0"/>
        <v>0.27027999999999996</v>
      </c>
      <c r="P7">
        <v>3</v>
      </c>
      <c r="Q7" t="s">
        <v>164</v>
      </c>
      <c r="R7">
        <v>6336</v>
      </c>
      <c r="S7">
        <v>32</v>
      </c>
      <c r="T7">
        <v>1</v>
      </c>
      <c r="U7">
        <v>1</v>
      </c>
      <c r="V7">
        <v>748.81</v>
      </c>
      <c r="W7" s="65">
        <v>0.22653999999999999</v>
      </c>
      <c r="X7" s="46">
        <v>45473</v>
      </c>
      <c r="Y7" s="47">
        <v>0.76248842592592592</v>
      </c>
      <c r="Z7">
        <v>102076</v>
      </c>
      <c r="AA7">
        <v>102083</v>
      </c>
      <c r="AB7">
        <v>102083</v>
      </c>
      <c r="AC7" s="57">
        <f t="shared" si="1"/>
        <v>0.22606000000000001</v>
      </c>
    </row>
    <row r="8" spans="1:29" x14ac:dyDescent="0.25">
      <c r="A8">
        <v>4</v>
      </c>
      <c r="B8" t="s">
        <v>164</v>
      </c>
      <c r="C8">
        <v>6336</v>
      </c>
      <c r="D8">
        <v>32</v>
      </c>
      <c r="E8">
        <v>1</v>
      </c>
      <c r="F8">
        <v>1</v>
      </c>
      <c r="G8">
        <v>626.41</v>
      </c>
      <c r="H8" s="65">
        <v>0.27079999999999999</v>
      </c>
      <c r="I8" s="60">
        <v>45473</v>
      </c>
      <c r="J8" s="63">
        <v>0.61780092592592595</v>
      </c>
      <c r="K8" s="67">
        <v>68879</v>
      </c>
      <c r="L8" s="67">
        <v>68879</v>
      </c>
      <c r="M8" s="67">
        <v>68880</v>
      </c>
      <c r="N8" s="57">
        <f t="shared" si="0"/>
        <v>0.27027999999999996</v>
      </c>
      <c r="P8">
        <v>4</v>
      </c>
      <c r="Q8" t="s">
        <v>164</v>
      </c>
      <c r="R8">
        <v>6336</v>
      </c>
      <c r="S8">
        <v>32</v>
      </c>
      <c r="T8">
        <v>1</v>
      </c>
      <c r="U8">
        <v>1</v>
      </c>
      <c r="V8">
        <v>749.77</v>
      </c>
      <c r="W8" s="65">
        <v>0.22625000000000001</v>
      </c>
      <c r="X8" s="46">
        <v>45474</v>
      </c>
      <c r="Y8" s="47">
        <v>0.10471064814814815</v>
      </c>
      <c r="Z8">
        <v>101926</v>
      </c>
      <c r="AA8">
        <v>101927</v>
      </c>
      <c r="AB8">
        <v>101927</v>
      </c>
      <c r="AC8" s="57">
        <f t="shared" si="1"/>
        <v>0.22606000000000001</v>
      </c>
    </row>
    <row r="9" spans="1:29" x14ac:dyDescent="0.25">
      <c r="A9">
        <v>0</v>
      </c>
      <c r="B9" t="s">
        <v>164</v>
      </c>
      <c r="C9">
        <v>6720</v>
      </c>
      <c r="D9">
        <v>32</v>
      </c>
      <c r="E9">
        <v>1</v>
      </c>
      <c r="F9">
        <v>1</v>
      </c>
      <c r="G9">
        <v>744.97</v>
      </c>
      <c r="H9" s="65">
        <v>0.27166000000000001</v>
      </c>
      <c r="I9" s="60">
        <v>45472</v>
      </c>
      <c r="J9" s="63">
        <v>0.80201388888888892</v>
      </c>
      <c r="K9" s="67">
        <v>81591</v>
      </c>
      <c r="L9" s="67">
        <v>81591</v>
      </c>
      <c r="M9" s="67">
        <v>81590</v>
      </c>
      <c r="N9" s="57">
        <f>AVERAGE(H9:H13)</f>
        <v>0.27124000000000004</v>
      </c>
      <c r="P9">
        <v>0</v>
      </c>
      <c r="Q9" t="s">
        <v>164</v>
      </c>
      <c r="R9">
        <v>6720</v>
      </c>
      <c r="S9">
        <v>32</v>
      </c>
      <c r="T9">
        <v>1</v>
      </c>
      <c r="U9">
        <v>1</v>
      </c>
      <c r="V9">
        <v>893.72</v>
      </c>
      <c r="W9" s="65">
        <v>0.22644</v>
      </c>
      <c r="X9" s="46">
        <v>45472</v>
      </c>
      <c r="Y9" s="47">
        <v>0.8407175925925926</v>
      </c>
      <c r="Z9">
        <v>119833</v>
      </c>
      <c r="AA9">
        <v>119833</v>
      </c>
      <c r="AB9">
        <v>119834</v>
      </c>
      <c r="AC9" s="57">
        <f t="shared" ref="AC9" si="2">AVERAGE(W9:W13)</f>
        <v>0.22624000000000005</v>
      </c>
    </row>
    <row r="10" spans="1:29" x14ac:dyDescent="0.25">
      <c r="A10">
        <v>1</v>
      </c>
      <c r="B10" t="s">
        <v>164</v>
      </c>
      <c r="C10">
        <v>6720</v>
      </c>
      <c r="D10">
        <v>32</v>
      </c>
      <c r="E10">
        <v>1</v>
      </c>
      <c r="F10">
        <v>1</v>
      </c>
      <c r="G10">
        <v>746.07</v>
      </c>
      <c r="H10" s="65">
        <v>0.27126</v>
      </c>
      <c r="I10" s="60">
        <v>45473</v>
      </c>
      <c r="J10" s="63">
        <v>2.1967592592592594E-2</v>
      </c>
      <c r="K10" s="67">
        <v>81849</v>
      </c>
      <c r="L10" s="67">
        <v>81848</v>
      </c>
      <c r="M10" s="67">
        <v>81848</v>
      </c>
      <c r="N10" s="57">
        <f>N9</f>
        <v>0.27124000000000004</v>
      </c>
      <c r="P10">
        <v>1</v>
      </c>
      <c r="Q10" t="s">
        <v>164</v>
      </c>
      <c r="R10">
        <v>6720</v>
      </c>
      <c r="S10">
        <v>32</v>
      </c>
      <c r="T10">
        <v>1</v>
      </c>
      <c r="U10">
        <v>1</v>
      </c>
      <c r="V10">
        <v>893.95</v>
      </c>
      <c r="W10" s="65">
        <v>0.22639000000000001</v>
      </c>
      <c r="X10" s="46">
        <v>45473</v>
      </c>
      <c r="Y10" s="47">
        <v>0.17853009259259259</v>
      </c>
      <c r="Z10">
        <v>119802</v>
      </c>
      <c r="AA10">
        <v>119801</v>
      </c>
      <c r="AB10">
        <v>119801</v>
      </c>
      <c r="AC10" s="57">
        <f t="shared" ref="AC10:AC73" si="3">AC9</f>
        <v>0.22624000000000005</v>
      </c>
    </row>
    <row r="11" spans="1:29" x14ac:dyDescent="0.25">
      <c r="A11">
        <v>2</v>
      </c>
      <c r="B11" t="s">
        <v>164</v>
      </c>
      <c r="C11">
        <v>6720</v>
      </c>
      <c r="D11">
        <v>32</v>
      </c>
      <c r="E11">
        <v>1</v>
      </c>
      <c r="F11">
        <v>1</v>
      </c>
      <c r="G11">
        <v>746.91</v>
      </c>
      <c r="H11" s="65">
        <v>0.27095000000000002</v>
      </c>
      <c r="I11" s="60">
        <v>45473</v>
      </c>
      <c r="J11" s="63">
        <v>0.24148148148148149</v>
      </c>
      <c r="K11" s="67">
        <v>81709</v>
      </c>
      <c r="L11" s="67">
        <v>81709</v>
      </c>
      <c r="M11" s="67">
        <v>81709</v>
      </c>
      <c r="N11" s="57">
        <f t="shared" ref="N11:N13" si="4">N10</f>
        <v>0.27124000000000004</v>
      </c>
      <c r="P11">
        <v>2</v>
      </c>
      <c r="Q11" t="s">
        <v>164</v>
      </c>
      <c r="R11">
        <v>6720</v>
      </c>
      <c r="S11">
        <v>32</v>
      </c>
      <c r="T11">
        <v>1</v>
      </c>
      <c r="U11">
        <v>1</v>
      </c>
      <c r="V11">
        <v>893.86</v>
      </c>
      <c r="W11" s="65">
        <v>0.22641</v>
      </c>
      <c r="X11" s="46">
        <v>45473</v>
      </c>
      <c r="Y11" s="47">
        <v>0.51998842592592598</v>
      </c>
      <c r="Z11">
        <v>119818</v>
      </c>
      <c r="AA11">
        <v>119817</v>
      </c>
      <c r="AB11">
        <v>119817</v>
      </c>
      <c r="AC11" s="57">
        <f t="shared" si="3"/>
        <v>0.22624000000000005</v>
      </c>
    </row>
    <row r="12" spans="1:29" x14ac:dyDescent="0.25">
      <c r="A12">
        <v>3</v>
      </c>
      <c r="B12" t="s">
        <v>164</v>
      </c>
      <c r="C12">
        <v>6720</v>
      </c>
      <c r="D12">
        <v>32</v>
      </c>
      <c r="E12">
        <v>1</v>
      </c>
      <c r="F12">
        <v>1</v>
      </c>
      <c r="G12">
        <v>748.44</v>
      </c>
      <c r="H12" s="65">
        <v>0.27039999999999997</v>
      </c>
      <c r="I12" s="60">
        <v>45473</v>
      </c>
      <c r="J12" s="63">
        <v>0.46103009259259259</v>
      </c>
      <c r="K12" s="67">
        <v>81874</v>
      </c>
      <c r="L12" s="67">
        <v>81875</v>
      </c>
      <c r="M12" s="67">
        <v>81874</v>
      </c>
      <c r="N12" s="57">
        <f t="shared" si="4"/>
        <v>0.27124000000000004</v>
      </c>
      <c r="P12">
        <v>3</v>
      </c>
      <c r="Q12" t="s">
        <v>164</v>
      </c>
      <c r="R12">
        <v>6720</v>
      </c>
      <c r="S12">
        <v>32</v>
      </c>
      <c r="T12">
        <v>1</v>
      </c>
      <c r="U12">
        <v>1</v>
      </c>
      <c r="V12">
        <v>897.26</v>
      </c>
      <c r="W12" s="65">
        <v>0.22555</v>
      </c>
      <c r="X12" s="46">
        <v>45473</v>
      </c>
      <c r="Y12" s="47">
        <v>0.8583912037037037</v>
      </c>
      <c r="Z12">
        <v>120056</v>
      </c>
      <c r="AA12">
        <v>120057</v>
      </c>
      <c r="AB12">
        <v>120057</v>
      </c>
      <c r="AC12" s="57">
        <f t="shared" si="3"/>
        <v>0.22624000000000005</v>
      </c>
    </row>
    <row r="13" spans="1:29" x14ac:dyDescent="0.25">
      <c r="A13">
        <v>4</v>
      </c>
      <c r="B13" t="s">
        <v>164</v>
      </c>
      <c r="C13">
        <v>6720</v>
      </c>
      <c r="D13">
        <v>32</v>
      </c>
      <c r="E13">
        <v>1</v>
      </c>
      <c r="F13">
        <v>1</v>
      </c>
      <c r="G13">
        <v>744.23</v>
      </c>
      <c r="H13" s="65">
        <v>0.27193000000000001</v>
      </c>
      <c r="I13" s="60">
        <v>45473</v>
      </c>
      <c r="J13" s="63">
        <v>0.68034722222222221</v>
      </c>
      <c r="K13" s="67">
        <v>81511</v>
      </c>
      <c r="L13" s="67">
        <v>81511</v>
      </c>
      <c r="M13" s="67">
        <v>81510</v>
      </c>
      <c r="N13" s="57">
        <f t="shared" si="4"/>
        <v>0.27124000000000004</v>
      </c>
      <c r="P13">
        <v>4</v>
      </c>
      <c r="Q13" t="s">
        <v>164</v>
      </c>
      <c r="R13">
        <v>6720</v>
      </c>
      <c r="S13">
        <v>32</v>
      </c>
      <c r="T13">
        <v>1</v>
      </c>
      <c r="U13">
        <v>1</v>
      </c>
      <c r="V13">
        <v>893.87</v>
      </c>
      <c r="W13" s="65">
        <v>0.22641</v>
      </c>
      <c r="X13" s="46">
        <v>45474</v>
      </c>
      <c r="Y13" s="47">
        <v>0.20196759259259259</v>
      </c>
      <c r="Z13">
        <v>119683</v>
      </c>
      <c r="AA13">
        <v>119684</v>
      </c>
      <c r="AB13">
        <v>119684</v>
      </c>
      <c r="AC13" s="57">
        <f t="shared" si="3"/>
        <v>0.22624000000000005</v>
      </c>
    </row>
    <row r="14" spans="1:29" x14ac:dyDescent="0.25">
      <c r="A14">
        <v>0</v>
      </c>
      <c r="B14" t="s">
        <v>164</v>
      </c>
      <c r="C14">
        <v>7104</v>
      </c>
      <c r="D14">
        <v>32</v>
      </c>
      <c r="E14">
        <v>1</v>
      </c>
      <c r="F14">
        <v>1</v>
      </c>
      <c r="G14">
        <v>884.12</v>
      </c>
      <c r="H14" s="65">
        <v>0.27041999999999999</v>
      </c>
      <c r="I14" s="60">
        <v>45472</v>
      </c>
      <c r="J14" s="63">
        <v>0.87760416666666663</v>
      </c>
      <c r="K14" s="67">
        <v>96362</v>
      </c>
      <c r="L14" s="67">
        <v>96362</v>
      </c>
      <c r="M14" s="67">
        <v>96361</v>
      </c>
      <c r="N14" s="57">
        <f t="shared" ref="N14" si="5">AVERAGE(H14:H18)</f>
        <v>0.27084199999999997</v>
      </c>
      <c r="P14">
        <v>0</v>
      </c>
      <c r="Q14" t="s">
        <v>164</v>
      </c>
      <c r="R14">
        <v>7104</v>
      </c>
      <c r="S14">
        <v>32</v>
      </c>
      <c r="T14">
        <v>1</v>
      </c>
      <c r="U14">
        <v>1</v>
      </c>
      <c r="V14">
        <v>1058.95</v>
      </c>
      <c r="W14" s="65">
        <v>0.22578000000000001</v>
      </c>
      <c r="X14" s="46">
        <v>45472</v>
      </c>
      <c r="Y14" s="47">
        <v>0.95622685185185186</v>
      </c>
      <c r="Z14">
        <v>140043</v>
      </c>
      <c r="AA14">
        <v>140043</v>
      </c>
      <c r="AB14">
        <v>140044</v>
      </c>
      <c r="AC14" s="57">
        <f t="shared" ref="AC14" si="6">AVERAGE(W14:W18)</f>
        <v>0.22347799999999998</v>
      </c>
    </row>
    <row r="15" spans="1:29" x14ac:dyDescent="0.25">
      <c r="A15">
        <v>1</v>
      </c>
      <c r="B15" t="s">
        <v>164</v>
      </c>
      <c r="C15">
        <v>7104</v>
      </c>
      <c r="D15">
        <v>32</v>
      </c>
      <c r="E15">
        <v>1</v>
      </c>
      <c r="F15">
        <v>1</v>
      </c>
      <c r="G15">
        <v>881.56</v>
      </c>
      <c r="H15" s="65">
        <v>0.27121000000000001</v>
      </c>
      <c r="I15" s="60">
        <v>45473</v>
      </c>
      <c r="J15" s="63">
        <v>9.7650462962962967E-2</v>
      </c>
      <c r="K15" s="67">
        <v>97399</v>
      </c>
      <c r="L15" s="67">
        <v>97399</v>
      </c>
      <c r="M15" s="67">
        <v>97399</v>
      </c>
      <c r="N15" s="57">
        <f t="shared" ref="N15:N78" si="7">N14</f>
        <v>0.27084199999999997</v>
      </c>
      <c r="P15">
        <v>1</v>
      </c>
      <c r="Q15" t="s">
        <v>164</v>
      </c>
      <c r="R15">
        <v>7104</v>
      </c>
      <c r="S15">
        <v>32</v>
      </c>
      <c r="T15">
        <v>1</v>
      </c>
      <c r="U15">
        <v>1</v>
      </c>
      <c r="V15">
        <v>1067.45</v>
      </c>
      <c r="W15" s="65">
        <v>0.22398000000000001</v>
      </c>
      <c r="X15" s="46">
        <v>45473</v>
      </c>
      <c r="Y15" s="47">
        <v>0.2948263888888889</v>
      </c>
      <c r="Z15">
        <v>141490</v>
      </c>
      <c r="AA15">
        <v>141489</v>
      </c>
      <c r="AB15">
        <v>141490</v>
      </c>
      <c r="AC15" s="57">
        <f t="shared" ref="AC15" si="8">AC14</f>
        <v>0.22347799999999998</v>
      </c>
    </row>
    <row r="16" spans="1:29" x14ac:dyDescent="0.25">
      <c r="A16">
        <v>2</v>
      </c>
      <c r="B16" t="s">
        <v>164</v>
      </c>
      <c r="C16">
        <v>7104</v>
      </c>
      <c r="D16">
        <v>32</v>
      </c>
      <c r="E16">
        <v>1</v>
      </c>
      <c r="F16">
        <v>1</v>
      </c>
      <c r="G16">
        <v>882.98</v>
      </c>
      <c r="H16" s="65">
        <v>0.27077000000000001</v>
      </c>
      <c r="I16" s="60">
        <v>45473</v>
      </c>
      <c r="J16" s="63">
        <v>0.31712962962962965</v>
      </c>
      <c r="K16" s="67">
        <v>96270</v>
      </c>
      <c r="L16" s="67">
        <v>96270</v>
      </c>
      <c r="M16" s="67">
        <v>96270</v>
      </c>
      <c r="N16" s="57">
        <f t="shared" si="7"/>
        <v>0.27084199999999997</v>
      </c>
      <c r="P16">
        <v>2</v>
      </c>
      <c r="Q16" t="s">
        <v>164</v>
      </c>
      <c r="R16">
        <v>7104</v>
      </c>
      <c r="S16">
        <v>32</v>
      </c>
      <c r="T16">
        <v>1</v>
      </c>
      <c r="U16">
        <v>1</v>
      </c>
      <c r="V16">
        <v>1077.69</v>
      </c>
      <c r="W16" s="65">
        <v>0.22184999999999999</v>
      </c>
      <c r="X16" s="46">
        <v>45473</v>
      </c>
      <c r="Y16" s="47">
        <v>0.63574074074074072</v>
      </c>
      <c r="Z16">
        <v>141792</v>
      </c>
      <c r="AA16">
        <v>141791</v>
      </c>
      <c r="AB16">
        <v>141791</v>
      </c>
      <c r="AC16" s="57">
        <f t="shared" si="3"/>
        <v>0.22347799999999998</v>
      </c>
    </row>
    <row r="17" spans="1:29" x14ac:dyDescent="0.25">
      <c r="A17">
        <v>3</v>
      </c>
      <c r="B17" t="s">
        <v>164</v>
      </c>
      <c r="C17">
        <v>7104</v>
      </c>
      <c r="D17">
        <v>32</v>
      </c>
      <c r="E17">
        <v>1</v>
      </c>
      <c r="F17">
        <v>1</v>
      </c>
      <c r="G17">
        <v>881.27</v>
      </c>
      <c r="H17" s="65">
        <v>0.27129999999999999</v>
      </c>
      <c r="I17" s="60">
        <v>45473</v>
      </c>
      <c r="J17" s="63">
        <v>0.53656250000000005</v>
      </c>
      <c r="K17" s="67">
        <v>96063</v>
      </c>
      <c r="L17" s="67">
        <v>96063</v>
      </c>
      <c r="M17" s="67">
        <v>96062</v>
      </c>
      <c r="N17" s="57">
        <f t="shared" si="7"/>
        <v>0.27084199999999997</v>
      </c>
      <c r="P17">
        <v>3</v>
      </c>
      <c r="Q17" t="s">
        <v>164</v>
      </c>
      <c r="R17">
        <v>7104</v>
      </c>
      <c r="S17">
        <v>32</v>
      </c>
      <c r="T17">
        <v>1</v>
      </c>
      <c r="U17">
        <v>1</v>
      </c>
      <c r="V17">
        <v>1089.1199999999999</v>
      </c>
      <c r="W17" s="65">
        <v>0.21951999999999999</v>
      </c>
      <c r="X17" s="46">
        <v>45473</v>
      </c>
      <c r="Y17" s="47">
        <v>0.97415509259259259</v>
      </c>
      <c r="Z17">
        <v>142924</v>
      </c>
      <c r="AA17">
        <v>142925</v>
      </c>
      <c r="AB17">
        <v>142925</v>
      </c>
      <c r="AC17" s="57">
        <f t="shared" si="3"/>
        <v>0.22347799999999998</v>
      </c>
    </row>
    <row r="18" spans="1:29" x14ac:dyDescent="0.25">
      <c r="A18">
        <v>4</v>
      </c>
      <c r="B18" t="s">
        <v>164</v>
      </c>
      <c r="C18">
        <v>7104</v>
      </c>
      <c r="D18">
        <v>32</v>
      </c>
      <c r="E18">
        <v>1</v>
      </c>
      <c r="F18">
        <v>1</v>
      </c>
      <c r="G18">
        <v>883.84</v>
      </c>
      <c r="H18" s="65">
        <v>0.27050999999999997</v>
      </c>
      <c r="I18" s="60">
        <v>45473</v>
      </c>
      <c r="J18" s="63">
        <v>0.75618055555555552</v>
      </c>
      <c r="K18" s="67">
        <v>96364</v>
      </c>
      <c r="L18" s="67">
        <v>96365</v>
      </c>
      <c r="M18" s="67">
        <v>96364</v>
      </c>
      <c r="N18" s="57">
        <f t="shared" si="7"/>
        <v>0.27084199999999997</v>
      </c>
      <c r="P18">
        <v>4</v>
      </c>
      <c r="Q18" t="s">
        <v>164</v>
      </c>
      <c r="R18">
        <v>7104</v>
      </c>
      <c r="S18">
        <v>32</v>
      </c>
      <c r="T18">
        <v>1</v>
      </c>
      <c r="U18">
        <v>1</v>
      </c>
      <c r="V18">
        <v>1056.71</v>
      </c>
      <c r="W18" s="65">
        <v>0.22625999999999999</v>
      </c>
      <c r="X18" s="46">
        <v>45474</v>
      </c>
      <c r="Y18" s="47">
        <v>0.31656250000000002</v>
      </c>
      <c r="Z18">
        <v>139704</v>
      </c>
      <c r="AA18">
        <v>139705</v>
      </c>
      <c r="AB18">
        <v>139705</v>
      </c>
      <c r="AC18" s="57">
        <f t="shared" si="3"/>
        <v>0.22347799999999998</v>
      </c>
    </row>
    <row r="19" spans="1:29" x14ac:dyDescent="0.25">
      <c r="A19">
        <v>0</v>
      </c>
      <c r="B19" t="s">
        <v>164</v>
      </c>
      <c r="C19">
        <v>6336</v>
      </c>
      <c r="D19">
        <v>64</v>
      </c>
      <c r="E19">
        <v>1</v>
      </c>
      <c r="F19">
        <v>1</v>
      </c>
      <c r="G19">
        <v>594.57000000000005</v>
      </c>
      <c r="H19" s="65">
        <v>0.2853</v>
      </c>
      <c r="I19" s="60">
        <v>45472</v>
      </c>
      <c r="J19" s="63">
        <v>0.74708333333333332</v>
      </c>
      <c r="K19" s="67">
        <v>65632</v>
      </c>
      <c r="L19" s="67">
        <v>65632</v>
      </c>
      <c r="M19" s="67">
        <v>65632</v>
      </c>
      <c r="N19" s="57">
        <f t="shared" ref="N19" si="9">AVERAGE(H19:H23)</f>
        <v>0.28599000000000002</v>
      </c>
      <c r="P19">
        <v>0</v>
      </c>
      <c r="Q19" t="s">
        <v>164</v>
      </c>
      <c r="R19">
        <v>6336</v>
      </c>
      <c r="S19">
        <v>64</v>
      </c>
      <c r="T19">
        <v>1</v>
      </c>
      <c r="U19">
        <v>1</v>
      </c>
      <c r="V19">
        <v>766.01</v>
      </c>
      <c r="W19" s="65">
        <v>0.22145000000000001</v>
      </c>
      <c r="X19" s="46">
        <v>45472</v>
      </c>
      <c r="Y19" s="47">
        <v>0.75539351851851855</v>
      </c>
      <c r="Z19">
        <v>103301</v>
      </c>
      <c r="AA19">
        <v>103302</v>
      </c>
      <c r="AB19">
        <v>103302</v>
      </c>
      <c r="AC19" s="57">
        <f t="shared" ref="AC19" si="10">AVERAGE(W19:W23)</f>
        <v>0.22546400000000003</v>
      </c>
    </row>
    <row r="20" spans="1:29" x14ac:dyDescent="0.25">
      <c r="A20">
        <v>1</v>
      </c>
      <c r="B20" t="s">
        <v>164</v>
      </c>
      <c r="C20">
        <v>6336</v>
      </c>
      <c r="D20">
        <v>64</v>
      </c>
      <c r="E20">
        <v>1</v>
      </c>
      <c r="F20">
        <v>1</v>
      </c>
      <c r="G20">
        <v>592.03</v>
      </c>
      <c r="H20" s="65">
        <v>0.28653000000000001</v>
      </c>
      <c r="I20" s="60">
        <v>45472</v>
      </c>
      <c r="J20" s="63">
        <v>0.96692129629629631</v>
      </c>
      <c r="K20" s="67">
        <v>65413</v>
      </c>
      <c r="L20" s="67">
        <v>65413</v>
      </c>
      <c r="M20" s="67">
        <v>65413</v>
      </c>
      <c r="N20" s="57">
        <f t="shared" ref="N20" si="11">N19</f>
        <v>0.28599000000000002</v>
      </c>
      <c r="P20">
        <v>1</v>
      </c>
      <c r="Q20" t="s">
        <v>164</v>
      </c>
      <c r="R20">
        <v>6336</v>
      </c>
      <c r="S20">
        <v>64</v>
      </c>
      <c r="T20">
        <v>1</v>
      </c>
      <c r="U20">
        <v>1</v>
      </c>
      <c r="V20">
        <v>753.32</v>
      </c>
      <c r="W20" s="65">
        <v>0.22517999999999999</v>
      </c>
      <c r="X20" s="46">
        <v>45473</v>
      </c>
      <c r="Y20" s="47">
        <v>9.3877314814814816E-2</v>
      </c>
      <c r="Z20">
        <v>102078</v>
      </c>
      <c r="AA20">
        <v>102078</v>
      </c>
      <c r="AB20">
        <v>102079</v>
      </c>
      <c r="AC20" s="57">
        <f t="shared" ref="AC20" si="12">AC19</f>
        <v>0.22546400000000003</v>
      </c>
    </row>
    <row r="21" spans="1:29" x14ac:dyDescent="0.25">
      <c r="A21">
        <v>2</v>
      </c>
      <c r="B21" t="s">
        <v>164</v>
      </c>
      <c r="C21">
        <v>6336</v>
      </c>
      <c r="D21">
        <v>64</v>
      </c>
      <c r="E21">
        <v>1</v>
      </c>
      <c r="F21">
        <v>1</v>
      </c>
      <c r="G21">
        <v>592.11</v>
      </c>
      <c r="H21" s="65">
        <v>0.28649000000000002</v>
      </c>
      <c r="I21" s="60">
        <v>45473</v>
      </c>
      <c r="J21" s="63">
        <v>0.18653935185185186</v>
      </c>
      <c r="K21" s="67">
        <v>65406</v>
      </c>
      <c r="L21" s="67">
        <v>65407</v>
      </c>
      <c r="M21" s="67">
        <v>65406</v>
      </c>
      <c r="N21" s="57">
        <f t="shared" si="7"/>
        <v>0.28599000000000002</v>
      </c>
      <c r="P21">
        <v>2</v>
      </c>
      <c r="Q21" t="s">
        <v>164</v>
      </c>
      <c r="R21">
        <v>6336</v>
      </c>
      <c r="S21">
        <v>64</v>
      </c>
      <c r="T21">
        <v>1</v>
      </c>
      <c r="U21">
        <v>1</v>
      </c>
      <c r="V21">
        <v>737.55</v>
      </c>
      <c r="W21" s="65">
        <v>0.22999</v>
      </c>
      <c r="X21" s="46">
        <v>45473</v>
      </c>
      <c r="Y21" s="47">
        <v>0.43488425925925928</v>
      </c>
      <c r="Z21">
        <v>100524</v>
      </c>
      <c r="AA21">
        <v>100523</v>
      </c>
      <c r="AB21">
        <v>100524</v>
      </c>
      <c r="AC21" s="57">
        <f t="shared" si="3"/>
        <v>0.22546400000000003</v>
      </c>
    </row>
    <row r="22" spans="1:29" x14ac:dyDescent="0.25">
      <c r="A22">
        <v>3</v>
      </c>
      <c r="B22" t="s">
        <v>164</v>
      </c>
      <c r="C22">
        <v>6336</v>
      </c>
      <c r="D22">
        <v>64</v>
      </c>
      <c r="E22">
        <v>1</v>
      </c>
      <c r="F22">
        <v>1</v>
      </c>
      <c r="G22">
        <v>592.45000000000005</v>
      </c>
      <c r="H22" s="65">
        <v>0.28632000000000002</v>
      </c>
      <c r="I22" s="60">
        <v>45473</v>
      </c>
      <c r="J22" s="63">
        <v>0.40605324074074073</v>
      </c>
      <c r="K22" s="67">
        <v>65420</v>
      </c>
      <c r="L22" s="67">
        <v>65421</v>
      </c>
      <c r="M22" s="67">
        <v>65420</v>
      </c>
      <c r="N22" s="57">
        <f t="shared" si="7"/>
        <v>0.28599000000000002</v>
      </c>
      <c r="P22">
        <v>3</v>
      </c>
      <c r="Q22" t="s">
        <v>164</v>
      </c>
      <c r="R22">
        <v>6336</v>
      </c>
      <c r="S22">
        <v>64</v>
      </c>
      <c r="T22">
        <v>1</v>
      </c>
      <c r="U22">
        <v>1</v>
      </c>
      <c r="V22">
        <v>767.12</v>
      </c>
      <c r="W22" s="65">
        <v>0.22112999999999999</v>
      </c>
      <c r="X22" s="46">
        <v>45473</v>
      </c>
      <c r="Y22" s="47">
        <v>0.77451388888888884</v>
      </c>
      <c r="Z22">
        <v>103570</v>
      </c>
      <c r="AA22">
        <v>103575</v>
      </c>
      <c r="AB22">
        <v>103578</v>
      </c>
      <c r="AC22" s="57">
        <f t="shared" si="3"/>
        <v>0.22546400000000003</v>
      </c>
    </row>
    <row r="23" spans="1:29" x14ac:dyDescent="0.25">
      <c r="A23">
        <v>4</v>
      </c>
      <c r="B23" t="s">
        <v>164</v>
      </c>
      <c r="C23">
        <v>6336</v>
      </c>
      <c r="D23">
        <v>64</v>
      </c>
      <c r="E23">
        <v>1</v>
      </c>
      <c r="F23">
        <v>1</v>
      </c>
      <c r="G23">
        <v>594.55999999999995</v>
      </c>
      <c r="H23" s="65">
        <v>0.28531000000000001</v>
      </c>
      <c r="I23" s="60">
        <v>45473</v>
      </c>
      <c r="J23" s="63">
        <v>0.62541666666666662</v>
      </c>
      <c r="K23" s="67">
        <v>65644</v>
      </c>
      <c r="L23" s="67">
        <v>65643</v>
      </c>
      <c r="M23" s="67">
        <v>65643</v>
      </c>
      <c r="N23" s="57">
        <f t="shared" si="7"/>
        <v>0.28599000000000002</v>
      </c>
      <c r="P23">
        <v>4</v>
      </c>
      <c r="Q23" t="s">
        <v>164</v>
      </c>
      <c r="R23">
        <v>6336</v>
      </c>
      <c r="S23">
        <v>64</v>
      </c>
      <c r="T23">
        <v>1</v>
      </c>
      <c r="U23">
        <v>1</v>
      </c>
      <c r="V23">
        <v>738.9</v>
      </c>
      <c r="W23" s="65">
        <v>0.22957</v>
      </c>
      <c r="X23" s="46">
        <v>45474</v>
      </c>
      <c r="Y23" s="47">
        <v>0.11636574074074074</v>
      </c>
      <c r="Z23">
        <v>100546</v>
      </c>
      <c r="AA23">
        <v>100547</v>
      </c>
      <c r="AB23">
        <v>100546</v>
      </c>
      <c r="AC23" s="57">
        <f t="shared" si="3"/>
        <v>0.22546400000000003</v>
      </c>
    </row>
    <row r="24" spans="1:29" x14ac:dyDescent="0.25">
      <c r="A24">
        <v>0</v>
      </c>
      <c r="B24" t="s">
        <v>164</v>
      </c>
      <c r="C24">
        <v>6720</v>
      </c>
      <c r="D24">
        <v>64</v>
      </c>
      <c r="E24">
        <v>1</v>
      </c>
      <c r="F24">
        <v>1</v>
      </c>
      <c r="G24">
        <v>705.68</v>
      </c>
      <c r="H24" s="65">
        <v>0.28677999999999998</v>
      </c>
      <c r="I24" s="60">
        <v>45472</v>
      </c>
      <c r="J24" s="63">
        <v>0.81104166666666666</v>
      </c>
      <c r="K24" s="67">
        <v>77741</v>
      </c>
      <c r="L24" s="67">
        <v>77742</v>
      </c>
      <c r="M24" s="67">
        <v>77742</v>
      </c>
      <c r="N24" s="57">
        <f t="shared" ref="N24" si="13">AVERAGE(H24:H28)</f>
        <v>0.286854</v>
      </c>
      <c r="P24">
        <v>0</v>
      </c>
      <c r="Q24" t="s">
        <v>164</v>
      </c>
      <c r="R24">
        <v>6720</v>
      </c>
      <c r="S24">
        <v>64</v>
      </c>
      <c r="T24">
        <v>1</v>
      </c>
      <c r="U24">
        <v>1</v>
      </c>
      <c r="V24">
        <v>883.63</v>
      </c>
      <c r="W24" s="65">
        <v>0.22903000000000001</v>
      </c>
      <c r="X24" s="46">
        <v>45472</v>
      </c>
      <c r="Y24" s="47">
        <v>0.85445601851851849</v>
      </c>
      <c r="Z24">
        <v>118378</v>
      </c>
      <c r="AA24">
        <v>118378</v>
      </c>
      <c r="AB24">
        <v>118378</v>
      </c>
      <c r="AC24" s="57">
        <f t="shared" ref="AC24" si="14">AVERAGE(W24:W28)</f>
        <v>0.22967599999999999</v>
      </c>
    </row>
    <row r="25" spans="1:29" x14ac:dyDescent="0.25">
      <c r="A25">
        <v>1</v>
      </c>
      <c r="B25" t="s">
        <v>164</v>
      </c>
      <c r="C25">
        <v>6720</v>
      </c>
      <c r="D25">
        <v>64</v>
      </c>
      <c r="E25">
        <v>1</v>
      </c>
      <c r="F25">
        <v>1</v>
      </c>
      <c r="G25">
        <v>704.01</v>
      </c>
      <c r="H25" s="65">
        <v>0.28745999999999999</v>
      </c>
      <c r="I25" s="60">
        <v>45473</v>
      </c>
      <c r="J25" s="63">
        <v>3.0949074074074073E-2</v>
      </c>
      <c r="K25" s="67">
        <v>77339</v>
      </c>
      <c r="L25" s="67">
        <v>77339</v>
      </c>
      <c r="M25" s="67">
        <v>77339</v>
      </c>
      <c r="N25" s="57">
        <f t="shared" ref="N25" si="15">N24</f>
        <v>0.286854</v>
      </c>
      <c r="P25">
        <v>1</v>
      </c>
      <c r="Q25" t="s">
        <v>164</v>
      </c>
      <c r="R25">
        <v>6720</v>
      </c>
      <c r="S25">
        <v>64</v>
      </c>
      <c r="T25">
        <v>1</v>
      </c>
      <c r="U25">
        <v>1</v>
      </c>
      <c r="V25">
        <v>880.33</v>
      </c>
      <c r="W25" s="65">
        <v>0.22989000000000001</v>
      </c>
      <c r="X25" s="46">
        <v>45473</v>
      </c>
      <c r="Y25" s="47">
        <v>0.19222222222222221</v>
      </c>
      <c r="Z25">
        <v>118061</v>
      </c>
      <c r="AA25">
        <v>118062</v>
      </c>
      <c r="AB25">
        <v>118060</v>
      </c>
      <c r="AC25" s="57">
        <f t="shared" ref="AC25" si="16">AC24</f>
        <v>0.22967599999999999</v>
      </c>
    </row>
    <row r="26" spans="1:29" x14ac:dyDescent="0.25">
      <c r="A26">
        <v>2</v>
      </c>
      <c r="B26" t="s">
        <v>164</v>
      </c>
      <c r="C26">
        <v>6720</v>
      </c>
      <c r="D26">
        <v>64</v>
      </c>
      <c r="E26">
        <v>1</v>
      </c>
      <c r="F26">
        <v>1</v>
      </c>
      <c r="G26">
        <v>706.49</v>
      </c>
      <c r="H26" s="65">
        <v>0.28644999999999998</v>
      </c>
      <c r="I26" s="60">
        <v>45473</v>
      </c>
      <c r="J26" s="63">
        <v>0.25048611111111113</v>
      </c>
      <c r="K26" s="67">
        <v>77578</v>
      </c>
      <c r="L26" s="67">
        <v>77579</v>
      </c>
      <c r="M26" s="67">
        <v>77578</v>
      </c>
      <c r="N26" s="57">
        <f t="shared" si="7"/>
        <v>0.286854</v>
      </c>
      <c r="P26">
        <v>2</v>
      </c>
      <c r="Q26" t="s">
        <v>164</v>
      </c>
      <c r="R26">
        <v>6720</v>
      </c>
      <c r="S26">
        <v>64</v>
      </c>
      <c r="T26">
        <v>1</v>
      </c>
      <c r="U26">
        <v>1</v>
      </c>
      <c r="V26">
        <v>881.34</v>
      </c>
      <c r="W26" s="65">
        <v>0.22961999999999999</v>
      </c>
      <c r="X26" s="46">
        <v>45473</v>
      </c>
      <c r="Y26" s="47">
        <v>0.53370370370370368</v>
      </c>
      <c r="Z26">
        <v>118258</v>
      </c>
      <c r="AA26">
        <v>118257</v>
      </c>
      <c r="AB26">
        <v>118256</v>
      </c>
      <c r="AC26" s="57">
        <f t="shared" si="3"/>
        <v>0.22967599999999999</v>
      </c>
    </row>
    <row r="27" spans="1:29" x14ac:dyDescent="0.25">
      <c r="A27">
        <v>3</v>
      </c>
      <c r="B27" t="s">
        <v>164</v>
      </c>
      <c r="C27">
        <v>6720</v>
      </c>
      <c r="D27">
        <v>64</v>
      </c>
      <c r="E27">
        <v>1</v>
      </c>
      <c r="F27">
        <v>1</v>
      </c>
      <c r="G27">
        <v>704.3</v>
      </c>
      <c r="H27" s="65">
        <v>0.28733999999999998</v>
      </c>
      <c r="I27" s="60">
        <v>45473</v>
      </c>
      <c r="J27" s="63">
        <v>0.4700347222222222</v>
      </c>
      <c r="K27" s="67">
        <v>77621</v>
      </c>
      <c r="L27" s="67">
        <v>77621</v>
      </c>
      <c r="M27" s="67">
        <v>77622</v>
      </c>
      <c r="N27" s="57">
        <f t="shared" si="7"/>
        <v>0.286854</v>
      </c>
      <c r="P27">
        <v>3</v>
      </c>
      <c r="Q27" t="s">
        <v>164</v>
      </c>
      <c r="R27">
        <v>6720</v>
      </c>
      <c r="S27">
        <v>64</v>
      </c>
      <c r="T27">
        <v>1</v>
      </c>
      <c r="U27">
        <v>1</v>
      </c>
      <c r="V27">
        <v>879.98</v>
      </c>
      <c r="W27" s="65">
        <v>0.22997999999999999</v>
      </c>
      <c r="X27" s="46">
        <v>45473</v>
      </c>
      <c r="Y27" s="47">
        <v>0.87207175925925928</v>
      </c>
      <c r="Z27">
        <v>117962</v>
      </c>
      <c r="AA27">
        <v>117961</v>
      </c>
      <c r="AB27">
        <v>117962</v>
      </c>
      <c r="AC27" s="57">
        <f t="shared" si="3"/>
        <v>0.22967599999999999</v>
      </c>
    </row>
    <row r="28" spans="1:29" x14ac:dyDescent="0.25">
      <c r="A28">
        <v>4</v>
      </c>
      <c r="B28" t="s">
        <v>164</v>
      </c>
      <c r="C28">
        <v>6720</v>
      </c>
      <c r="D28">
        <v>64</v>
      </c>
      <c r="E28">
        <v>1</v>
      </c>
      <c r="F28">
        <v>1</v>
      </c>
      <c r="G28">
        <v>707.03</v>
      </c>
      <c r="H28" s="65">
        <v>0.28623999999999999</v>
      </c>
      <c r="I28" s="60">
        <v>45473</v>
      </c>
      <c r="J28" s="63">
        <v>0.68935185185185188</v>
      </c>
      <c r="K28" s="67">
        <v>77632</v>
      </c>
      <c r="L28" s="67">
        <v>77631</v>
      </c>
      <c r="M28" s="67">
        <v>77631</v>
      </c>
      <c r="N28" s="57">
        <f t="shared" si="7"/>
        <v>0.286854</v>
      </c>
      <c r="P28">
        <v>4</v>
      </c>
      <c r="Q28" t="s">
        <v>164</v>
      </c>
      <c r="R28">
        <v>6720</v>
      </c>
      <c r="S28">
        <v>64</v>
      </c>
      <c r="T28">
        <v>1</v>
      </c>
      <c r="U28">
        <v>1</v>
      </c>
      <c r="V28">
        <v>880.42</v>
      </c>
      <c r="W28" s="65">
        <v>0.22986000000000001</v>
      </c>
      <c r="X28" s="46">
        <v>45474</v>
      </c>
      <c r="Y28" s="47">
        <v>0.21564814814814814</v>
      </c>
      <c r="Z28">
        <v>117976</v>
      </c>
      <c r="AA28">
        <v>117977</v>
      </c>
      <c r="AB28">
        <v>117976</v>
      </c>
      <c r="AC28" s="57">
        <f t="shared" si="3"/>
        <v>0.22967599999999999</v>
      </c>
    </row>
    <row r="29" spans="1:29" x14ac:dyDescent="0.25">
      <c r="A29">
        <v>0</v>
      </c>
      <c r="B29" t="s">
        <v>164</v>
      </c>
      <c r="C29">
        <v>7104</v>
      </c>
      <c r="D29">
        <v>64</v>
      </c>
      <c r="E29">
        <v>1</v>
      </c>
      <c r="F29">
        <v>1</v>
      </c>
      <c r="G29">
        <v>836.93</v>
      </c>
      <c r="H29" s="65">
        <v>0.28566999999999998</v>
      </c>
      <c r="I29" s="60">
        <v>45472</v>
      </c>
      <c r="J29" s="63">
        <v>0.88822916666666663</v>
      </c>
      <c r="K29" s="67">
        <v>91573</v>
      </c>
      <c r="L29" s="67">
        <v>91574</v>
      </c>
      <c r="M29" s="67">
        <v>91573</v>
      </c>
      <c r="N29" s="57">
        <f t="shared" ref="N29" si="17">AVERAGE(H29:H33)</f>
        <v>0.28615599999999997</v>
      </c>
      <c r="P29">
        <v>0</v>
      </c>
      <c r="Q29" t="s">
        <v>164</v>
      </c>
      <c r="R29">
        <v>7104</v>
      </c>
      <c r="S29">
        <v>64</v>
      </c>
      <c r="T29">
        <v>1</v>
      </c>
      <c r="U29">
        <v>1</v>
      </c>
      <c r="V29">
        <v>1056.17</v>
      </c>
      <c r="W29" s="65">
        <v>0.22636999999999999</v>
      </c>
      <c r="X29" s="46">
        <v>45472</v>
      </c>
      <c r="Y29" s="47">
        <v>0.97237268518518516</v>
      </c>
      <c r="Z29">
        <v>139203</v>
      </c>
      <c r="AA29">
        <v>139202</v>
      </c>
      <c r="AB29">
        <v>139204</v>
      </c>
      <c r="AC29" s="57">
        <f t="shared" ref="AC29" si="18">AVERAGE(W29:W33)</f>
        <v>0.2218</v>
      </c>
    </row>
    <row r="30" spans="1:29" x14ac:dyDescent="0.25">
      <c r="A30">
        <v>1</v>
      </c>
      <c r="B30" t="s">
        <v>164</v>
      </c>
      <c r="C30">
        <v>7104</v>
      </c>
      <c r="D30">
        <v>64</v>
      </c>
      <c r="E30">
        <v>1</v>
      </c>
      <c r="F30">
        <v>1</v>
      </c>
      <c r="G30">
        <v>837.41</v>
      </c>
      <c r="H30" s="65">
        <v>0.28550999999999999</v>
      </c>
      <c r="I30" s="60">
        <v>45473</v>
      </c>
      <c r="J30" s="63">
        <v>0.10827546296296296</v>
      </c>
      <c r="K30" s="67">
        <v>91593</v>
      </c>
      <c r="L30" s="67">
        <v>91593</v>
      </c>
      <c r="M30" s="67">
        <v>91593</v>
      </c>
      <c r="N30" s="57">
        <f t="shared" ref="N30" si="19">N29</f>
        <v>0.28615599999999997</v>
      </c>
      <c r="P30">
        <v>1</v>
      </c>
      <c r="Q30" t="s">
        <v>164</v>
      </c>
      <c r="R30">
        <v>7104</v>
      </c>
      <c r="S30">
        <v>64</v>
      </c>
      <c r="T30">
        <v>1</v>
      </c>
      <c r="U30">
        <v>1</v>
      </c>
      <c r="V30">
        <v>1041.22</v>
      </c>
      <c r="W30" s="65">
        <v>0.22961999999999999</v>
      </c>
      <c r="X30" s="46">
        <v>45473</v>
      </c>
      <c r="Y30" s="47">
        <v>0.31084490740740739</v>
      </c>
      <c r="Z30">
        <v>138081</v>
      </c>
      <c r="AA30">
        <v>138081</v>
      </c>
      <c r="AB30">
        <v>138081</v>
      </c>
      <c r="AC30" s="57">
        <f t="shared" ref="AC30" si="20">AC29</f>
        <v>0.2218</v>
      </c>
    </row>
    <row r="31" spans="1:29" x14ac:dyDescent="0.25">
      <c r="A31">
        <v>2</v>
      </c>
      <c r="B31" t="s">
        <v>164</v>
      </c>
      <c r="C31">
        <v>7104</v>
      </c>
      <c r="D31">
        <v>64</v>
      </c>
      <c r="E31">
        <v>1</v>
      </c>
      <c r="F31">
        <v>1</v>
      </c>
      <c r="G31">
        <v>833.16</v>
      </c>
      <c r="H31" s="65">
        <v>0.28695999999999999</v>
      </c>
      <c r="I31" s="60">
        <v>45473</v>
      </c>
      <c r="J31" s="63">
        <v>0.32771990740740742</v>
      </c>
      <c r="K31" s="67">
        <v>91231</v>
      </c>
      <c r="L31" s="67">
        <v>91230</v>
      </c>
      <c r="M31" s="67">
        <v>91230</v>
      </c>
      <c r="N31" s="57">
        <f t="shared" si="7"/>
        <v>0.28615599999999997</v>
      </c>
      <c r="P31">
        <v>2</v>
      </c>
      <c r="Q31" t="s">
        <v>164</v>
      </c>
      <c r="R31">
        <v>7104</v>
      </c>
      <c r="S31">
        <v>64</v>
      </c>
      <c r="T31">
        <v>1</v>
      </c>
      <c r="U31">
        <v>1</v>
      </c>
      <c r="V31">
        <v>1080.5</v>
      </c>
      <c r="W31" s="65">
        <v>0.22126999999999999</v>
      </c>
      <c r="X31" s="46">
        <v>45473</v>
      </c>
      <c r="Y31" s="47">
        <v>0.65218750000000003</v>
      </c>
      <c r="Z31">
        <v>141792</v>
      </c>
      <c r="AA31">
        <v>141792</v>
      </c>
      <c r="AB31">
        <v>141791</v>
      </c>
      <c r="AC31" s="57">
        <f t="shared" si="3"/>
        <v>0.2218</v>
      </c>
    </row>
    <row r="32" spans="1:29" x14ac:dyDescent="0.25">
      <c r="A32">
        <v>3</v>
      </c>
      <c r="B32" t="s">
        <v>164</v>
      </c>
      <c r="C32">
        <v>7104</v>
      </c>
      <c r="D32">
        <v>64</v>
      </c>
      <c r="E32">
        <v>1</v>
      </c>
      <c r="F32">
        <v>1</v>
      </c>
      <c r="G32">
        <v>833.5</v>
      </c>
      <c r="H32" s="65">
        <v>0.28684999999999999</v>
      </c>
      <c r="I32" s="60">
        <v>45473</v>
      </c>
      <c r="J32" s="63">
        <v>0.54715277777777782</v>
      </c>
      <c r="K32" s="67">
        <v>91270</v>
      </c>
      <c r="L32" s="67">
        <v>91270</v>
      </c>
      <c r="M32" s="67">
        <v>91269</v>
      </c>
      <c r="N32" s="57">
        <f t="shared" si="7"/>
        <v>0.28615599999999997</v>
      </c>
      <c r="P32">
        <v>3</v>
      </c>
      <c r="Q32" t="s">
        <v>164</v>
      </c>
      <c r="R32">
        <v>7104</v>
      </c>
      <c r="S32">
        <v>64</v>
      </c>
      <c r="T32">
        <v>1</v>
      </c>
      <c r="U32">
        <v>1</v>
      </c>
      <c r="V32">
        <v>1181.94</v>
      </c>
      <c r="W32" s="65">
        <v>0.20227999999999999</v>
      </c>
      <c r="X32" s="46">
        <v>45473</v>
      </c>
      <c r="Y32" s="47">
        <v>0.99173611111111115</v>
      </c>
      <c r="Z32">
        <v>151745</v>
      </c>
      <c r="AA32">
        <v>151746</v>
      </c>
      <c r="AB32">
        <v>151746</v>
      </c>
      <c r="AC32" s="57">
        <f t="shared" si="3"/>
        <v>0.2218</v>
      </c>
    </row>
    <row r="33" spans="1:29" x14ac:dyDescent="0.25">
      <c r="A33">
        <v>4</v>
      </c>
      <c r="B33" t="s">
        <v>164</v>
      </c>
      <c r="C33">
        <v>7104</v>
      </c>
      <c r="D33">
        <v>64</v>
      </c>
      <c r="E33">
        <v>1</v>
      </c>
      <c r="F33">
        <v>1</v>
      </c>
      <c r="G33">
        <v>836.57</v>
      </c>
      <c r="H33" s="65">
        <v>0.28578999999999999</v>
      </c>
      <c r="I33" s="60">
        <v>45473</v>
      </c>
      <c r="J33" s="63">
        <v>0.76684027777777775</v>
      </c>
      <c r="K33" s="67">
        <v>91807</v>
      </c>
      <c r="L33" s="67">
        <v>91807</v>
      </c>
      <c r="M33" s="67">
        <v>91807</v>
      </c>
      <c r="N33" s="57">
        <f t="shared" si="7"/>
        <v>0.28615599999999997</v>
      </c>
      <c r="P33">
        <v>4</v>
      </c>
      <c r="Q33" t="s">
        <v>164</v>
      </c>
      <c r="R33">
        <v>7104</v>
      </c>
      <c r="S33">
        <v>64</v>
      </c>
      <c r="T33">
        <v>1</v>
      </c>
      <c r="U33">
        <v>1</v>
      </c>
      <c r="V33">
        <v>1041.95</v>
      </c>
      <c r="W33" s="65">
        <v>0.22946</v>
      </c>
      <c r="X33" s="46">
        <v>45474</v>
      </c>
      <c r="Y33" s="47">
        <v>0.33253472222222225</v>
      </c>
      <c r="Z33">
        <v>137805</v>
      </c>
      <c r="AA33">
        <v>137805</v>
      </c>
      <c r="AB33">
        <v>137805</v>
      </c>
      <c r="AC33" s="57">
        <f t="shared" si="3"/>
        <v>0.2218</v>
      </c>
    </row>
    <row r="34" spans="1:29" x14ac:dyDescent="0.25">
      <c r="A34">
        <v>0</v>
      </c>
      <c r="B34" t="s">
        <v>164</v>
      </c>
      <c r="C34">
        <v>6336</v>
      </c>
      <c r="D34">
        <v>96</v>
      </c>
      <c r="E34">
        <v>1</v>
      </c>
      <c r="F34">
        <v>1</v>
      </c>
      <c r="G34">
        <v>601.54999999999995</v>
      </c>
      <c r="H34" s="65">
        <v>0.28199000000000002</v>
      </c>
      <c r="I34" s="60">
        <v>45472</v>
      </c>
      <c r="J34" s="63">
        <v>0.7547800925925926</v>
      </c>
      <c r="K34" s="67">
        <v>66332</v>
      </c>
      <c r="L34" s="67">
        <v>66332</v>
      </c>
      <c r="M34" s="67">
        <v>66332</v>
      </c>
      <c r="N34" s="57">
        <f t="shared" ref="N34" si="21">AVERAGE(H34:H38)</f>
        <v>0.28165400000000002</v>
      </c>
      <c r="P34">
        <v>0</v>
      </c>
      <c r="Q34" t="s">
        <v>164</v>
      </c>
      <c r="R34">
        <v>6336</v>
      </c>
      <c r="S34">
        <v>96</v>
      </c>
      <c r="T34">
        <v>1</v>
      </c>
      <c r="U34">
        <v>1</v>
      </c>
      <c r="V34">
        <v>769.27</v>
      </c>
      <c r="W34" s="65">
        <v>0.22051000000000001</v>
      </c>
      <c r="X34" s="46">
        <v>45472</v>
      </c>
      <c r="Y34" s="47">
        <v>0.76739583333333339</v>
      </c>
      <c r="Z34">
        <v>103471</v>
      </c>
      <c r="AA34">
        <v>103471</v>
      </c>
      <c r="AB34">
        <v>103473</v>
      </c>
      <c r="AC34" s="57">
        <f t="shared" ref="AC34" si="22">AVERAGE(W34:W38)</f>
        <v>0.221694</v>
      </c>
    </row>
    <row r="35" spans="1:29" x14ac:dyDescent="0.25">
      <c r="A35">
        <v>1</v>
      </c>
      <c r="B35" t="s">
        <v>164</v>
      </c>
      <c r="C35">
        <v>6336</v>
      </c>
      <c r="D35">
        <v>96</v>
      </c>
      <c r="E35">
        <v>1</v>
      </c>
      <c r="F35">
        <v>1</v>
      </c>
      <c r="G35">
        <v>602.95000000000005</v>
      </c>
      <c r="H35" s="65">
        <v>0.28133999999999998</v>
      </c>
      <c r="I35" s="60">
        <v>45472</v>
      </c>
      <c r="J35" s="63">
        <v>0.97462962962962962</v>
      </c>
      <c r="K35" s="67">
        <v>66463</v>
      </c>
      <c r="L35" s="67">
        <v>66464</v>
      </c>
      <c r="M35" s="67">
        <v>66463</v>
      </c>
      <c r="N35" s="57">
        <f t="shared" ref="N35" si="23">N34</f>
        <v>0.28165400000000002</v>
      </c>
      <c r="P35">
        <v>1</v>
      </c>
      <c r="Q35" t="s">
        <v>164</v>
      </c>
      <c r="R35">
        <v>6336</v>
      </c>
      <c r="S35">
        <v>96</v>
      </c>
      <c r="T35">
        <v>1</v>
      </c>
      <c r="U35">
        <v>1</v>
      </c>
      <c r="V35">
        <v>760.86</v>
      </c>
      <c r="W35" s="65">
        <v>0.22295000000000001</v>
      </c>
      <c r="X35" s="46">
        <v>45473</v>
      </c>
      <c r="Y35" s="47">
        <v>0.10579861111111111</v>
      </c>
      <c r="Z35">
        <v>102822</v>
      </c>
      <c r="AA35">
        <v>102823</v>
      </c>
      <c r="AB35">
        <v>102831</v>
      </c>
      <c r="AC35" s="57">
        <f t="shared" ref="AC35" si="24">AC34</f>
        <v>0.221694</v>
      </c>
    </row>
    <row r="36" spans="1:29" x14ac:dyDescent="0.25">
      <c r="A36">
        <v>2</v>
      </c>
      <c r="B36" t="s">
        <v>164</v>
      </c>
      <c r="C36">
        <v>6336</v>
      </c>
      <c r="D36">
        <v>96</v>
      </c>
      <c r="E36">
        <v>1</v>
      </c>
      <c r="F36">
        <v>1</v>
      </c>
      <c r="G36">
        <v>602.79999999999995</v>
      </c>
      <c r="H36" s="65">
        <v>0.28140999999999999</v>
      </c>
      <c r="I36" s="60">
        <v>45473</v>
      </c>
      <c r="J36" s="63">
        <v>0.19425925925925927</v>
      </c>
      <c r="K36" s="67">
        <v>66438</v>
      </c>
      <c r="L36" s="67">
        <v>66439</v>
      </c>
      <c r="M36" s="67">
        <v>66438</v>
      </c>
      <c r="N36" s="57">
        <f t="shared" si="7"/>
        <v>0.28165400000000002</v>
      </c>
      <c r="P36">
        <v>2</v>
      </c>
      <c r="Q36" t="s">
        <v>164</v>
      </c>
      <c r="R36">
        <v>6336</v>
      </c>
      <c r="S36">
        <v>96</v>
      </c>
      <c r="T36">
        <v>1</v>
      </c>
      <c r="U36">
        <v>1</v>
      </c>
      <c r="V36">
        <v>765.79</v>
      </c>
      <c r="W36" s="65">
        <v>0.22151000000000001</v>
      </c>
      <c r="X36" s="46">
        <v>45473</v>
      </c>
      <c r="Y36" s="47">
        <v>0.44685185185185183</v>
      </c>
      <c r="Z36">
        <v>103166</v>
      </c>
      <c r="AA36">
        <v>103167</v>
      </c>
      <c r="AB36">
        <v>103166</v>
      </c>
      <c r="AC36" s="57">
        <f t="shared" si="3"/>
        <v>0.221694</v>
      </c>
    </row>
    <row r="37" spans="1:29" x14ac:dyDescent="0.25">
      <c r="A37">
        <v>3</v>
      </c>
      <c r="B37" t="s">
        <v>164</v>
      </c>
      <c r="C37">
        <v>6336</v>
      </c>
      <c r="D37">
        <v>96</v>
      </c>
      <c r="E37">
        <v>1</v>
      </c>
      <c r="F37">
        <v>1</v>
      </c>
      <c r="G37">
        <v>602.99</v>
      </c>
      <c r="H37" s="65">
        <v>0.28132000000000001</v>
      </c>
      <c r="I37" s="60">
        <v>45473</v>
      </c>
      <c r="J37" s="63">
        <v>0.41377314814814814</v>
      </c>
      <c r="K37" s="67">
        <v>66464</v>
      </c>
      <c r="L37" s="67">
        <v>66464</v>
      </c>
      <c r="M37" s="67">
        <v>66464</v>
      </c>
      <c r="N37" s="57">
        <f t="shared" si="7"/>
        <v>0.28165400000000002</v>
      </c>
      <c r="P37">
        <v>3</v>
      </c>
      <c r="Q37" t="s">
        <v>164</v>
      </c>
      <c r="R37">
        <v>6336</v>
      </c>
      <c r="S37">
        <v>96</v>
      </c>
      <c r="T37">
        <v>1</v>
      </c>
      <c r="U37">
        <v>1</v>
      </c>
      <c r="V37">
        <v>762.17</v>
      </c>
      <c r="W37" s="65">
        <v>0.22256999999999999</v>
      </c>
      <c r="X37" s="46">
        <v>45473</v>
      </c>
      <c r="Y37" s="47">
        <v>0.7865509259259259</v>
      </c>
      <c r="Z37">
        <v>102915</v>
      </c>
      <c r="AA37">
        <v>102913</v>
      </c>
      <c r="AB37">
        <v>102915</v>
      </c>
      <c r="AC37" s="57">
        <f t="shared" si="3"/>
        <v>0.221694</v>
      </c>
    </row>
    <row r="38" spans="1:29" x14ac:dyDescent="0.25">
      <c r="A38">
        <v>4</v>
      </c>
      <c r="B38" t="s">
        <v>164</v>
      </c>
      <c r="C38">
        <v>6336</v>
      </c>
      <c r="D38">
        <v>96</v>
      </c>
      <c r="E38">
        <v>1</v>
      </c>
      <c r="F38">
        <v>1</v>
      </c>
      <c r="G38">
        <v>601.08000000000004</v>
      </c>
      <c r="H38" s="65">
        <v>0.28221000000000002</v>
      </c>
      <c r="I38" s="60">
        <v>45473</v>
      </c>
      <c r="J38" s="63">
        <v>0.6331134259259259</v>
      </c>
      <c r="K38" s="67">
        <v>66272</v>
      </c>
      <c r="L38" s="67">
        <v>66273</v>
      </c>
      <c r="M38" s="67">
        <v>66273</v>
      </c>
      <c r="N38" s="57">
        <f t="shared" si="7"/>
        <v>0.28165400000000002</v>
      </c>
      <c r="P38">
        <v>4</v>
      </c>
      <c r="Q38" t="s">
        <v>164</v>
      </c>
      <c r="R38">
        <v>6336</v>
      </c>
      <c r="S38">
        <v>96</v>
      </c>
      <c r="T38">
        <v>1</v>
      </c>
      <c r="U38">
        <v>1</v>
      </c>
      <c r="V38">
        <v>767.82</v>
      </c>
      <c r="W38" s="65">
        <v>0.22092999999999999</v>
      </c>
      <c r="X38" s="46">
        <v>45474</v>
      </c>
      <c r="Y38" s="47">
        <v>0.12833333333333333</v>
      </c>
      <c r="Z38">
        <v>103239</v>
      </c>
      <c r="AA38">
        <v>103240</v>
      </c>
      <c r="AB38">
        <v>103239</v>
      </c>
      <c r="AC38" s="57">
        <f t="shared" si="3"/>
        <v>0.221694</v>
      </c>
    </row>
    <row r="39" spans="1:29" x14ac:dyDescent="0.25">
      <c r="A39">
        <v>0</v>
      </c>
      <c r="B39" t="s">
        <v>164</v>
      </c>
      <c r="C39">
        <v>6720</v>
      </c>
      <c r="D39">
        <v>96</v>
      </c>
      <c r="E39">
        <v>1</v>
      </c>
      <c r="F39">
        <v>1</v>
      </c>
      <c r="G39">
        <v>716.74</v>
      </c>
      <c r="H39" s="65">
        <v>0.28236</v>
      </c>
      <c r="I39" s="60">
        <v>45472</v>
      </c>
      <c r="J39" s="63">
        <v>0.82016203703703705</v>
      </c>
      <c r="K39" s="67">
        <v>78607</v>
      </c>
      <c r="L39" s="67">
        <v>78608</v>
      </c>
      <c r="M39" s="67">
        <v>78608</v>
      </c>
      <c r="N39" s="57">
        <f t="shared" ref="N39" si="25">AVERAGE(H39:H43)</f>
        <v>0.28115000000000001</v>
      </c>
      <c r="P39">
        <v>0</v>
      </c>
      <c r="Q39" t="s">
        <v>164</v>
      </c>
      <c r="R39">
        <v>6720</v>
      </c>
      <c r="S39">
        <v>96</v>
      </c>
      <c r="T39">
        <v>1</v>
      </c>
      <c r="U39">
        <v>1</v>
      </c>
      <c r="V39">
        <v>907.76</v>
      </c>
      <c r="W39" s="65">
        <v>0.22294</v>
      </c>
      <c r="X39" s="46">
        <v>45472</v>
      </c>
      <c r="Y39" s="47">
        <v>0.8684722222222222</v>
      </c>
      <c r="Z39">
        <v>120827</v>
      </c>
      <c r="AA39">
        <v>120826</v>
      </c>
      <c r="AB39">
        <v>120828</v>
      </c>
      <c r="AC39" s="57">
        <f t="shared" ref="AC39" si="26">AVERAGE(W39:W43)</f>
        <v>0.22225800000000001</v>
      </c>
    </row>
    <row r="40" spans="1:29" x14ac:dyDescent="0.25">
      <c r="A40">
        <v>1</v>
      </c>
      <c r="B40" t="s">
        <v>164</v>
      </c>
      <c r="C40">
        <v>6720</v>
      </c>
      <c r="D40">
        <v>96</v>
      </c>
      <c r="E40">
        <v>1</v>
      </c>
      <c r="F40">
        <v>1</v>
      </c>
      <c r="G40">
        <v>717.4</v>
      </c>
      <c r="H40" s="65">
        <v>0.28210000000000002</v>
      </c>
      <c r="I40" s="60">
        <v>45473</v>
      </c>
      <c r="J40" s="63">
        <v>4.0069444444444442E-2</v>
      </c>
      <c r="K40" s="67">
        <v>78679</v>
      </c>
      <c r="L40" s="67">
        <v>78679</v>
      </c>
      <c r="M40" s="67">
        <v>78678</v>
      </c>
      <c r="N40" s="57">
        <f t="shared" ref="N40" si="27">N39</f>
        <v>0.28115000000000001</v>
      </c>
      <c r="P40">
        <v>1</v>
      </c>
      <c r="Q40" t="s">
        <v>164</v>
      </c>
      <c r="R40">
        <v>6720</v>
      </c>
      <c r="S40">
        <v>96</v>
      </c>
      <c r="T40">
        <v>1</v>
      </c>
      <c r="U40">
        <v>1</v>
      </c>
      <c r="V40">
        <v>913.01</v>
      </c>
      <c r="W40" s="65">
        <v>0.22166</v>
      </c>
      <c r="X40" s="46">
        <v>45473</v>
      </c>
      <c r="Y40" s="47">
        <v>0.20627314814814815</v>
      </c>
      <c r="Z40">
        <v>121195</v>
      </c>
      <c r="AA40">
        <v>121195</v>
      </c>
      <c r="AB40">
        <v>121195</v>
      </c>
      <c r="AC40" s="57">
        <f t="shared" ref="AC40" si="28">AC39</f>
        <v>0.22225800000000001</v>
      </c>
    </row>
    <row r="41" spans="1:29" x14ac:dyDescent="0.25">
      <c r="A41">
        <v>2</v>
      </c>
      <c r="B41" t="s">
        <v>164</v>
      </c>
      <c r="C41">
        <v>6720</v>
      </c>
      <c r="D41">
        <v>96</v>
      </c>
      <c r="E41">
        <v>1</v>
      </c>
      <c r="F41">
        <v>1</v>
      </c>
      <c r="G41">
        <v>714.4</v>
      </c>
      <c r="H41" s="65">
        <v>0.28327999999999998</v>
      </c>
      <c r="I41" s="60">
        <v>45473</v>
      </c>
      <c r="J41" s="63">
        <v>0.25957175925925924</v>
      </c>
      <c r="K41" s="67">
        <v>78352</v>
      </c>
      <c r="L41" s="67">
        <v>78352</v>
      </c>
      <c r="M41" s="67">
        <v>78352</v>
      </c>
      <c r="N41" s="57">
        <f t="shared" si="7"/>
        <v>0.28115000000000001</v>
      </c>
      <c r="P41">
        <v>2</v>
      </c>
      <c r="Q41" t="s">
        <v>164</v>
      </c>
      <c r="R41">
        <v>6720</v>
      </c>
      <c r="S41">
        <v>96</v>
      </c>
      <c r="T41">
        <v>1</v>
      </c>
      <c r="U41">
        <v>1</v>
      </c>
      <c r="V41">
        <v>905.76</v>
      </c>
      <c r="W41" s="65">
        <v>0.22342999999999999</v>
      </c>
      <c r="X41" s="46">
        <v>45473</v>
      </c>
      <c r="Y41" s="47">
        <v>0.54771990740740739</v>
      </c>
      <c r="Z41">
        <v>120859</v>
      </c>
      <c r="AA41">
        <v>120862</v>
      </c>
      <c r="AB41">
        <v>120869</v>
      </c>
      <c r="AC41" s="57">
        <f t="shared" si="3"/>
        <v>0.22225800000000001</v>
      </c>
    </row>
    <row r="42" spans="1:29" x14ac:dyDescent="0.25">
      <c r="A42">
        <v>3</v>
      </c>
      <c r="B42" t="s">
        <v>164</v>
      </c>
      <c r="C42">
        <v>6720</v>
      </c>
      <c r="D42">
        <v>96</v>
      </c>
      <c r="E42">
        <v>1</v>
      </c>
      <c r="F42">
        <v>1</v>
      </c>
      <c r="G42">
        <v>714.64</v>
      </c>
      <c r="H42" s="65">
        <v>0.28319</v>
      </c>
      <c r="I42" s="60">
        <v>45473</v>
      </c>
      <c r="J42" s="63">
        <v>0.47913194444444446</v>
      </c>
      <c r="K42" s="67">
        <v>78384</v>
      </c>
      <c r="L42" s="67">
        <v>78384</v>
      </c>
      <c r="M42" s="67">
        <v>78384</v>
      </c>
      <c r="N42" s="57">
        <f t="shared" si="7"/>
        <v>0.28115000000000001</v>
      </c>
      <c r="P42">
        <v>3</v>
      </c>
      <c r="Q42" t="s">
        <v>164</v>
      </c>
      <c r="R42">
        <v>6720</v>
      </c>
      <c r="S42">
        <v>96</v>
      </c>
      <c r="T42">
        <v>1</v>
      </c>
      <c r="U42">
        <v>1</v>
      </c>
      <c r="V42">
        <v>919.06</v>
      </c>
      <c r="W42" s="65">
        <v>0.22020000000000001</v>
      </c>
      <c r="X42" s="46">
        <v>45473</v>
      </c>
      <c r="Y42" s="47">
        <v>0.88618055555555553</v>
      </c>
      <c r="Z42">
        <v>121722</v>
      </c>
      <c r="AA42">
        <v>121723</v>
      </c>
      <c r="AB42">
        <v>121723</v>
      </c>
      <c r="AC42" s="57">
        <f t="shared" si="3"/>
        <v>0.22225800000000001</v>
      </c>
    </row>
    <row r="43" spans="1:29" x14ac:dyDescent="0.25">
      <c r="A43">
        <v>4</v>
      </c>
      <c r="B43" t="s">
        <v>164</v>
      </c>
      <c r="C43">
        <v>6720</v>
      </c>
      <c r="D43">
        <v>96</v>
      </c>
      <c r="E43">
        <v>1</v>
      </c>
      <c r="F43">
        <v>1</v>
      </c>
      <c r="G43">
        <v>736.39</v>
      </c>
      <c r="H43" s="65">
        <v>0.27482000000000001</v>
      </c>
      <c r="I43" s="60">
        <v>45473</v>
      </c>
      <c r="J43" s="63">
        <v>0.6987268518518519</v>
      </c>
      <c r="K43" s="67">
        <v>80797</v>
      </c>
      <c r="L43" s="67">
        <v>80796</v>
      </c>
      <c r="M43" s="67">
        <v>80797</v>
      </c>
      <c r="N43" s="57">
        <f t="shared" si="7"/>
        <v>0.28115000000000001</v>
      </c>
      <c r="P43">
        <v>4</v>
      </c>
      <c r="Q43" t="s">
        <v>164</v>
      </c>
      <c r="R43">
        <v>6720</v>
      </c>
      <c r="S43">
        <v>96</v>
      </c>
      <c r="T43">
        <v>1</v>
      </c>
      <c r="U43">
        <v>1</v>
      </c>
      <c r="V43">
        <v>907.28</v>
      </c>
      <c r="W43" s="65">
        <v>0.22306000000000001</v>
      </c>
      <c r="X43" s="46">
        <v>45474</v>
      </c>
      <c r="Y43" s="47">
        <v>0.22961805555555556</v>
      </c>
      <c r="Z43">
        <v>120513</v>
      </c>
      <c r="AA43">
        <v>120514</v>
      </c>
      <c r="AB43">
        <v>120513</v>
      </c>
      <c r="AC43" s="57">
        <f t="shared" si="3"/>
        <v>0.22225800000000001</v>
      </c>
    </row>
    <row r="44" spans="1:29" x14ac:dyDescent="0.25">
      <c r="A44">
        <v>0</v>
      </c>
      <c r="B44" t="s">
        <v>164</v>
      </c>
      <c r="C44">
        <v>7104</v>
      </c>
      <c r="D44">
        <v>96</v>
      </c>
      <c r="E44">
        <v>1</v>
      </c>
      <c r="F44">
        <v>1</v>
      </c>
      <c r="G44">
        <v>863.65</v>
      </c>
      <c r="H44" s="65">
        <v>0.27683000000000002</v>
      </c>
      <c r="I44" s="60">
        <v>45472</v>
      </c>
      <c r="J44" s="63">
        <v>0.89915509259259263</v>
      </c>
      <c r="K44" s="67">
        <v>94172</v>
      </c>
      <c r="L44" s="67">
        <v>94172</v>
      </c>
      <c r="M44" s="67">
        <v>94171</v>
      </c>
      <c r="N44" s="57">
        <f t="shared" ref="N44" si="29">AVERAGE(H44:H48)</f>
        <v>0.28056599999999998</v>
      </c>
      <c r="P44">
        <v>0</v>
      </c>
      <c r="Q44" t="s">
        <v>164</v>
      </c>
      <c r="R44">
        <v>7104</v>
      </c>
      <c r="S44">
        <v>96</v>
      </c>
      <c r="T44">
        <v>1</v>
      </c>
      <c r="U44">
        <v>1</v>
      </c>
      <c r="V44">
        <v>1163.07</v>
      </c>
      <c r="W44" s="65">
        <v>0.20555999999999999</v>
      </c>
      <c r="X44" s="46">
        <v>45472</v>
      </c>
      <c r="Y44" s="47">
        <v>0.98974537037037036</v>
      </c>
      <c r="Z44">
        <v>149820</v>
      </c>
      <c r="AA44">
        <v>149820</v>
      </c>
      <c r="AB44">
        <v>149818</v>
      </c>
      <c r="AC44" s="57">
        <f t="shared" ref="AC44" si="30">AVERAGE(W44:W48)</f>
        <v>0.210506</v>
      </c>
    </row>
    <row r="45" spans="1:29" x14ac:dyDescent="0.25">
      <c r="A45">
        <v>1</v>
      </c>
      <c r="B45" t="s">
        <v>164</v>
      </c>
      <c r="C45">
        <v>7104</v>
      </c>
      <c r="D45">
        <v>96</v>
      </c>
      <c r="E45">
        <v>1</v>
      </c>
      <c r="F45">
        <v>1</v>
      </c>
      <c r="G45">
        <v>847.42</v>
      </c>
      <c r="H45" s="65">
        <v>0.28212999999999999</v>
      </c>
      <c r="I45" s="60">
        <v>45473</v>
      </c>
      <c r="J45" s="63">
        <v>0.11901620370370371</v>
      </c>
      <c r="K45" s="67">
        <v>92661</v>
      </c>
      <c r="L45" s="67">
        <v>92660</v>
      </c>
      <c r="M45" s="67">
        <v>92661</v>
      </c>
      <c r="N45" s="57">
        <f t="shared" ref="N45" si="31">N44</f>
        <v>0.28056599999999998</v>
      </c>
      <c r="P45">
        <v>1</v>
      </c>
      <c r="Q45" t="s">
        <v>164</v>
      </c>
      <c r="R45">
        <v>7104</v>
      </c>
      <c r="S45">
        <v>96</v>
      </c>
      <c r="T45">
        <v>1</v>
      </c>
      <c r="U45">
        <v>1</v>
      </c>
      <c r="V45">
        <v>1170.77</v>
      </c>
      <c r="W45" s="65">
        <v>0.20421</v>
      </c>
      <c r="X45" s="46">
        <v>45473</v>
      </c>
      <c r="Y45" s="47">
        <v>0.3283449074074074</v>
      </c>
      <c r="Z45">
        <v>150943</v>
      </c>
      <c r="AA45">
        <v>150942</v>
      </c>
      <c r="AB45">
        <v>150938</v>
      </c>
      <c r="AC45" s="57">
        <f t="shared" ref="AC45" si="32">AC44</f>
        <v>0.210506</v>
      </c>
    </row>
    <row r="46" spans="1:29" x14ac:dyDescent="0.25">
      <c r="A46">
        <v>2</v>
      </c>
      <c r="B46" t="s">
        <v>164</v>
      </c>
      <c r="C46">
        <v>7104</v>
      </c>
      <c r="D46">
        <v>96</v>
      </c>
      <c r="E46">
        <v>1</v>
      </c>
      <c r="F46">
        <v>1</v>
      </c>
      <c r="G46">
        <v>851.77</v>
      </c>
      <c r="H46" s="65">
        <v>0.28069</v>
      </c>
      <c r="I46" s="60">
        <v>45473</v>
      </c>
      <c r="J46" s="63">
        <v>0.33850694444444446</v>
      </c>
      <c r="K46" s="67">
        <v>93063</v>
      </c>
      <c r="L46" s="67">
        <v>93062</v>
      </c>
      <c r="M46" s="67">
        <v>93062</v>
      </c>
      <c r="N46" s="57">
        <f t="shared" si="7"/>
        <v>0.28056599999999998</v>
      </c>
      <c r="P46">
        <v>2</v>
      </c>
      <c r="Q46" t="s">
        <v>164</v>
      </c>
      <c r="R46">
        <v>7104</v>
      </c>
      <c r="S46">
        <v>96</v>
      </c>
      <c r="T46">
        <v>1</v>
      </c>
      <c r="U46">
        <v>1</v>
      </c>
      <c r="V46">
        <v>1191.53</v>
      </c>
      <c r="W46" s="65">
        <v>0.20065</v>
      </c>
      <c r="X46" s="46">
        <v>45473</v>
      </c>
      <c r="Y46" s="47">
        <v>0.67021990740740744</v>
      </c>
      <c r="Z46">
        <v>155487</v>
      </c>
      <c r="AA46">
        <v>155487</v>
      </c>
      <c r="AB46">
        <v>155487</v>
      </c>
      <c r="AC46" s="57">
        <f t="shared" si="3"/>
        <v>0.210506</v>
      </c>
    </row>
    <row r="47" spans="1:29" x14ac:dyDescent="0.25">
      <c r="A47">
        <v>3</v>
      </c>
      <c r="B47" t="s">
        <v>164</v>
      </c>
      <c r="C47">
        <v>7104</v>
      </c>
      <c r="D47">
        <v>96</v>
      </c>
      <c r="E47">
        <v>1</v>
      </c>
      <c r="F47">
        <v>1</v>
      </c>
      <c r="G47">
        <v>848.88</v>
      </c>
      <c r="H47" s="65">
        <v>0.28165000000000001</v>
      </c>
      <c r="I47" s="60">
        <v>45473</v>
      </c>
      <c r="J47" s="63">
        <v>0.55790509259259258</v>
      </c>
      <c r="K47" s="67">
        <v>92727</v>
      </c>
      <c r="L47" s="67">
        <v>92727</v>
      </c>
      <c r="M47" s="67">
        <v>92726</v>
      </c>
      <c r="N47" s="57">
        <f t="shared" si="7"/>
        <v>0.28056599999999998</v>
      </c>
      <c r="P47">
        <v>3</v>
      </c>
      <c r="Q47" t="s">
        <v>164</v>
      </c>
      <c r="R47">
        <v>7104</v>
      </c>
      <c r="S47">
        <v>96</v>
      </c>
      <c r="T47">
        <v>1</v>
      </c>
      <c r="U47">
        <v>1</v>
      </c>
      <c r="V47">
        <v>1074.05</v>
      </c>
      <c r="W47" s="65">
        <v>0.22259999999999999</v>
      </c>
      <c r="X47" s="46">
        <v>45474</v>
      </c>
      <c r="Y47" s="47">
        <v>8.1018518518518514E-3</v>
      </c>
      <c r="Z47">
        <v>141149</v>
      </c>
      <c r="AA47">
        <v>141150</v>
      </c>
      <c r="AB47">
        <v>141150</v>
      </c>
      <c r="AC47" s="57">
        <f t="shared" si="3"/>
        <v>0.210506</v>
      </c>
    </row>
    <row r="48" spans="1:29" x14ac:dyDescent="0.25">
      <c r="A48">
        <v>4</v>
      </c>
      <c r="B48" t="s">
        <v>164</v>
      </c>
      <c r="C48">
        <v>7104</v>
      </c>
      <c r="D48">
        <v>96</v>
      </c>
      <c r="E48">
        <v>1</v>
      </c>
      <c r="F48">
        <v>1</v>
      </c>
      <c r="G48">
        <v>849.23</v>
      </c>
      <c r="H48" s="65">
        <v>0.28153</v>
      </c>
      <c r="I48" s="60">
        <v>45473</v>
      </c>
      <c r="J48" s="63">
        <v>0.77759259259259261</v>
      </c>
      <c r="K48" s="67">
        <v>92773</v>
      </c>
      <c r="L48" s="67">
        <v>92773</v>
      </c>
      <c r="M48" s="67">
        <v>92773</v>
      </c>
      <c r="N48" s="57">
        <f t="shared" si="7"/>
        <v>0.28056599999999998</v>
      </c>
      <c r="P48">
        <v>4</v>
      </c>
      <c r="Q48" t="s">
        <v>164</v>
      </c>
      <c r="R48">
        <v>7104</v>
      </c>
      <c r="S48">
        <v>96</v>
      </c>
      <c r="T48">
        <v>1</v>
      </c>
      <c r="U48">
        <v>1</v>
      </c>
      <c r="V48">
        <v>1089.2</v>
      </c>
      <c r="W48" s="65">
        <v>0.21951000000000001</v>
      </c>
      <c r="X48" s="46">
        <v>45474</v>
      </c>
      <c r="Y48" s="47">
        <v>0.34903935185185186</v>
      </c>
      <c r="Z48">
        <v>142340</v>
      </c>
      <c r="AA48">
        <v>142341</v>
      </c>
      <c r="AB48">
        <v>142340</v>
      </c>
      <c r="AC48" s="57">
        <f t="shared" si="3"/>
        <v>0.210506</v>
      </c>
    </row>
    <row r="49" spans="1:29" x14ac:dyDescent="0.25">
      <c r="A49">
        <v>0</v>
      </c>
      <c r="B49" t="s">
        <v>164</v>
      </c>
      <c r="C49">
        <v>6272</v>
      </c>
      <c r="D49">
        <v>128</v>
      </c>
      <c r="E49">
        <v>1</v>
      </c>
      <c r="F49">
        <v>1</v>
      </c>
      <c r="G49">
        <v>580.62</v>
      </c>
      <c r="H49" s="65">
        <v>0.28338999999999998</v>
      </c>
      <c r="I49" s="60">
        <v>45472</v>
      </c>
      <c r="J49" s="63">
        <v>0.76222222222222225</v>
      </c>
      <c r="K49" s="67">
        <v>64145</v>
      </c>
      <c r="L49" s="67">
        <v>64145</v>
      </c>
      <c r="M49" s="67">
        <v>64145</v>
      </c>
      <c r="N49" s="57">
        <f t="shared" ref="N49" si="33">AVERAGE(H49:H53)</f>
        <v>0.28422999999999998</v>
      </c>
      <c r="P49">
        <v>0</v>
      </c>
      <c r="Q49" t="s">
        <v>164</v>
      </c>
      <c r="R49">
        <v>6272</v>
      </c>
      <c r="S49">
        <v>128</v>
      </c>
      <c r="T49">
        <v>1</v>
      </c>
      <c r="U49">
        <v>1</v>
      </c>
      <c r="V49">
        <v>730.73</v>
      </c>
      <c r="W49" s="65">
        <v>0.22517999999999999</v>
      </c>
      <c r="X49" s="46">
        <v>45472</v>
      </c>
      <c r="Y49" s="47">
        <v>0.77888888888888885</v>
      </c>
      <c r="Z49">
        <v>99102</v>
      </c>
      <c r="AA49">
        <v>99103</v>
      </c>
      <c r="AB49">
        <v>99101</v>
      </c>
      <c r="AC49" s="57">
        <f t="shared" ref="AC49" si="34">AVERAGE(W49:W53)</f>
        <v>0.226328</v>
      </c>
    </row>
    <row r="50" spans="1:29" x14ac:dyDescent="0.25">
      <c r="A50">
        <v>1</v>
      </c>
      <c r="B50" t="s">
        <v>164</v>
      </c>
      <c r="C50">
        <v>6272</v>
      </c>
      <c r="D50">
        <v>128</v>
      </c>
      <c r="E50">
        <v>1</v>
      </c>
      <c r="F50">
        <v>1</v>
      </c>
      <c r="G50">
        <v>577.91</v>
      </c>
      <c r="H50" s="65">
        <v>0.28471999999999997</v>
      </c>
      <c r="I50" s="60">
        <v>45472</v>
      </c>
      <c r="J50" s="63">
        <v>0.98203703703703704</v>
      </c>
      <c r="K50" s="67">
        <v>63809</v>
      </c>
      <c r="L50" s="67">
        <v>63809</v>
      </c>
      <c r="M50" s="67">
        <v>63809</v>
      </c>
      <c r="N50" s="57">
        <f t="shared" ref="N50" si="35">N49</f>
        <v>0.28422999999999998</v>
      </c>
      <c r="P50">
        <v>1</v>
      </c>
      <c r="Q50" t="s">
        <v>164</v>
      </c>
      <c r="R50">
        <v>6272</v>
      </c>
      <c r="S50">
        <v>128</v>
      </c>
      <c r="T50">
        <v>1</v>
      </c>
      <c r="U50">
        <v>1</v>
      </c>
      <c r="V50">
        <v>717.91</v>
      </c>
      <c r="W50" s="65">
        <v>0.22919999999999999</v>
      </c>
      <c r="X50" s="46">
        <v>45473</v>
      </c>
      <c r="Y50" s="47">
        <v>0.11716435185185185</v>
      </c>
      <c r="Z50">
        <v>97921</v>
      </c>
      <c r="AA50">
        <v>97921</v>
      </c>
      <c r="AB50">
        <v>97921</v>
      </c>
      <c r="AC50" s="57">
        <f t="shared" ref="AC50" si="36">AC49</f>
        <v>0.226328</v>
      </c>
    </row>
    <row r="51" spans="1:29" x14ac:dyDescent="0.25">
      <c r="A51">
        <v>2</v>
      </c>
      <c r="B51" t="s">
        <v>164</v>
      </c>
      <c r="C51">
        <v>6272</v>
      </c>
      <c r="D51">
        <v>128</v>
      </c>
      <c r="E51">
        <v>1</v>
      </c>
      <c r="F51">
        <v>1</v>
      </c>
      <c r="G51">
        <v>577.95000000000005</v>
      </c>
      <c r="H51" s="65">
        <v>0.28471000000000002</v>
      </c>
      <c r="I51" s="60">
        <v>45473</v>
      </c>
      <c r="J51" s="63">
        <v>0.20166666666666666</v>
      </c>
      <c r="K51" s="67">
        <v>63846</v>
      </c>
      <c r="L51" s="67">
        <v>63846</v>
      </c>
      <c r="M51" s="67">
        <v>63845</v>
      </c>
      <c r="N51" s="57">
        <f t="shared" si="7"/>
        <v>0.28422999999999998</v>
      </c>
      <c r="P51">
        <v>2</v>
      </c>
      <c r="Q51" t="s">
        <v>164</v>
      </c>
      <c r="R51">
        <v>6272</v>
      </c>
      <c r="S51">
        <v>128</v>
      </c>
      <c r="T51">
        <v>1</v>
      </c>
      <c r="U51">
        <v>1</v>
      </c>
      <c r="V51">
        <v>719.35</v>
      </c>
      <c r="W51" s="65">
        <v>0.22874</v>
      </c>
      <c r="X51" s="46">
        <v>45473</v>
      </c>
      <c r="Y51" s="47">
        <v>0.45824074074074073</v>
      </c>
      <c r="Z51">
        <v>98106</v>
      </c>
      <c r="AA51">
        <v>98105</v>
      </c>
      <c r="AB51">
        <v>98106</v>
      </c>
      <c r="AC51" s="57">
        <f t="shared" si="3"/>
        <v>0.226328</v>
      </c>
    </row>
    <row r="52" spans="1:29" x14ac:dyDescent="0.25">
      <c r="A52">
        <v>3</v>
      </c>
      <c r="B52" t="s">
        <v>164</v>
      </c>
      <c r="C52">
        <v>6272</v>
      </c>
      <c r="D52">
        <v>128</v>
      </c>
      <c r="E52">
        <v>1</v>
      </c>
      <c r="F52">
        <v>1</v>
      </c>
      <c r="G52">
        <v>577.99</v>
      </c>
      <c r="H52" s="65">
        <v>0.28467999999999999</v>
      </c>
      <c r="I52" s="60">
        <v>45473</v>
      </c>
      <c r="J52" s="63">
        <v>0.42118055555555556</v>
      </c>
      <c r="K52" s="67">
        <v>63857</v>
      </c>
      <c r="L52" s="67">
        <v>63857</v>
      </c>
      <c r="M52" s="67">
        <v>63857</v>
      </c>
      <c r="N52" s="57">
        <f t="shared" si="7"/>
        <v>0.28422999999999998</v>
      </c>
      <c r="P52">
        <v>3</v>
      </c>
      <c r="Q52" t="s">
        <v>164</v>
      </c>
      <c r="R52">
        <v>6272</v>
      </c>
      <c r="S52">
        <v>128</v>
      </c>
      <c r="T52">
        <v>1</v>
      </c>
      <c r="U52">
        <v>1</v>
      </c>
      <c r="V52">
        <v>717.73</v>
      </c>
      <c r="W52" s="65">
        <v>0.22925999999999999</v>
      </c>
      <c r="X52" s="46">
        <v>45473</v>
      </c>
      <c r="Y52" s="47">
        <v>0.79790509259259257</v>
      </c>
      <c r="Z52">
        <v>97820</v>
      </c>
      <c r="AA52">
        <v>97819</v>
      </c>
      <c r="AB52">
        <v>97821</v>
      </c>
      <c r="AC52" s="57">
        <f t="shared" si="3"/>
        <v>0.226328</v>
      </c>
    </row>
    <row r="53" spans="1:29" x14ac:dyDescent="0.25">
      <c r="A53">
        <v>4</v>
      </c>
      <c r="B53" t="s">
        <v>164</v>
      </c>
      <c r="C53">
        <v>6272</v>
      </c>
      <c r="D53">
        <v>128</v>
      </c>
      <c r="E53">
        <v>1</v>
      </c>
      <c r="F53">
        <v>1</v>
      </c>
      <c r="G53">
        <v>580.1</v>
      </c>
      <c r="H53" s="65">
        <v>0.28365000000000001</v>
      </c>
      <c r="I53" s="60">
        <v>45473</v>
      </c>
      <c r="J53" s="63">
        <v>0.64054398148148151</v>
      </c>
      <c r="K53" s="67">
        <v>64037</v>
      </c>
      <c r="L53" s="67">
        <v>64038</v>
      </c>
      <c r="M53" s="67">
        <v>64037</v>
      </c>
      <c r="N53" s="57">
        <f t="shared" si="7"/>
        <v>0.28422999999999998</v>
      </c>
      <c r="P53">
        <v>4</v>
      </c>
      <c r="Q53" t="s">
        <v>164</v>
      </c>
      <c r="R53">
        <v>6272</v>
      </c>
      <c r="S53">
        <v>128</v>
      </c>
      <c r="T53">
        <v>1</v>
      </c>
      <c r="U53">
        <v>1</v>
      </c>
      <c r="V53">
        <v>750.44</v>
      </c>
      <c r="W53" s="65">
        <v>0.21926000000000001</v>
      </c>
      <c r="X53" s="46">
        <v>45474</v>
      </c>
      <c r="Y53" s="47">
        <v>0.14003472222222221</v>
      </c>
      <c r="Z53">
        <v>100992</v>
      </c>
      <c r="AA53">
        <v>100993</v>
      </c>
      <c r="AB53">
        <v>100992</v>
      </c>
      <c r="AC53" s="57">
        <f t="shared" si="3"/>
        <v>0.226328</v>
      </c>
    </row>
    <row r="54" spans="1:29" x14ac:dyDescent="0.25">
      <c r="A54">
        <v>0</v>
      </c>
      <c r="B54" t="s">
        <v>164</v>
      </c>
      <c r="C54">
        <v>6656</v>
      </c>
      <c r="D54">
        <v>128</v>
      </c>
      <c r="E54">
        <v>1</v>
      </c>
      <c r="F54">
        <v>1</v>
      </c>
      <c r="G54">
        <v>747.56</v>
      </c>
      <c r="H54" s="65">
        <v>0.26306000000000002</v>
      </c>
      <c r="I54" s="60">
        <v>45472</v>
      </c>
      <c r="J54" s="63">
        <v>0.82961805555555557</v>
      </c>
      <c r="K54" s="67">
        <v>81556</v>
      </c>
      <c r="L54" s="67">
        <v>81557</v>
      </c>
      <c r="M54" s="67">
        <v>81556</v>
      </c>
      <c r="N54" s="57">
        <f t="shared" ref="N54" si="37">AVERAGE(H54:H58)</f>
        <v>0.26275600000000005</v>
      </c>
      <c r="P54">
        <v>0</v>
      </c>
      <c r="Q54" t="s">
        <v>164</v>
      </c>
      <c r="R54">
        <v>6656</v>
      </c>
      <c r="S54">
        <v>128</v>
      </c>
      <c r="T54">
        <v>1</v>
      </c>
      <c r="U54">
        <v>1</v>
      </c>
      <c r="V54">
        <v>879.61</v>
      </c>
      <c r="W54" s="65">
        <v>0.22356999999999999</v>
      </c>
      <c r="X54" s="46">
        <v>45472</v>
      </c>
      <c r="Y54" s="47">
        <v>0.88209490740740737</v>
      </c>
      <c r="Z54">
        <v>117503</v>
      </c>
      <c r="AA54">
        <v>117506</v>
      </c>
      <c r="AB54">
        <v>117511</v>
      </c>
      <c r="AC54" s="57">
        <f t="shared" ref="AC54" si="38">AVERAGE(W54:W58)</f>
        <v>0.21948400000000001</v>
      </c>
    </row>
    <row r="55" spans="1:29" x14ac:dyDescent="0.25">
      <c r="A55">
        <v>1</v>
      </c>
      <c r="B55" t="s">
        <v>164</v>
      </c>
      <c r="C55">
        <v>6656</v>
      </c>
      <c r="D55">
        <v>128</v>
      </c>
      <c r="E55">
        <v>1</v>
      </c>
      <c r="F55">
        <v>1</v>
      </c>
      <c r="G55">
        <v>746.09</v>
      </c>
      <c r="H55" s="65">
        <v>0.26357000000000003</v>
      </c>
      <c r="I55" s="60">
        <v>45473</v>
      </c>
      <c r="J55" s="63">
        <v>4.9513888888888892E-2</v>
      </c>
      <c r="K55" s="67">
        <v>81406</v>
      </c>
      <c r="L55" s="67">
        <v>81406</v>
      </c>
      <c r="M55" s="67">
        <v>81406</v>
      </c>
      <c r="N55" s="57">
        <f t="shared" ref="N55" si="39">N54</f>
        <v>0.26275600000000005</v>
      </c>
      <c r="P55">
        <v>1</v>
      </c>
      <c r="Q55" t="s">
        <v>164</v>
      </c>
      <c r="R55">
        <v>6656</v>
      </c>
      <c r="S55">
        <v>128</v>
      </c>
      <c r="T55">
        <v>1</v>
      </c>
      <c r="U55">
        <v>1</v>
      </c>
      <c r="V55">
        <v>914.36</v>
      </c>
      <c r="W55" s="65">
        <v>0.21507000000000001</v>
      </c>
      <c r="X55" s="46">
        <v>45473</v>
      </c>
      <c r="Y55" s="47">
        <v>0.22028935185185186</v>
      </c>
      <c r="Z55">
        <v>120871</v>
      </c>
      <c r="AA55">
        <v>120870</v>
      </c>
      <c r="AB55">
        <v>120870</v>
      </c>
      <c r="AC55" s="57">
        <f t="shared" ref="AC55" si="40">AC54</f>
        <v>0.21948400000000001</v>
      </c>
    </row>
    <row r="56" spans="1:29" x14ac:dyDescent="0.25">
      <c r="A56">
        <v>2</v>
      </c>
      <c r="B56" t="s">
        <v>164</v>
      </c>
      <c r="C56">
        <v>6656</v>
      </c>
      <c r="D56">
        <v>128</v>
      </c>
      <c r="E56">
        <v>1</v>
      </c>
      <c r="F56">
        <v>1</v>
      </c>
      <c r="G56">
        <v>751.57</v>
      </c>
      <c r="H56" s="65">
        <v>0.26164999999999999</v>
      </c>
      <c r="I56" s="60">
        <v>45473</v>
      </c>
      <c r="J56" s="63">
        <v>0.26907407407407408</v>
      </c>
      <c r="K56" s="67">
        <v>81942</v>
      </c>
      <c r="L56" s="67">
        <v>81942</v>
      </c>
      <c r="M56" s="67">
        <v>81941</v>
      </c>
      <c r="N56" s="57">
        <f t="shared" si="7"/>
        <v>0.26275600000000005</v>
      </c>
      <c r="P56">
        <v>2</v>
      </c>
      <c r="Q56" t="s">
        <v>164</v>
      </c>
      <c r="R56">
        <v>6656</v>
      </c>
      <c r="S56">
        <v>128</v>
      </c>
      <c r="T56">
        <v>1</v>
      </c>
      <c r="U56">
        <v>1</v>
      </c>
      <c r="V56">
        <v>893.11</v>
      </c>
      <c r="W56" s="65">
        <v>0.22019</v>
      </c>
      <c r="X56" s="46">
        <v>45473</v>
      </c>
      <c r="Y56" s="47">
        <v>0.5615162037037037</v>
      </c>
      <c r="Z56">
        <v>118877</v>
      </c>
      <c r="AA56">
        <v>118877</v>
      </c>
      <c r="AB56">
        <v>118877</v>
      </c>
      <c r="AC56" s="57">
        <f t="shared" si="3"/>
        <v>0.21948400000000001</v>
      </c>
    </row>
    <row r="57" spans="1:29" x14ac:dyDescent="0.25">
      <c r="A57">
        <v>3</v>
      </c>
      <c r="B57" t="s">
        <v>164</v>
      </c>
      <c r="C57">
        <v>6656</v>
      </c>
      <c r="D57">
        <v>128</v>
      </c>
      <c r="E57">
        <v>1</v>
      </c>
      <c r="F57">
        <v>1</v>
      </c>
      <c r="G57">
        <v>748.06</v>
      </c>
      <c r="H57" s="65">
        <v>0.26288</v>
      </c>
      <c r="I57" s="60">
        <v>45473</v>
      </c>
      <c r="J57" s="63">
        <v>0.48859953703703701</v>
      </c>
      <c r="K57" s="67">
        <v>81581</v>
      </c>
      <c r="L57" s="67">
        <v>81580</v>
      </c>
      <c r="M57" s="67">
        <v>81580</v>
      </c>
      <c r="N57" s="57">
        <f t="shared" si="7"/>
        <v>0.26275600000000005</v>
      </c>
      <c r="P57">
        <v>3</v>
      </c>
      <c r="Q57" t="s">
        <v>164</v>
      </c>
      <c r="R57">
        <v>6656</v>
      </c>
      <c r="S57">
        <v>128</v>
      </c>
      <c r="T57">
        <v>1</v>
      </c>
      <c r="U57">
        <v>1</v>
      </c>
      <c r="V57">
        <v>913.58</v>
      </c>
      <c r="W57" s="65">
        <v>0.21525</v>
      </c>
      <c r="X57" s="46">
        <v>45473</v>
      </c>
      <c r="Y57" s="47">
        <v>0.90017361111111116</v>
      </c>
      <c r="Z57">
        <v>120725</v>
      </c>
      <c r="AA57">
        <v>120725</v>
      </c>
      <c r="AB57">
        <v>120726</v>
      </c>
      <c r="AC57" s="57">
        <f t="shared" si="3"/>
        <v>0.21948400000000001</v>
      </c>
    </row>
    <row r="58" spans="1:29" x14ac:dyDescent="0.25">
      <c r="A58">
        <v>4</v>
      </c>
      <c r="B58" t="s">
        <v>164</v>
      </c>
      <c r="C58">
        <v>6656</v>
      </c>
      <c r="D58">
        <v>128</v>
      </c>
      <c r="E58">
        <v>1</v>
      </c>
      <c r="F58">
        <v>1</v>
      </c>
      <c r="G58">
        <v>748.8</v>
      </c>
      <c r="H58" s="65">
        <v>0.26262000000000002</v>
      </c>
      <c r="I58" s="60">
        <v>45473</v>
      </c>
      <c r="J58" s="63">
        <v>0.7082060185185185</v>
      </c>
      <c r="K58" s="67">
        <v>81628</v>
      </c>
      <c r="L58" s="67">
        <v>81628</v>
      </c>
      <c r="M58" s="67">
        <v>81628</v>
      </c>
      <c r="N58" s="57">
        <f t="shared" si="7"/>
        <v>0.26275600000000005</v>
      </c>
      <c r="P58">
        <v>4</v>
      </c>
      <c r="Q58" t="s">
        <v>164</v>
      </c>
      <c r="R58">
        <v>6656</v>
      </c>
      <c r="S58">
        <v>128</v>
      </c>
      <c r="T58">
        <v>1</v>
      </c>
      <c r="U58">
        <v>1</v>
      </c>
      <c r="V58">
        <v>880.5</v>
      </c>
      <c r="W58" s="65">
        <v>0.22334000000000001</v>
      </c>
      <c r="X58" s="46">
        <v>45474</v>
      </c>
      <c r="Y58" s="47">
        <v>0.2432175925925926</v>
      </c>
      <c r="Z58">
        <v>117352</v>
      </c>
      <c r="AA58">
        <v>117353</v>
      </c>
      <c r="AB58">
        <v>117352</v>
      </c>
      <c r="AC58" s="57">
        <f t="shared" si="3"/>
        <v>0.21948400000000001</v>
      </c>
    </row>
    <row r="59" spans="1:29" x14ac:dyDescent="0.25">
      <c r="A59">
        <v>0</v>
      </c>
      <c r="B59" t="s">
        <v>164</v>
      </c>
      <c r="C59">
        <v>7040</v>
      </c>
      <c r="D59">
        <v>128</v>
      </c>
      <c r="E59">
        <v>1</v>
      </c>
      <c r="F59">
        <v>1</v>
      </c>
      <c r="G59">
        <v>847.81</v>
      </c>
      <c r="H59" s="65">
        <v>0.27445000000000003</v>
      </c>
      <c r="I59" s="60">
        <v>45472</v>
      </c>
      <c r="J59" s="63">
        <v>0.90990740740740739</v>
      </c>
      <c r="K59" s="67">
        <v>92717</v>
      </c>
      <c r="L59" s="67">
        <v>92717</v>
      </c>
      <c r="M59" s="67">
        <v>92717</v>
      </c>
      <c r="N59" s="57">
        <f t="shared" ref="N59" si="41">AVERAGE(H59:H63)</f>
        <v>0.278644</v>
      </c>
      <c r="P59">
        <v>0</v>
      </c>
      <c r="Q59" t="s">
        <v>164</v>
      </c>
      <c r="R59">
        <v>7040</v>
      </c>
      <c r="S59">
        <v>128</v>
      </c>
      <c r="T59">
        <v>1</v>
      </c>
      <c r="U59">
        <v>1</v>
      </c>
      <c r="V59">
        <v>1027.1600000000001</v>
      </c>
      <c r="W59" s="65">
        <v>0.22653000000000001</v>
      </c>
      <c r="X59" s="46">
        <v>45473</v>
      </c>
      <c r="Y59" s="47">
        <v>5.4861111111111109E-3</v>
      </c>
      <c r="Z59">
        <v>135684</v>
      </c>
      <c r="AA59">
        <v>135685</v>
      </c>
      <c r="AB59">
        <v>135684</v>
      </c>
      <c r="AC59" s="57">
        <f t="shared" ref="AC59" si="42">AVERAGE(W59:W63)</f>
        <v>0.22583600000000001</v>
      </c>
    </row>
    <row r="60" spans="1:29" x14ac:dyDescent="0.25">
      <c r="A60">
        <v>1</v>
      </c>
      <c r="B60" t="s">
        <v>164</v>
      </c>
      <c r="C60">
        <v>7040</v>
      </c>
      <c r="D60">
        <v>128</v>
      </c>
      <c r="E60">
        <v>1</v>
      </c>
      <c r="F60">
        <v>1</v>
      </c>
      <c r="G60">
        <v>830.08</v>
      </c>
      <c r="H60" s="65">
        <v>0.28031</v>
      </c>
      <c r="I60" s="60">
        <v>45473</v>
      </c>
      <c r="J60" s="63">
        <v>0.1295486111111111</v>
      </c>
      <c r="K60" s="67">
        <v>90699</v>
      </c>
      <c r="L60" s="67">
        <v>90700</v>
      </c>
      <c r="M60" s="67">
        <v>90699</v>
      </c>
      <c r="N60" s="57">
        <f t="shared" ref="N60" si="43">N59</f>
        <v>0.278644</v>
      </c>
      <c r="P60">
        <v>1</v>
      </c>
      <c r="Q60" t="s">
        <v>164</v>
      </c>
      <c r="R60">
        <v>7040</v>
      </c>
      <c r="S60">
        <v>128</v>
      </c>
      <c r="T60">
        <v>1</v>
      </c>
      <c r="U60">
        <v>1</v>
      </c>
      <c r="V60">
        <v>1032.02</v>
      </c>
      <c r="W60" s="65">
        <v>0.22545999999999999</v>
      </c>
      <c r="X60" s="46">
        <v>45473</v>
      </c>
      <c r="Y60" s="47">
        <v>0.34413194444444445</v>
      </c>
      <c r="Z60">
        <v>136035</v>
      </c>
      <c r="AA60">
        <v>136033</v>
      </c>
      <c r="AB60">
        <v>136033</v>
      </c>
      <c r="AC60" s="57">
        <f t="shared" ref="AC60" si="44">AC59</f>
        <v>0.22583600000000001</v>
      </c>
    </row>
    <row r="61" spans="1:29" x14ac:dyDescent="0.25">
      <c r="A61">
        <v>2</v>
      </c>
      <c r="B61" t="s">
        <v>164</v>
      </c>
      <c r="C61">
        <v>7040</v>
      </c>
      <c r="D61">
        <v>128</v>
      </c>
      <c r="E61">
        <v>1</v>
      </c>
      <c r="F61">
        <v>1</v>
      </c>
      <c r="G61">
        <v>833.34</v>
      </c>
      <c r="H61" s="65">
        <v>0.27922000000000002</v>
      </c>
      <c r="I61" s="60">
        <v>45473</v>
      </c>
      <c r="J61" s="63">
        <v>0.34907407407407409</v>
      </c>
      <c r="K61" s="67">
        <v>91036</v>
      </c>
      <c r="L61" s="67">
        <v>91035</v>
      </c>
      <c r="M61" s="67">
        <v>91035</v>
      </c>
      <c r="N61" s="57">
        <f t="shared" si="7"/>
        <v>0.278644</v>
      </c>
      <c r="P61">
        <v>2</v>
      </c>
      <c r="Q61" t="s">
        <v>164</v>
      </c>
      <c r="R61">
        <v>7040</v>
      </c>
      <c r="S61">
        <v>128</v>
      </c>
      <c r="T61">
        <v>1</v>
      </c>
      <c r="U61">
        <v>1</v>
      </c>
      <c r="V61">
        <v>1051.3499999999999</v>
      </c>
      <c r="W61" s="65">
        <v>0.22131999999999999</v>
      </c>
      <c r="X61" s="46">
        <v>45473</v>
      </c>
      <c r="Y61" s="47">
        <v>0.6862152777777778</v>
      </c>
      <c r="Z61">
        <v>137951</v>
      </c>
      <c r="AA61">
        <v>137950</v>
      </c>
      <c r="AB61">
        <v>137951</v>
      </c>
      <c r="AC61" s="57">
        <f t="shared" si="3"/>
        <v>0.22583600000000001</v>
      </c>
    </row>
    <row r="62" spans="1:29" x14ac:dyDescent="0.25">
      <c r="A62">
        <v>3</v>
      </c>
      <c r="B62" t="s">
        <v>164</v>
      </c>
      <c r="C62">
        <v>7040</v>
      </c>
      <c r="D62">
        <v>128</v>
      </c>
      <c r="E62">
        <v>1</v>
      </c>
      <c r="F62">
        <v>1</v>
      </c>
      <c r="G62">
        <v>831.67</v>
      </c>
      <c r="H62" s="65">
        <v>0.27977999999999997</v>
      </c>
      <c r="I62" s="60">
        <v>45473</v>
      </c>
      <c r="J62" s="63">
        <v>0.56843750000000004</v>
      </c>
      <c r="K62" s="67">
        <v>90819</v>
      </c>
      <c r="L62" s="67">
        <v>90818</v>
      </c>
      <c r="M62" s="67">
        <v>90819</v>
      </c>
      <c r="N62" s="57">
        <f t="shared" si="7"/>
        <v>0.278644</v>
      </c>
      <c r="P62">
        <v>3</v>
      </c>
      <c r="Q62" t="s">
        <v>164</v>
      </c>
      <c r="R62">
        <v>7040</v>
      </c>
      <c r="S62">
        <v>128</v>
      </c>
      <c r="T62">
        <v>1</v>
      </c>
      <c r="U62">
        <v>1</v>
      </c>
      <c r="V62">
        <v>1026.96</v>
      </c>
      <c r="W62" s="65">
        <v>0.22656999999999999</v>
      </c>
      <c r="X62" s="46">
        <v>45474</v>
      </c>
      <c r="Y62" s="47">
        <v>2.3796296296296298E-2</v>
      </c>
      <c r="Z62">
        <v>135404</v>
      </c>
      <c r="AA62">
        <v>135404</v>
      </c>
      <c r="AB62">
        <v>135405</v>
      </c>
      <c r="AC62" s="57">
        <f t="shared" si="3"/>
        <v>0.22583600000000001</v>
      </c>
    </row>
    <row r="63" spans="1:29" x14ac:dyDescent="0.25">
      <c r="A63">
        <v>4</v>
      </c>
      <c r="B63" t="s">
        <v>164</v>
      </c>
      <c r="C63">
        <v>7040</v>
      </c>
      <c r="D63">
        <v>128</v>
      </c>
      <c r="E63">
        <v>1</v>
      </c>
      <c r="F63">
        <v>1</v>
      </c>
      <c r="G63">
        <v>832.61</v>
      </c>
      <c r="H63" s="65">
        <v>0.27945999999999999</v>
      </c>
      <c r="I63" s="60">
        <v>45473</v>
      </c>
      <c r="J63" s="63">
        <v>0.78814814814814815</v>
      </c>
      <c r="K63" s="67">
        <v>90910</v>
      </c>
      <c r="L63" s="67">
        <v>90910</v>
      </c>
      <c r="M63" s="67">
        <v>90909</v>
      </c>
      <c r="N63" s="57">
        <f t="shared" si="7"/>
        <v>0.278644</v>
      </c>
      <c r="P63">
        <v>4</v>
      </c>
      <c r="Q63" t="s">
        <v>164</v>
      </c>
      <c r="R63">
        <v>7040</v>
      </c>
      <c r="S63">
        <v>128</v>
      </c>
      <c r="T63">
        <v>1</v>
      </c>
      <c r="U63">
        <v>1</v>
      </c>
      <c r="V63">
        <v>1014.77</v>
      </c>
      <c r="W63" s="65">
        <v>0.2293</v>
      </c>
      <c r="X63" s="46">
        <v>45474</v>
      </c>
      <c r="Y63" s="47">
        <v>0.36459490740740741</v>
      </c>
      <c r="Z63">
        <v>134180</v>
      </c>
      <c r="AA63">
        <v>134181</v>
      </c>
      <c r="AB63">
        <v>134180</v>
      </c>
      <c r="AC63" s="57">
        <f t="shared" si="3"/>
        <v>0.22583600000000001</v>
      </c>
    </row>
    <row r="64" spans="1:29" x14ac:dyDescent="0.25">
      <c r="A64">
        <v>0</v>
      </c>
      <c r="B64" t="s">
        <v>164</v>
      </c>
      <c r="C64">
        <v>6240</v>
      </c>
      <c r="D64">
        <v>160</v>
      </c>
      <c r="E64">
        <v>1</v>
      </c>
      <c r="F64">
        <v>1</v>
      </c>
      <c r="G64">
        <v>580.95000000000005</v>
      </c>
      <c r="H64" s="65">
        <v>0.27892</v>
      </c>
      <c r="I64" s="60">
        <v>45472</v>
      </c>
      <c r="J64" s="63">
        <v>0.76965277777777774</v>
      </c>
      <c r="K64" s="67">
        <v>64065</v>
      </c>
      <c r="L64" s="67">
        <v>64066</v>
      </c>
      <c r="M64" s="67">
        <v>64065</v>
      </c>
      <c r="N64" s="57">
        <f t="shared" ref="N64" si="45">AVERAGE(H64:H68)</f>
        <v>0.27927000000000002</v>
      </c>
      <c r="P64">
        <v>0</v>
      </c>
      <c r="Q64" t="s">
        <v>164</v>
      </c>
      <c r="R64">
        <v>6240</v>
      </c>
      <c r="S64">
        <v>160</v>
      </c>
      <c r="T64">
        <v>1</v>
      </c>
      <c r="U64">
        <v>1</v>
      </c>
      <c r="V64">
        <v>721.96</v>
      </c>
      <c r="W64" s="65">
        <v>0.22444</v>
      </c>
      <c r="X64" s="46">
        <v>45472</v>
      </c>
      <c r="Y64" s="47">
        <v>0.79025462962962967</v>
      </c>
      <c r="Z64">
        <v>97919</v>
      </c>
      <c r="AA64">
        <v>97918</v>
      </c>
      <c r="AB64">
        <v>97919</v>
      </c>
      <c r="AC64" s="57">
        <f t="shared" ref="AC64" si="46">AVERAGE(W64:W68)</f>
        <v>0.22377799999999998</v>
      </c>
    </row>
    <row r="65" spans="1:29" x14ac:dyDescent="0.25">
      <c r="A65">
        <v>1</v>
      </c>
      <c r="B65" t="s">
        <v>164</v>
      </c>
      <c r="C65">
        <v>6240</v>
      </c>
      <c r="D65">
        <v>160</v>
      </c>
      <c r="E65">
        <v>1</v>
      </c>
      <c r="F65">
        <v>1</v>
      </c>
      <c r="G65">
        <v>578.91</v>
      </c>
      <c r="H65" s="65">
        <v>0.27989999999999998</v>
      </c>
      <c r="I65" s="60">
        <v>45472</v>
      </c>
      <c r="J65" s="63">
        <v>0.98944444444444446</v>
      </c>
      <c r="K65" s="67">
        <v>63843</v>
      </c>
      <c r="L65" s="67">
        <v>63842</v>
      </c>
      <c r="M65" s="67">
        <v>63843</v>
      </c>
      <c r="N65" s="57">
        <f t="shared" ref="N65" si="47">N64</f>
        <v>0.27927000000000002</v>
      </c>
      <c r="P65">
        <v>1</v>
      </c>
      <c r="Q65" t="s">
        <v>164</v>
      </c>
      <c r="R65">
        <v>6240</v>
      </c>
      <c r="S65">
        <v>160</v>
      </c>
      <c r="T65">
        <v>1</v>
      </c>
      <c r="U65">
        <v>1</v>
      </c>
      <c r="V65">
        <v>737.44</v>
      </c>
      <c r="W65" s="65">
        <v>0.21973000000000001</v>
      </c>
      <c r="X65" s="46">
        <v>45473</v>
      </c>
      <c r="Y65" s="47">
        <v>0.12871527777777778</v>
      </c>
      <c r="Z65">
        <v>99511</v>
      </c>
      <c r="AA65">
        <v>99517</v>
      </c>
      <c r="AB65">
        <v>99519</v>
      </c>
      <c r="AC65" s="57">
        <f t="shared" ref="AC65" si="48">AC64</f>
        <v>0.22377799999999998</v>
      </c>
    </row>
    <row r="66" spans="1:29" x14ac:dyDescent="0.25">
      <c r="A66">
        <v>2</v>
      </c>
      <c r="B66" t="s">
        <v>164</v>
      </c>
      <c r="C66">
        <v>6240</v>
      </c>
      <c r="D66">
        <v>160</v>
      </c>
      <c r="E66">
        <v>1</v>
      </c>
      <c r="F66">
        <v>1</v>
      </c>
      <c r="G66">
        <v>581.01</v>
      </c>
      <c r="H66" s="65">
        <v>0.27889000000000003</v>
      </c>
      <c r="I66" s="60">
        <v>45473</v>
      </c>
      <c r="J66" s="63">
        <v>0.20909722222222221</v>
      </c>
      <c r="K66" s="67">
        <v>64058</v>
      </c>
      <c r="L66" s="67">
        <v>64059</v>
      </c>
      <c r="M66" s="67">
        <v>64058</v>
      </c>
      <c r="N66" s="57">
        <f t="shared" si="7"/>
        <v>0.27927000000000002</v>
      </c>
      <c r="P66">
        <v>2</v>
      </c>
      <c r="Q66" t="s">
        <v>164</v>
      </c>
      <c r="R66">
        <v>6240</v>
      </c>
      <c r="S66">
        <v>160</v>
      </c>
      <c r="T66">
        <v>1</v>
      </c>
      <c r="U66">
        <v>1</v>
      </c>
      <c r="V66">
        <v>735.78</v>
      </c>
      <c r="W66" s="65">
        <v>0.22023000000000001</v>
      </c>
      <c r="X66" s="46">
        <v>45473</v>
      </c>
      <c r="Y66" s="47">
        <v>0.46975694444444444</v>
      </c>
      <c r="Z66">
        <v>99288</v>
      </c>
      <c r="AA66">
        <v>99288</v>
      </c>
      <c r="AB66">
        <v>99287</v>
      </c>
      <c r="AC66" s="57">
        <f t="shared" si="3"/>
        <v>0.22377799999999998</v>
      </c>
    </row>
    <row r="67" spans="1:29" x14ac:dyDescent="0.25">
      <c r="A67">
        <v>3</v>
      </c>
      <c r="B67" t="s">
        <v>164</v>
      </c>
      <c r="C67">
        <v>6240</v>
      </c>
      <c r="D67">
        <v>160</v>
      </c>
      <c r="E67">
        <v>1</v>
      </c>
      <c r="F67">
        <v>1</v>
      </c>
      <c r="G67">
        <v>581.04</v>
      </c>
      <c r="H67" s="65">
        <v>0.27888000000000002</v>
      </c>
      <c r="I67" s="60">
        <v>45473</v>
      </c>
      <c r="J67" s="63">
        <v>0.4286226851851852</v>
      </c>
      <c r="K67" s="67">
        <v>64091</v>
      </c>
      <c r="L67" s="67">
        <v>64091</v>
      </c>
      <c r="M67" s="67">
        <v>64091</v>
      </c>
      <c r="N67" s="57">
        <f t="shared" si="7"/>
        <v>0.27927000000000002</v>
      </c>
      <c r="P67">
        <v>3</v>
      </c>
      <c r="Q67" t="s">
        <v>164</v>
      </c>
      <c r="R67">
        <v>6240</v>
      </c>
      <c r="S67">
        <v>160</v>
      </c>
      <c r="T67">
        <v>1</v>
      </c>
      <c r="U67">
        <v>1</v>
      </c>
      <c r="V67">
        <v>713.19</v>
      </c>
      <c r="W67" s="65">
        <v>0.22720000000000001</v>
      </c>
      <c r="X67" s="46">
        <v>45473</v>
      </c>
      <c r="Y67" s="47">
        <v>0.8091666666666667</v>
      </c>
      <c r="Z67">
        <v>97099</v>
      </c>
      <c r="AA67">
        <v>97099</v>
      </c>
      <c r="AB67">
        <v>97100</v>
      </c>
      <c r="AC67" s="57">
        <f t="shared" si="3"/>
        <v>0.22377799999999998</v>
      </c>
    </row>
    <row r="68" spans="1:29" x14ac:dyDescent="0.25">
      <c r="A68">
        <v>4</v>
      </c>
      <c r="B68" t="s">
        <v>164</v>
      </c>
      <c r="C68">
        <v>6240</v>
      </c>
      <c r="D68">
        <v>160</v>
      </c>
      <c r="E68">
        <v>1</v>
      </c>
      <c r="F68">
        <v>1</v>
      </c>
      <c r="G68">
        <v>579.22</v>
      </c>
      <c r="H68" s="65">
        <v>0.27976000000000001</v>
      </c>
      <c r="I68" s="60">
        <v>45473</v>
      </c>
      <c r="J68" s="63">
        <v>0.64796296296296296</v>
      </c>
      <c r="K68" s="67">
        <v>63911</v>
      </c>
      <c r="L68" s="67">
        <v>63911</v>
      </c>
      <c r="M68" s="67">
        <v>63911</v>
      </c>
      <c r="N68" s="57">
        <f t="shared" si="7"/>
        <v>0.27927000000000002</v>
      </c>
      <c r="P68">
        <v>4</v>
      </c>
      <c r="Q68" t="s">
        <v>164</v>
      </c>
      <c r="R68">
        <v>6240</v>
      </c>
      <c r="S68">
        <v>160</v>
      </c>
      <c r="T68">
        <v>1</v>
      </c>
      <c r="U68">
        <v>1</v>
      </c>
      <c r="V68">
        <v>712.93</v>
      </c>
      <c r="W68" s="65">
        <v>0.22728999999999999</v>
      </c>
      <c r="X68" s="46">
        <v>45474</v>
      </c>
      <c r="Y68" s="47">
        <v>0.15127314814814816</v>
      </c>
      <c r="Z68">
        <v>96933</v>
      </c>
      <c r="AA68">
        <v>96934</v>
      </c>
      <c r="AB68">
        <v>96934</v>
      </c>
      <c r="AC68" s="57">
        <f t="shared" si="3"/>
        <v>0.22377799999999998</v>
      </c>
    </row>
    <row r="69" spans="1:29" x14ac:dyDescent="0.25">
      <c r="A69">
        <v>0</v>
      </c>
      <c r="B69" t="s">
        <v>164</v>
      </c>
      <c r="C69">
        <v>6720</v>
      </c>
      <c r="D69">
        <v>160</v>
      </c>
      <c r="E69">
        <v>1</v>
      </c>
      <c r="F69">
        <v>1</v>
      </c>
      <c r="G69">
        <v>716.4</v>
      </c>
      <c r="H69" s="65">
        <v>0.28249000000000002</v>
      </c>
      <c r="I69" s="60">
        <v>45472</v>
      </c>
      <c r="J69" s="63">
        <v>0.83872685185185181</v>
      </c>
      <c r="K69" s="67">
        <v>78547</v>
      </c>
      <c r="L69" s="67">
        <v>78548</v>
      </c>
      <c r="M69" s="67">
        <v>78547</v>
      </c>
      <c r="N69" s="57">
        <f t="shared" ref="N69" si="49">AVERAGE(H69:H73)</f>
        <v>0.28219199999999994</v>
      </c>
      <c r="P69">
        <v>0</v>
      </c>
      <c r="Q69" t="s">
        <v>164</v>
      </c>
      <c r="R69">
        <v>6720</v>
      </c>
      <c r="S69">
        <v>160</v>
      </c>
      <c r="T69">
        <v>1</v>
      </c>
      <c r="U69">
        <v>1</v>
      </c>
      <c r="V69">
        <v>901.67</v>
      </c>
      <c r="W69" s="65">
        <v>0.22445000000000001</v>
      </c>
      <c r="X69" s="46">
        <v>45472</v>
      </c>
      <c r="Y69" s="47">
        <v>0.89601851851851855</v>
      </c>
      <c r="Z69">
        <v>120028</v>
      </c>
      <c r="AA69">
        <v>120026</v>
      </c>
      <c r="AB69">
        <v>120028</v>
      </c>
      <c r="AC69" s="57">
        <f t="shared" ref="AC69" si="50">AVERAGE(W69:W73)</f>
        <v>0.22464200000000001</v>
      </c>
    </row>
    <row r="70" spans="1:29" x14ac:dyDescent="0.25">
      <c r="A70">
        <v>1</v>
      </c>
      <c r="B70" t="s">
        <v>164</v>
      </c>
      <c r="C70">
        <v>6720</v>
      </c>
      <c r="D70">
        <v>160</v>
      </c>
      <c r="E70">
        <v>1</v>
      </c>
      <c r="F70">
        <v>1</v>
      </c>
      <c r="G70">
        <v>719.02</v>
      </c>
      <c r="H70" s="65">
        <v>0.28145999999999999</v>
      </c>
      <c r="I70" s="60">
        <v>45473</v>
      </c>
      <c r="J70" s="63">
        <v>5.8657407407407408E-2</v>
      </c>
      <c r="K70" s="67">
        <v>78835</v>
      </c>
      <c r="L70" s="67">
        <v>78836</v>
      </c>
      <c r="M70" s="67">
        <v>78835</v>
      </c>
      <c r="N70" s="57">
        <f t="shared" ref="N70" si="51">N69</f>
        <v>0.28219199999999994</v>
      </c>
      <c r="P70">
        <v>1</v>
      </c>
      <c r="Q70" t="s">
        <v>164</v>
      </c>
      <c r="R70">
        <v>6720</v>
      </c>
      <c r="S70">
        <v>160</v>
      </c>
      <c r="T70">
        <v>1</v>
      </c>
      <c r="U70">
        <v>1</v>
      </c>
      <c r="V70">
        <v>909.01</v>
      </c>
      <c r="W70" s="65">
        <v>0.22262999999999999</v>
      </c>
      <c r="X70" s="46">
        <v>45473</v>
      </c>
      <c r="Y70" s="47">
        <v>0.23428240740740741</v>
      </c>
      <c r="Z70">
        <v>120645</v>
      </c>
      <c r="AA70">
        <v>120644</v>
      </c>
      <c r="AB70">
        <v>120645</v>
      </c>
      <c r="AC70" s="57">
        <f t="shared" ref="AC70" si="52">AC69</f>
        <v>0.22464200000000001</v>
      </c>
    </row>
    <row r="71" spans="1:29" x14ac:dyDescent="0.25">
      <c r="A71">
        <v>2</v>
      </c>
      <c r="B71" t="s">
        <v>164</v>
      </c>
      <c r="C71">
        <v>6720</v>
      </c>
      <c r="D71">
        <v>160</v>
      </c>
      <c r="E71">
        <v>1</v>
      </c>
      <c r="F71">
        <v>1</v>
      </c>
      <c r="G71">
        <v>716.04</v>
      </c>
      <c r="H71" s="65">
        <v>0.28262999999999999</v>
      </c>
      <c r="I71" s="60">
        <v>45473</v>
      </c>
      <c r="J71" s="63">
        <v>0.27818287037037037</v>
      </c>
      <c r="K71" s="67">
        <v>78498</v>
      </c>
      <c r="L71" s="67">
        <v>78498</v>
      </c>
      <c r="M71" s="67">
        <v>78497</v>
      </c>
      <c r="N71" s="57">
        <f t="shared" si="7"/>
        <v>0.28219199999999994</v>
      </c>
      <c r="P71">
        <v>2</v>
      </c>
      <c r="Q71" t="s">
        <v>164</v>
      </c>
      <c r="R71">
        <v>6720</v>
      </c>
      <c r="S71">
        <v>160</v>
      </c>
      <c r="T71">
        <v>1</v>
      </c>
      <c r="U71">
        <v>1</v>
      </c>
      <c r="V71">
        <v>887.91</v>
      </c>
      <c r="W71" s="65">
        <v>0.22792999999999999</v>
      </c>
      <c r="X71" s="46">
        <v>45473</v>
      </c>
      <c r="Y71" s="47">
        <v>0.57528935185185182</v>
      </c>
      <c r="Z71">
        <v>118772</v>
      </c>
      <c r="AA71">
        <v>118771</v>
      </c>
      <c r="AB71">
        <v>118771</v>
      </c>
      <c r="AC71" s="57">
        <f t="shared" si="3"/>
        <v>0.22464200000000001</v>
      </c>
    </row>
    <row r="72" spans="1:29" x14ac:dyDescent="0.25">
      <c r="A72">
        <v>3</v>
      </c>
      <c r="B72" t="s">
        <v>164</v>
      </c>
      <c r="C72">
        <v>6720</v>
      </c>
      <c r="D72">
        <v>160</v>
      </c>
      <c r="E72">
        <v>1</v>
      </c>
      <c r="F72">
        <v>1</v>
      </c>
      <c r="G72">
        <v>718.39</v>
      </c>
      <c r="H72" s="65">
        <v>0.28171000000000002</v>
      </c>
      <c r="I72" s="60">
        <v>45473</v>
      </c>
      <c r="J72" s="63">
        <v>0.4977314814814815</v>
      </c>
      <c r="K72" s="67">
        <v>78773</v>
      </c>
      <c r="L72" s="67">
        <v>78773</v>
      </c>
      <c r="M72" s="67">
        <v>78774</v>
      </c>
      <c r="N72" s="57">
        <f t="shared" si="7"/>
        <v>0.28219199999999994</v>
      </c>
      <c r="P72">
        <v>3</v>
      </c>
      <c r="Q72" t="s">
        <v>164</v>
      </c>
      <c r="R72">
        <v>6720</v>
      </c>
      <c r="S72">
        <v>160</v>
      </c>
      <c r="T72">
        <v>1</v>
      </c>
      <c r="U72">
        <v>1</v>
      </c>
      <c r="V72">
        <v>917.94</v>
      </c>
      <c r="W72" s="65">
        <v>0.22047</v>
      </c>
      <c r="X72" s="46">
        <v>45473</v>
      </c>
      <c r="Y72" s="47">
        <v>0.91425925925925922</v>
      </c>
      <c r="Z72">
        <v>121537</v>
      </c>
      <c r="AA72">
        <v>121537</v>
      </c>
      <c r="AB72">
        <v>121537</v>
      </c>
      <c r="AC72" s="57">
        <f t="shared" si="3"/>
        <v>0.22464200000000001</v>
      </c>
    </row>
    <row r="73" spans="1:29" x14ac:dyDescent="0.25">
      <c r="A73">
        <v>4</v>
      </c>
      <c r="B73" t="s">
        <v>164</v>
      </c>
      <c r="C73">
        <v>6720</v>
      </c>
      <c r="D73">
        <v>160</v>
      </c>
      <c r="E73">
        <v>1</v>
      </c>
      <c r="F73">
        <v>1</v>
      </c>
      <c r="G73">
        <v>715.94</v>
      </c>
      <c r="H73" s="65">
        <v>0.28266999999999998</v>
      </c>
      <c r="I73" s="60">
        <v>45473</v>
      </c>
      <c r="J73" s="63">
        <v>0.7173032407407407</v>
      </c>
      <c r="K73" s="67">
        <v>78472</v>
      </c>
      <c r="L73" s="67">
        <v>78471</v>
      </c>
      <c r="M73" s="67">
        <v>78472</v>
      </c>
      <c r="N73" s="57">
        <f t="shared" si="7"/>
        <v>0.28219199999999994</v>
      </c>
      <c r="P73">
        <v>4</v>
      </c>
      <c r="Q73" t="s">
        <v>164</v>
      </c>
      <c r="R73">
        <v>6720</v>
      </c>
      <c r="S73">
        <v>160</v>
      </c>
      <c r="T73">
        <v>1</v>
      </c>
      <c r="U73">
        <v>1</v>
      </c>
      <c r="V73">
        <v>888.65</v>
      </c>
      <c r="W73" s="65">
        <v>0.22772999999999999</v>
      </c>
      <c r="X73" s="46">
        <v>45474</v>
      </c>
      <c r="Y73" s="47">
        <v>0.25695601851851851</v>
      </c>
      <c r="Z73">
        <v>118560</v>
      </c>
      <c r="AA73">
        <v>118561</v>
      </c>
      <c r="AB73">
        <v>118561</v>
      </c>
      <c r="AC73" s="57">
        <f t="shared" si="3"/>
        <v>0.22464200000000001</v>
      </c>
    </row>
    <row r="74" spans="1:29" x14ac:dyDescent="0.25">
      <c r="A74">
        <v>0</v>
      </c>
      <c r="B74" t="s">
        <v>164</v>
      </c>
      <c r="C74">
        <v>7040</v>
      </c>
      <c r="D74">
        <v>160</v>
      </c>
      <c r="E74">
        <v>1</v>
      </c>
      <c r="F74">
        <v>1</v>
      </c>
      <c r="G74">
        <v>841.53</v>
      </c>
      <c r="H74" s="65">
        <v>0.27650000000000002</v>
      </c>
      <c r="I74" s="60">
        <v>45472</v>
      </c>
      <c r="J74" s="63">
        <v>0.92056712962962961</v>
      </c>
      <c r="K74" s="67">
        <v>91824</v>
      </c>
      <c r="L74" s="67">
        <v>91825</v>
      </c>
      <c r="M74" s="67">
        <v>91824</v>
      </c>
      <c r="N74" s="57">
        <f t="shared" ref="N74" si="53">AVERAGE(H74:H78)</f>
        <v>0.27714</v>
      </c>
      <c r="P74">
        <v>0</v>
      </c>
      <c r="Q74" t="s">
        <v>164</v>
      </c>
      <c r="R74">
        <v>7040</v>
      </c>
      <c r="S74">
        <v>160</v>
      </c>
      <c r="T74">
        <v>1</v>
      </c>
      <c r="U74">
        <v>1</v>
      </c>
      <c r="V74">
        <v>1054.06</v>
      </c>
      <c r="W74" s="65">
        <v>0.22075</v>
      </c>
      <c r="X74" s="46">
        <v>45473</v>
      </c>
      <c r="Y74" s="47">
        <v>2.1516203703703704E-2</v>
      </c>
      <c r="Z74">
        <v>138212</v>
      </c>
      <c r="AA74">
        <v>138212</v>
      </c>
      <c r="AB74">
        <v>138212</v>
      </c>
      <c r="AC74" s="57">
        <f t="shared" ref="AC74" si="54">AVERAGE(W74:W78)</f>
        <v>0.21274600000000002</v>
      </c>
    </row>
    <row r="75" spans="1:29" x14ac:dyDescent="0.25">
      <c r="A75">
        <v>1</v>
      </c>
      <c r="B75" t="s">
        <v>164</v>
      </c>
      <c r="C75">
        <v>7040</v>
      </c>
      <c r="D75">
        <v>160</v>
      </c>
      <c r="E75">
        <v>1</v>
      </c>
      <c r="F75">
        <v>1</v>
      </c>
      <c r="G75">
        <v>839.13</v>
      </c>
      <c r="H75" s="65">
        <v>0.27728999999999998</v>
      </c>
      <c r="I75" s="60">
        <v>45473</v>
      </c>
      <c r="J75" s="63">
        <v>0.14017361111111112</v>
      </c>
      <c r="K75" s="67">
        <v>91605</v>
      </c>
      <c r="L75" s="67">
        <v>91605</v>
      </c>
      <c r="M75" s="67">
        <v>91604</v>
      </c>
      <c r="N75" s="57">
        <f t="shared" ref="N75" si="55">N74</f>
        <v>0.27714</v>
      </c>
      <c r="P75">
        <v>1</v>
      </c>
      <c r="Q75" t="s">
        <v>164</v>
      </c>
      <c r="R75">
        <v>7040</v>
      </c>
      <c r="S75">
        <v>160</v>
      </c>
      <c r="T75">
        <v>1</v>
      </c>
      <c r="U75">
        <v>1</v>
      </c>
      <c r="V75">
        <v>1141.6600000000001</v>
      </c>
      <c r="W75" s="65">
        <v>0.20380999999999999</v>
      </c>
      <c r="X75" s="46">
        <v>45473</v>
      </c>
      <c r="Y75" s="47">
        <v>0.36119212962962965</v>
      </c>
      <c r="Z75">
        <v>147165</v>
      </c>
      <c r="AA75">
        <v>147163</v>
      </c>
      <c r="AB75">
        <v>147164</v>
      </c>
      <c r="AC75" s="57">
        <f t="shared" ref="AC75:AC123" si="56">AC74</f>
        <v>0.21274600000000002</v>
      </c>
    </row>
    <row r="76" spans="1:29" x14ac:dyDescent="0.25">
      <c r="A76">
        <v>2</v>
      </c>
      <c r="B76" t="s">
        <v>164</v>
      </c>
      <c r="C76">
        <v>7040</v>
      </c>
      <c r="D76">
        <v>160</v>
      </c>
      <c r="E76">
        <v>1</v>
      </c>
      <c r="F76">
        <v>1</v>
      </c>
      <c r="G76">
        <v>836.97</v>
      </c>
      <c r="H76" s="65">
        <v>0.27800999999999998</v>
      </c>
      <c r="I76" s="60">
        <v>45473</v>
      </c>
      <c r="J76" s="63">
        <v>0.3596759259259259</v>
      </c>
      <c r="K76" s="67">
        <v>91380</v>
      </c>
      <c r="L76" s="67">
        <v>91380</v>
      </c>
      <c r="M76" s="67">
        <v>91381</v>
      </c>
      <c r="N76" s="57">
        <f t="shared" si="7"/>
        <v>0.27714</v>
      </c>
      <c r="P76">
        <v>2</v>
      </c>
      <c r="Q76" t="s">
        <v>164</v>
      </c>
      <c r="R76">
        <v>7040</v>
      </c>
      <c r="S76">
        <v>160</v>
      </c>
      <c r="T76">
        <v>1</v>
      </c>
      <c r="U76">
        <v>1</v>
      </c>
      <c r="V76">
        <v>1054.1300000000001</v>
      </c>
      <c r="W76" s="65">
        <v>0.22073999999999999</v>
      </c>
      <c r="X76" s="46">
        <v>45473</v>
      </c>
      <c r="Y76" s="47">
        <v>0.70223379629629634</v>
      </c>
      <c r="Z76">
        <v>138144</v>
      </c>
      <c r="AA76">
        <v>138143</v>
      </c>
      <c r="AB76">
        <v>138143</v>
      </c>
      <c r="AC76" s="57">
        <f t="shared" si="56"/>
        <v>0.21274600000000002</v>
      </c>
    </row>
    <row r="77" spans="1:29" x14ac:dyDescent="0.25">
      <c r="A77">
        <v>3</v>
      </c>
      <c r="B77" t="s">
        <v>164</v>
      </c>
      <c r="C77">
        <v>7040</v>
      </c>
      <c r="D77">
        <v>160</v>
      </c>
      <c r="E77">
        <v>1</v>
      </c>
      <c r="F77">
        <v>1</v>
      </c>
      <c r="G77">
        <v>838.69</v>
      </c>
      <c r="H77" s="65">
        <v>0.27744000000000002</v>
      </c>
      <c r="I77" s="60">
        <v>45473</v>
      </c>
      <c r="J77" s="63">
        <v>0.57906250000000004</v>
      </c>
      <c r="K77" s="67">
        <v>91569</v>
      </c>
      <c r="L77" s="67">
        <v>91569</v>
      </c>
      <c r="M77" s="67">
        <v>91569</v>
      </c>
      <c r="N77" s="57">
        <f t="shared" si="7"/>
        <v>0.27714</v>
      </c>
      <c r="P77">
        <v>3</v>
      </c>
      <c r="Q77" t="s">
        <v>164</v>
      </c>
      <c r="R77">
        <v>7040</v>
      </c>
      <c r="S77">
        <v>160</v>
      </c>
      <c r="T77">
        <v>1</v>
      </c>
      <c r="U77">
        <v>1</v>
      </c>
      <c r="V77">
        <v>1182.1300000000001</v>
      </c>
      <c r="W77" s="65">
        <v>0.19683</v>
      </c>
      <c r="X77" s="46">
        <v>45474</v>
      </c>
      <c r="Y77" s="47">
        <v>4.1284722222222223E-2</v>
      </c>
      <c r="Z77">
        <v>150910</v>
      </c>
      <c r="AA77">
        <v>150911</v>
      </c>
      <c r="AB77">
        <v>150911</v>
      </c>
      <c r="AC77" s="57">
        <f t="shared" si="56"/>
        <v>0.21274600000000002</v>
      </c>
    </row>
    <row r="78" spans="1:29" x14ac:dyDescent="0.25">
      <c r="A78">
        <v>4</v>
      </c>
      <c r="B78" t="s">
        <v>164</v>
      </c>
      <c r="C78">
        <v>7040</v>
      </c>
      <c r="D78">
        <v>160</v>
      </c>
      <c r="E78">
        <v>1</v>
      </c>
      <c r="F78">
        <v>1</v>
      </c>
      <c r="G78">
        <v>841.65</v>
      </c>
      <c r="H78" s="65">
        <v>0.27645999999999998</v>
      </c>
      <c r="I78" s="60">
        <v>45473</v>
      </c>
      <c r="J78" s="63">
        <v>0.79879629629629634</v>
      </c>
      <c r="K78" s="67">
        <v>91764</v>
      </c>
      <c r="L78" s="67">
        <v>91765</v>
      </c>
      <c r="M78" s="67">
        <v>91764</v>
      </c>
      <c r="N78" s="57">
        <f t="shared" si="7"/>
        <v>0.27714</v>
      </c>
      <c r="P78">
        <v>4</v>
      </c>
      <c r="Q78" t="s">
        <v>164</v>
      </c>
      <c r="R78">
        <v>7040</v>
      </c>
      <c r="S78">
        <v>160</v>
      </c>
      <c r="T78">
        <v>1</v>
      </c>
      <c r="U78">
        <v>1</v>
      </c>
      <c r="V78">
        <v>1050.04</v>
      </c>
      <c r="W78" s="65">
        <v>0.22159999999999999</v>
      </c>
      <c r="X78" s="46">
        <v>45474</v>
      </c>
      <c r="Y78" s="47">
        <v>0.38055555555555554</v>
      </c>
      <c r="Z78">
        <v>137761</v>
      </c>
      <c r="AA78">
        <v>137762</v>
      </c>
      <c r="AB78">
        <v>137761</v>
      </c>
      <c r="AC78" s="57">
        <f t="shared" si="56"/>
        <v>0.21274600000000002</v>
      </c>
    </row>
    <row r="79" spans="1:29" x14ac:dyDescent="0.25">
      <c r="A79">
        <v>0</v>
      </c>
      <c r="B79" t="s">
        <v>164</v>
      </c>
      <c r="C79">
        <v>6336</v>
      </c>
      <c r="D79">
        <v>192</v>
      </c>
      <c r="E79">
        <v>1</v>
      </c>
      <c r="F79">
        <v>1</v>
      </c>
      <c r="G79">
        <v>596.15</v>
      </c>
      <c r="H79" s="65">
        <v>0.28455000000000003</v>
      </c>
      <c r="I79" s="60">
        <v>45472</v>
      </c>
      <c r="J79" s="63">
        <v>0.77729166666666671</v>
      </c>
      <c r="K79" s="67">
        <v>65763</v>
      </c>
      <c r="L79" s="67">
        <v>65763</v>
      </c>
      <c r="M79" s="67">
        <v>65763</v>
      </c>
      <c r="N79" s="57">
        <f t="shared" ref="N79" si="57">AVERAGE(H79:H83)</f>
        <v>0.28407799999999994</v>
      </c>
      <c r="P79">
        <v>0</v>
      </c>
      <c r="Q79" t="s">
        <v>164</v>
      </c>
      <c r="R79">
        <v>6336</v>
      </c>
      <c r="S79">
        <v>192</v>
      </c>
      <c r="T79">
        <v>1</v>
      </c>
      <c r="U79">
        <v>1</v>
      </c>
      <c r="V79">
        <v>760.79</v>
      </c>
      <c r="W79" s="65">
        <v>0.22297</v>
      </c>
      <c r="X79" s="46">
        <v>45472</v>
      </c>
      <c r="Y79" s="47">
        <v>0.80215277777777783</v>
      </c>
      <c r="Z79">
        <v>102507</v>
      </c>
      <c r="AA79">
        <v>102507</v>
      </c>
      <c r="AB79">
        <v>102507</v>
      </c>
      <c r="AC79" s="57">
        <f t="shared" ref="AC79" si="58">AVERAGE(W79:W83)</f>
        <v>0.21649400000000002</v>
      </c>
    </row>
    <row r="80" spans="1:29" x14ac:dyDescent="0.25">
      <c r="A80">
        <v>1</v>
      </c>
      <c r="B80" t="s">
        <v>164</v>
      </c>
      <c r="C80">
        <v>6336</v>
      </c>
      <c r="D80">
        <v>192</v>
      </c>
      <c r="E80">
        <v>1</v>
      </c>
      <c r="F80">
        <v>1</v>
      </c>
      <c r="G80">
        <v>596.44000000000005</v>
      </c>
      <c r="H80" s="65">
        <v>0.28441</v>
      </c>
      <c r="I80" s="60">
        <v>45472</v>
      </c>
      <c r="J80" s="63">
        <v>0.99710648148148151</v>
      </c>
      <c r="K80" s="67">
        <v>66026</v>
      </c>
      <c r="L80" s="67">
        <v>66026</v>
      </c>
      <c r="M80" s="67">
        <v>66026</v>
      </c>
      <c r="N80" s="57">
        <f t="shared" ref="N80:N123" si="59">N79</f>
        <v>0.28407799999999994</v>
      </c>
      <c r="P80">
        <v>1</v>
      </c>
      <c r="Q80" t="s">
        <v>164</v>
      </c>
      <c r="R80">
        <v>6336</v>
      </c>
      <c r="S80">
        <v>192</v>
      </c>
      <c r="T80">
        <v>1</v>
      </c>
      <c r="U80">
        <v>1</v>
      </c>
      <c r="V80">
        <v>814.31</v>
      </c>
      <c r="W80" s="65">
        <v>0.20831</v>
      </c>
      <c r="X80" s="46">
        <v>45473</v>
      </c>
      <c r="Y80" s="47">
        <v>0.14127314814814815</v>
      </c>
      <c r="Z80">
        <v>108182</v>
      </c>
      <c r="AA80">
        <v>108181</v>
      </c>
      <c r="AB80">
        <v>108181</v>
      </c>
      <c r="AC80" s="57">
        <f t="shared" ref="AC80" si="60">AC79</f>
        <v>0.21649400000000002</v>
      </c>
    </row>
    <row r="81" spans="1:29" x14ac:dyDescent="0.25">
      <c r="A81">
        <v>2</v>
      </c>
      <c r="B81" t="s">
        <v>164</v>
      </c>
      <c r="C81">
        <v>6336</v>
      </c>
      <c r="D81">
        <v>192</v>
      </c>
      <c r="E81">
        <v>1</v>
      </c>
      <c r="F81">
        <v>1</v>
      </c>
      <c r="G81">
        <v>596.25</v>
      </c>
      <c r="H81" s="65">
        <v>0.28449999999999998</v>
      </c>
      <c r="I81" s="60">
        <v>45473</v>
      </c>
      <c r="J81" s="63">
        <v>0.2167361111111111</v>
      </c>
      <c r="K81" s="67">
        <v>65782</v>
      </c>
      <c r="L81" s="67">
        <v>65782</v>
      </c>
      <c r="M81" s="67">
        <v>65782</v>
      </c>
      <c r="N81" s="57">
        <f t="shared" si="59"/>
        <v>0.28407799999999994</v>
      </c>
      <c r="P81">
        <v>2</v>
      </c>
      <c r="Q81" t="s">
        <v>164</v>
      </c>
      <c r="R81">
        <v>6336</v>
      </c>
      <c r="S81">
        <v>192</v>
      </c>
      <c r="T81">
        <v>1</v>
      </c>
      <c r="U81">
        <v>1</v>
      </c>
      <c r="V81">
        <v>821.05</v>
      </c>
      <c r="W81" s="65">
        <v>0.20660000000000001</v>
      </c>
      <c r="X81" s="46">
        <v>45473</v>
      </c>
      <c r="Y81" s="47">
        <v>0.48234953703703703</v>
      </c>
      <c r="Z81">
        <v>108575</v>
      </c>
      <c r="AA81">
        <v>108575</v>
      </c>
      <c r="AB81">
        <v>108576</v>
      </c>
      <c r="AC81" s="57">
        <f t="shared" si="56"/>
        <v>0.21649400000000002</v>
      </c>
    </row>
    <row r="82" spans="1:29" x14ac:dyDescent="0.25">
      <c r="A82">
        <v>3</v>
      </c>
      <c r="B82" t="s">
        <v>164</v>
      </c>
      <c r="C82">
        <v>6336</v>
      </c>
      <c r="D82">
        <v>192</v>
      </c>
      <c r="E82">
        <v>1</v>
      </c>
      <c r="F82">
        <v>1</v>
      </c>
      <c r="G82">
        <v>598.51</v>
      </c>
      <c r="H82" s="65">
        <v>0.28343000000000002</v>
      </c>
      <c r="I82" s="60">
        <v>45473</v>
      </c>
      <c r="J82" s="63">
        <v>0.43627314814814816</v>
      </c>
      <c r="K82" s="67">
        <v>65974</v>
      </c>
      <c r="L82" s="67">
        <v>65974</v>
      </c>
      <c r="M82" s="67">
        <v>65974</v>
      </c>
      <c r="N82" s="57">
        <f t="shared" si="59"/>
        <v>0.28407799999999994</v>
      </c>
      <c r="P82">
        <v>3</v>
      </c>
      <c r="Q82" t="s">
        <v>164</v>
      </c>
      <c r="R82">
        <v>6336</v>
      </c>
      <c r="S82">
        <v>192</v>
      </c>
      <c r="T82">
        <v>1</v>
      </c>
      <c r="U82">
        <v>1</v>
      </c>
      <c r="V82">
        <v>764.29</v>
      </c>
      <c r="W82" s="65">
        <v>0.22195000000000001</v>
      </c>
      <c r="X82" s="46">
        <v>45473</v>
      </c>
      <c r="Y82" s="47">
        <v>0.82111111111111112</v>
      </c>
      <c r="Z82">
        <v>102903</v>
      </c>
      <c r="AA82">
        <v>102902</v>
      </c>
      <c r="AB82">
        <v>102903</v>
      </c>
      <c r="AC82" s="57">
        <f t="shared" si="56"/>
        <v>0.21649400000000002</v>
      </c>
    </row>
    <row r="83" spans="1:29" x14ac:dyDescent="0.25">
      <c r="A83">
        <v>4</v>
      </c>
      <c r="B83" t="s">
        <v>164</v>
      </c>
      <c r="C83">
        <v>6336</v>
      </c>
      <c r="D83">
        <v>192</v>
      </c>
      <c r="E83">
        <v>1</v>
      </c>
      <c r="F83">
        <v>1</v>
      </c>
      <c r="G83">
        <v>598.34</v>
      </c>
      <c r="H83" s="65">
        <v>0.28349999999999997</v>
      </c>
      <c r="I83" s="60">
        <v>45473</v>
      </c>
      <c r="J83" s="63">
        <v>0.65562500000000001</v>
      </c>
      <c r="K83" s="67">
        <v>65995</v>
      </c>
      <c r="L83" s="67">
        <v>65996</v>
      </c>
      <c r="M83" s="67">
        <v>65995</v>
      </c>
      <c r="N83" s="57">
        <f t="shared" si="59"/>
        <v>0.28407799999999994</v>
      </c>
      <c r="P83">
        <v>4</v>
      </c>
      <c r="Q83" t="s">
        <v>164</v>
      </c>
      <c r="R83">
        <v>6336</v>
      </c>
      <c r="S83">
        <v>192</v>
      </c>
      <c r="T83">
        <v>1</v>
      </c>
      <c r="U83">
        <v>1</v>
      </c>
      <c r="V83">
        <v>761.9</v>
      </c>
      <c r="W83" s="65">
        <v>0.22264</v>
      </c>
      <c r="X83" s="46">
        <v>45474</v>
      </c>
      <c r="Y83" s="47">
        <v>0.16317129629629629</v>
      </c>
      <c r="Z83">
        <v>102579</v>
      </c>
      <c r="AA83">
        <v>102580</v>
      </c>
      <c r="AB83">
        <v>102579</v>
      </c>
      <c r="AC83" s="57">
        <f t="shared" si="56"/>
        <v>0.21649400000000002</v>
      </c>
    </row>
    <row r="84" spans="1:29" x14ac:dyDescent="0.25">
      <c r="A84">
        <v>0</v>
      </c>
      <c r="B84" t="s">
        <v>164</v>
      </c>
      <c r="C84">
        <v>6720</v>
      </c>
      <c r="D84">
        <v>192</v>
      </c>
      <c r="E84">
        <v>1</v>
      </c>
      <c r="F84">
        <v>1</v>
      </c>
      <c r="G84">
        <v>711.79</v>
      </c>
      <c r="H84" s="65">
        <v>0.28432000000000002</v>
      </c>
      <c r="I84" s="60">
        <v>45472</v>
      </c>
      <c r="J84" s="63">
        <v>0.84778935185185189</v>
      </c>
      <c r="K84" s="67">
        <v>78059</v>
      </c>
      <c r="L84" s="67">
        <v>78059</v>
      </c>
      <c r="M84" s="67">
        <v>78059</v>
      </c>
      <c r="N84" s="57">
        <f t="shared" ref="N84" si="61">AVERAGE(H84:H88)</f>
        <v>0.28488400000000003</v>
      </c>
      <c r="P84">
        <v>0</v>
      </c>
      <c r="Q84" t="s">
        <v>164</v>
      </c>
      <c r="R84">
        <v>6720</v>
      </c>
      <c r="S84">
        <v>192</v>
      </c>
      <c r="T84">
        <v>1</v>
      </c>
      <c r="U84">
        <v>1</v>
      </c>
      <c r="V84">
        <v>961.55</v>
      </c>
      <c r="W84" s="65">
        <v>0.21046999999999999</v>
      </c>
      <c r="X84" s="46">
        <v>45472</v>
      </c>
      <c r="Y84" s="47">
        <v>0.91063657407407406</v>
      </c>
      <c r="Z84">
        <v>126060</v>
      </c>
      <c r="AA84">
        <v>126063</v>
      </c>
      <c r="AB84">
        <v>126063</v>
      </c>
      <c r="AC84" s="57">
        <f t="shared" ref="AC84" si="62">AVERAGE(W84:W88)</f>
        <v>0.21348200000000001</v>
      </c>
    </row>
    <row r="85" spans="1:29" x14ac:dyDescent="0.25">
      <c r="A85">
        <v>1</v>
      </c>
      <c r="B85" t="s">
        <v>164</v>
      </c>
      <c r="C85">
        <v>6720</v>
      </c>
      <c r="D85">
        <v>192</v>
      </c>
      <c r="E85">
        <v>1</v>
      </c>
      <c r="F85">
        <v>1</v>
      </c>
      <c r="G85">
        <v>709.19</v>
      </c>
      <c r="H85" s="65">
        <v>0.28536</v>
      </c>
      <c r="I85" s="60">
        <v>45473</v>
      </c>
      <c r="J85" s="63">
        <v>6.7685185185185182E-2</v>
      </c>
      <c r="K85" s="67">
        <v>77804</v>
      </c>
      <c r="L85" s="67">
        <v>77804</v>
      </c>
      <c r="M85" s="67">
        <v>77804</v>
      </c>
      <c r="N85" s="57">
        <f t="shared" ref="N85" si="63">N84</f>
        <v>0.28488400000000003</v>
      </c>
      <c r="P85">
        <v>1</v>
      </c>
      <c r="Q85" t="s">
        <v>164</v>
      </c>
      <c r="R85">
        <v>6720</v>
      </c>
      <c r="S85">
        <v>192</v>
      </c>
      <c r="T85">
        <v>1</v>
      </c>
      <c r="U85">
        <v>1</v>
      </c>
      <c r="V85">
        <v>914.64</v>
      </c>
      <c r="W85" s="65">
        <v>0.22126000000000001</v>
      </c>
      <c r="X85" s="46">
        <v>45473</v>
      </c>
      <c r="Y85" s="47">
        <v>0.24835648148148148</v>
      </c>
      <c r="Z85">
        <v>121264</v>
      </c>
      <c r="AA85">
        <v>121263</v>
      </c>
      <c r="AB85">
        <v>121264</v>
      </c>
      <c r="AC85" s="57">
        <f t="shared" ref="AC85" si="64">AC84</f>
        <v>0.21348200000000001</v>
      </c>
    </row>
    <row r="86" spans="1:29" x14ac:dyDescent="0.25">
      <c r="A86">
        <v>2</v>
      </c>
      <c r="B86" t="s">
        <v>164</v>
      </c>
      <c r="C86">
        <v>6720</v>
      </c>
      <c r="D86">
        <v>192</v>
      </c>
      <c r="E86">
        <v>1</v>
      </c>
      <c r="F86">
        <v>1</v>
      </c>
      <c r="G86">
        <v>708.3</v>
      </c>
      <c r="H86" s="65">
        <v>0.28571999999999997</v>
      </c>
      <c r="I86" s="60">
        <v>45473</v>
      </c>
      <c r="J86" s="63">
        <v>0.28723379629629631</v>
      </c>
      <c r="K86" s="67">
        <v>77958</v>
      </c>
      <c r="L86" s="67">
        <v>77964</v>
      </c>
      <c r="M86" s="67">
        <v>77968</v>
      </c>
      <c r="N86" s="57">
        <f t="shared" si="59"/>
        <v>0.28488400000000003</v>
      </c>
      <c r="P86">
        <v>2</v>
      </c>
      <c r="Q86" t="s">
        <v>164</v>
      </c>
      <c r="R86">
        <v>6720</v>
      </c>
      <c r="S86">
        <v>192</v>
      </c>
      <c r="T86">
        <v>1</v>
      </c>
      <c r="U86">
        <v>1</v>
      </c>
      <c r="V86">
        <v>919.91</v>
      </c>
      <c r="W86" s="65">
        <v>0.22</v>
      </c>
      <c r="X86" s="46">
        <v>45473</v>
      </c>
      <c r="Y86" s="47">
        <v>0.58942129629629625</v>
      </c>
      <c r="Z86">
        <v>121864</v>
      </c>
      <c r="AA86">
        <v>121864</v>
      </c>
      <c r="AB86">
        <v>121865</v>
      </c>
      <c r="AC86" s="57">
        <f t="shared" si="56"/>
        <v>0.21348200000000001</v>
      </c>
    </row>
    <row r="87" spans="1:29" x14ac:dyDescent="0.25">
      <c r="A87">
        <v>3</v>
      </c>
      <c r="B87" t="s">
        <v>164</v>
      </c>
      <c r="C87">
        <v>6720</v>
      </c>
      <c r="D87">
        <v>192</v>
      </c>
      <c r="E87">
        <v>1</v>
      </c>
      <c r="F87">
        <v>1</v>
      </c>
      <c r="G87">
        <v>711.3</v>
      </c>
      <c r="H87" s="65">
        <v>0.28452</v>
      </c>
      <c r="I87" s="60">
        <v>45473</v>
      </c>
      <c r="J87" s="63">
        <v>0.50678240740740743</v>
      </c>
      <c r="K87" s="67">
        <v>78002</v>
      </c>
      <c r="L87" s="67">
        <v>78003</v>
      </c>
      <c r="M87" s="67">
        <v>78002</v>
      </c>
      <c r="N87" s="57">
        <f t="shared" si="59"/>
        <v>0.28488400000000003</v>
      </c>
      <c r="P87">
        <v>3</v>
      </c>
      <c r="Q87" t="s">
        <v>164</v>
      </c>
      <c r="R87">
        <v>6720</v>
      </c>
      <c r="S87">
        <v>192</v>
      </c>
      <c r="T87">
        <v>1</v>
      </c>
      <c r="U87">
        <v>1</v>
      </c>
      <c r="V87">
        <v>970.04</v>
      </c>
      <c r="W87" s="65">
        <v>0.20863000000000001</v>
      </c>
      <c r="X87" s="46">
        <v>45473</v>
      </c>
      <c r="Y87" s="47">
        <v>0.92903935185185182</v>
      </c>
      <c r="Z87">
        <v>127521</v>
      </c>
      <c r="AA87">
        <v>127522</v>
      </c>
      <c r="AB87">
        <v>127522</v>
      </c>
      <c r="AC87" s="57">
        <f t="shared" si="56"/>
        <v>0.21348200000000001</v>
      </c>
    </row>
    <row r="88" spans="1:29" x14ac:dyDescent="0.25">
      <c r="A88">
        <v>4</v>
      </c>
      <c r="B88" t="s">
        <v>164</v>
      </c>
      <c r="C88">
        <v>6720</v>
      </c>
      <c r="D88">
        <v>192</v>
      </c>
      <c r="E88">
        <v>1</v>
      </c>
      <c r="F88">
        <v>1</v>
      </c>
      <c r="G88">
        <v>711.34</v>
      </c>
      <c r="H88" s="65">
        <v>0.28449999999999998</v>
      </c>
      <c r="I88" s="60">
        <v>45473</v>
      </c>
      <c r="J88" s="63">
        <v>0.72636574074074078</v>
      </c>
      <c r="K88" s="67">
        <v>78062</v>
      </c>
      <c r="L88" s="67">
        <v>78063</v>
      </c>
      <c r="M88" s="67">
        <v>78062</v>
      </c>
      <c r="N88" s="57">
        <f t="shared" si="59"/>
        <v>0.28488400000000003</v>
      </c>
      <c r="P88">
        <v>4</v>
      </c>
      <c r="Q88" t="s">
        <v>164</v>
      </c>
      <c r="R88">
        <v>6720</v>
      </c>
      <c r="S88">
        <v>192</v>
      </c>
      <c r="T88">
        <v>1</v>
      </c>
      <c r="U88">
        <v>1</v>
      </c>
      <c r="V88">
        <v>977.43</v>
      </c>
      <c r="W88" s="65">
        <v>0.20705000000000001</v>
      </c>
      <c r="X88" s="46">
        <v>45474</v>
      </c>
      <c r="Y88" s="47">
        <v>0.27172453703703703</v>
      </c>
      <c r="Z88">
        <v>127401</v>
      </c>
      <c r="AA88">
        <v>127402</v>
      </c>
      <c r="AB88">
        <v>127402</v>
      </c>
      <c r="AC88" s="57">
        <f t="shared" si="56"/>
        <v>0.21348200000000001</v>
      </c>
    </row>
    <row r="89" spans="1:29" x14ac:dyDescent="0.25">
      <c r="A89">
        <v>0</v>
      </c>
      <c r="B89" t="s">
        <v>164</v>
      </c>
      <c r="C89">
        <v>7104</v>
      </c>
      <c r="D89">
        <v>192</v>
      </c>
      <c r="E89">
        <v>1</v>
      </c>
      <c r="F89">
        <v>1</v>
      </c>
      <c r="G89">
        <v>842.26</v>
      </c>
      <c r="H89" s="65">
        <v>0.28386</v>
      </c>
      <c r="I89" s="60">
        <v>45472</v>
      </c>
      <c r="J89" s="63">
        <v>0.93125000000000002</v>
      </c>
      <c r="K89" s="67">
        <v>92143</v>
      </c>
      <c r="L89" s="67">
        <v>92143</v>
      </c>
      <c r="M89" s="67">
        <v>92144</v>
      </c>
      <c r="N89" s="57">
        <f t="shared" ref="N89" si="65">AVERAGE(H89:H93)</f>
        <v>0.28438999999999998</v>
      </c>
      <c r="P89">
        <v>0</v>
      </c>
      <c r="Q89" t="s">
        <v>164</v>
      </c>
      <c r="R89">
        <v>7104</v>
      </c>
      <c r="S89">
        <v>192</v>
      </c>
      <c r="T89">
        <v>1</v>
      </c>
      <c r="U89">
        <v>1</v>
      </c>
      <c r="V89">
        <v>1143.1400000000001</v>
      </c>
      <c r="W89" s="65">
        <v>0.20915</v>
      </c>
      <c r="X89" s="46">
        <v>45473</v>
      </c>
      <c r="Y89" s="47">
        <v>3.8634259259259257E-2</v>
      </c>
      <c r="Z89">
        <v>147558</v>
      </c>
      <c r="AA89">
        <v>147557</v>
      </c>
      <c r="AB89">
        <v>147557</v>
      </c>
      <c r="AC89" s="57">
        <f t="shared" ref="AC89" si="66">AVERAGE(W89:W93)</f>
        <v>0.20241400000000001</v>
      </c>
    </row>
    <row r="90" spans="1:29" x14ac:dyDescent="0.25">
      <c r="A90">
        <v>1</v>
      </c>
      <c r="B90" t="s">
        <v>164</v>
      </c>
      <c r="C90">
        <v>7104</v>
      </c>
      <c r="D90">
        <v>192</v>
      </c>
      <c r="E90">
        <v>1</v>
      </c>
      <c r="F90">
        <v>1</v>
      </c>
      <c r="G90">
        <v>842.54</v>
      </c>
      <c r="H90" s="65">
        <v>0.28377000000000002</v>
      </c>
      <c r="I90" s="60">
        <v>45473</v>
      </c>
      <c r="J90" s="63">
        <v>0.15085648148148148</v>
      </c>
      <c r="K90" s="67">
        <v>92103</v>
      </c>
      <c r="L90" s="67">
        <v>92103</v>
      </c>
      <c r="M90" s="67">
        <v>92102</v>
      </c>
      <c r="N90" s="57">
        <f t="shared" ref="N90" si="67">N89</f>
        <v>0.28438999999999998</v>
      </c>
      <c r="P90">
        <v>1</v>
      </c>
      <c r="Q90" t="s">
        <v>164</v>
      </c>
      <c r="R90">
        <v>7104</v>
      </c>
      <c r="S90">
        <v>192</v>
      </c>
      <c r="T90">
        <v>1</v>
      </c>
      <c r="U90">
        <v>1</v>
      </c>
      <c r="V90">
        <v>1158.8699999999999</v>
      </c>
      <c r="W90" s="65">
        <v>0.20630999999999999</v>
      </c>
      <c r="X90" s="46">
        <v>45473</v>
      </c>
      <c r="Y90" s="47">
        <v>0.37850694444444444</v>
      </c>
      <c r="Z90">
        <v>149266</v>
      </c>
      <c r="AA90">
        <v>149271</v>
      </c>
      <c r="AB90">
        <v>149276</v>
      </c>
      <c r="AC90" s="57">
        <f t="shared" ref="AC90" si="68">AC89</f>
        <v>0.20241400000000001</v>
      </c>
    </row>
    <row r="91" spans="1:29" x14ac:dyDescent="0.25">
      <c r="A91">
        <v>2</v>
      </c>
      <c r="B91" t="s">
        <v>164</v>
      </c>
      <c r="C91">
        <v>7104</v>
      </c>
      <c r="D91">
        <v>192</v>
      </c>
      <c r="E91">
        <v>1</v>
      </c>
      <c r="F91">
        <v>1</v>
      </c>
      <c r="G91">
        <v>841.49</v>
      </c>
      <c r="H91" s="65">
        <v>0.28411999999999998</v>
      </c>
      <c r="I91" s="60">
        <v>45473</v>
      </c>
      <c r="J91" s="63">
        <v>0.37034722222222222</v>
      </c>
      <c r="K91" s="67">
        <v>92030</v>
      </c>
      <c r="L91" s="67">
        <v>92030</v>
      </c>
      <c r="M91" s="67">
        <v>92030</v>
      </c>
      <c r="N91" s="57">
        <f t="shared" si="59"/>
        <v>0.28438999999999998</v>
      </c>
      <c r="P91">
        <v>2</v>
      </c>
      <c r="Q91" t="s">
        <v>164</v>
      </c>
      <c r="R91">
        <v>7104</v>
      </c>
      <c r="S91">
        <v>192</v>
      </c>
      <c r="T91">
        <v>1</v>
      </c>
      <c r="U91">
        <v>1</v>
      </c>
      <c r="V91">
        <v>1113.26</v>
      </c>
      <c r="W91" s="65">
        <v>0.21476000000000001</v>
      </c>
      <c r="X91" s="46">
        <v>45473</v>
      </c>
      <c r="Y91" s="47">
        <v>0.71900462962962963</v>
      </c>
      <c r="Z91">
        <v>144636</v>
      </c>
      <c r="AA91">
        <v>144634</v>
      </c>
      <c r="AB91">
        <v>144635</v>
      </c>
      <c r="AC91" s="57">
        <f t="shared" si="56"/>
        <v>0.20241400000000001</v>
      </c>
    </row>
    <row r="92" spans="1:29" x14ac:dyDescent="0.25">
      <c r="A92">
        <v>3</v>
      </c>
      <c r="B92" t="s">
        <v>164</v>
      </c>
      <c r="C92">
        <v>7104</v>
      </c>
      <c r="D92">
        <v>192</v>
      </c>
      <c r="E92">
        <v>1</v>
      </c>
      <c r="F92">
        <v>1</v>
      </c>
      <c r="G92">
        <v>838.2</v>
      </c>
      <c r="H92" s="65">
        <v>0.28523999999999999</v>
      </c>
      <c r="I92" s="60">
        <v>45473</v>
      </c>
      <c r="J92" s="63">
        <v>0.5897337962962963</v>
      </c>
      <c r="K92" s="67">
        <v>91940</v>
      </c>
      <c r="L92" s="67">
        <v>91940</v>
      </c>
      <c r="M92" s="67">
        <v>91941</v>
      </c>
      <c r="N92" s="57">
        <f t="shared" si="59"/>
        <v>0.28438999999999998</v>
      </c>
      <c r="P92">
        <v>3</v>
      </c>
      <c r="Q92" t="s">
        <v>164</v>
      </c>
      <c r="R92">
        <v>7104</v>
      </c>
      <c r="S92">
        <v>192</v>
      </c>
      <c r="T92">
        <v>1</v>
      </c>
      <c r="U92">
        <v>1</v>
      </c>
      <c r="V92">
        <v>1276.07</v>
      </c>
      <c r="W92" s="65">
        <v>0.18736</v>
      </c>
      <c r="X92" s="46">
        <v>45474</v>
      </c>
      <c r="Y92" s="47">
        <v>5.9930555555555556E-2</v>
      </c>
      <c r="Z92">
        <v>160872</v>
      </c>
      <c r="AA92">
        <v>160873</v>
      </c>
      <c r="AB92">
        <v>160873</v>
      </c>
      <c r="AC92" s="57">
        <f t="shared" si="56"/>
        <v>0.20241400000000001</v>
      </c>
    </row>
    <row r="93" spans="1:29" x14ac:dyDescent="0.25">
      <c r="A93">
        <v>4</v>
      </c>
      <c r="B93" t="s">
        <v>164</v>
      </c>
      <c r="C93">
        <v>7104</v>
      </c>
      <c r="D93">
        <v>192</v>
      </c>
      <c r="E93">
        <v>1</v>
      </c>
      <c r="F93">
        <v>1</v>
      </c>
      <c r="G93">
        <v>839.02</v>
      </c>
      <c r="H93" s="65">
        <v>0.28495999999999999</v>
      </c>
      <c r="I93" s="60">
        <v>45473</v>
      </c>
      <c r="J93" s="63">
        <v>0.8094675925925926</v>
      </c>
      <c r="K93" s="67">
        <v>92039</v>
      </c>
      <c r="L93" s="67">
        <v>92039</v>
      </c>
      <c r="M93" s="67">
        <v>92039</v>
      </c>
      <c r="N93" s="57">
        <f t="shared" si="59"/>
        <v>0.28438999999999998</v>
      </c>
      <c r="P93">
        <v>4</v>
      </c>
      <c r="Q93" t="s">
        <v>164</v>
      </c>
      <c r="R93">
        <v>7104</v>
      </c>
      <c r="S93">
        <v>192</v>
      </c>
      <c r="T93">
        <v>1</v>
      </c>
      <c r="U93">
        <v>1</v>
      </c>
      <c r="V93">
        <v>1229.31</v>
      </c>
      <c r="W93" s="65">
        <v>0.19449</v>
      </c>
      <c r="X93" s="46">
        <v>45474</v>
      </c>
      <c r="Y93" s="47">
        <v>0.3986689814814815</v>
      </c>
      <c r="Z93">
        <v>156245</v>
      </c>
      <c r="AA93">
        <v>156246</v>
      </c>
      <c r="AB93">
        <v>156246</v>
      </c>
      <c r="AC93" s="57">
        <f t="shared" si="56"/>
        <v>0.20241400000000001</v>
      </c>
    </row>
    <row r="94" spans="1:29" x14ac:dyDescent="0.25">
      <c r="A94">
        <v>0</v>
      </c>
      <c r="B94" t="s">
        <v>164</v>
      </c>
      <c r="C94">
        <v>6272</v>
      </c>
      <c r="D94">
        <v>224</v>
      </c>
      <c r="E94">
        <v>1</v>
      </c>
      <c r="F94">
        <v>1</v>
      </c>
      <c r="G94">
        <v>587.96</v>
      </c>
      <c r="H94" s="65">
        <v>0.27986</v>
      </c>
      <c r="I94" s="60">
        <v>45472</v>
      </c>
      <c r="J94" s="63">
        <v>0.78481481481481485</v>
      </c>
      <c r="K94" s="67">
        <v>64827</v>
      </c>
      <c r="L94" s="67">
        <v>64827</v>
      </c>
      <c r="M94" s="67">
        <v>64827</v>
      </c>
      <c r="N94" s="57">
        <f t="shared" ref="N94" si="69">AVERAGE(H94:H98)</f>
        <v>0.27966199999999997</v>
      </c>
      <c r="P94">
        <v>0</v>
      </c>
      <c r="Q94" t="s">
        <v>164</v>
      </c>
      <c r="R94">
        <v>6272</v>
      </c>
      <c r="S94">
        <v>224</v>
      </c>
      <c r="T94">
        <v>1</v>
      </c>
      <c r="U94">
        <v>1</v>
      </c>
      <c r="V94">
        <v>861.39</v>
      </c>
      <c r="W94" s="65">
        <v>0.19102</v>
      </c>
      <c r="X94" s="46">
        <v>45472</v>
      </c>
      <c r="Y94" s="47">
        <v>0.81515046296296301</v>
      </c>
      <c r="Z94">
        <v>112080</v>
      </c>
      <c r="AA94">
        <v>112079</v>
      </c>
      <c r="AB94">
        <v>112081</v>
      </c>
      <c r="AC94" s="57">
        <f t="shared" ref="AC94" si="70">AVERAGE(W94:W98)</f>
        <v>0.201958</v>
      </c>
    </row>
    <row r="95" spans="1:29" x14ac:dyDescent="0.25">
      <c r="A95">
        <v>1</v>
      </c>
      <c r="B95" t="s">
        <v>164</v>
      </c>
      <c r="C95">
        <v>6272</v>
      </c>
      <c r="D95">
        <v>224</v>
      </c>
      <c r="E95">
        <v>1</v>
      </c>
      <c r="F95">
        <v>1</v>
      </c>
      <c r="G95">
        <v>593.73</v>
      </c>
      <c r="H95" s="65">
        <v>0.27712999999999999</v>
      </c>
      <c r="I95" s="60">
        <v>45473</v>
      </c>
      <c r="J95" s="63">
        <v>4.7106481481481478E-3</v>
      </c>
      <c r="K95" s="67">
        <v>65462</v>
      </c>
      <c r="L95" s="67">
        <v>65462</v>
      </c>
      <c r="M95" s="67">
        <v>65462</v>
      </c>
      <c r="N95" s="57">
        <f t="shared" ref="N95" si="71">N94</f>
        <v>0.27966199999999997</v>
      </c>
      <c r="P95">
        <v>1</v>
      </c>
      <c r="Q95" t="s">
        <v>164</v>
      </c>
      <c r="R95">
        <v>6272</v>
      </c>
      <c r="S95">
        <v>224</v>
      </c>
      <c r="T95">
        <v>1</v>
      </c>
      <c r="U95">
        <v>1</v>
      </c>
      <c r="V95">
        <v>763.28</v>
      </c>
      <c r="W95" s="65">
        <v>0.21557999999999999</v>
      </c>
      <c r="X95" s="46">
        <v>45473</v>
      </c>
      <c r="Y95" s="47">
        <v>0.15313657407407408</v>
      </c>
      <c r="Z95">
        <v>102291</v>
      </c>
      <c r="AA95">
        <v>102292</v>
      </c>
      <c r="AB95">
        <v>102293</v>
      </c>
      <c r="AC95" s="57">
        <f t="shared" ref="AC95" si="72">AC94</f>
        <v>0.201958</v>
      </c>
    </row>
    <row r="96" spans="1:29" x14ac:dyDescent="0.25">
      <c r="A96">
        <v>2</v>
      </c>
      <c r="B96" t="s">
        <v>164</v>
      </c>
      <c r="C96">
        <v>6272</v>
      </c>
      <c r="D96">
        <v>224</v>
      </c>
      <c r="E96">
        <v>1</v>
      </c>
      <c r="F96">
        <v>1</v>
      </c>
      <c r="G96">
        <v>588.66999999999996</v>
      </c>
      <c r="H96" s="65">
        <v>0.27951999999999999</v>
      </c>
      <c r="I96" s="60">
        <v>45473</v>
      </c>
      <c r="J96" s="63">
        <v>0.22427083333333334</v>
      </c>
      <c r="K96" s="67">
        <v>64904</v>
      </c>
      <c r="L96" s="67">
        <v>64904</v>
      </c>
      <c r="M96" s="67">
        <v>64903</v>
      </c>
      <c r="N96" s="57">
        <f t="shared" si="59"/>
        <v>0.27966199999999997</v>
      </c>
      <c r="P96">
        <v>2</v>
      </c>
      <c r="Q96" t="s">
        <v>164</v>
      </c>
      <c r="R96">
        <v>6272</v>
      </c>
      <c r="S96">
        <v>224</v>
      </c>
      <c r="T96">
        <v>1</v>
      </c>
      <c r="U96">
        <v>1</v>
      </c>
      <c r="V96">
        <v>796.3</v>
      </c>
      <c r="W96" s="65">
        <v>0.20663000000000001</v>
      </c>
      <c r="X96" s="46">
        <v>45473</v>
      </c>
      <c r="Y96" s="47">
        <v>0.49460648148148151</v>
      </c>
      <c r="Z96">
        <v>105557</v>
      </c>
      <c r="AA96">
        <v>105557</v>
      </c>
      <c r="AB96">
        <v>105557</v>
      </c>
      <c r="AC96" s="57">
        <f t="shared" si="56"/>
        <v>0.201958</v>
      </c>
    </row>
    <row r="97" spans="1:29" x14ac:dyDescent="0.25">
      <c r="A97">
        <v>3</v>
      </c>
      <c r="B97" t="s">
        <v>164</v>
      </c>
      <c r="C97">
        <v>6272</v>
      </c>
      <c r="D97">
        <v>224</v>
      </c>
      <c r="E97">
        <v>1</v>
      </c>
      <c r="F97">
        <v>1</v>
      </c>
      <c r="G97">
        <v>585.86</v>
      </c>
      <c r="H97" s="65">
        <v>0.28086</v>
      </c>
      <c r="I97" s="60">
        <v>45473</v>
      </c>
      <c r="J97" s="63">
        <v>0.44377314814814817</v>
      </c>
      <c r="K97" s="67">
        <v>64609</v>
      </c>
      <c r="L97" s="67">
        <v>64609</v>
      </c>
      <c r="M97" s="67">
        <v>64609</v>
      </c>
      <c r="N97" s="57">
        <f t="shared" si="59"/>
        <v>0.27966199999999997</v>
      </c>
      <c r="P97">
        <v>3</v>
      </c>
      <c r="Q97" t="s">
        <v>164</v>
      </c>
      <c r="R97">
        <v>6272</v>
      </c>
      <c r="S97">
        <v>224</v>
      </c>
      <c r="T97">
        <v>1</v>
      </c>
      <c r="U97">
        <v>1</v>
      </c>
      <c r="V97">
        <v>768.77</v>
      </c>
      <c r="W97" s="65">
        <v>0.21404000000000001</v>
      </c>
      <c r="X97" s="46">
        <v>45473</v>
      </c>
      <c r="Y97" s="47">
        <v>0.83302083333333332</v>
      </c>
      <c r="Z97">
        <v>102708</v>
      </c>
      <c r="AA97">
        <v>102703</v>
      </c>
      <c r="AB97">
        <v>102692</v>
      </c>
      <c r="AC97" s="57">
        <f t="shared" si="56"/>
        <v>0.201958</v>
      </c>
    </row>
    <row r="98" spans="1:29" x14ac:dyDescent="0.25">
      <c r="A98">
        <v>4</v>
      </c>
      <c r="B98" t="s">
        <v>164</v>
      </c>
      <c r="C98">
        <v>6272</v>
      </c>
      <c r="D98">
        <v>224</v>
      </c>
      <c r="E98">
        <v>1</v>
      </c>
      <c r="F98">
        <v>1</v>
      </c>
      <c r="G98">
        <v>585.70000000000005</v>
      </c>
      <c r="H98" s="65">
        <v>0.28094000000000002</v>
      </c>
      <c r="I98" s="60">
        <v>45473</v>
      </c>
      <c r="J98" s="63">
        <v>0.66311342592592593</v>
      </c>
      <c r="K98" s="67">
        <v>64586</v>
      </c>
      <c r="L98" s="67">
        <v>64587</v>
      </c>
      <c r="M98" s="67">
        <v>64587</v>
      </c>
      <c r="N98" s="57">
        <f t="shared" si="59"/>
        <v>0.27966199999999997</v>
      </c>
      <c r="P98">
        <v>4</v>
      </c>
      <c r="Q98" t="s">
        <v>164</v>
      </c>
      <c r="R98">
        <v>6272</v>
      </c>
      <c r="S98">
        <v>224</v>
      </c>
      <c r="T98">
        <v>1</v>
      </c>
      <c r="U98">
        <v>1</v>
      </c>
      <c r="V98">
        <v>901.53</v>
      </c>
      <c r="W98" s="65">
        <v>0.18251999999999999</v>
      </c>
      <c r="X98" s="46">
        <v>45474</v>
      </c>
      <c r="Y98" s="47">
        <v>0.17662037037037037</v>
      </c>
      <c r="Z98">
        <v>115995</v>
      </c>
      <c r="AA98">
        <v>115996</v>
      </c>
      <c r="AB98">
        <v>115996</v>
      </c>
      <c r="AC98" s="57">
        <f t="shared" si="56"/>
        <v>0.201958</v>
      </c>
    </row>
    <row r="99" spans="1:29" x14ac:dyDescent="0.25">
      <c r="A99">
        <v>0</v>
      </c>
      <c r="B99" t="s">
        <v>164</v>
      </c>
      <c r="C99">
        <v>6720</v>
      </c>
      <c r="D99">
        <v>224</v>
      </c>
      <c r="E99">
        <v>1</v>
      </c>
      <c r="F99">
        <v>1</v>
      </c>
      <c r="G99">
        <v>720.34</v>
      </c>
      <c r="H99" s="65">
        <v>0.28094999999999998</v>
      </c>
      <c r="I99" s="60">
        <v>45472</v>
      </c>
      <c r="J99" s="63">
        <v>0.8569444444444444</v>
      </c>
      <c r="K99" s="67">
        <v>78931</v>
      </c>
      <c r="L99" s="67">
        <v>78932</v>
      </c>
      <c r="M99" s="67">
        <v>78931</v>
      </c>
      <c r="N99" s="57">
        <f t="shared" ref="N99" si="73">AVERAGE(H99:H103)</f>
        <v>0.28132400000000002</v>
      </c>
      <c r="P99">
        <v>0</v>
      </c>
      <c r="Q99" t="s">
        <v>164</v>
      </c>
      <c r="R99">
        <v>6720</v>
      </c>
      <c r="S99">
        <v>224</v>
      </c>
      <c r="T99">
        <v>1</v>
      </c>
      <c r="U99">
        <v>1</v>
      </c>
      <c r="V99">
        <v>983.94</v>
      </c>
      <c r="W99" s="65">
        <v>0.20568</v>
      </c>
      <c r="X99" s="46">
        <v>45472</v>
      </c>
      <c r="Y99" s="47">
        <v>0.92550925925925931</v>
      </c>
      <c r="Z99">
        <v>128242</v>
      </c>
      <c r="AA99">
        <v>128241</v>
      </c>
      <c r="AB99">
        <v>128240</v>
      </c>
      <c r="AC99" s="57">
        <f t="shared" ref="AC99" si="74">AVERAGE(W99:W103)</f>
        <v>0.20333800000000002</v>
      </c>
    </row>
    <row r="100" spans="1:29" x14ac:dyDescent="0.25">
      <c r="A100">
        <v>1</v>
      </c>
      <c r="B100" t="s">
        <v>164</v>
      </c>
      <c r="C100">
        <v>6720</v>
      </c>
      <c r="D100">
        <v>224</v>
      </c>
      <c r="E100">
        <v>1</v>
      </c>
      <c r="F100">
        <v>1</v>
      </c>
      <c r="G100">
        <v>719.88</v>
      </c>
      <c r="H100" s="65">
        <v>0.28111999999999998</v>
      </c>
      <c r="I100" s="60">
        <v>45473</v>
      </c>
      <c r="J100" s="63">
        <v>7.6840277777777771E-2</v>
      </c>
      <c r="K100" s="67">
        <v>78921</v>
      </c>
      <c r="L100" s="67">
        <v>78921</v>
      </c>
      <c r="M100" s="67">
        <v>78920</v>
      </c>
      <c r="N100" s="57">
        <f t="shared" ref="N100" si="75">N99</f>
        <v>0.28132400000000002</v>
      </c>
      <c r="P100">
        <v>1</v>
      </c>
      <c r="Q100" t="s">
        <v>164</v>
      </c>
      <c r="R100">
        <v>6720</v>
      </c>
      <c r="S100">
        <v>224</v>
      </c>
      <c r="T100">
        <v>1</v>
      </c>
      <c r="U100">
        <v>1</v>
      </c>
      <c r="V100">
        <v>1067.73</v>
      </c>
      <c r="W100" s="65">
        <v>0.18953999999999999</v>
      </c>
      <c r="X100" s="46">
        <v>45473</v>
      </c>
      <c r="Y100" s="47">
        <v>0.26417824074074076</v>
      </c>
      <c r="Z100">
        <v>136464</v>
      </c>
      <c r="AA100">
        <v>136463</v>
      </c>
      <c r="AB100">
        <v>136464</v>
      </c>
      <c r="AC100" s="57">
        <f t="shared" ref="AC100" si="76">AC99</f>
        <v>0.20333800000000002</v>
      </c>
    </row>
    <row r="101" spans="1:29" x14ac:dyDescent="0.25">
      <c r="A101">
        <v>2</v>
      </c>
      <c r="B101" t="s">
        <v>164</v>
      </c>
      <c r="C101">
        <v>6720</v>
      </c>
      <c r="D101">
        <v>224</v>
      </c>
      <c r="E101">
        <v>1</v>
      </c>
      <c r="F101">
        <v>1</v>
      </c>
      <c r="G101">
        <v>721.31</v>
      </c>
      <c r="H101" s="65">
        <v>0.28056999999999999</v>
      </c>
      <c r="I101" s="60">
        <v>45473</v>
      </c>
      <c r="J101" s="63">
        <v>0.29648148148148146</v>
      </c>
      <c r="K101" s="67">
        <v>79635</v>
      </c>
      <c r="L101" s="67">
        <v>79631</v>
      </c>
      <c r="M101" s="67">
        <v>79628</v>
      </c>
      <c r="N101" s="57">
        <f t="shared" si="59"/>
        <v>0.28132400000000002</v>
      </c>
      <c r="P101">
        <v>2</v>
      </c>
      <c r="Q101" t="s">
        <v>164</v>
      </c>
      <c r="R101">
        <v>6720</v>
      </c>
      <c r="S101">
        <v>224</v>
      </c>
      <c r="T101">
        <v>1</v>
      </c>
      <c r="U101">
        <v>1</v>
      </c>
      <c r="V101">
        <v>1051.8800000000001</v>
      </c>
      <c r="W101" s="65">
        <v>0.19239999999999999</v>
      </c>
      <c r="X101" s="46">
        <v>45473</v>
      </c>
      <c r="Y101" s="47">
        <v>0.60508101851851848</v>
      </c>
      <c r="Z101">
        <v>134974</v>
      </c>
      <c r="AA101">
        <v>134973</v>
      </c>
      <c r="AB101">
        <v>134973</v>
      </c>
      <c r="AC101" s="57">
        <f t="shared" si="56"/>
        <v>0.20333800000000002</v>
      </c>
    </row>
    <row r="102" spans="1:29" x14ac:dyDescent="0.25">
      <c r="A102">
        <v>3</v>
      </c>
      <c r="B102" t="s">
        <v>164</v>
      </c>
      <c r="C102">
        <v>6720</v>
      </c>
      <c r="D102">
        <v>224</v>
      </c>
      <c r="E102">
        <v>1</v>
      </c>
      <c r="F102">
        <v>1</v>
      </c>
      <c r="G102">
        <v>717.43</v>
      </c>
      <c r="H102" s="65">
        <v>0.28209000000000001</v>
      </c>
      <c r="I102" s="60">
        <v>45473</v>
      </c>
      <c r="J102" s="63">
        <v>0.51590277777777782</v>
      </c>
      <c r="K102" s="67">
        <v>78655</v>
      </c>
      <c r="L102" s="67">
        <v>78655</v>
      </c>
      <c r="M102" s="67">
        <v>78655</v>
      </c>
      <c r="N102" s="57">
        <f t="shared" si="59"/>
        <v>0.28132400000000002</v>
      </c>
      <c r="P102">
        <v>3</v>
      </c>
      <c r="Q102" t="s">
        <v>164</v>
      </c>
      <c r="R102">
        <v>6720</v>
      </c>
      <c r="S102">
        <v>224</v>
      </c>
      <c r="T102">
        <v>1</v>
      </c>
      <c r="U102">
        <v>1</v>
      </c>
      <c r="V102">
        <v>940.85</v>
      </c>
      <c r="W102" s="65">
        <v>0.21510000000000001</v>
      </c>
      <c r="X102" s="46">
        <v>45473</v>
      </c>
      <c r="Y102" s="47">
        <v>0.94336805555555558</v>
      </c>
      <c r="Z102">
        <v>123701</v>
      </c>
      <c r="AA102">
        <v>123702</v>
      </c>
      <c r="AB102">
        <v>123702</v>
      </c>
      <c r="AC102" s="57">
        <f t="shared" si="56"/>
        <v>0.20333800000000002</v>
      </c>
    </row>
    <row r="103" spans="1:29" x14ac:dyDescent="0.25">
      <c r="A103">
        <v>4</v>
      </c>
      <c r="B103" t="s">
        <v>164</v>
      </c>
      <c r="C103">
        <v>6720</v>
      </c>
      <c r="D103">
        <v>224</v>
      </c>
      <c r="E103">
        <v>1</v>
      </c>
      <c r="F103">
        <v>1</v>
      </c>
      <c r="G103">
        <v>717.93</v>
      </c>
      <c r="H103" s="65">
        <v>0.28188999999999997</v>
      </c>
      <c r="I103" s="60">
        <v>45473</v>
      </c>
      <c r="J103" s="63">
        <v>0.73552083333333329</v>
      </c>
      <c r="K103" s="67">
        <v>78904</v>
      </c>
      <c r="L103" s="67">
        <v>78904</v>
      </c>
      <c r="M103" s="67">
        <v>78904</v>
      </c>
      <c r="N103" s="57">
        <f t="shared" si="59"/>
        <v>0.28132400000000002</v>
      </c>
      <c r="P103">
        <v>4</v>
      </c>
      <c r="Q103" t="s">
        <v>164</v>
      </c>
      <c r="R103">
        <v>6720</v>
      </c>
      <c r="S103">
        <v>224</v>
      </c>
      <c r="T103">
        <v>1</v>
      </c>
      <c r="U103">
        <v>1</v>
      </c>
      <c r="V103">
        <v>945.8</v>
      </c>
      <c r="W103" s="65">
        <v>0.21396999999999999</v>
      </c>
      <c r="X103" s="46">
        <v>45474</v>
      </c>
      <c r="Y103" s="47">
        <v>0.28613425925925928</v>
      </c>
      <c r="Z103">
        <v>124307</v>
      </c>
      <c r="AA103">
        <v>124308</v>
      </c>
      <c r="AB103">
        <v>124307</v>
      </c>
      <c r="AC103" s="57">
        <f t="shared" si="56"/>
        <v>0.20333800000000002</v>
      </c>
    </row>
    <row r="104" spans="1:29" x14ac:dyDescent="0.25">
      <c r="A104">
        <v>0</v>
      </c>
      <c r="B104" t="s">
        <v>164</v>
      </c>
      <c r="C104">
        <v>6944</v>
      </c>
      <c r="D104">
        <v>224</v>
      </c>
      <c r="E104">
        <v>1</v>
      </c>
      <c r="F104">
        <v>1</v>
      </c>
      <c r="G104">
        <v>796.63</v>
      </c>
      <c r="H104" s="65">
        <v>0.28029999999999999</v>
      </c>
      <c r="I104" s="60">
        <v>45472</v>
      </c>
      <c r="J104" s="63">
        <v>0.94135416666666671</v>
      </c>
      <c r="K104" s="67">
        <v>87079</v>
      </c>
      <c r="L104" s="67">
        <v>87080</v>
      </c>
      <c r="M104" s="67">
        <v>87079</v>
      </c>
      <c r="N104" s="57">
        <f t="shared" ref="N104" si="77">AVERAGE(H104:H108)</f>
        <v>0.281028</v>
      </c>
      <c r="P104">
        <v>0</v>
      </c>
      <c r="Q104" t="s">
        <v>164</v>
      </c>
      <c r="R104">
        <v>6944</v>
      </c>
      <c r="S104">
        <v>224</v>
      </c>
      <c r="T104">
        <v>1</v>
      </c>
      <c r="U104">
        <v>1</v>
      </c>
      <c r="V104">
        <v>1027.76</v>
      </c>
      <c r="W104" s="65">
        <v>0.21726000000000001</v>
      </c>
      <c r="X104" s="46">
        <v>45473</v>
      </c>
      <c r="Y104" s="47">
        <v>5.4247685185185184E-2</v>
      </c>
      <c r="Z104">
        <v>134634</v>
      </c>
      <c r="AA104">
        <v>134633</v>
      </c>
      <c r="AB104">
        <v>134634</v>
      </c>
      <c r="AC104" s="57">
        <f t="shared" ref="AC104" si="78">AVERAGE(W104:W108)</f>
        <v>0.20576800000000001</v>
      </c>
    </row>
    <row r="105" spans="1:29" x14ac:dyDescent="0.25">
      <c r="A105">
        <v>1</v>
      </c>
      <c r="B105" t="s">
        <v>164</v>
      </c>
      <c r="C105">
        <v>6944</v>
      </c>
      <c r="D105">
        <v>224</v>
      </c>
      <c r="E105">
        <v>1</v>
      </c>
      <c r="F105">
        <v>1</v>
      </c>
      <c r="G105">
        <v>795.79</v>
      </c>
      <c r="H105" s="65">
        <v>0.28060000000000002</v>
      </c>
      <c r="I105" s="60">
        <v>45473</v>
      </c>
      <c r="J105" s="63">
        <v>0.16094907407407408</v>
      </c>
      <c r="K105" s="67">
        <v>87026</v>
      </c>
      <c r="L105" s="67">
        <v>87026</v>
      </c>
      <c r="M105" s="67">
        <v>87026</v>
      </c>
      <c r="N105" s="57">
        <f t="shared" ref="N105" si="79">N104</f>
        <v>0.281028</v>
      </c>
      <c r="P105">
        <v>1</v>
      </c>
      <c r="Q105" t="s">
        <v>164</v>
      </c>
      <c r="R105">
        <v>6944</v>
      </c>
      <c r="S105">
        <v>224</v>
      </c>
      <c r="T105">
        <v>1</v>
      </c>
      <c r="U105">
        <v>1</v>
      </c>
      <c r="V105">
        <v>1149.98</v>
      </c>
      <c r="W105" s="65">
        <v>0.19417000000000001</v>
      </c>
      <c r="X105" s="46">
        <v>45473</v>
      </c>
      <c r="Y105" s="47">
        <v>0.39552083333333332</v>
      </c>
      <c r="Z105">
        <v>146707</v>
      </c>
      <c r="AA105">
        <v>146707</v>
      </c>
      <c r="AB105">
        <v>146705</v>
      </c>
      <c r="AC105" s="57">
        <f t="shared" ref="AC105" si="80">AC104</f>
        <v>0.20576800000000001</v>
      </c>
    </row>
    <row r="106" spans="1:29" x14ac:dyDescent="0.25">
      <c r="A106">
        <v>2</v>
      </c>
      <c r="B106" t="s">
        <v>164</v>
      </c>
      <c r="C106">
        <v>6944</v>
      </c>
      <c r="D106">
        <v>224</v>
      </c>
      <c r="E106">
        <v>1</v>
      </c>
      <c r="F106">
        <v>1</v>
      </c>
      <c r="G106">
        <v>796.03</v>
      </c>
      <c r="H106" s="65">
        <v>0.28050999999999998</v>
      </c>
      <c r="I106" s="60">
        <v>45473</v>
      </c>
      <c r="J106" s="63">
        <v>0.38043981481481481</v>
      </c>
      <c r="K106" s="67">
        <v>87000</v>
      </c>
      <c r="L106" s="67">
        <v>87000</v>
      </c>
      <c r="M106" s="67">
        <v>86999</v>
      </c>
      <c r="N106" s="57">
        <f t="shared" si="59"/>
        <v>0.281028</v>
      </c>
      <c r="P106">
        <v>2</v>
      </c>
      <c r="Q106" t="s">
        <v>164</v>
      </c>
      <c r="R106">
        <v>6944</v>
      </c>
      <c r="S106">
        <v>224</v>
      </c>
      <c r="T106">
        <v>1</v>
      </c>
      <c r="U106">
        <v>1</v>
      </c>
      <c r="V106">
        <v>1092.33</v>
      </c>
      <c r="W106" s="65">
        <v>0.20441999999999999</v>
      </c>
      <c r="X106" s="46">
        <v>45473</v>
      </c>
      <c r="Y106" s="47">
        <v>0.7353587962962963</v>
      </c>
      <c r="Z106">
        <v>140999</v>
      </c>
      <c r="AA106">
        <v>140997</v>
      </c>
      <c r="AB106">
        <v>140998</v>
      </c>
      <c r="AC106" s="57">
        <f t="shared" si="56"/>
        <v>0.20576800000000001</v>
      </c>
    </row>
    <row r="107" spans="1:29" x14ac:dyDescent="0.25">
      <c r="A107">
        <v>3</v>
      </c>
      <c r="B107" t="s">
        <v>164</v>
      </c>
      <c r="C107">
        <v>6944</v>
      </c>
      <c r="D107">
        <v>224</v>
      </c>
      <c r="E107">
        <v>1</v>
      </c>
      <c r="F107">
        <v>1</v>
      </c>
      <c r="G107">
        <v>792.43</v>
      </c>
      <c r="H107" s="65">
        <v>0.28178999999999998</v>
      </c>
      <c r="I107" s="60">
        <v>45473</v>
      </c>
      <c r="J107" s="63">
        <v>0.59978009259259257</v>
      </c>
      <c r="K107" s="67">
        <v>86578</v>
      </c>
      <c r="L107" s="67">
        <v>86579</v>
      </c>
      <c r="M107" s="67">
        <v>86578</v>
      </c>
      <c r="N107" s="57">
        <f t="shared" si="59"/>
        <v>0.281028</v>
      </c>
      <c r="P107">
        <v>3</v>
      </c>
      <c r="Q107" t="s">
        <v>164</v>
      </c>
      <c r="R107">
        <v>6944</v>
      </c>
      <c r="S107">
        <v>224</v>
      </c>
      <c r="T107">
        <v>1</v>
      </c>
      <c r="U107">
        <v>1</v>
      </c>
      <c r="V107">
        <v>1133.52</v>
      </c>
      <c r="W107" s="65">
        <v>0.19699</v>
      </c>
      <c r="X107" s="46">
        <v>45474</v>
      </c>
      <c r="Y107" s="47">
        <v>7.6736111111111116E-2</v>
      </c>
      <c r="Z107">
        <v>144995</v>
      </c>
      <c r="AA107">
        <v>144996</v>
      </c>
      <c r="AB107">
        <v>144996</v>
      </c>
      <c r="AC107" s="57">
        <f t="shared" si="56"/>
        <v>0.20576800000000001</v>
      </c>
    </row>
    <row r="108" spans="1:29" x14ac:dyDescent="0.25">
      <c r="A108">
        <v>4</v>
      </c>
      <c r="B108" t="s">
        <v>164</v>
      </c>
      <c r="C108">
        <v>6944</v>
      </c>
      <c r="D108">
        <v>224</v>
      </c>
      <c r="E108">
        <v>1</v>
      </c>
      <c r="F108">
        <v>1</v>
      </c>
      <c r="G108">
        <v>792.01</v>
      </c>
      <c r="H108" s="65">
        <v>0.28194000000000002</v>
      </c>
      <c r="I108" s="60">
        <v>45473</v>
      </c>
      <c r="J108" s="63">
        <v>0.81952546296296291</v>
      </c>
      <c r="K108" s="67">
        <v>86626</v>
      </c>
      <c r="L108" s="67">
        <v>86625</v>
      </c>
      <c r="M108" s="67">
        <v>86626</v>
      </c>
      <c r="N108" s="57">
        <f t="shared" si="59"/>
        <v>0.281028</v>
      </c>
      <c r="P108">
        <v>4</v>
      </c>
      <c r="Q108" t="s">
        <v>164</v>
      </c>
      <c r="R108">
        <v>6944</v>
      </c>
      <c r="S108">
        <v>224</v>
      </c>
      <c r="T108">
        <v>1</v>
      </c>
      <c r="U108">
        <v>1</v>
      </c>
      <c r="V108">
        <v>1033.77</v>
      </c>
      <c r="W108" s="65">
        <v>0.216</v>
      </c>
      <c r="X108" s="46">
        <v>45474</v>
      </c>
      <c r="Y108" s="47">
        <v>0.41431712962962963</v>
      </c>
      <c r="Z108">
        <v>135036</v>
      </c>
      <c r="AA108">
        <v>135037</v>
      </c>
      <c r="AB108">
        <v>135037</v>
      </c>
      <c r="AC108" s="57">
        <f t="shared" si="56"/>
        <v>0.20576800000000001</v>
      </c>
    </row>
    <row r="109" spans="1:29" x14ac:dyDescent="0.25">
      <c r="A109">
        <v>0</v>
      </c>
      <c r="B109" t="s">
        <v>164</v>
      </c>
      <c r="C109">
        <v>6144</v>
      </c>
      <c r="D109">
        <v>256</v>
      </c>
      <c r="E109">
        <v>1</v>
      </c>
      <c r="F109">
        <v>1</v>
      </c>
      <c r="G109">
        <v>609</v>
      </c>
      <c r="H109" s="65">
        <v>0.25397999999999998</v>
      </c>
      <c r="I109" s="60">
        <v>45472</v>
      </c>
      <c r="J109" s="63">
        <v>0.7925578703703704</v>
      </c>
      <c r="K109" s="67">
        <v>66696</v>
      </c>
      <c r="L109" s="67">
        <v>66696</v>
      </c>
      <c r="M109" s="67">
        <v>66697</v>
      </c>
      <c r="N109" s="57">
        <f t="shared" ref="N109" si="81">AVERAGE(H109:H113)</f>
        <v>0.25335600000000003</v>
      </c>
      <c r="P109">
        <v>0</v>
      </c>
      <c r="Q109" t="s">
        <v>164</v>
      </c>
      <c r="R109">
        <v>6144</v>
      </c>
      <c r="S109">
        <v>256</v>
      </c>
      <c r="T109">
        <v>1</v>
      </c>
      <c r="U109">
        <v>1</v>
      </c>
      <c r="V109">
        <v>755.48</v>
      </c>
      <c r="W109" s="65">
        <v>0.20474000000000001</v>
      </c>
      <c r="X109" s="46">
        <v>45472</v>
      </c>
      <c r="Y109" s="47">
        <v>0.82682870370370365</v>
      </c>
      <c r="Z109">
        <v>100600</v>
      </c>
      <c r="AA109">
        <v>100600</v>
      </c>
      <c r="AB109">
        <v>100600</v>
      </c>
      <c r="AC109" s="57">
        <f t="shared" ref="AC109" si="82">AVERAGE(W109:W113)</f>
        <v>0.20815799999999998</v>
      </c>
    </row>
    <row r="110" spans="1:29" x14ac:dyDescent="0.25">
      <c r="A110">
        <v>1</v>
      </c>
      <c r="B110" t="s">
        <v>164</v>
      </c>
      <c r="C110">
        <v>6144</v>
      </c>
      <c r="D110">
        <v>256</v>
      </c>
      <c r="E110">
        <v>1</v>
      </c>
      <c r="F110">
        <v>1</v>
      </c>
      <c r="G110">
        <v>611.36</v>
      </c>
      <c r="H110" s="65">
        <v>0.253</v>
      </c>
      <c r="I110" s="60">
        <v>45473</v>
      </c>
      <c r="J110" s="63">
        <v>1.2476851851851852E-2</v>
      </c>
      <c r="K110" s="67">
        <v>66953</v>
      </c>
      <c r="L110" s="67">
        <v>66953</v>
      </c>
      <c r="M110" s="67">
        <v>66953</v>
      </c>
      <c r="N110" s="57">
        <f t="shared" ref="N110" si="83">N109</f>
        <v>0.25335600000000003</v>
      </c>
      <c r="P110">
        <v>1</v>
      </c>
      <c r="Q110" t="s">
        <v>164</v>
      </c>
      <c r="R110">
        <v>6144</v>
      </c>
      <c r="S110">
        <v>256</v>
      </c>
      <c r="T110">
        <v>1</v>
      </c>
      <c r="U110">
        <v>1</v>
      </c>
      <c r="V110">
        <v>740.27</v>
      </c>
      <c r="W110" s="65">
        <v>0.20893999999999999</v>
      </c>
      <c r="X110" s="46">
        <v>45473</v>
      </c>
      <c r="Y110" s="47">
        <v>0.16462962962962963</v>
      </c>
      <c r="Z110">
        <v>99060</v>
      </c>
      <c r="AA110">
        <v>99062</v>
      </c>
      <c r="AB110">
        <v>99067</v>
      </c>
      <c r="AC110" s="57">
        <f t="shared" ref="AC110" si="84">AC109</f>
        <v>0.20815799999999998</v>
      </c>
    </row>
    <row r="111" spans="1:29" x14ac:dyDescent="0.25">
      <c r="A111">
        <v>2</v>
      </c>
      <c r="B111" t="s">
        <v>164</v>
      </c>
      <c r="C111">
        <v>6144</v>
      </c>
      <c r="D111">
        <v>256</v>
      </c>
      <c r="E111">
        <v>1</v>
      </c>
      <c r="F111">
        <v>1</v>
      </c>
      <c r="G111">
        <v>608.92999999999995</v>
      </c>
      <c r="H111" s="65">
        <v>0.25401000000000001</v>
      </c>
      <c r="I111" s="60">
        <v>45473</v>
      </c>
      <c r="J111" s="63">
        <v>0.23200231481481481</v>
      </c>
      <c r="K111" s="67">
        <v>66689</v>
      </c>
      <c r="L111" s="67">
        <v>66689</v>
      </c>
      <c r="M111" s="67">
        <v>66689</v>
      </c>
      <c r="N111" s="57">
        <f t="shared" si="59"/>
        <v>0.25335600000000003</v>
      </c>
      <c r="P111">
        <v>2</v>
      </c>
      <c r="Q111" t="s">
        <v>164</v>
      </c>
      <c r="R111">
        <v>6144</v>
      </c>
      <c r="S111">
        <v>256</v>
      </c>
      <c r="T111">
        <v>1</v>
      </c>
      <c r="U111">
        <v>1</v>
      </c>
      <c r="V111">
        <v>740.27</v>
      </c>
      <c r="W111" s="65">
        <v>0.20893999999999999</v>
      </c>
      <c r="X111" s="46">
        <v>45473</v>
      </c>
      <c r="Y111" s="47">
        <v>0.50609953703703703</v>
      </c>
      <c r="Z111">
        <v>99050</v>
      </c>
      <c r="AA111">
        <v>99049</v>
      </c>
      <c r="AB111">
        <v>99050</v>
      </c>
      <c r="AC111" s="57">
        <f t="shared" si="56"/>
        <v>0.20815799999999998</v>
      </c>
    </row>
    <row r="112" spans="1:29" x14ac:dyDescent="0.25">
      <c r="A112">
        <v>3</v>
      </c>
      <c r="B112" t="s">
        <v>164</v>
      </c>
      <c r="C112">
        <v>6144</v>
      </c>
      <c r="D112">
        <v>256</v>
      </c>
      <c r="E112">
        <v>1</v>
      </c>
      <c r="F112">
        <v>1</v>
      </c>
      <c r="G112">
        <v>611.30999999999995</v>
      </c>
      <c r="H112" s="65">
        <v>0.25302000000000002</v>
      </c>
      <c r="I112" s="60">
        <v>45473</v>
      </c>
      <c r="J112" s="63">
        <v>0.45153935185185184</v>
      </c>
      <c r="K112" s="67">
        <v>66899</v>
      </c>
      <c r="L112" s="67">
        <v>66900</v>
      </c>
      <c r="M112" s="67">
        <v>66900</v>
      </c>
      <c r="N112" s="57">
        <f t="shared" si="59"/>
        <v>0.25335600000000003</v>
      </c>
      <c r="P112">
        <v>3</v>
      </c>
      <c r="Q112" t="s">
        <v>164</v>
      </c>
      <c r="R112">
        <v>6144</v>
      </c>
      <c r="S112">
        <v>256</v>
      </c>
      <c r="T112">
        <v>1</v>
      </c>
      <c r="U112">
        <v>1</v>
      </c>
      <c r="V112">
        <v>738.67</v>
      </c>
      <c r="W112" s="65">
        <v>0.2094</v>
      </c>
      <c r="X112" s="46">
        <v>45473</v>
      </c>
      <c r="Y112" s="47">
        <v>0.84447916666666667</v>
      </c>
      <c r="Z112">
        <v>98815</v>
      </c>
      <c r="AA112">
        <v>98815</v>
      </c>
      <c r="AB112">
        <v>98814</v>
      </c>
      <c r="AC112" s="57">
        <f t="shared" si="56"/>
        <v>0.20815799999999998</v>
      </c>
    </row>
    <row r="113" spans="1:29" x14ac:dyDescent="0.25">
      <c r="A113">
        <v>4</v>
      </c>
      <c r="B113" t="s">
        <v>164</v>
      </c>
      <c r="C113">
        <v>6144</v>
      </c>
      <c r="D113">
        <v>256</v>
      </c>
      <c r="E113">
        <v>1</v>
      </c>
      <c r="F113">
        <v>1</v>
      </c>
      <c r="G113">
        <v>611.92999999999995</v>
      </c>
      <c r="H113" s="65">
        <v>0.25276999999999999</v>
      </c>
      <c r="I113" s="60">
        <v>45473</v>
      </c>
      <c r="J113" s="63">
        <v>0.6708912037037037</v>
      </c>
      <c r="K113" s="67">
        <v>66994</v>
      </c>
      <c r="L113" s="67">
        <v>66993</v>
      </c>
      <c r="M113" s="67">
        <v>66994</v>
      </c>
      <c r="N113" s="57">
        <f t="shared" si="59"/>
        <v>0.25335600000000003</v>
      </c>
      <c r="P113">
        <v>4</v>
      </c>
      <c r="Q113" t="s">
        <v>164</v>
      </c>
      <c r="R113">
        <v>6144</v>
      </c>
      <c r="S113">
        <v>256</v>
      </c>
      <c r="T113">
        <v>1</v>
      </c>
      <c r="U113">
        <v>1</v>
      </c>
      <c r="V113">
        <v>740.88</v>
      </c>
      <c r="W113" s="65">
        <v>0.20877000000000001</v>
      </c>
      <c r="X113" s="46">
        <v>45474</v>
      </c>
      <c r="Y113" s="47">
        <v>0.18810185185185185</v>
      </c>
      <c r="Z113">
        <v>99048</v>
      </c>
      <c r="AA113">
        <v>99049</v>
      </c>
      <c r="AB113">
        <v>99049</v>
      </c>
      <c r="AC113" s="57">
        <f t="shared" si="56"/>
        <v>0.20815799999999998</v>
      </c>
    </row>
    <row r="114" spans="1:29" x14ac:dyDescent="0.25">
      <c r="A114">
        <v>0</v>
      </c>
      <c r="B114" t="s">
        <v>164</v>
      </c>
      <c r="C114">
        <v>6656</v>
      </c>
      <c r="D114">
        <v>256</v>
      </c>
      <c r="E114">
        <v>1</v>
      </c>
      <c r="F114">
        <v>1</v>
      </c>
      <c r="G114">
        <v>750.89</v>
      </c>
      <c r="H114" s="65">
        <v>0.26189000000000001</v>
      </c>
      <c r="I114" s="60">
        <v>45472</v>
      </c>
      <c r="J114" s="63">
        <v>0.86643518518518514</v>
      </c>
      <c r="K114" s="67">
        <v>81823</v>
      </c>
      <c r="L114" s="67">
        <v>81822</v>
      </c>
      <c r="M114" s="67">
        <v>81822</v>
      </c>
      <c r="N114" s="57">
        <f t="shared" ref="N114" si="85">AVERAGE(H114:H118)</f>
        <v>0.26173999999999997</v>
      </c>
      <c r="P114">
        <v>0</v>
      </c>
      <c r="Q114" t="s">
        <v>164</v>
      </c>
      <c r="R114">
        <v>6656</v>
      </c>
      <c r="S114">
        <v>256</v>
      </c>
      <c r="T114">
        <v>1</v>
      </c>
      <c r="U114">
        <v>1</v>
      </c>
      <c r="V114">
        <v>954.86</v>
      </c>
      <c r="W114" s="65">
        <v>0.20594999999999999</v>
      </c>
      <c r="X114" s="46">
        <v>45472</v>
      </c>
      <c r="Y114" s="47">
        <v>0.93998842592592591</v>
      </c>
      <c r="Z114">
        <v>124848</v>
      </c>
      <c r="AA114">
        <v>124847</v>
      </c>
      <c r="AB114">
        <v>124847</v>
      </c>
      <c r="AC114" s="57">
        <f t="shared" ref="AC114" si="86">AVERAGE(W114:W118)</f>
        <v>0.20951599999999998</v>
      </c>
    </row>
    <row r="115" spans="1:29" x14ac:dyDescent="0.25">
      <c r="A115">
        <v>1</v>
      </c>
      <c r="B115" t="s">
        <v>164</v>
      </c>
      <c r="C115">
        <v>6656</v>
      </c>
      <c r="D115">
        <v>256</v>
      </c>
      <c r="E115">
        <v>1</v>
      </c>
      <c r="F115">
        <v>1</v>
      </c>
      <c r="G115">
        <v>752.3</v>
      </c>
      <c r="H115" s="65">
        <v>0.26140000000000002</v>
      </c>
      <c r="I115" s="60">
        <v>45473</v>
      </c>
      <c r="J115" s="63">
        <v>8.6354166666666662E-2</v>
      </c>
      <c r="K115" s="67">
        <v>82001</v>
      </c>
      <c r="L115" s="67">
        <v>82000</v>
      </c>
      <c r="M115" s="67">
        <v>82001</v>
      </c>
      <c r="N115" s="57">
        <f t="shared" ref="N115" si="87">N114</f>
        <v>0.26173999999999997</v>
      </c>
      <c r="P115">
        <v>1</v>
      </c>
      <c r="Q115" t="s">
        <v>164</v>
      </c>
      <c r="R115">
        <v>6656</v>
      </c>
      <c r="S115">
        <v>256</v>
      </c>
      <c r="T115">
        <v>1</v>
      </c>
      <c r="U115">
        <v>1</v>
      </c>
      <c r="V115">
        <v>935.02</v>
      </c>
      <c r="W115" s="65">
        <v>0.21032000000000001</v>
      </c>
      <c r="X115" s="46">
        <v>45473</v>
      </c>
      <c r="Y115" s="47">
        <v>0.27842592592592591</v>
      </c>
      <c r="Z115">
        <v>122837</v>
      </c>
      <c r="AA115">
        <v>122837</v>
      </c>
      <c r="AB115">
        <v>122838</v>
      </c>
      <c r="AC115" s="57">
        <f t="shared" ref="AC115" si="88">AC114</f>
        <v>0.20951599999999998</v>
      </c>
    </row>
    <row r="116" spans="1:29" x14ac:dyDescent="0.25">
      <c r="A116">
        <v>2</v>
      </c>
      <c r="B116" t="s">
        <v>164</v>
      </c>
      <c r="C116">
        <v>6656</v>
      </c>
      <c r="D116">
        <v>256</v>
      </c>
      <c r="E116">
        <v>1</v>
      </c>
      <c r="F116">
        <v>1</v>
      </c>
      <c r="G116">
        <v>750.18</v>
      </c>
      <c r="H116" s="65">
        <v>0.26213999999999998</v>
      </c>
      <c r="I116" s="60">
        <v>45473</v>
      </c>
      <c r="J116" s="63">
        <v>0.3059722222222222</v>
      </c>
      <c r="K116" s="67">
        <v>81799</v>
      </c>
      <c r="L116" s="67">
        <v>81799</v>
      </c>
      <c r="M116" s="67">
        <v>81799</v>
      </c>
      <c r="N116" s="57">
        <f t="shared" si="59"/>
        <v>0.26173999999999997</v>
      </c>
      <c r="P116">
        <v>2</v>
      </c>
      <c r="Q116" t="s">
        <v>164</v>
      </c>
      <c r="R116">
        <v>6656</v>
      </c>
      <c r="S116">
        <v>256</v>
      </c>
      <c r="T116">
        <v>1</v>
      </c>
      <c r="U116">
        <v>1</v>
      </c>
      <c r="V116">
        <v>933.17</v>
      </c>
      <c r="W116" s="65">
        <v>0.21073</v>
      </c>
      <c r="X116" s="46">
        <v>45473</v>
      </c>
      <c r="Y116" s="47">
        <v>0.61930555555555555</v>
      </c>
      <c r="Z116">
        <v>122635</v>
      </c>
      <c r="AA116">
        <v>122634</v>
      </c>
      <c r="AB116">
        <v>122634</v>
      </c>
      <c r="AC116" s="57">
        <f t="shared" si="56"/>
        <v>0.20951599999999998</v>
      </c>
    </row>
    <row r="117" spans="1:29" x14ac:dyDescent="0.25">
      <c r="A117">
        <v>3</v>
      </c>
      <c r="B117" t="s">
        <v>164</v>
      </c>
      <c r="C117">
        <v>6656</v>
      </c>
      <c r="D117">
        <v>256</v>
      </c>
      <c r="E117">
        <v>1</v>
      </c>
      <c r="F117">
        <v>1</v>
      </c>
      <c r="G117">
        <v>752.16</v>
      </c>
      <c r="H117" s="65">
        <v>0.26145000000000002</v>
      </c>
      <c r="I117" s="60">
        <v>45473</v>
      </c>
      <c r="J117" s="63">
        <v>0.52541666666666664</v>
      </c>
      <c r="K117" s="67">
        <v>82021</v>
      </c>
      <c r="L117" s="67">
        <v>82022</v>
      </c>
      <c r="M117" s="67">
        <v>82021</v>
      </c>
      <c r="N117" s="57">
        <f t="shared" si="59"/>
        <v>0.26173999999999997</v>
      </c>
      <c r="P117">
        <v>3</v>
      </c>
      <c r="Q117" t="s">
        <v>164</v>
      </c>
      <c r="R117">
        <v>6656</v>
      </c>
      <c r="S117">
        <v>256</v>
      </c>
      <c r="T117">
        <v>1</v>
      </c>
      <c r="U117">
        <v>1</v>
      </c>
      <c r="V117">
        <v>934.34</v>
      </c>
      <c r="W117" s="65">
        <v>0.21046999999999999</v>
      </c>
      <c r="X117" s="46">
        <v>45473</v>
      </c>
      <c r="Y117" s="47">
        <v>0.95759259259259255</v>
      </c>
      <c r="Z117">
        <v>122669</v>
      </c>
      <c r="AA117">
        <v>122670</v>
      </c>
      <c r="AB117">
        <v>122670</v>
      </c>
      <c r="AC117" s="57">
        <f t="shared" si="56"/>
        <v>0.20951599999999998</v>
      </c>
    </row>
    <row r="118" spans="1:29" x14ac:dyDescent="0.25">
      <c r="A118">
        <v>4</v>
      </c>
      <c r="B118" t="s">
        <v>164</v>
      </c>
      <c r="C118">
        <v>6656</v>
      </c>
      <c r="D118">
        <v>256</v>
      </c>
      <c r="E118">
        <v>1</v>
      </c>
      <c r="F118">
        <v>1</v>
      </c>
      <c r="G118">
        <v>751.08</v>
      </c>
      <c r="H118" s="65">
        <v>0.26182</v>
      </c>
      <c r="I118" s="60">
        <v>45473</v>
      </c>
      <c r="J118" s="63">
        <v>0.74501157407407403</v>
      </c>
      <c r="K118" s="67">
        <v>81836</v>
      </c>
      <c r="L118" s="67">
        <v>81837</v>
      </c>
      <c r="M118" s="67">
        <v>81836</v>
      </c>
      <c r="N118" s="57">
        <f t="shared" si="59"/>
        <v>0.26173999999999997</v>
      </c>
      <c r="P118">
        <v>4</v>
      </c>
      <c r="Q118" t="s">
        <v>164</v>
      </c>
      <c r="R118">
        <v>6656</v>
      </c>
      <c r="S118">
        <v>256</v>
      </c>
      <c r="T118">
        <v>1</v>
      </c>
      <c r="U118">
        <v>1</v>
      </c>
      <c r="V118">
        <v>935.92</v>
      </c>
      <c r="W118" s="65">
        <v>0.21010999999999999</v>
      </c>
      <c r="X118" s="46">
        <v>45474</v>
      </c>
      <c r="Y118" s="47">
        <v>0.30037037037037034</v>
      </c>
      <c r="Z118">
        <v>122824</v>
      </c>
      <c r="AA118">
        <v>122824</v>
      </c>
      <c r="AB118">
        <v>122823</v>
      </c>
      <c r="AC118" s="57">
        <f t="shared" si="56"/>
        <v>0.20951599999999998</v>
      </c>
    </row>
    <row r="119" spans="1:29" x14ac:dyDescent="0.25">
      <c r="A119">
        <v>0</v>
      </c>
      <c r="B119" t="s">
        <v>164</v>
      </c>
      <c r="C119">
        <v>6912</v>
      </c>
      <c r="D119">
        <v>256</v>
      </c>
      <c r="E119">
        <v>1</v>
      </c>
      <c r="F119">
        <v>1</v>
      </c>
      <c r="G119">
        <v>784.65</v>
      </c>
      <c r="H119" s="65">
        <v>0.28066000000000002</v>
      </c>
      <c r="I119" s="60">
        <v>45472</v>
      </c>
      <c r="J119" s="63">
        <v>0.95129629629629631</v>
      </c>
      <c r="K119" s="67">
        <v>85742</v>
      </c>
      <c r="L119" s="67">
        <v>85743</v>
      </c>
      <c r="M119" s="67">
        <v>85742</v>
      </c>
      <c r="N119" s="57">
        <f t="shared" ref="N119" si="89">AVERAGE(H119:H123)</f>
        <v>0.27909400000000001</v>
      </c>
      <c r="P119">
        <v>0</v>
      </c>
      <c r="Q119" t="s">
        <v>164</v>
      </c>
      <c r="R119">
        <v>6912</v>
      </c>
      <c r="S119">
        <v>256</v>
      </c>
      <c r="T119">
        <v>1</v>
      </c>
      <c r="U119">
        <v>1</v>
      </c>
      <c r="V119">
        <v>1057.8699999999999</v>
      </c>
      <c r="W119" s="65">
        <v>0.20818</v>
      </c>
      <c r="X119" s="46">
        <v>45473</v>
      </c>
      <c r="Y119" s="47">
        <v>7.0162037037037037E-2</v>
      </c>
      <c r="Z119">
        <v>137282</v>
      </c>
      <c r="AA119">
        <v>137284</v>
      </c>
      <c r="AB119">
        <v>137277</v>
      </c>
      <c r="AC119" s="57">
        <f t="shared" ref="AC119" si="90">AVERAGE(W119:W123)</f>
        <v>0.21054599999999998</v>
      </c>
    </row>
    <row r="120" spans="1:29" x14ac:dyDescent="0.25">
      <c r="A120">
        <v>1</v>
      </c>
      <c r="B120" t="s">
        <v>164</v>
      </c>
      <c r="C120">
        <v>6912</v>
      </c>
      <c r="D120">
        <v>256</v>
      </c>
      <c r="E120">
        <v>1</v>
      </c>
      <c r="F120">
        <v>1</v>
      </c>
      <c r="G120">
        <v>787.79</v>
      </c>
      <c r="H120" s="65">
        <v>0.27954000000000001</v>
      </c>
      <c r="I120" s="60">
        <v>45473</v>
      </c>
      <c r="J120" s="63">
        <v>0.17093749999999999</v>
      </c>
      <c r="K120" s="67">
        <v>86050</v>
      </c>
      <c r="L120" s="67">
        <v>86051</v>
      </c>
      <c r="M120" s="67">
        <v>86051</v>
      </c>
      <c r="N120" s="57">
        <f t="shared" ref="N120" si="91">N119</f>
        <v>0.27909400000000001</v>
      </c>
      <c r="P120">
        <v>1</v>
      </c>
      <c r="Q120" t="s">
        <v>164</v>
      </c>
      <c r="R120">
        <v>6912</v>
      </c>
      <c r="S120">
        <v>256</v>
      </c>
      <c r="T120">
        <v>1</v>
      </c>
      <c r="U120">
        <v>1</v>
      </c>
      <c r="V120">
        <v>1054.53</v>
      </c>
      <c r="W120" s="65">
        <v>0.20882999999999999</v>
      </c>
      <c r="X120" s="46">
        <v>45473</v>
      </c>
      <c r="Y120" s="47">
        <v>0.41140046296296295</v>
      </c>
      <c r="Z120">
        <v>136923</v>
      </c>
      <c r="AA120">
        <v>136922</v>
      </c>
      <c r="AB120">
        <v>136922</v>
      </c>
      <c r="AC120" s="57">
        <f t="shared" ref="AC120" si="92">AC119</f>
        <v>0.21054599999999998</v>
      </c>
    </row>
    <row r="121" spans="1:29" x14ac:dyDescent="0.25">
      <c r="A121">
        <v>2</v>
      </c>
      <c r="B121" t="s">
        <v>164</v>
      </c>
      <c r="C121">
        <v>6912</v>
      </c>
      <c r="D121">
        <v>256</v>
      </c>
      <c r="E121">
        <v>1</v>
      </c>
      <c r="F121">
        <v>1</v>
      </c>
      <c r="G121">
        <v>789.14</v>
      </c>
      <c r="H121" s="65">
        <v>0.27906999999999998</v>
      </c>
      <c r="I121" s="60">
        <v>45473</v>
      </c>
      <c r="J121" s="63">
        <v>0.39043981481481482</v>
      </c>
      <c r="K121" s="67">
        <v>86185</v>
      </c>
      <c r="L121" s="67">
        <v>86185</v>
      </c>
      <c r="M121" s="67">
        <v>86185</v>
      </c>
      <c r="N121" s="57">
        <f t="shared" si="59"/>
        <v>0.27909400000000001</v>
      </c>
      <c r="P121">
        <v>2</v>
      </c>
      <c r="Q121" t="s">
        <v>164</v>
      </c>
      <c r="R121">
        <v>6912</v>
      </c>
      <c r="S121">
        <v>256</v>
      </c>
      <c r="T121">
        <v>1</v>
      </c>
      <c r="U121">
        <v>1</v>
      </c>
      <c r="V121">
        <v>1000.59</v>
      </c>
      <c r="W121" s="65">
        <v>0.22009000000000001</v>
      </c>
      <c r="X121" s="46">
        <v>45473</v>
      </c>
      <c r="Y121" s="47">
        <v>0.75063657407407403</v>
      </c>
      <c r="Z121">
        <v>131745</v>
      </c>
      <c r="AA121">
        <v>131744</v>
      </c>
      <c r="AB121">
        <v>131743</v>
      </c>
      <c r="AC121" s="57">
        <f t="shared" si="56"/>
        <v>0.21054599999999998</v>
      </c>
    </row>
    <row r="122" spans="1:29" x14ac:dyDescent="0.25">
      <c r="A122">
        <v>3</v>
      </c>
      <c r="B122" t="s">
        <v>164</v>
      </c>
      <c r="C122">
        <v>6912</v>
      </c>
      <c r="D122">
        <v>256</v>
      </c>
      <c r="E122">
        <v>1</v>
      </c>
      <c r="F122">
        <v>1</v>
      </c>
      <c r="G122">
        <v>791.84</v>
      </c>
      <c r="H122" s="65">
        <v>0.27811000000000002</v>
      </c>
      <c r="I122" s="60">
        <v>45473</v>
      </c>
      <c r="J122" s="63">
        <v>0.60980324074074077</v>
      </c>
      <c r="K122" s="67">
        <v>86484</v>
      </c>
      <c r="L122" s="67">
        <v>86484</v>
      </c>
      <c r="M122" s="67">
        <v>86484</v>
      </c>
      <c r="N122" s="57">
        <f t="shared" si="59"/>
        <v>0.27909400000000001</v>
      </c>
      <c r="P122">
        <v>3</v>
      </c>
      <c r="Q122" t="s">
        <v>164</v>
      </c>
      <c r="R122">
        <v>6912</v>
      </c>
      <c r="S122">
        <v>256</v>
      </c>
      <c r="T122">
        <v>1</v>
      </c>
      <c r="U122">
        <v>1</v>
      </c>
      <c r="V122">
        <v>1078.8499999999999</v>
      </c>
      <c r="W122" s="65">
        <v>0.20413000000000001</v>
      </c>
      <c r="X122" s="46">
        <v>45474</v>
      </c>
      <c r="Y122" s="47">
        <v>9.2893518518518514E-2</v>
      </c>
      <c r="Z122">
        <v>139334</v>
      </c>
      <c r="AA122">
        <v>139335</v>
      </c>
      <c r="AB122">
        <v>139335</v>
      </c>
      <c r="AC122" s="57">
        <f t="shared" si="56"/>
        <v>0.21054599999999998</v>
      </c>
    </row>
    <row r="123" spans="1:29" x14ac:dyDescent="0.25">
      <c r="A123">
        <v>4</v>
      </c>
      <c r="B123" t="s">
        <v>164</v>
      </c>
      <c r="C123">
        <v>6912</v>
      </c>
      <c r="D123">
        <v>256</v>
      </c>
      <c r="E123">
        <v>1</v>
      </c>
      <c r="F123">
        <v>1</v>
      </c>
      <c r="G123">
        <v>791.91</v>
      </c>
      <c r="H123" s="65">
        <v>0.27809</v>
      </c>
      <c r="I123" s="60">
        <v>45473</v>
      </c>
      <c r="J123" s="63">
        <v>0.82954861111111111</v>
      </c>
      <c r="K123" s="67">
        <v>86466</v>
      </c>
      <c r="L123" s="67">
        <v>86465</v>
      </c>
      <c r="M123" s="67">
        <v>86466</v>
      </c>
      <c r="N123" s="57">
        <f t="shared" si="59"/>
        <v>0.27909400000000001</v>
      </c>
      <c r="P123">
        <v>4</v>
      </c>
      <c r="Q123" t="s">
        <v>164</v>
      </c>
      <c r="R123">
        <v>6912</v>
      </c>
      <c r="S123">
        <v>256</v>
      </c>
      <c r="T123">
        <v>1</v>
      </c>
      <c r="U123">
        <v>1</v>
      </c>
      <c r="V123">
        <v>1041.26</v>
      </c>
      <c r="W123" s="65">
        <v>0.21149999999999999</v>
      </c>
      <c r="X123" s="46">
        <v>45474</v>
      </c>
      <c r="Y123" s="47">
        <v>0.43002314814814813</v>
      </c>
      <c r="Z123">
        <v>135491</v>
      </c>
      <c r="AA123">
        <v>135491</v>
      </c>
      <c r="AB123">
        <v>135490</v>
      </c>
      <c r="AC123" s="57">
        <f t="shared" si="56"/>
        <v>0.21054599999999998</v>
      </c>
    </row>
    <row r="124" spans="1:29" x14ac:dyDescent="0.25">
      <c r="H124" s="48"/>
      <c r="I124" s="60"/>
      <c r="J124" s="63"/>
      <c r="K124" s="67"/>
      <c r="L124" s="67"/>
      <c r="M124" s="67"/>
      <c r="N124" s="57"/>
      <c r="X124" s="46"/>
      <c r="Y124" s="47"/>
      <c r="AC124" s="69"/>
    </row>
    <row r="125" spans="1:29" x14ac:dyDescent="0.25">
      <c r="H125" s="48"/>
      <c r="I125" s="60"/>
      <c r="J125" s="63"/>
      <c r="K125" s="67"/>
      <c r="L125" s="67"/>
      <c r="M125" s="67"/>
      <c r="N125" s="57"/>
      <c r="X125" s="46"/>
      <c r="Y125" s="47"/>
      <c r="AC125" s="69"/>
    </row>
    <row r="126" spans="1:29" x14ac:dyDescent="0.25">
      <c r="H126" s="48"/>
      <c r="I126" s="60"/>
      <c r="J126" s="63"/>
      <c r="K126" s="67"/>
      <c r="L126" s="67"/>
      <c r="M126" s="67"/>
      <c r="N126" s="57"/>
      <c r="X126" s="46"/>
      <c r="Y126" s="47"/>
      <c r="AC126" s="69"/>
    </row>
    <row r="127" spans="1:29" x14ac:dyDescent="0.25">
      <c r="H127" s="48"/>
      <c r="I127" s="60"/>
      <c r="J127" s="63"/>
      <c r="K127" s="67"/>
      <c r="L127" s="67"/>
      <c r="M127" s="67"/>
      <c r="N127" s="57"/>
      <c r="X127" s="46"/>
      <c r="Y127" s="47"/>
      <c r="AC127" s="69"/>
    </row>
    <row r="128" spans="1:29" x14ac:dyDescent="0.25">
      <c r="H128" s="48"/>
      <c r="I128" s="60"/>
      <c r="J128" s="63"/>
      <c r="K128" s="67"/>
      <c r="L128" s="67"/>
      <c r="M128" s="67"/>
      <c r="N128" s="57"/>
      <c r="X128" s="46"/>
      <c r="Y128" s="47"/>
      <c r="AC128" s="69"/>
    </row>
    <row r="129" spans="8:29" x14ac:dyDescent="0.25">
      <c r="H129" s="48"/>
      <c r="I129" s="60"/>
      <c r="J129" s="63"/>
      <c r="K129" s="67"/>
      <c r="L129" s="67"/>
      <c r="M129" s="67"/>
      <c r="N129" s="57"/>
      <c r="X129" s="46"/>
      <c r="Y129" s="47"/>
      <c r="AC129" s="69"/>
    </row>
    <row r="130" spans="8:29" x14ac:dyDescent="0.25">
      <c r="H130" s="48"/>
      <c r="I130" s="60"/>
      <c r="J130" s="63"/>
      <c r="K130" s="67"/>
      <c r="L130" s="67"/>
      <c r="M130" s="67"/>
      <c r="N130" s="57"/>
      <c r="X130" s="46"/>
      <c r="Y130" s="47"/>
      <c r="AC130" s="69"/>
    </row>
    <row r="131" spans="8:29" x14ac:dyDescent="0.25">
      <c r="H131" s="48"/>
      <c r="I131" s="60"/>
      <c r="J131" s="63"/>
      <c r="K131" s="67"/>
      <c r="L131" s="67"/>
      <c r="M131" s="67"/>
      <c r="N131" s="57"/>
      <c r="X131" s="46"/>
      <c r="Y131" s="47"/>
      <c r="AC131" s="69"/>
    </row>
    <row r="132" spans="8:29" x14ac:dyDescent="0.25">
      <c r="H132" s="48"/>
      <c r="I132" s="60"/>
      <c r="J132" s="63"/>
      <c r="K132" s="67"/>
      <c r="L132" s="67"/>
      <c r="M132" s="67"/>
      <c r="N132" s="57"/>
      <c r="X132" s="46"/>
      <c r="Y132" s="47"/>
      <c r="AC132" s="69"/>
    </row>
    <row r="133" spans="8:29" x14ac:dyDescent="0.25">
      <c r="H133" s="48"/>
      <c r="I133" s="60"/>
      <c r="J133" s="63"/>
      <c r="K133" s="67"/>
      <c r="L133" s="67"/>
      <c r="M133" s="67"/>
      <c r="N133" s="57"/>
      <c r="X133" s="46"/>
      <c r="Y133" s="47"/>
      <c r="AC133" s="69"/>
    </row>
    <row r="134" spans="8:29" x14ac:dyDescent="0.25">
      <c r="H134" s="48"/>
      <c r="I134" s="60"/>
      <c r="J134" s="63"/>
      <c r="K134" s="67"/>
      <c r="L134" s="67"/>
      <c r="M134" s="67"/>
      <c r="N134" s="57"/>
      <c r="X134" s="46"/>
      <c r="Y134" s="47"/>
      <c r="AC134" s="69"/>
    </row>
    <row r="135" spans="8:29" x14ac:dyDescent="0.25">
      <c r="H135" s="48"/>
      <c r="I135" s="60"/>
      <c r="J135" s="63"/>
      <c r="K135" s="67"/>
      <c r="L135" s="67"/>
      <c r="M135" s="67"/>
      <c r="N135" s="57"/>
      <c r="X135" s="46"/>
      <c r="Y135" s="47"/>
      <c r="AC135" s="69"/>
    </row>
    <row r="136" spans="8:29" x14ac:dyDescent="0.25">
      <c r="H136" s="48"/>
      <c r="I136" s="60"/>
      <c r="J136" s="63"/>
      <c r="K136" s="67"/>
      <c r="L136" s="67"/>
      <c r="M136" s="67"/>
      <c r="N136" s="57"/>
      <c r="X136" s="46"/>
      <c r="Y136" s="47"/>
      <c r="AC136" s="69"/>
    </row>
    <row r="137" spans="8:29" x14ac:dyDescent="0.25">
      <c r="H137" s="48"/>
      <c r="I137" s="60"/>
      <c r="J137" s="63"/>
      <c r="K137" s="67"/>
      <c r="L137" s="67"/>
      <c r="M137" s="67"/>
      <c r="N137" s="57"/>
      <c r="X137" s="46"/>
      <c r="Y137" s="47"/>
      <c r="AC137" s="69"/>
    </row>
    <row r="138" spans="8:29" x14ac:dyDescent="0.25">
      <c r="H138" s="48"/>
      <c r="I138" s="60"/>
      <c r="J138" s="63"/>
      <c r="K138" s="67"/>
      <c r="L138" s="67"/>
      <c r="M138" s="67"/>
      <c r="N138" s="57"/>
      <c r="X138" s="46"/>
      <c r="Y138" s="47"/>
      <c r="AC138" s="69"/>
    </row>
    <row r="139" spans="8:29" x14ac:dyDescent="0.25">
      <c r="H139" s="48"/>
      <c r="I139" s="60"/>
      <c r="J139" s="63"/>
      <c r="K139" s="67"/>
      <c r="L139" s="67"/>
      <c r="M139" s="67"/>
      <c r="N139" s="57"/>
      <c r="X139" s="46"/>
      <c r="Y139" s="47"/>
      <c r="AC139" s="69"/>
    </row>
    <row r="140" spans="8:29" x14ac:dyDescent="0.25">
      <c r="H140" s="48"/>
      <c r="I140" s="60"/>
      <c r="J140" s="63"/>
      <c r="K140" s="67"/>
      <c r="L140" s="67"/>
      <c r="M140" s="67"/>
      <c r="N140" s="57"/>
      <c r="X140" s="46"/>
      <c r="Y140" s="47"/>
      <c r="AC140" s="69"/>
    </row>
    <row r="141" spans="8:29" x14ac:dyDescent="0.25">
      <c r="H141" s="48"/>
      <c r="I141" s="60"/>
      <c r="J141" s="63"/>
      <c r="K141" s="67"/>
      <c r="L141" s="67"/>
      <c r="M141" s="67"/>
      <c r="N141" s="57"/>
      <c r="X141" s="46"/>
      <c r="Y141" s="47"/>
      <c r="AC141" s="69"/>
    </row>
    <row r="142" spans="8:29" x14ac:dyDescent="0.25">
      <c r="H142" s="48"/>
      <c r="I142" s="60"/>
      <c r="J142" s="63"/>
      <c r="K142" s="67"/>
      <c r="L142" s="67"/>
      <c r="M142" s="67"/>
      <c r="N142" s="57"/>
      <c r="X142" s="46"/>
      <c r="Y142" s="47"/>
      <c r="AC142" s="69"/>
    </row>
    <row r="143" spans="8:29" x14ac:dyDescent="0.25">
      <c r="H143" s="48"/>
      <c r="I143" s="60"/>
      <c r="J143" s="63"/>
      <c r="K143" s="67"/>
      <c r="L143" s="67"/>
      <c r="M143" s="67"/>
      <c r="N143" s="57"/>
      <c r="X143" s="46"/>
      <c r="Y143" s="47"/>
      <c r="AC143" s="69"/>
    </row>
    <row r="144" spans="8:29" x14ac:dyDescent="0.25">
      <c r="H144" s="48"/>
      <c r="I144" s="60"/>
      <c r="J144" s="63"/>
      <c r="K144" s="67"/>
      <c r="L144" s="67"/>
      <c r="M144" s="67"/>
      <c r="N144" s="57"/>
      <c r="X144" s="46"/>
      <c r="Y144" s="47"/>
      <c r="AC144" s="69"/>
    </row>
    <row r="145" spans="8:29" x14ac:dyDescent="0.25">
      <c r="H145" s="48"/>
      <c r="I145" s="60"/>
      <c r="J145" s="63"/>
      <c r="K145" s="67"/>
      <c r="L145" s="67"/>
      <c r="M145" s="67"/>
      <c r="N145" s="57"/>
      <c r="X145" s="46"/>
      <c r="Y145" s="47"/>
      <c r="AC145" s="69"/>
    </row>
    <row r="146" spans="8:29" x14ac:dyDescent="0.25">
      <c r="H146" s="48"/>
      <c r="I146" s="60"/>
      <c r="J146" s="63"/>
      <c r="K146" s="67"/>
      <c r="L146" s="67"/>
      <c r="M146" s="67"/>
      <c r="N146" s="57"/>
      <c r="X146" s="46"/>
      <c r="Y146" s="47"/>
      <c r="AC146" s="69"/>
    </row>
    <row r="147" spans="8:29" x14ac:dyDescent="0.25">
      <c r="H147" s="48"/>
      <c r="I147" s="60"/>
      <c r="J147" s="63"/>
      <c r="K147" s="67"/>
      <c r="L147" s="67"/>
      <c r="M147" s="67"/>
      <c r="N147" s="57"/>
      <c r="X147" s="46"/>
      <c r="Y147" s="47"/>
      <c r="AC147" s="69"/>
    </row>
    <row r="148" spans="8:29" x14ac:dyDescent="0.25">
      <c r="H148" s="48"/>
      <c r="I148" s="60"/>
      <c r="J148" s="63"/>
      <c r="K148" s="67"/>
      <c r="L148" s="67"/>
      <c r="M148" s="67"/>
      <c r="N148" s="57"/>
      <c r="X148" s="46"/>
      <c r="Y148" s="47"/>
      <c r="AC148" s="69"/>
    </row>
    <row r="149" spans="8:29" x14ac:dyDescent="0.25">
      <c r="H149" s="48"/>
      <c r="I149" s="60"/>
      <c r="J149" s="63"/>
      <c r="K149" s="67"/>
      <c r="L149" s="67"/>
      <c r="M149" s="67"/>
      <c r="N149" s="57"/>
      <c r="X149" s="46"/>
      <c r="Y149" s="47"/>
      <c r="AC149" s="69"/>
    </row>
    <row r="150" spans="8:29" x14ac:dyDescent="0.25">
      <c r="H150" s="48"/>
      <c r="I150" s="60"/>
      <c r="J150" s="63"/>
      <c r="K150" s="67"/>
      <c r="L150" s="67"/>
      <c r="M150" s="67"/>
      <c r="N150" s="57"/>
      <c r="X150" s="46"/>
      <c r="Y150" s="47"/>
      <c r="AC150" s="69"/>
    </row>
    <row r="151" spans="8:29" x14ac:dyDescent="0.25">
      <c r="H151" s="48"/>
      <c r="I151" s="60"/>
      <c r="J151" s="63"/>
      <c r="K151" s="67"/>
      <c r="L151" s="67"/>
      <c r="M151" s="67"/>
      <c r="N151" s="57"/>
      <c r="X151" s="46"/>
      <c r="Y151" s="47"/>
      <c r="AC151" s="69"/>
    </row>
    <row r="152" spans="8:29" x14ac:dyDescent="0.25">
      <c r="H152" s="48"/>
      <c r="I152" s="60"/>
      <c r="J152" s="63"/>
      <c r="K152" s="67"/>
      <c r="L152" s="67"/>
      <c r="M152" s="67"/>
      <c r="N152" s="57"/>
      <c r="X152" s="46"/>
      <c r="Y152" s="47"/>
      <c r="AC152" s="69"/>
    </row>
    <row r="153" spans="8:29" x14ac:dyDescent="0.25">
      <c r="H153" s="48"/>
      <c r="I153" s="60"/>
      <c r="J153" s="63"/>
      <c r="K153" s="67"/>
      <c r="L153" s="67"/>
      <c r="M153" s="67"/>
      <c r="N153" s="57"/>
      <c r="X153" s="46"/>
      <c r="Y153" s="47"/>
      <c r="AC153" s="69"/>
    </row>
    <row r="154" spans="8:29" x14ac:dyDescent="0.25">
      <c r="H154" s="48"/>
      <c r="I154" s="60"/>
      <c r="J154" s="63"/>
      <c r="K154" s="67"/>
      <c r="L154" s="67"/>
      <c r="M154" s="67"/>
      <c r="N154" s="57"/>
      <c r="X154" s="46"/>
      <c r="Y154" s="47"/>
      <c r="AC154" s="69"/>
    </row>
    <row r="155" spans="8:29" x14ac:dyDescent="0.25">
      <c r="H155" s="48"/>
      <c r="I155" s="60"/>
      <c r="J155" s="63"/>
      <c r="K155" s="67"/>
      <c r="L155" s="67"/>
      <c r="M155" s="67"/>
      <c r="N155" s="57"/>
      <c r="X155" s="46"/>
      <c r="Y155" s="47"/>
      <c r="AC155" s="69"/>
    </row>
    <row r="156" spans="8:29" x14ac:dyDescent="0.25">
      <c r="H156" s="48"/>
      <c r="I156" s="60"/>
      <c r="J156" s="63"/>
      <c r="K156" s="67"/>
      <c r="L156" s="67"/>
      <c r="M156" s="67"/>
      <c r="N156" s="57"/>
      <c r="X156" s="46"/>
      <c r="Y156" s="47"/>
      <c r="AC156" s="69"/>
    </row>
    <row r="157" spans="8:29" x14ac:dyDescent="0.25">
      <c r="H157" s="48"/>
      <c r="I157" s="60"/>
      <c r="J157" s="63"/>
      <c r="K157" s="67"/>
      <c r="L157" s="67"/>
      <c r="M157" s="67"/>
      <c r="N157" s="57"/>
      <c r="X157" s="46"/>
      <c r="Y157" s="47"/>
      <c r="AC157" s="69"/>
    </row>
    <row r="158" spans="8:29" x14ac:dyDescent="0.25">
      <c r="H158" s="48"/>
      <c r="I158" s="60"/>
      <c r="J158" s="63"/>
      <c r="K158" s="67"/>
      <c r="L158" s="67"/>
      <c r="M158" s="67"/>
      <c r="N158" s="57"/>
      <c r="X158" s="46"/>
      <c r="Y158" s="47"/>
      <c r="AC158" s="69"/>
    </row>
    <row r="159" spans="8:29" x14ac:dyDescent="0.25">
      <c r="H159" s="48"/>
      <c r="I159" s="60"/>
      <c r="J159" s="63"/>
      <c r="K159" s="67"/>
      <c r="L159" s="67"/>
      <c r="M159" s="67"/>
      <c r="N159" s="57"/>
      <c r="X159" s="46"/>
      <c r="Y159" s="47"/>
      <c r="AC159" s="69"/>
    </row>
    <row r="160" spans="8:29" x14ac:dyDescent="0.25">
      <c r="H160" s="48"/>
      <c r="I160" s="60"/>
      <c r="J160" s="63"/>
      <c r="K160" s="67"/>
      <c r="L160" s="67"/>
      <c r="M160" s="67"/>
      <c r="N160" s="57"/>
      <c r="X160" s="46"/>
      <c r="Y160" s="47"/>
      <c r="AC160" s="69"/>
    </row>
    <row r="161" spans="8:29" x14ac:dyDescent="0.25">
      <c r="H161" s="48"/>
      <c r="I161" s="60"/>
      <c r="J161" s="63"/>
      <c r="K161" s="67"/>
      <c r="L161" s="67"/>
      <c r="M161" s="67"/>
      <c r="N161" s="57"/>
      <c r="X161" s="46"/>
      <c r="Y161" s="47"/>
      <c r="AC161" s="69"/>
    </row>
    <row r="162" spans="8:29" x14ac:dyDescent="0.25">
      <c r="H162" s="48"/>
      <c r="I162" s="60"/>
      <c r="J162" s="63"/>
      <c r="K162" s="67"/>
      <c r="L162" s="67"/>
      <c r="M162" s="67"/>
      <c r="N162" s="57"/>
      <c r="X162" s="46"/>
      <c r="Y162" s="47"/>
      <c r="AC162" s="69"/>
    </row>
    <row r="163" spans="8:29" x14ac:dyDescent="0.25">
      <c r="H163" s="48"/>
      <c r="I163" s="60"/>
      <c r="J163" s="63"/>
      <c r="K163" s="67"/>
      <c r="L163" s="67"/>
      <c r="M163" s="67"/>
      <c r="N163" s="57"/>
      <c r="X163" s="46"/>
      <c r="Y163" s="47"/>
      <c r="AC163" s="69"/>
    </row>
    <row r="164" spans="8:29" x14ac:dyDescent="0.25">
      <c r="H164" s="48"/>
      <c r="I164" s="60"/>
      <c r="J164" s="63"/>
      <c r="K164" s="67"/>
      <c r="L164" s="67"/>
      <c r="M164" s="67"/>
      <c r="N164" s="57"/>
      <c r="X164" s="46"/>
      <c r="Y164" s="47"/>
      <c r="AC164" s="69"/>
    </row>
    <row r="165" spans="8:29" x14ac:dyDescent="0.25">
      <c r="H165" s="48"/>
      <c r="I165" s="60"/>
      <c r="J165" s="63"/>
      <c r="K165" s="67"/>
      <c r="L165" s="67"/>
      <c r="M165" s="67"/>
      <c r="N165" s="57"/>
      <c r="X165" s="46"/>
      <c r="Y165" s="47"/>
      <c r="AC165" s="69"/>
    </row>
    <row r="166" spans="8:29" x14ac:dyDescent="0.25">
      <c r="H166" s="48"/>
      <c r="I166" s="60"/>
      <c r="J166" s="63"/>
      <c r="K166" s="67"/>
      <c r="L166" s="67"/>
      <c r="M166" s="67"/>
      <c r="N166" s="57"/>
      <c r="X166" s="46"/>
      <c r="Y166" s="47"/>
      <c r="AC166" s="69"/>
    </row>
    <row r="167" spans="8:29" x14ac:dyDescent="0.25">
      <c r="H167" s="48"/>
      <c r="I167" s="60"/>
      <c r="J167" s="63"/>
      <c r="K167" s="67"/>
      <c r="L167" s="67"/>
      <c r="M167" s="67"/>
      <c r="N167" s="57"/>
      <c r="X167" s="46"/>
      <c r="Y167" s="47"/>
      <c r="AC167" s="69"/>
    </row>
    <row r="168" spans="8:29" x14ac:dyDescent="0.25">
      <c r="H168" s="48"/>
      <c r="I168" s="60"/>
      <c r="J168" s="63"/>
      <c r="K168" s="67"/>
      <c r="L168" s="67"/>
      <c r="M168" s="67"/>
      <c r="N168" s="57"/>
      <c r="X168" s="46"/>
      <c r="Y168" s="47"/>
      <c r="AC168" s="69"/>
    </row>
    <row r="169" spans="8:29" x14ac:dyDescent="0.25">
      <c r="H169" s="48"/>
      <c r="X169" s="46"/>
      <c r="Y169" s="47"/>
      <c r="AC169" s="69"/>
    </row>
    <row r="170" spans="8:29" x14ac:dyDescent="0.25">
      <c r="H170" s="48"/>
      <c r="X170" s="46"/>
      <c r="Y170" s="47"/>
      <c r="AC170" s="69"/>
    </row>
    <row r="171" spans="8:29" x14ac:dyDescent="0.25">
      <c r="H171" s="48"/>
      <c r="X171" s="46"/>
      <c r="Y171" s="47"/>
      <c r="AC171" s="69"/>
    </row>
    <row r="172" spans="8:29" x14ac:dyDescent="0.25">
      <c r="H172" s="48"/>
      <c r="X172" s="46"/>
      <c r="Y172" s="47"/>
      <c r="AC172" s="69"/>
    </row>
    <row r="173" spans="8:29" x14ac:dyDescent="0.25">
      <c r="H173" s="48"/>
      <c r="X173" s="46"/>
      <c r="Y173" s="47"/>
      <c r="AC173" s="69"/>
    </row>
    <row r="174" spans="8:29" x14ac:dyDescent="0.25">
      <c r="H174" s="48"/>
      <c r="X174" s="46"/>
      <c r="Y174" s="47"/>
      <c r="AC174" s="69"/>
    </row>
    <row r="175" spans="8:29" x14ac:dyDescent="0.25">
      <c r="H175" s="48"/>
      <c r="X175" s="46"/>
      <c r="Y175" s="47"/>
      <c r="AC175" s="69"/>
    </row>
    <row r="176" spans="8:29" x14ac:dyDescent="0.25">
      <c r="H176" s="48"/>
      <c r="X176" s="46"/>
      <c r="Y176" s="47"/>
      <c r="AC176" s="69"/>
    </row>
    <row r="177" spans="8:29" x14ac:dyDescent="0.25">
      <c r="H177" s="48"/>
      <c r="X177" s="46"/>
      <c r="Y177" s="47"/>
      <c r="AC177" s="69"/>
    </row>
    <row r="178" spans="8:29" x14ac:dyDescent="0.25">
      <c r="H178" s="48"/>
      <c r="X178" s="46"/>
      <c r="Y178" s="47"/>
      <c r="AC178" s="69"/>
    </row>
    <row r="179" spans="8:29" x14ac:dyDescent="0.25">
      <c r="H179" s="48"/>
      <c r="X179" s="46"/>
      <c r="Y179" s="47"/>
      <c r="AC179" s="69"/>
    </row>
    <row r="180" spans="8:29" x14ac:dyDescent="0.25">
      <c r="H180" s="48"/>
      <c r="X180" s="46"/>
      <c r="Y180" s="47"/>
      <c r="AC180" s="69"/>
    </row>
    <row r="181" spans="8:29" x14ac:dyDescent="0.25">
      <c r="H181" s="48"/>
      <c r="X181" s="46"/>
      <c r="Y181" s="47"/>
      <c r="AC181" s="69"/>
    </row>
    <row r="182" spans="8:29" x14ac:dyDescent="0.25">
      <c r="H182" s="48"/>
      <c r="X182" s="46"/>
      <c r="Y182" s="47"/>
      <c r="AC182" s="69"/>
    </row>
    <row r="183" spans="8:29" x14ac:dyDescent="0.25">
      <c r="H183" s="48"/>
      <c r="X183" s="46"/>
      <c r="Y183" s="47"/>
      <c r="AC183" s="69"/>
    </row>
    <row r="184" spans="8:29" x14ac:dyDescent="0.25">
      <c r="H184" s="48"/>
      <c r="X184" s="46"/>
      <c r="Y184" s="47"/>
      <c r="AC184" s="69"/>
    </row>
    <row r="185" spans="8:29" x14ac:dyDescent="0.25">
      <c r="H185" s="48"/>
      <c r="X185" s="46"/>
      <c r="Y185" s="47"/>
      <c r="AC185" s="69"/>
    </row>
    <row r="186" spans="8:29" x14ac:dyDescent="0.25">
      <c r="H186" s="48"/>
      <c r="X186" s="46"/>
      <c r="Y186" s="47"/>
      <c r="AC186" s="69"/>
    </row>
    <row r="187" spans="8:29" x14ac:dyDescent="0.25">
      <c r="H187" s="48"/>
      <c r="X187" s="46"/>
      <c r="Y187" s="47"/>
      <c r="AC187" s="69"/>
    </row>
    <row r="188" spans="8:29" x14ac:dyDescent="0.25">
      <c r="H188" s="48"/>
      <c r="X188" s="46"/>
      <c r="Y188" s="47"/>
      <c r="AC188" s="69"/>
    </row>
    <row r="189" spans="8:29" x14ac:dyDescent="0.25">
      <c r="H189" s="48"/>
      <c r="X189" s="46"/>
      <c r="Y189" s="47"/>
      <c r="AC189" s="69"/>
    </row>
    <row r="190" spans="8:29" x14ac:dyDescent="0.25">
      <c r="H190" s="48"/>
      <c r="X190" s="46"/>
      <c r="Y190" s="47"/>
      <c r="AC190" s="69"/>
    </row>
    <row r="191" spans="8:29" x14ac:dyDescent="0.25">
      <c r="H191" s="48"/>
      <c r="X191" s="46"/>
      <c r="Y191" s="47"/>
      <c r="AC191" s="69"/>
    </row>
    <row r="192" spans="8:29" x14ac:dyDescent="0.25">
      <c r="H192" s="48"/>
      <c r="X192" s="46"/>
      <c r="Y192" s="47"/>
      <c r="AC192" s="69"/>
    </row>
    <row r="193" spans="8:29" x14ac:dyDescent="0.25">
      <c r="H193" s="48"/>
      <c r="X193" s="46"/>
      <c r="Y193" s="47"/>
      <c r="AC193" s="69"/>
    </row>
    <row r="194" spans="8:29" x14ac:dyDescent="0.25">
      <c r="H194" s="48"/>
      <c r="X194" s="46"/>
      <c r="Y194" s="47"/>
      <c r="AC194" s="69"/>
    </row>
    <row r="195" spans="8:29" x14ac:dyDescent="0.25">
      <c r="H195" s="48"/>
      <c r="X195" s="46"/>
      <c r="Y195" s="47"/>
      <c r="AC195" s="69"/>
    </row>
    <row r="196" spans="8:29" x14ac:dyDescent="0.25">
      <c r="H196" s="48"/>
      <c r="X196" s="46"/>
      <c r="Y196" s="47"/>
      <c r="AC196" s="69"/>
    </row>
    <row r="197" spans="8:29" x14ac:dyDescent="0.25">
      <c r="H197" s="48"/>
      <c r="X197" s="46"/>
      <c r="Y197" s="47"/>
      <c r="AC197" s="69"/>
    </row>
    <row r="198" spans="8:29" x14ac:dyDescent="0.25">
      <c r="H198" s="48"/>
      <c r="X198" s="46"/>
      <c r="Y198" s="47"/>
      <c r="AC198" s="69"/>
    </row>
    <row r="199" spans="8:29" x14ac:dyDescent="0.25">
      <c r="H199" s="48"/>
      <c r="X199" s="46"/>
      <c r="Y199" s="47"/>
      <c r="AC199" s="69"/>
    </row>
    <row r="200" spans="8:29" x14ac:dyDescent="0.25">
      <c r="H200" s="48"/>
      <c r="X200" s="46"/>
      <c r="Y200" s="47"/>
      <c r="AC200" s="69"/>
    </row>
    <row r="201" spans="8:29" x14ac:dyDescent="0.25">
      <c r="H201" s="48"/>
      <c r="X201" s="46"/>
      <c r="Y201" s="47"/>
      <c r="AC201" s="69"/>
    </row>
    <row r="202" spans="8:29" x14ac:dyDescent="0.25">
      <c r="H202" s="48"/>
      <c r="X202" s="46"/>
      <c r="Y202" s="47"/>
      <c r="AC202" s="69"/>
    </row>
    <row r="203" spans="8:29" x14ac:dyDescent="0.25">
      <c r="H203" s="48"/>
      <c r="X203" s="46"/>
      <c r="Y203" s="47"/>
      <c r="AC203" s="69"/>
    </row>
    <row r="204" spans="8:29" x14ac:dyDescent="0.25">
      <c r="H204" s="48"/>
      <c r="X204" s="46"/>
      <c r="Y204" s="47"/>
      <c r="AC204" s="69"/>
    </row>
    <row r="205" spans="8:29" x14ac:dyDescent="0.25">
      <c r="H205" s="48"/>
      <c r="X205" s="46"/>
      <c r="Y205" s="47"/>
      <c r="AC205" s="69"/>
    </row>
    <row r="206" spans="8:29" x14ac:dyDescent="0.25">
      <c r="H206" s="48"/>
      <c r="X206" s="46"/>
      <c r="Y206" s="47"/>
      <c r="AC206" s="69"/>
    </row>
    <row r="207" spans="8:29" x14ac:dyDescent="0.25">
      <c r="H207" s="48"/>
      <c r="X207" s="46"/>
      <c r="Y207" s="47"/>
      <c r="AC207" s="69"/>
    </row>
    <row r="208" spans="8:29" x14ac:dyDescent="0.25">
      <c r="H208" s="48"/>
      <c r="X208" s="46"/>
      <c r="Y208" s="47"/>
      <c r="AC208" s="69"/>
    </row>
    <row r="209" spans="8:29" x14ac:dyDescent="0.25">
      <c r="H209" s="48"/>
      <c r="X209" s="46"/>
      <c r="Y209" s="47"/>
      <c r="AC209" s="69"/>
    </row>
    <row r="210" spans="8:29" x14ac:dyDescent="0.25">
      <c r="H210" s="48"/>
      <c r="X210" s="46"/>
      <c r="Y210" s="47"/>
      <c r="AC210" s="69"/>
    </row>
    <row r="211" spans="8:29" x14ac:dyDescent="0.25">
      <c r="H211" s="48"/>
      <c r="X211" s="46"/>
      <c r="Y211" s="47"/>
      <c r="AC211" s="69"/>
    </row>
    <row r="212" spans="8:29" x14ac:dyDescent="0.25">
      <c r="H212" s="48"/>
      <c r="X212" s="46"/>
      <c r="Y212" s="47"/>
      <c r="AC212" s="69"/>
    </row>
    <row r="213" spans="8:29" x14ac:dyDescent="0.25">
      <c r="H213" s="48"/>
      <c r="X213" s="46"/>
      <c r="Y213" s="47"/>
      <c r="AC213" s="69"/>
    </row>
    <row r="214" spans="8:29" x14ac:dyDescent="0.25">
      <c r="H214" s="48"/>
      <c r="X214" s="46"/>
      <c r="Y214" s="47"/>
      <c r="AC214" s="69"/>
    </row>
    <row r="215" spans="8:29" x14ac:dyDescent="0.25">
      <c r="H215" s="48"/>
      <c r="X215" s="46"/>
      <c r="Y215" s="47"/>
      <c r="AC215" s="69"/>
    </row>
    <row r="216" spans="8:29" x14ac:dyDescent="0.25">
      <c r="H216" s="48"/>
      <c r="X216" s="46"/>
      <c r="Y216" s="47"/>
      <c r="AC216" s="69"/>
    </row>
    <row r="217" spans="8:29" x14ac:dyDescent="0.25">
      <c r="H217" s="48"/>
      <c r="X217" s="46"/>
      <c r="Y217" s="47"/>
      <c r="AC217" s="69"/>
    </row>
    <row r="218" spans="8:29" x14ac:dyDescent="0.25">
      <c r="H218" s="48"/>
      <c r="X218" s="46"/>
      <c r="Y218" s="47"/>
      <c r="AC218" s="69"/>
    </row>
    <row r="219" spans="8:29" x14ac:dyDescent="0.25">
      <c r="H219" s="48"/>
      <c r="X219" s="46"/>
      <c r="Y219" s="47"/>
      <c r="AC219" s="69"/>
    </row>
    <row r="220" spans="8:29" x14ac:dyDescent="0.25">
      <c r="H220" s="48"/>
      <c r="X220" s="46"/>
      <c r="Y220" s="47"/>
      <c r="AC220" s="69"/>
    </row>
    <row r="221" spans="8:29" x14ac:dyDescent="0.25">
      <c r="H221" s="48"/>
      <c r="X221" s="46"/>
      <c r="Y221" s="47"/>
      <c r="AC221" s="69"/>
    </row>
    <row r="222" spans="8:29" x14ac:dyDescent="0.25">
      <c r="H222" s="48"/>
      <c r="X222" s="46"/>
      <c r="Y222" s="47"/>
      <c r="AC222" s="69"/>
    </row>
    <row r="223" spans="8:29" x14ac:dyDescent="0.25">
      <c r="H223" s="48"/>
      <c r="X223" s="46"/>
      <c r="Y223" s="47"/>
      <c r="AC223" s="69"/>
    </row>
    <row r="224" spans="8:29" x14ac:dyDescent="0.25">
      <c r="H224" s="48"/>
      <c r="X224" s="46"/>
      <c r="Y224" s="47"/>
      <c r="AC224" s="69"/>
    </row>
    <row r="225" spans="8:29" x14ac:dyDescent="0.25">
      <c r="H225" s="48"/>
      <c r="X225" s="46"/>
      <c r="Y225" s="47"/>
      <c r="AC225" s="69"/>
    </row>
    <row r="226" spans="8:29" x14ac:dyDescent="0.25">
      <c r="H226" s="48"/>
      <c r="X226" s="46"/>
      <c r="Y226" s="47"/>
      <c r="AC226" s="69"/>
    </row>
    <row r="227" spans="8:29" x14ac:dyDescent="0.25">
      <c r="H227" s="48"/>
      <c r="X227" s="46"/>
      <c r="Y227" s="47"/>
      <c r="AC227" s="69"/>
    </row>
    <row r="228" spans="8:29" x14ac:dyDescent="0.25">
      <c r="H228" s="48"/>
      <c r="X228" s="46"/>
      <c r="Y228" s="47"/>
      <c r="AC228" s="69"/>
    </row>
    <row r="229" spans="8:29" x14ac:dyDescent="0.25">
      <c r="X229" s="46"/>
      <c r="Y229" s="47"/>
      <c r="AC229" s="69"/>
    </row>
    <row r="230" spans="8:29" x14ac:dyDescent="0.25">
      <c r="X230" s="46"/>
      <c r="Y230" s="47"/>
      <c r="AC230" s="69"/>
    </row>
    <row r="231" spans="8:29" x14ac:dyDescent="0.25">
      <c r="X231" s="46"/>
      <c r="Y231" s="47"/>
      <c r="AC231" s="69"/>
    </row>
    <row r="232" spans="8:29" x14ac:dyDescent="0.25">
      <c r="X232" s="46"/>
      <c r="Y232" s="47"/>
      <c r="AC232" s="69"/>
    </row>
    <row r="233" spans="8:29" x14ac:dyDescent="0.25">
      <c r="X233" s="46"/>
      <c r="Y233" s="47"/>
      <c r="AC233" s="69"/>
    </row>
    <row r="234" spans="8:29" x14ac:dyDescent="0.25">
      <c r="X234" s="46"/>
      <c r="Y234" s="47"/>
      <c r="AC234" s="69"/>
    </row>
    <row r="235" spans="8:29" x14ac:dyDescent="0.25">
      <c r="X235" s="46"/>
      <c r="Y235" s="47"/>
      <c r="AC235" s="69"/>
    </row>
    <row r="236" spans="8:29" x14ac:dyDescent="0.25">
      <c r="X236" s="46"/>
      <c r="Y236" s="47"/>
      <c r="AC236" s="69"/>
    </row>
    <row r="237" spans="8:29" x14ac:dyDescent="0.25">
      <c r="X237" s="46"/>
      <c r="Y237" s="47"/>
      <c r="AC237" s="69"/>
    </row>
    <row r="238" spans="8:29" x14ac:dyDescent="0.25">
      <c r="X238" s="46"/>
      <c r="Y238" s="47"/>
      <c r="AC238" s="69"/>
    </row>
    <row r="239" spans="8:29" x14ac:dyDescent="0.25">
      <c r="X239" s="46"/>
      <c r="Y239" s="47"/>
      <c r="AC239" s="69"/>
    </row>
    <row r="240" spans="8:29" x14ac:dyDescent="0.25">
      <c r="X240" s="46"/>
      <c r="Y240" s="47"/>
      <c r="AC240" s="69"/>
    </row>
    <row r="241" spans="24:29" x14ac:dyDescent="0.25">
      <c r="X241" s="46"/>
      <c r="Y241" s="47"/>
      <c r="AC241" s="69"/>
    </row>
    <row r="242" spans="24:29" x14ac:dyDescent="0.25">
      <c r="X242" s="46"/>
      <c r="Y242" s="47"/>
      <c r="AC242" s="69"/>
    </row>
    <row r="243" spans="24:29" x14ac:dyDescent="0.25">
      <c r="X243" s="46"/>
      <c r="Y243" s="47"/>
      <c r="AC243" s="69"/>
    </row>
  </sheetData>
  <sortState xmlns:xlrd2="http://schemas.microsoft.com/office/spreadsheetml/2017/richdata2" ref="P4:AB123">
    <sortCondition ref="S4:S123"/>
    <sortCondition ref="T4:T123"/>
    <sortCondition ref="R4:R123"/>
    <sortCondition ref="P4:P123"/>
  </sortState>
  <mergeCells count="6">
    <mergeCell ref="K1:M1"/>
    <mergeCell ref="Z1:AB1"/>
    <mergeCell ref="K2:M2"/>
    <mergeCell ref="Z2:AB2"/>
    <mergeCell ref="AC1:AC3"/>
    <mergeCell ref="N1:N3"/>
  </mergeCells>
  <conditionalFormatting sqref="N4:N123 AC4:AC1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82D1-CA0D-4F95-ACEC-D21D0BD11906}">
  <dimension ref="A1:BS243"/>
  <sheetViews>
    <sheetView zoomScale="85" zoomScaleNormal="85" workbookViewId="0">
      <selection activeCell="H9" sqref="H9"/>
    </sheetView>
  </sheetViews>
  <sheetFormatPr defaultRowHeight="15" x14ac:dyDescent="0.25"/>
  <cols>
    <col min="8" max="8" width="9.140625" style="42"/>
    <col min="9" max="9" width="15.7109375" style="42" bestFit="1" customWidth="1"/>
    <col min="10" max="10" width="5.42578125" style="42" bestFit="1" customWidth="1"/>
    <col min="11" max="12" width="1.5703125" style="42" bestFit="1" customWidth="1"/>
    <col min="13" max="13" width="7.42578125" style="42" bestFit="1" customWidth="1"/>
    <col min="14" max="15" width="1.5703125" style="42" bestFit="1" customWidth="1"/>
    <col min="16" max="16" width="7.42578125" style="42" bestFit="1" customWidth="1"/>
    <col min="17" max="18" width="1.5703125" style="42" bestFit="1" customWidth="1"/>
    <col min="19" max="19" width="7.42578125" style="42" bestFit="1" customWidth="1"/>
    <col min="20" max="21" width="1.5703125" style="42" bestFit="1" customWidth="1"/>
    <col min="22" max="22" width="7.42578125" style="42" bestFit="1" customWidth="1"/>
    <col min="23" max="23" width="8.7109375" style="42" customWidth="1"/>
    <col min="32" max="32" width="9.140625" style="48"/>
    <col min="33" max="33" width="9.140625" bestFit="1" customWidth="1"/>
    <col min="34" max="34" width="8.140625" bestFit="1" customWidth="1"/>
    <col min="35" max="36" width="7" bestFit="1" customWidth="1"/>
    <col min="37" max="37" width="7.42578125" bestFit="1" customWidth="1"/>
    <col min="38" max="39" width="7" bestFit="1" customWidth="1"/>
    <col min="40" max="40" width="7.42578125" bestFit="1" customWidth="1"/>
    <col min="41" max="42" width="7" bestFit="1" customWidth="1"/>
    <col min="43" max="43" width="7.42578125" bestFit="1" customWidth="1"/>
    <col min="44" max="45" width="7" bestFit="1" customWidth="1"/>
    <col min="46" max="46" width="7.42578125" bestFit="1" customWidth="1"/>
  </cols>
  <sheetData>
    <row r="1" spans="1:71" s="5" customFormat="1" x14ac:dyDescent="0.25">
      <c r="A1" s="24" t="s">
        <v>155</v>
      </c>
      <c r="B1" s="24"/>
      <c r="C1" s="24"/>
      <c r="D1" s="24"/>
      <c r="E1" s="54">
        <f>MAX(W:W)</f>
        <v>1.0367600000000001</v>
      </c>
      <c r="F1" s="56">
        <f>INDEX(C:C,MATCH(MAX($W:$W),$W:$W,0))</f>
        <v>13440</v>
      </c>
      <c r="G1" s="56">
        <f t="shared" ref="G1:I1" si="0">INDEX(D:D,MATCH(MAX($W:$W),$W:$W,0))</f>
        <v>64</v>
      </c>
      <c r="H1" s="56">
        <f t="shared" si="0"/>
        <v>2</v>
      </c>
      <c r="I1" s="56">
        <f t="shared" si="0"/>
        <v>2</v>
      </c>
      <c r="J1" s="49"/>
      <c r="K1" s="88" t="s">
        <v>181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91" t="s">
        <v>156</v>
      </c>
      <c r="Y1" s="24" t="s">
        <v>155</v>
      </c>
      <c r="Z1" s="24"/>
      <c r="AA1" s="24"/>
      <c r="AB1" s="24"/>
      <c r="AC1" s="54">
        <f>MAX(AU:AU)</f>
        <v>0.83976600000000001</v>
      </c>
      <c r="AD1" s="56">
        <f>INDEX(AA:AA,MATCH(MAX($AU:$AU),$AU:$AU,0))</f>
        <v>13440</v>
      </c>
      <c r="AE1" s="56">
        <f>INDEX(AB:AB,MATCH(MAX($AU:$AU),$AU:$AU,0))</f>
        <v>64</v>
      </c>
      <c r="AF1" s="56">
        <f>INDEX(AC:AC,MATCH(MAX($AU:$AU),$AU:$AU,0))</f>
        <v>2</v>
      </c>
      <c r="AG1" s="56">
        <f>INDEX(AD:AD,MATCH(MAX($AU:$AU),$AU:$AU,0))</f>
        <v>2</v>
      </c>
      <c r="AH1" s="49"/>
      <c r="AI1" s="88" t="s">
        <v>176</v>
      </c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91" t="s">
        <v>156</v>
      </c>
      <c r="AW1" s="24" t="s">
        <v>155</v>
      </c>
      <c r="AX1" s="24"/>
      <c r="AY1" s="24"/>
      <c r="AZ1" s="24"/>
      <c r="BA1" s="54">
        <f>MAX(BS:BS)</f>
        <v>1.0353999999999999</v>
      </c>
      <c r="BB1" s="56">
        <f>INDEX(AY:AY,MATCH(MAX($BS:$BS),$BS:$BS,0))</f>
        <v>14208</v>
      </c>
      <c r="BC1" s="56">
        <f t="shared" ref="BC1:BE1" si="1">INDEX(AZ:AZ,MATCH(MAX($BS:$BS),$BS:$BS,0))</f>
        <v>64</v>
      </c>
      <c r="BD1" s="56">
        <f t="shared" si="1"/>
        <v>2</v>
      </c>
      <c r="BE1" s="56">
        <f t="shared" si="1"/>
        <v>2</v>
      </c>
      <c r="BF1" s="49"/>
      <c r="BG1" s="88" t="s">
        <v>182</v>
      </c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91" t="s">
        <v>156</v>
      </c>
    </row>
    <row r="2" spans="1:71" s="5" customFormat="1" x14ac:dyDescent="0.25">
      <c r="A2" s="51" t="s">
        <v>157</v>
      </c>
      <c r="B2" s="51"/>
      <c r="C2" s="55">
        <f>MAX(H4:H500)</f>
        <v>1.0437000000000001</v>
      </c>
      <c r="D2" s="49"/>
      <c r="E2" s="49"/>
      <c r="F2" s="49"/>
      <c r="G2" s="49"/>
      <c r="H2" s="50"/>
      <c r="I2" s="49"/>
      <c r="J2" s="49"/>
      <c r="K2" s="90" t="s">
        <v>177</v>
      </c>
      <c r="L2" s="90"/>
      <c r="M2" s="90"/>
      <c r="N2" s="90" t="s">
        <v>178</v>
      </c>
      <c r="O2" s="90"/>
      <c r="P2" s="90"/>
      <c r="Q2" s="90" t="s">
        <v>183</v>
      </c>
      <c r="R2" s="90"/>
      <c r="S2" s="90"/>
      <c r="T2" s="90" t="s">
        <v>184</v>
      </c>
      <c r="U2" s="90"/>
      <c r="V2" s="90"/>
      <c r="W2" s="91"/>
      <c r="Y2" s="51" t="s">
        <v>157</v>
      </c>
      <c r="Z2" s="51"/>
      <c r="AA2" s="55">
        <f>MAX(AF4:AF500)</f>
        <v>0.84299000000000002</v>
      </c>
      <c r="AB2" s="49"/>
      <c r="AC2" s="49"/>
      <c r="AD2" s="49"/>
      <c r="AE2" s="49"/>
      <c r="AF2" s="50"/>
      <c r="AG2" s="49"/>
      <c r="AH2" s="49"/>
      <c r="AI2" s="90" t="s">
        <v>177</v>
      </c>
      <c r="AJ2" s="90"/>
      <c r="AK2" s="90"/>
      <c r="AL2" s="90" t="s">
        <v>178</v>
      </c>
      <c r="AM2" s="90"/>
      <c r="AN2" s="90"/>
      <c r="AO2" s="90" t="s">
        <v>183</v>
      </c>
      <c r="AP2" s="90"/>
      <c r="AQ2" s="90"/>
      <c r="AR2" s="90" t="s">
        <v>184</v>
      </c>
      <c r="AS2" s="90"/>
      <c r="AT2" s="90"/>
      <c r="AU2" s="91"/>
      <c r="AW2" s="51" t="s">
        <v>157</v>
      </c>
      <c r="AX2" s="51"/>
      <c r="AY2" s="55">
        <f>MAX(H4:H335)</f>
        <v>1.0437000000000001</v>
      </c>
      <c r="AZ2" s="49"/>
      <c r="BA2" s="49"/>
      <c r="BB2" s="49"/>
      <c r="BC2" s="49"/>
      <c r="BD2" s="50"/>
      <c r="BE2" s="49"/>
      <c r="BF2" s="49"/>
      <c r="BG2" s="90" t="s">
        <v>177</v>
      </c>
      <c r="BH2" s="90"/>
      <c r="BI2" s="90"/>
      <c r="BJ2" s="90" t="s">
        <v>178</v>
      </c>
      <c r="BK2" s="90"/>
      <c r="BL2" s="90"/>
      <c r="BM2" s="90" t="s">
        <v>183</v>
      </c>
      <c r="BN2" s="90"/>
      <c r="BO2" s="90"/>
      <c r="BP2" s="90" t="s">
        <v>184</v>
      </c>
      <c r="BQ2" s="90"/>
      <c r="BR2" s="90"/>
      <c r="BS2" s="91"/>
    </row>
    <row r="3" spans="1:71" s="5" customFormat="1" x14ac:dyDescent="0.25">
      <c r="A3" s="51" t="s">
        <v>159</v>
      </c>
      <c r="B3" s="51"/>
      <c r="C3" s="51" t="s">
        <v>160</v>
      </c>
      <c r="D3" s="51" t="s">
        <v>62</v>
      </c>
      <c r="E3" s="51" t="s">
        <v>63</v>
      </c>
      <c r="F3" s="51" t="s">
        <v>64</v>
      </c>
      <c r="G3" s="51" t="s">
        <v>161</v>
      </c>
      <c r="H3" s="52" t="s">
        <v>162</v>
      </c>
      <c r="I3" s="52" t="s">
        <v>179</v>
      </c>
      <c r="J3" s="51" t="s">
        <v>161</v>
      </c>
      <c r="K3" s="53" t="s">
        <v>133</v>
      </c>
      <c r="L3" s="53" t="s">
        <v>133</v>
      </c>
      <c r="M3" s="53" t="s">
        <v>180</v>
      </c>
      <c r="N3" s="53" t="s">
        <v>133</v>
      </c>
      <c r="O3" s="53" t="s">
        <v>133</v>
      </c>
      <c r="P3" s="53" t="s">
        <v>180</v>
      </c>
      <c r="Q3" s="53" t="s">
        <v>133</v>
      </c>
      <c r="R3" s="53" t="s">
        <v>133</v>
      </c>
      <c r="S3" s="53" t="s">
        <v>180</v>
      </c>
      <c r="T3" s="53" t="s">
        <v>133</v>
      </c>
      <c r="U3" s="53" t="s">
        <v>133</v>
      </c>
      <c r="V3" s="53" t="s">
        <v>180</v>
      </c>
      <c r="W3" s="91"/>
      <c r="Y3" s="51" t="s">
        <v>159</v>
      </c>
      <c r="Z3" s="51"/>
      <c r="AA3" s="51" t="s">
        <v>160</v>
      </c>
      <c r="AB3" s="51" t="s">
        <v>62</v>
      </c>
      <c r="AC3" s="51" t="s">
        <v>63</v>
      </c>
      <c r="AD3" s="51" t="s">
        <v>64</v>
      </c>
      <c r="AE3" s="51" t="s">
        <v>161</v>
      </c>
      <c r="AF3" s="52" t="s">
        <v>162</v>
      </c>
      <c r="AG3" s="52" t="s">
        <v>179</v>
      </c>
      <c r="AH3" s="51" t="s">
        <v>161</v>
      </c>
      <c r="AI3" s="53" t="s">
        <v>133</v>
      </c>
      <c r="AJ3" s="53" t="s">
        <v>133</v>
      </c>
      <c r="AK3" s="53" t="s">
        <v>180</v>
      </c>
      <c r="AL3" s="53" t="s">
        <v>133</v>
      </c>
      <c r="AM3" s="53" t="s">
        <v>133</v>
      </c>
      <c r="AN3" s="53" t="s">
        <v>180</v>
      </c>
      <c r="AO3" s="53" t="s">
        <v>133</v>
      </c>
      <c r="AP3" s="53" t="s">
        <v>133</v>
      </c>
      <c r="AQ3" s="53" t="s">
        <v>180</v>
      </c>
      <c r="AR3" s="53" t="s">
        <v>133</v>
      </c>
      <c r="AS3" s="53" t="s">
        <v>133</v>
      </c>
      <c r="AT3" s="53" t="s">
        <v>180</v>
      </c>
      <c r="AU3" s="91"/>
      <c r="AW3" s="51" t="s">
        <v>159</v>
      </c>
      <c r="AX3" s="51"/>
      <c r="AY3" s="51" t="s">
        <v>160</v>
      </c>
      <c r="AZ3" s="51" t="s">
        <v>62</v>
      </c>
      <c r="BA3" s="51" t="s">
        <v>63</v>
      </c>
      <c r="BB3" s="51" t="s">
        <v>64</v>
      </c>
      <c r="BC3" s="51" t="s">
        <v>161</v>
      </c>
      <c r="BD3" s="52" t="s">
        <v>162</v>
      </c>
      <c r="BE3" s="52" t="s">
        <v>179</v>
      </c>
      <c r="BF3" s="51" t="s">
        <v>161</v>
      </c>
      <c r="BG3" s="53" t="s">
        <v>133</v>
      </c>
      <c r="BH3" s="53" t="s">
        <v>133</v>
      </c>
      <c r="BI3" s="53" t="s">
        <v>180</v>
      </c>
      <c r="BJ3" s="53" t="s">
        <v>133</v>
      </c>
      <c r="BK3" s="53" t="s">
        <v>133</v>
      </c>
      <c r="BL3" s="53" t="s">
        <v>180</v>
      </c>
      <c r="BM3" s="53" t="s">
        <v>133</v>
      </c>
      <c r="BN3" s="53" t="s">
        <v>133</v>
      </c>
      <c r="BO3" s="53" t="s">
        <v>180</v>
      </c>
      <c r="BP3" s="53" t="s">
        <v>133</v>
      </c>
      <c r="BQ3" s="53" t="s">
        <v>133</v>
      </c>
      <c r="BR3" s="53" t="s">
        <v>180</v>
      </c>
      <c r="BS3" s="91"/>
    </row>
    <row r="4" spans="1:71" x14ac:dyDescent="0.25">
      <c r="A4">
        <v>0</v>
      </c>
      <c r="B4" t="s">
        <v>164</v>
      </c>
      <c r="C4">
        <v>12672</v>
      </c>
      <c r="D4">
        <v>32</v>
      </c>
      <c r="E4">
        <v>1</v>
      </c>
      <c r="F4">
        <v>4</v>
      </c>
      <c r="G4">
        <v>1427.74</v>
      </c>
      <c r="H4" s="42">
        <v>0.95032000000000005</v>
      </c>
      <c r="I4" s="42">
        <v>45474</v>
      </c>
      <c r="J4" s="42">
        <v>0.54504629629629631</v>
      </c>
      <c r="K4" s="42">
        <v>150325</v>
      </c>
      <c r="L4" s="42">
        <v>150325</v>
      </c>
      <c r="M4" s="42">
        <v>150326</v>
      </c>
      <c r="N4" s="42">
        <v>150168</v>
      </c>
      <c r="O4" s="42">
        <v>150167</v>
      </c>
      <c r="P4" s="42">
        <v>150168</v>
      </c>
      <c r="Q4" s="42">
        <v>150015</v>
      </c>
      <c r="R4" s="42">
        <v>150016</v>
      </c>
      <c r="S4" s="42">
        <v>150016</v>
      </c>
      <c r="T4" s="42">
        <v>149862</v>
      </c>
      <c r="U4" s="42">
        <v>149861</v>
      </c>
      <c r="V4" s="42">
        <v>149862</v>
      </c>
      <c r="W4" s="57">
        <f>AVERAGE(H4:H8)</f>
        <v>0.947932</v>
      </c>
      <c r="Y4">
        <v>0</v>
      </c>
      <c r="Z4" t="s">
        <v>164</v>
      </c>
      <c r="AA4">
        <v>12672</v>
      </c>
      <c r="AB4">
        <v>32</v>
      </c>
      <c r="AC4">
        <v>1</v>
      </c>
      <c r="AD4">
        <v>4</v>
      </c>
      <c r="AE4">
        <v>1690.41</v>
      </c>
      <c r="AF4" s="48">
        <v>0.80264999999999997</v>
      </c>
      <c r="AG4" s="46">
        <v>45465</v>
      </c>
      <c r="AH4" s="47">
        <v>0.73690972222222217</v>
      </c>
      <c r="AI4">
        <v>197125</v>
      </c>
      <c r="AJ4">
        <v>197124</v>
      </c>
      <c r="AK4">
        <v>197124</v>
      </c>
      <c r="AL4">
        <v>197115</v>
      </c>
      <c r="AM4">
        <v>197115</v>
      </c>
      <c r="AN4">
        <v>197114</v>
      </c>
      <c r="AO4">
        <v>196967</v>
      </c>
      <c r="AP4">
        <v>196967</v>
      </c>
      <c r="AQ4">
        <v>196966</v>
      </c>
      <c r="AR4">
        <v>196822</v>
      </c>
      <c r="AS4">
        <v>196822</v>
      </c>
      <c r="AT4">
        <v>196821</v>
      </c>
      <c r="AU4" s="57">
        <f>AVERAGE(AF4:AF8)</f>
        <v>0.80168800000000007</v>
      </c>
      <c r="AW4">
        <v>0</v>
      </c>
      <c r="AX4" t="s">
        <v>164</v>
      </c>
      <c r="AY4">
        <v>12672</v>
      </c>
      <c r="AZ4">
        <v>32</v>
      </c>
      <c r="BA4">
        <v>1</v>
      </c>
      <c r="BB4">
        <v>4</v>
      </c>
      <c r="BC4">
        <v>1427.54</v>
      </c>
      <c r="BD4" s="42">
        <v>0.95045999999999997</v>
      </c>
      <c r="BE4" s="57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57">
        <f>AVERAGE(BD4:BD8)</f>
        <v>0.95142199999999999</v>
      </c>
    </row>
    <row r="5" spans="1:71" x14ac:dyDescent="0.25">
      <c r="A5">
        <v>1</v>
      </c>
      <c r="B5" t="s">
        <v>164</v>
      </c>
      <c r="C5">
        <v>12672</v>
      </c>
      <c r="D5">
        <v>32</v>
      </c>
      <c r="E5">
        <v>1</v>
      </c>
      <c r="F5">
        <v>4</v>
      </c>
      <c r="G5">
        <v>1428.87</v>
      </c>
      <c r="H5" s="42">
        <v>0.94957999999999998</v>
      </c>
      <c r="I5" s="42">
        <v>45475</v>
      </c>
      <c r="J5" s="42">
        <v>0.53986111111111112</v>
      </c>
      <c r="K5" s="42">
        <v>149886</v>
      </c>
      <c r="L5" s="42">
        <v>149885</v>
      </c>
      <c r="M5" s="42">
        <v>149886</v>
      </c>
      <c r="N5" s="42">
        <v>149886</v>
      </c>
      <c r="O5" s="42">
        <v>149886</v>
      </c>
      <c r="P5" s="42">
        <v>149886</v>
      </c>
      <c r="Q5" s="42">
        <v>149886</v>
      </c>
      <c r="R5" s="42">
        <v>149886</v>
      </c>
      <c r="S5" s="42">
        <v>149886</v>
      </c>
      <c r="T5" s="42">
        <v>149886</v>
      </c>
      <c r="U5" s="42">
        <v>149886</v>
      </c>
      <c r="V5" s="42">
        <v>149887</v>
      </c>
      <c r="W5" s="57">
        <f>W4</f>
        <v>0.947932</v>
      </c>
      <c r="Y5">
        <v>1</v>
      </c>
      <c r="Z5" t="s">
        <v>164</v>
      </c>
      <c r="AA5">
        <v>12672</v>
      </c>
      <c r="AB5">
        <v>32</v>
      </c>
      <c r="AC5">
        <v>1</v>
      </c>
      <c r="AD5">
        <v>4</v>
      </c>
      <c r="AE5">
        <v>1697.25</v>
      </c>
      <c r="AF5" s="48">
        <v>0.79942000000000002</v>
      </c>
      <c r="AG5" s="46">
        <v>45467</v>
      </c>
      <c r="AH5" s="47">
        <v>0.12511574074074075</v>
      </c>
      <c r="AI5">
        <v>197456</v>
      </c>
      <c r="AJ5">
        <v>197457</v>
      </c>
      <c r="AK5">
        <v>197456</v>
      </c>
      <c r="AL5">
        <v>197457</v>
      </c>
      <c r="AM5">
        <v>197456</v>
      </c>
      <c r="AN5">
        <v>197456</v>
      </c>
      <c r="AO5">
        <v>197459</v>
      </c>
      <c r="AP5">
        <v>197460</v>
      </c>
      <c r="AQ5">
        <v>197460</v>
      </c>
      <c r="AR5">
        <v>197465</v>
      </c>
      <c r="AS5">
        <v>197465</v>
      </c>
      <c r="AT5">
        <v>197465</v>
      </c>
      <c r="AU5" s="57">
        <f>AU4</f>
        <v>0.80168800000000007</v>
      </c>
      <c r="AW5">
        <v>1</v>
      </c>
      <c r="AX5" t="s">
        <v>164</v>
      </c>
      <c r="AY5">
        <v>12672</v>
      </c>
      <c r="AZ5">
        <v>32</v>
      </c>
      <c r="BA5">
        <v>1</v>
      </c>
      <c r="BB5">
        <v>4</v>
      </c>
      <c r="BC5">
        <v>1426.32</v>
      </c>
      <c r="BD5" s="42">
        <v>0.95126999999999995</v>
      </c>
      <c r="BE5" s="57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57">
        <f>BS4</f>
        <v>0.95142199999999999</v>
      </c>
    </row>
    <row r="6" spans="1:71" x14ac:dyDescent="0.25">
      <c r="A6">
        <v>2</v>
      </c>
      <c r="B6" t="s">
        <v>164</v>
      </c>
      <c r="C6">
        <v>12672</v>
      </c>
      <c r="D6">
        <v>32</v>
      </c>
      <c r="E6">
        <v>1</v>
      </c>
      <c r="F6">
        <v>4</v>
      </c>
      <c r="G6">
        <v>1434.2</v>
      </c>
      <c r="H6" s="42">
        <v>0.94603999999999999</v>
      </c>
      <c r="I6" s="42">
        <v>45476</v>
      </c>
      <c r="J6" s="42">
        <v>0.53189814814814818</v>
      </c>
      <c r="K6" s="42">
        <v>150425</v>
      </c>
      <c r="L6" s="42">
        <v>150425</v>
      </c>
      <c r="M6" s="42">
        <v>150425</v>
      </c>
      <c r="N6" s="42">
        <v>150427</v>
      </c>
      <c r="O6" s="42">
        <v>150428</v>
      </c>
      <c r="P6" s="42">
        <v>150427</v>
      </c>
      <c r="Q6" s="42">
        <v>150429</v>
      </c>
      <c r="R6" s="42">
        <v>150430</v>
      </c>
      <c r="S6" s="42">
        <v>150429</v>
      </c>
      <c r="T6" s="42">
        <v>150430</v>
      </c>
      <c r="U6" s="42">
        <v>150430</v>
      </c>
      <c r="V6" s="42">
        <v>150430</v>
      </c>
      <c r="W6" s="57">
        <f>W5</f>
        <v>0.947932</v>
      </c>
      <c r="Y6">
        <v>2</v>
      </c>
      <c r="Z6" t="s">
        <v>164</v>
      </c>
      <c r="AA6">
        <v>12672</v>
      </c>
      <c r="AB6">
        <v>32</v>
      </c>
      <c r="AC6">
        <v>1</v>
      </c>
      <c r="AD6">
        <v>4</v>
      </c>
      <c r="AE6">
        <v>1690.13</v>
      </c>
      <c r="AF6" s="48">
        <v>0.80279</v>
      </c>
      <c r="AG6" s="46">
        <v>45468</v>
      </c>
      <c r="AH6" s="47">
        <v>0.50327546296296299</v>
      </c>
      <c r="AI6">
        <v>196781</v>
      </c>
      <c r="AJ6">
        <v>196782</v>
      </c>
      <c r="AK6">
        <v>196781</v>
      </c>
      <c r="AL6">
        <v>196783</v>
      </c>
      <c r="AM6">
        <v>196782</v>
      </c>
      <c r="AN6">
        <v>196783</v>
      </c>
      <c r="AO6">
        <v>196784</v>
      </c>
      <c r="AP6">
        <v>196784</v>
      </c>
      <c r="AQ6">
        <v>196784</v>
      </c>
      <c r="AR6">
        <v>196785</v>
      </c>
      <c r="AS6">
        <v>196786</v>
      </c>
      <c r="AT6">
        <v>196785</v>
      </c>
      <c r="AU6" s="57">
        <f t="shared" ref="AU6:AU8" si="2">AU5</f>
        <v>0.80168800000000007</v>
      </c>
      <c r="AW6">
        <v>2</v>
      </c>
      <c r="AX6" t="s">
        <v>164</v>
      </c>
      <c r="AY6">
        <v>12672</v>
      </c>
      <c r="AZ6">
        <v>32</v>
      </c>
      <c r="BA6">
        <v>1</v>
      </c>
      <c r="BB6">
        <v>4</v>
      </c>
      <c r="BC6">
        <v>1426.7</v>
      </c>
      <c r="BD6" s="42">
        <v>0.95101999999999998</v>
      </c>
      <c r="BE6" s="57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57">
        <f>BS5</f>
        <v>0.95142199999999999</v>
      </c>
    </row>
    <row r="7" spans="1:71" x14ac:dyDescent="0.25">
      <c r="A7">
        <v>3</v>
      </c>
      <c r="B7" t="s">
        <v>164</v>
      </c>
      <c r="C7">
        <v>12672</v>
      </c>
      <c r="D7">
        <v>32</v>
      </c>
      <c r="E7">
        <v>1</v>
      </c>
      <c r="F7">
        <v>4</v>
      </c>
      <c r="G7">
        <v>1437.83</v>
      </c>
      <c r="H7" s="42">
        <v>0.94366000000000005</v>
      </c>
      <c r="I7" s="42">
        <v>45477</v>
      </c>
      <c r="J7" s="42">
        <v>0.51997685185185183</v>
      </c>
      <c r="K7" s="42">
        <v>150803</v>
      </c>
      <c r="L7" s="42">
        <v>150804</v>
      </c>
      <c r="M7" s="42">
        <v>150803</v>
      </c>
      <c r="N7" s="42">
        <v>150804</v>
      </c>
      <c r="O7" s="42">
        <v>150804</v>
      </c>
      <c r="P7" s="42">
        <v>150804</v>
      </c>
      <c r="Q7" s="42">
        <v>150805</v>
      </c>
      <c r="R7" s="42">
        <v>150805</v>
      </c>
      <c r="S7" s="42">
        <v>150805</v>
      </c>
      <c r="T7" s="42">
        <v>150806</v>
      </c>
      <c r="U7" s="42">
        <v>150806</v>
      </c>
      <c r="V7" s="42">
        <v>150807</v>
      </c>
      <c r="W7" s="57">
        <f>W6</f>
        <v>0.947932</v>
      </c>
      <c r="Y7">
        <v>3</v>
      </c>
      <c r="Z7" t="s">
        <v>164</v>
      </c>
      <c r="AA7">
        <v>12672</v>
      </c>
      <c r="AB7">
        <v>32</v>
      </c>
      <c r="AC7">
        <v>1</v>
      </c>
      <c r="AD7">
        <v>4</v>
      </c>
      <c r="AE7">
        <v>1691.35</v>
      </c>
      <c r="AF7" s="48">
        <v>0.80220999999999998</v>
      </c>
      <c r="AG7" s="46">
        <v>45469</v>
      </c>
      <c r="AH7" s="47">
        <v>0.87047453703703703</v>
      </c>
      <c r="AI7">
        <v>196853</v>
      </c>
      <c r="AJ7">
        <v>196854</v>
      </c>
      <c r="AK7">
        <v>196854</v>
      </c>
      <c r="AL7">
        <v>196854</v>
      </c>
      <c r="AM7">
        <v>196854</v>
      </c>
      <c r="AN7">
        <v>196854</v>
      </c>
      <c r="AO7">
        <v>196851</v>
      </c>
      <c r="AP7">
        <v>196851</v>
      </c>
      <c r="AQ7">
        <v>196852</v>
      </c>
      <c r="AR7">
        <v>196851</v>
      </c>
      <c r="AS7">
        <v>196852</v>
      </c>
      <c r="AT7">
        <v>196852</v>
      </c>
      <c r="AU7" s="57">
        <f t="shared" si="2"/>
        <v>0.80168800000000007</v>
      </c>
      <c r="AW7">
        <v>3</v>
      </c>
      <c r="AX7" t="s">
        <v>164</v>
      </c>
      <c r="AY7">
        <v>12672</v>
      </c>
      <c r="AZ7">
        <v>32</v>
      </c>
      <c r="BA7">
        <v>1</v>
      </c>
      <c r="BB7">
        <v>4</v>
      </c>
      <c r="BC7">
        <v>1425.37</v>
      </c>
      <c r="BD7" s="42">
        <v>0.95189999999999997</v>
      </c>
      <c r="BE7" s="57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57">
        <f>BS6</f>
        <v>0.95142199999999999</v>
      </c>
    </row>
    <row r="8" spans="1:71" x14ac:dyDescent="0.25">
      <c r="A8">
        <v>4</v>
      </c>
      <c r="B8" t="s">
        <v>164</v>
      </c>
      <c r="C8">
        <v>12672</v>
      </c>
      <c r="D8">
        <v>32</v>
      </c>
      <c r="E8">
        <v>1</v>
      </c>
      <c r="F8">
        <v>4</v>
      </c>
      <c r="G8">
        <v>1428.14</v>
      </c>
      <c r="H8" s="42">
        <v>0.95006000000000002</v>
      </c>
      <c r="I8" s="42">
        <v>45478</v>
      </c>
      <c r="J8" s="42">
        <v>0.50115740740740744</v>
      </c>
      <c r="K8" s="42">
        <v>149799</v>
      </c>
      <c r="L8" s="42">
        <v>149799</v>
      </c>
      <c r="M8" s="42">
        <v>149798</v>
      </c>
      <c r="N8" s="42">
        <v>149799</v>
      </c>
      <c r="O8" s="42">
        <v>149799</v>
      </c>
      <c r="P8" s="42">
        <v>149800</v>
      </c>
      <c r="Q8" s="42">
        <v>149799</v>
      </c>
      <c r="R8" s="42">
        <v>149799</v>
      </c>
      <c r="S8" s="42">
        <v>149799</v>
      </c>
      <c r="T8" s="42">
        <v>149801</v>
      </c>
      <c r="U8" s="42">
        <v>149800</v>
      </c>
      <c r="V8" s="42">
        <v>149800</v>
      </c>
      <c r="W8" s="57">
        <f>W7</f>
        <v>0.947932</v>
      </c>
      <c r="Y8">
        <v>4</v>
      </c>
      <c r="Z8" t="s">
        <v>164</v>
      </c>
      <c r="AA8">
        <v>12672</v>
      </c>
      <c r="AB8">
        <v>32</v>
      </c>
      <c r="AC8">
        <v>1</v>
      </c>
      <c r="AD8">
        <v>4</v>
      </c>
      <c r="AE8">
        <v>1693.12</v>
      </c>
      <c r="AF8" s="48">
        <v>0.80137000000000003</v>
      </c>
      <c r="AG8" s="46">
        <v>45471</v>
      </c>
      <c r="AH8" s="47">
        <v>0.22175925925925927</v>
      </c>
      <c r="AI8">
        <v>197040</v>
      </c>
      <c r="AJ8">
        <v>197041</v>
      </c>
      <c r="AK8">
        <v>197040</v>
      </c>
      <c r="AL8">
        <v>197043</v>
      </c>
      <c r="AM8">
        <v>197042</v>
      </c>
      <c r="AN8">
        <v>197042</v>
      </c>
      <c r="AO8">
        <v>197044</v>
      </c>
      <c r="AP8">
        <v>197045</v>
      </c>
      <c r="AQ8">
        <v>197045</v>
      </c>
      <c r="AR8">
        <v>197046</v>
      </c>
      <c r="AS8">
        <v>197046</v>
      </c>
      <c r="AT8">
        <v>197046</v>
      </c>
      <c r="AU8" s="57">
        <f t="shared" si="2"/>
        <v>0.80168800000000007</v>
      </c>
      <c r="AW8">
        <v>4</v>
      </c>
      <c r="AX8" t="s">
        <v>164</v>
      </c>
      <c r="AY8">
        <v>12672</v>
      </c>
      <c r="AZ8">
        <v>32</v>
      </c>
      <c r="BA8">
        <v>1</v>
      </c>
      <c r="BB8">
        <v>4</v>
      </c>
      <c r="BC8">
        <v>1424.54</v>
      </c>
      <c r="BD8" s="42">
        <v>0.95245999999999997</v>
      </c>
      <c r="BE8" s="57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57">
        <f>BS7</f>
        <v>0.95142199999999999</v>
      </c>
    </row>
    <row r="9" spans="1:71" x14ac:dyDescent="0.25">
      <c r="A9">
        <v>0</v>
      </c>
      <c r="B9" t="s">
        <v>164</v>
      </c>
      <c r="C9">
        <v>13440</v>
      </c>
      <c r="D9">
        <v>32</v>
      </c>
      <c r="E9">
        <v>1</v>
      </c>
      <c r="F9">
        <v>4</v>
      </c>
      <c r="G9">
        <v>1680.54</v>
      </c>
      <c r="H9" s="70">
        <v>0.96323000000000003</v>
      </c>
      <c r="I9" s="42">
        <v>45474</v>
      </c>
      <c r="J9" s="42">
        <v>0.81885416666666666</v>
      </c>
      <c r="K9" s="42">
        <v>175768</v>
      </c>
      <c r="L9" s="42">
        <v>175768</v>
      </c>
      <c r="M9" s="42">
        <v>175767</v>
      </c>
      <c r="N9" s="42">
        <v>175769</v>
      </c>
      <c r="O9" s="42">
        <v>175770</v>
      </c>
      <c r="P9" s="42">
        <v>175769</v>
      </c>
      <c r="Q9" s="42">
        <v>175773</v>
      </c>
      <c r="R9" s="42">
        <v>175773</v>
      </c>
      <c r="S9" s="42">
        <v>175773</v>
      </c>
      <c r="T9" s="42">
        <v>175775</v>
      </c>
      <c r="U9" s="42">
        <v>175776</v>
      </c>
      <c r="V9" s="42">
        <v>175776</v>
      </c>
      <c r="W9" s="57">
        <f>AVERAGE(H9:H13)</f>
        <v>0.96225799999999995</v>
      </c>
      <c r="Y9">
        <v>0</v>
      </c>
      <c r="Z9" t="s">
        <v>164</v>
      </c>
      <c r="AA9">
        <v>13440</v>
      </c>
      <c r="AB9">
        <v>32</v>
      </c>
      <c r="AC9">
        <v>1</v>
      </c>
      <c r="AD9">
        <v>4</v>
      </c>
      <c r="AE9">
        <v>1996.82</v>
      </c>
      <c r="AF9" s="48">
        <v>0.81066000000000005</v>
      </c>
      <c r="AG9" s="46">
        <v>45466</v>
      </c>
      <c r="AH9" s="47">
        <v>0.11435185185185186</v>
      </c>
      <c r="AI9">
        <v>230750</v>
      </c>
      <c r="AJ9">
        <v>230750</v>
      </c>
      <c r="AK9">
        <v>230749</v>
      </c>
      <c r="AL9">
        <v>230751</v>
      </c>
      <c r="AM9">
        <v>230751</v>
      </c>
      <c r="AN9">
        <v>230752</v>
      </c>
      <c r="AO9">
        <v>230763</v>
      </c>
      <c r="AP9">
        <v>230763</v>
      </c>
      <c r="AQ9">
        <v>230763</v>
      </c>
      <c r="AR9">
        <v>230763</v>
      </c>
      <c r="AS9">
        <v>230764</v>
      </c>
      <c r="AT9">
        <v>230764</v>
      </c>
      <c r="AU9" s="57">
        <f t="shared" ref="AU9" si="3">AVERAGE(AF9:AF13)</f>
        <v>0.80911000000000011</v>
      </c>
      <c r="AW9">
        <v>0</v>
      </c>
      <c r="AX9" t="s">
        <v>164</v>
      </c>
      <c r="AY9">
        <v>13440</v>
      </c>
      <c r="AZ9">
        <v>32</v>
      </c>
      <c r="BA9">
        <v>1</v>
      </c>
      <c r="BB9">
        <v>4</v>
      </c>
      <c r="BC9">
        <v>1681.29</v>
      </c>
      <c r="BD9" s="42">
        <v>0.96279999999999999</v>
      </c>
      <c r="BE9" s="57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57">
        <f>AVERAGE(BD9:BD13)</f>
        <v>0.96314200000000005</v>
      </c>
    </row>
    <row r="10" spans="1:71" x14ac:dyDescent="0.25">
      <c r="A10">
        <v>1</v>
      </c>
      <c r="B10" t="s">
        <v>164</v>
      </c>
      <c r="C10">
        <v>13440</v>
      </c>
      <c r="D10">
        <v>32</v>
      </c>
      <c r="E10">
        <v>1</v>
      </c>
      <c r="F10">
        <v>4</v>
      </c>
      <c r="G10">
        <v>1681.07</v>
      </c>
      <c r="H10" s="42">
        <v>0.96292</v>
      </c>
      <c r="I10" s="42">
        <v>45475</v>
      </c>
      <c r="J10" s="42">
        <v>0.81364583333333329</v>
      </c>
      <c r="K10" s="42">
        <v>175835</v>
      </c>
      <c r="L10" s="42">
        <v>175836</v>
      </c>
      <c r="M10" s="42">
        <v>175836</v>
      </c>
      <c r="N10" s="42">
        <v>175837</v>
      </c>
      <c r="O10" s="42">
        <v>175838</v>
      </c>
      <c r="P10" s="42">
        <v>175838</v>
      </c>
      <c r="Q10" s="42">
        <v>175840</v>
      </c>
      <c r="R10" s="42">
        <v>175840</v>
      </c>
      <c r="S10" s="42">
        <v>175840</v>
      </c>
      <c r="T10" s="42">
        <v>175840</v>
      </c>
      <c r="U10" s="42">
        <v>175841</v>
      </c>
      <c r="V10" s="42">
        <v>175841</v>
      </c>
      <c r="W10" s="57">
        <f>W9</f>
        <v>0.96225799999999995</v>
      </c>
      <c r="Y10">
        <v>1</v>
      </c>
      <c r="Z10" t="s">
        <v>164</v>
      </c>
      <c r="AA10">
        <v>13440</v>
      </c>
      <c r="AB10">
        <v>32</v>
      </c>
      <c r="AC10">
        <v>1</v>
      </c>
      <c r="AD10">
        <v>4</v>
      </c>
      <c r="AE10">
        <v>1996.26</v>
      </c>
      <c r="AF10" s="48">
        <v>0.81089</v>
      </c>
      <c r="AG10" s="46">
        <v>45467</v>
      </c>
      <c r="AH10" s="47">
        <v>0.50332175925925926</v>
      </c>
      <c r="AI10">
        <v>230691</v>
      </c>
      <c r="AJ10">
        <v>230690</v>
      </c>
      <c r="AK10">
        <v>230691</v>
      </c>
      <c r="AL10">
        <v>230700</v>
      </c>
      <c r="AM10">
        <v>230700</v>
      </c>
      <c r="AN10">
        <v>230699</v>
      </c>
      <c r="AO10">
        <v>230723</v>
      </c>
      <c r="AP10">
        <v>230723</v>
      </c>
      <c r="AQ10">
        <v>230723</v>
      </c>
      <c r="AR10">
        <v>230729</v>
      </c>
      <c r="AS10">
        <v>230729</v>
      </c>
      <c r="AT10">
        <v>230729</v>
      </c>
      <c r="AU10" s="57">
        <f t="shared" ref="AU10:AU73" si="4">AU9</f>
        <v>0.80911000000000011</v>
      </c>
      <c r="AW10">
        <v>1</v>
      </c>
      <c r="AX10" t="s">
        <v>164</v>
      </c>
      <c r="AY10">
        <v>13440</v>
      </c>
      <c r="AZ10">
        <v>32</v>
      </c>
      <c r="BA10">
        <v>1</v>
      </c>
      <c r="BB10">
        <v>4</v>
      </c>
      <c r="BC10">
        <v>1688.26</v>
      </c>
      <c r="BD10" s="42">
        <v>0.95882999999999996</v>
      </c>
      <c r="BE10" s="57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57">
        <f>BS9</f>
        <v>0.96314200000000005</v>
      </c>
    </row>
    <row r="11" spans="1:71" x14ac:dyDescent="0.25">
      <c r="A11">
        <v>2</v>
      </c>
      <c r="B11" t="s">
        <v>164</v>
      </c>
      <c r="C11">
        <v>13440</v>
      </c>
      <c r="D11">
        <v>32</v>
      </c>
      <c r="E11">
        <v>1</v>
      </c>
      <c r="F11">
        <v>4</v>
      </c>
      <c r="G11">
        <v>1680.76</v>
      </c>
      <c r="H11" s="42">
        <v>0.96311000000000002</v>
      </c>
      <c r="I11" s="42">
        <v>45476</v>
      </c>
      <c r="J11" s="42">
        <v>0.80574074074074076</v>
      </c>
      <c r="K11" s="42">
        <v>175786</v>
      </c>
      <c r="L11" s="42">
        <v>175786</v>
      </c>
      <c r="M11" s="42">
        <v>175786</v>
      </c>
      <c r="N11" s="42">
        <v>175789</v>
      </c>
      <c r="O11" s="42">
        <v>175789</v>
      </c>
      <c r="P11" s="42">
        <v>175788</v>
      </c>
      <c r="Q11" s="42">
        <v>175792</v>
      </c>
      <c r="R11" s="42">
        <v>175791</v>
      </c>
      <c r="S11" s="42">
        <v>175792</v>
      </c>
      <c r="T11" s="42">
        <v>175810</v>
      </c>
      <c r="U11" s="42">
        <v>175810</v>
      </c>
      <c r="V11" s="42">
        <v>175810</v>
      </c>
      <c r="W11" s="57">
        <f>W10</f>
        <v>0.96225799999999995</v>
      </c>
      <c r="Y11">
        <v>2</v>
      </c>
      <c r="Z11" t="s">
        <v>164</v>
      </c>
      <c r="AA11">
        <v>13440</v>
      </c>
      <c r="AB11">
        <v>32</v>
      </c>
      <c r="AC11">
        <v>1</v>
      </c>
      <c r="AD11">
        <v>4</v>
      </c>
      <c r="AE11">
        <v>2013.1</v>
      </c>
      <c r="AF11" s="48">
        <v>0.80410999999999999</v>
      </c>
      <c r="AG11" s="46">
        <v>45468</v>
      </c>
      <c r="AH11" s="47">
        <v>0.88098379629629631</v>
      </c>
      <c r="AI11">
        <v>232517</v>
      </c>
      <c r="AJ11">
        <v>232517</v>
      </c>
      <c r="AK11">
        <v>232517</v>
      </c>
      <c r="AL11">
        <v>232525</v>
      </c>
      <c r="AM11">
        <v>232525</v>
      </c>
      <c r="AN11">
        <v>232525</v>
      </c>
      <c r="AO11">
        <v>232562</v>
      </c>
      <c r="AP11">
        <v>232563</v>
      </c>
      <c r="AQ11">
        <v>232563</v>
      </c>
      <c r="AR11">
        <v>232563</v>
      </c>
      <c r="AS11">
        <v>232564</v>
      </c>
      <c r="AT11">
        <v>232564</v>
      </c>
      <c r="AU11" s="57">
        <f t="shared" si="4"/>
        <v>0.80911000000000011</v>
      </c>
      <c r="AW11">
        <v>2</v>
      </c>
      <c r="AX11" t="s">
        <v>164</v>
      </c>
      <c r="AY11">
        <v>13440</v>
      </c>
      <c r="AZ11">
        <v>32</v>
      </c>
      <c r="BA11">
        <v>1</v>
      </c>
      <c r="BB11">
        <v>4</v>
      </c>
      <c r="BC11">
        <v>1677.8</v>
      </c>
      <c r="BD11" s="42">
        <v>0.96479999999999999</v>
      </c>
      <c r="BE11" s="57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57">
        <f>BS10</f>
        <v>0.96314200000000005</v>
      </c>
    </row>
    <row r="12" spans="1:71" x14ac:dyDescent="0.25">
      <c r="A12">
        <v>3</v>
      </c>
      <c r="B12" t="s">
        <v>164</v>
      </c>
      <c r="C12">
        <v>13440</v>
      </c>
      <c r="D12">
        <v>32</v>
      </c>
      <c r="E12">
        <v>1</v>
      </c>
      <c r="F12">
        <v>4</v>
      </c>
      <c r="G12">
        <v>1681.26</v>
      </c>
      <c r="H12" s="42">
        <v>0.96282000000000001</v>
      </c>
      <c r="I12" s="42">
        <v>45477</v>
      </c>
      <c r="J12" s="42">
        <v>0.79391203703703705</v>
      </c>
      <c r="K12" s="42">
        <v>175866</v>
      </c>
      <c r="L12" s="42">
        <v>175866</v>
      </c>
      <c r="M12" s="42">
        <v>175865</v>
      </c>
      <c r="N12" s="42">
        <v>175889</v>
      </c>
      <c r="O12" s="42">
        <v>175889</v>
      </c>
      <c r="P12" s="42">
        <v>175888</v>
      </c>
      <c r="Q12" s="42">
        <v>175921</v>
      </c>
      <c r="R12" s="42">
        <v>175920</v>
      </c>
      <c r="S12" s="42">
        <v>175920</v>
      </c>
      <c r="T12" s="42">
        <v>175943</v>
      </c>
      <c r="U12" s="42">
        <v>175943</v>
      </c>
      <c r="V12" s="42">
        <v>175943</v>
      </c>
      <c r="W12" s="57">
        <f>W11</f>
        <v>0.96225799999999995</v>
      </c>
      <c r="Y12">
        <v>3</v>
      </c>
      <c r="Z12" t="s">
        <v>164</v>
      </c>
      <c r="AA12">
        <v>13440</v>
      </c>
      <c r="AB12">
        <v>32</v>
      </c>
      <c r="AC12">
        <v>1</v>
      </c>
      <c r="AD12">
        <v>4</v>
      </c>
      <c r="AE12">
        <v>2003.41</v>
      </c>
      <c r="AF12" s="48">
        <v>0.80800000000000005</v>
      </c>
      <c r="AG12" s="46">
        <v>45470</v>
      </c>
      <c r="AH12" s="47">
        <v>0.24449074074074073</v>
      </c>
      <c r="AI12">
        <v>231416</v>
      </c>
      <c r="AJ12">
        <v>231417</v>
      </c>
      <c r="AK12">
        <v>231416</v>
      </c>
      <c r="AL12">
        <v>231426</v>
      </c>
      <c r="AM12">
        <v>231427</v>
      </c>
      <c r="AN12">
        <v>231427</v>
      </c>
      <c r="AO12">
        <v>231455</v>
      </c>
      <c r="AP12">
        <v>231455</v>
      </c>
      <c r="AQ12">
        <v>231456</v>
      </c>
      <c r="AR12">
        <v>231453</v>
      </c>
      <c r="AS12">
        <v>231453</v>
      </c>
      <c r="AT12">
        <v>231453</v>
      </c>
      <c r="AU12" s="57">
        <f t="shared" si="4"/>
        <v>0.80911000000000011</v>
      </c>
      <c r="AW12">
        <v>3</v>
      </c>
      <c r="AX12" t="s">
        <v>164</v>
      </c>
      <c r="AY12">
        <v>13440</v>
      </c>
      <c r="AZ12">
        <v>32</v>
      </c>
      <c r="BA12">
        <v>1</v>
      </c>
      <c r="BB12">
        <v>4</v>
      </c>
      <c r="BC12">
        <v>1677.73</v>
      </c>
      <c r="BD12" s="42">
        <v>0.96484000000000003</v>
      </c>
      <c r="BE12" s="57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57">
        <f>BS11</f>
        <v>0.96314200000000005</v>
      </c>
    </row>
    <row r="13" spans="1:71" x14ac:dyDescent="0.25">
      <c r="A13">
        <v>4</v>
      </c>
      <c r="B13" t="s">
        <v>164</v>
      </c>
      <c r="C13">
        <v>13440</v>
      </c>
      <c r="D13">
        <v>32</v>
      </c>
      <c r="E13">
        <v>1</v>
      </c>
      <c r="F13">
        <v>4</v>
      </c>
      <c r="G13">
        <v>1687.59</v>
      </c>
      <c r="H13" s="42">
        <v>0.95921000000000001</v>
      </c>
      <c r="I13" s="42">
        <v>45478</v>
      </c>
      <c r="J13" s="42">
        <v>0.77500000000000002</v>
      </c>
      <c r="K13" s="42">
        <v>176648</v>
      </c>
      <c r="L13" s="42">
        <v>176647</v>
      </c>
      <c r="M13" s="42">
        <v>176648</v>
      </c>
      <c r="N13" s="42">
        <v>176650</v>
      </c>
      <c r="O13" s="42">
        <v>176651</v>
      </c>
      <c r="P13" s="42">
        <v>176650</v>
      </c>
      <c r="Q13" s="42">
        <v>176653</v>
      </c>
      <c r="R13" s="42">
        <v>176653</v>
      </c>
      <c r="S13" s="42">
        <v>176652</v>
      </c>
      <c r="T13" s="42">
        <v>176670</v>
      </c>
      <c r="U13" s="42">
        <v>176670</v>
      </c>
      <c r="V13" s="42">
        <v>176670</v>
      </c>
      <c r="W13" s="57">
        <f>W12</f>
        <v>0.96225799999999995</v>
      </c>
      <c r="Y13">
        <v>4</v>
      </c>
      <c r="Z13" t="s">
        <v>164</v>
      </c>
      <c r="AA13">
        <v>13440</v>
      </c>
      <c r="AB13">
        <v>32</v>
      </c>
      <c r="AC13">
        <v>1</v>
      </c>
      <c r="AD13">
        <v>4</v>
      </c>
      <c r="AE13">
        <v>1993.81</v>
      </c>
      <c r="AF13" s="48">
        <v>0.81189</v>
      </c>
      <c r="AG13" s="46">
        <v>45471</v>
      </c>
      <c r="AH13" s="47">
        <v>0.60130787037037037</v>
      </c>
      <c r="AI13">
        <v>230504</v>
      </c>
      <c r="AJ13">
        <v>230504</v>
      </c>
      <c r="AK13">
        <v>230503</v>
      </c>
      <c r="AL13">
        <v>230506</v>
      </c>
      <c r="AM13">
        <v>230505</v>
      </c>
      <c r="AN13">
        <v>230506</v>
      </c>
      <c r="AO13">
        <v>230507</v>
      </c>
      <c r="AP13">
        <v>230508</v>
      </c>
      <c r="AQ13">
        <v>230507</v>
      </c>
      <c r="AR13">
        <v>230538</v>
      </c>
      <c r="AS13">
        <v>230538</v>
      </c>
      <c r="AT13">
        <v>230538</v>
      </c>
      <c r="AU13" s="57">
        <f t="shared" si="4"/>
        <v>0.80911000000000011</v>
      </c>
      <c r="AW13">
        <v>4</v>
      </c>
      <c r="AX13" t="s">
        <v>164</v>
      </c>
      <c r="AY13">
        <v>13440</v>
      </c>
      <c r="AZ13">
        <v>32</v>
      </c>
      <c r="BA13">
        <v>1</v>
      </c>
      <c r="BB13">
        <v>4</v>
      </c>
      <c r="BC13">
        <v>1678.43</v>
      </c>
      <c r="BD13" s="42">
        <v>0.96443999999999996</v>
      </c>
      <c r="BE13" s="57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57">
        <f>BS12</f>
        <v>0.96314200000000005</v>
      </c>
    </row>
    <row r="14" spans="1:71" x14ac:dyDescent="0.25">
      <c r="A14">
        <v>0</v>
      </c>
      <c r="B14" t="s">
        <v>164</v>
      </c>
      <c r="C14">
        <v>14208</v>
      </c>
      <c r="D14">
        <v>32</v>
      </c>
      <c r="E14">
        <v>1</v>
      </c>
      <c r="F14">
        <v>4</v>
      </c>
      <c r="G14">
        <v>1981.93</v>
      </c>
      <c r="H14" s="70">
        <v>0.96492</v>
      </c>
      <c r="I14" s="42">
        <v>45475</v>
      </c>
      <c r="J14" s="42">
        <v>0.14480324074074075</v>
      </c>
      <c r="K14" s="42">
        <v>206953</v>
      </c>
      <c r="L14" s="42">
        <v>206952</v>
      </c>
      <c r="M14" s="42">
        <v>206953</v>
      </c>
      <c r="N14" s="42">
        <v>206988</v>
      </c>
      <c r="O14" s="42">
        <v>206988</v>
      </c>
      <c r="P14" s="42">
        <v>206988</v>
      </c>
      <c r="Q14" s="42">
        <v>206992</v>
      </c>
      <c r="R14" s="42">
        <v>206991</v>
      </c>
      <c r="S14" s="42">
        <v>206992</v>
      </c>
      <c r="T14" s="42">
        <v>207040</v>
      </c>
      <c r="U14" s="42">
        <v>207040</v>
      </c>
      <c r="V14" s="42">
        <v>207040</v>
      </c>
      <c r="W14" s="57">
        <f>AVERAGE(H14:H18)</f>
        <v>0.9627420000000001</v>
      </c>
      <c r="Y14">
        <v>0</v>
      </c>
      <c r="Z14" t="s">
        <v>164</v>
      </c>
      <c r="AA14">
        <v>14208</v>
      </c>
      <c r="AB14">
        <v>32</v>
      </c>
      <c r="AC14">
        <v>1</v>
      </c>
      <c r="AD14">
        <v>4</v>
      </c>
      <c r="AE14">
        <v>2357.54</v>
      </c>
      <c r="AF14" s="48">
        <v>0.81118000000000001</v>
      </c>
      <c r="AG14" s="46">
        <v>45466</v>
      </c>
      <c r="AH14" s="47">
        <v>0.56349537037037034</v>
      </c>
      <c r="AI14">
        <v>270546</v>
      </c>
      <c r="AJ14">
        <v>270545</v>
      </c>
      <c r="AK14">
        <v>270545</v>
      </c>
      <c r="AL14">
        <v>270593</v>
      </c>
      <c r="AM14">
        <v>270592</v>
      </c>
      <c r="AN14">
        <v>270593</v>
      </c>
      <c r="AO14">
        <v>270638</v>
      </c>
      <c r="AP14">
        <v>270638</v>
      </c>
      <c r="AQ14">
        <v>270638</v>
      </c>
      <c r="AR14">
        <v>270690</v>
      </c>
      <c r="AS14">
        <v>270690</v>
      </c>
      <c r="AT14">
        <v>270691</v>
      </c>
      <c r="AU14" s="57">
        <f t="shared" ref="AU14" si="5">AVERAGE(AF14:AF18)</f>
        <v>0.81315199999999999</v>
      </c>
      <c r="AW14">
        <v>0</v>
      </c>
      <c r="AX14" t="s">
        <v>164</v>
      </c>
      <c r="AY14">
        <v>14208</v>
      </c>
      <c r="AZ14">
        <v>32</v>
      </c>
      <c r="BA14">
        <v>1</v>
      </c>
      <c r="BB14">
        <v>4</v>
      </c>
      <c r="BC14">
        <v>1978.01</v>
      </c>
      <c r="BD14" s="42">
        <v>0.96682999999999997</v>
      </c>
      <c r="BE14" s="57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57">
        <f>AVERAGE(BD14:BD18)</f>
        <v>0.95930800000000005</v>
      </c>
    </row>
    <row r="15" spans="1:71" x14ac:dyDescent="0.25">
      <c r="A15">
        <v>1</v>
      </c>
      <c r="B15" t="s">
        <v>164</v>
      </c>
      <c r="C15">
        <v>14208</v>
      </c>
      <c r="D15">
        <v>32</v>
      </c>
      <c r="E15">
        <v>1</v>
      </c>
      <c r="F15">
        <v>4</v>
      </c>
      <c r="G15">
        <v>1986.07</v>
      </c>
      <c r="H15" s="42">
        <v>0.96289999999999998</v>
      </c>
      <c r="I15" s="42">
        <v>45476</v>
      </c>
      <c r="J15" s="42">
        <v>0.13957175925925927</v>
      </c>
      <c r="K15" s="42">
        <v>207311</v>
      </c>
      <c r="L15" s="42">
        <v>207312</v>
      </c>
      <c r="M15" s="42">
        <v>207311</v>
      </c>
      <c r="N15" s="42">
        <v>207341</v>
      </c>
      <c r="O15" s="42">
        <v>207341</v>
      </c>
      <c r="P15" s="42">
        <v>207342</v>
      </c>
      <c r="Q15" s="42">
        <v>207389</v>
      </c>
      <c r="R15" s="42">
        <v>207388</v>
      </c>
      <c r="S15" s="42">
        <v>207388</v>
      </c>
      <c r="T15" s="42">
        <v>207434</v>
      </c>
      <c r="U15" s="42">
        <v>207434</v>
      </c>
      <c r="V15" s="42">
        <v>207435</v>
      </c>
      <c r="W15" s="57">
        <f>W14</f>
        <v>0.9627420000000001</v>
      </c>
      <c r="Y15">
        <v>1</v>
      </c>
      <c r="Z15" t="s">
        <v>164</v>
      </c>
      <c r="AA15">
        <v>14208</v>
      </c>
      <c r="AB15">
        <v>32</v>
      </c>
      <c r="AC15">
        <v>1</v>
      </c>
      <c r="AD15">
        <v>4</v>
      </c>
      <c r="AE15">
        <v>2346.94</v>
      </c>
      <c r="AF15" s="48">
        <v>0.81484000000000001</v>
      </c>
      <c r="AG15" s="46">
        <v>45467</v>
      </c>
      <c r="AH15" s="47">
        <v>0.95245370370370375</v>
      </c>
      <c r="AI15">
        <v>269386</v>
      </c>
      <c r="AJ15">
        <v>269386</v>
      </c>
      <c r="AK15">
        <v>269385</v>
      </c>
      <c r="AL15">
        <v>269426</v>
      </c>
      <c r="AM15">
        <v>269425</v>
      </c>
      <c r="AN15">
        <v>269425</v>
      </c>
      <c r="AO15">
        <v>269436</v>
      </c>
      <c r="AP15">
        <v>269436</v>
      </c>
      <c r="AQ15">
        <v>269437</v>
      </c>
      <c r="AR15">
        <v>269478</v>
      </c>
      <c r="AS15">
        <v>269478</v>
      </c>
      <c r="AT15">
        <v>269479</v>
      </c>
      <c r="AU15" s="57">
        <f t="shared" ref="AU15" si="6">AU14</f>
        <v>0.81315199999999999</v>
      </c>
      <c r="AW15">
        <v>1</v>
      </c>
      <c r="AX15" t="s">
        <v>164</v>
      </c>
      <c r="AY15">
        <v>14208</v>
      </c>
      <c r="AZ15">
        <v>32</v>
      </c>
      <c r="BA15">
        <v>1</v>
      </c>
      <c r="BB15">
        <v>4</v>
      </c>
      <c r="BC15">
        <v>1983.77</v>
      </c>
      <c r="BD15" s="42">
        <v>0.96401999999999999</v>
      </c>
      <c r="BE15" s="57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57">
        <f>BS14</f>
        <v>0.95930800000000005</v>
      </c>
    </row>
    <row r="16" spans="1:71" x14ac:dyDescent="0.25">
      <c r="A16">
        <v>2</v>
      </c>
      <c r="B16" t="s">
        <v>164</v>
      </c>
      <c r="C16">
        <v>14208</v>
      </c>
      <c r="D16">
        <v>32</v>
      </c>
      <c r="E16">
        <v>1</v>
      </c>
      <c r="F16">
        <v>4</v>
      </c>
      <c r="G16">
        <v>1990.58</v>
      </c>
      <c r="H16" s="42">
        <v>0.96072000000000002</v>
      </c>
      <c r="I16" s="42">
        <v>45477</v>
      </c>
      <c r="J16" s="42">
        <v>0.13203703703703704</v>
      </c>
      <c r="K16" s="42">
        <v>207821</v>
      </c>
      <c r="L16" s="42">
        <v>207821</v>
      </c>
      <c r="M16" s="42">
        <v>207821</v>
      </c>
      <c r="N16" s="42">
        <v>207873</v>
      </c>
      <c r="O16" s="42">
        <v>207873</v>
      </c>
      <c r="P16" s="42">
        <v>207873</v>
      </c>
      <c r="Q16" s="42">
        <v>207935</v>
      </c>
      <c r="R16" s="42">
        <v>207935</v>
      </c>
      <c r="S16" s="42">
        <v>207936</v>
      </c>
      <c r="T16" s="42">
        <v>207976</v>
      </c>
      <c r="U16" s="42">
        <v>207976</v>
      </c>
      <c r="V16" s="42">
        <v>207976</v>
      </c>
      <c r="W16" s="57">
        <f>W15</f>
        <v>0.9627420000000001</v>
      </c>
      <c r="Y16">
        <v>2</v>
      </c>
      <c r="Z16" t="s">
        <v>164</v>
      </c>
      <c r="AA16">
        <v>14208</v>
      </c>
      <c r="AB16">
        <v>32</v>
      </c>
      <c r="AC16">
        <v>1</v>
      </c>
      <c r="AD16">
        <v>4</v>
      </c>
      <c r="AE16">
        <v>2360.8000000000002</v>
      </c>
      <c r="AF16" s="48">
        <v>0.81006</v>
      </c>
      <c r="AG16" s="46">
        <v>45469</v>
      </c>
      <c r="AH16" s="47">
        <v>0.32747685185185182</v>
      </c>
      <c r="AI16">
        <v>271118</v>
      </c>
      <c r="AJ16">
        <v>271119</v>
      </c>
      <c r="AK16">
        <v>271118</v>
      </c>
      <c r="AL16">
        <v>271173</v>
      </c>
      <c r="AM16">
        <v>271173</v>
      </c>
      <c r="AN16">
        <v>271173</v>
      </c>
      <c r="AO16">
        <v>271223</v>
      </c>
      <c r="AP16">
        <v>271223</v>
      </c>
      <c r="AQ16">
        <v>271222</v>
      </c>
      <c r="AR16">
        <v>271273</v>
      </c>
      <c r="AS16">
        <v>271273</v>
      </c>
      <c r="AT16">
        <v>271274</v>
      </c>
      <c r="AU16" s="57">
        <f t="shared" si="4"/>
        <v>0.81315199999999999</v>
      </c>
      <c r="AW16">
        <v>2</v>
      </c>
      <c r="AX16" t="s">
        <v>164</v>
      </c>
      <c r="AY16">
        <v>14208</v>
      </c>
      <c r="AZ16">
        <v>32</v>
      </c>
      <c r="BA16">
        <v>1</v>
      </c>
      <c r="BB16">
        <v>4</v>
      </c>
      <c r="BC16">
        <v>2010.94</v>
      </c>
      <c r="BD16" s="42">
        <v>0.95099</v>
      </c>
      <c r="BE16" s="57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57">
        <f>BS15</f>
        <v>0.95930800000000005</v>
      </c>
    </row>
    <row r="17" spans="1:71" x14ac:dyDescent="0.25">
      <c r="A17">
        <v>3</v>
      </c>
      <c r="B17" t="s">
        <v>164</v>
      </c>
      <c r="C17">
        <v>14208</v>
      </c>
      <c r="D17">
        <v>32</v>
      </c>
      <c r="E17">
        <v>1</v>
      </c>
      <c r="F17">
        <v>4</v>
      </c>
      <c r="G17">
        <v>1991.46</v>
      </c>
      <c r="H17" s="42">
        <v>0.96030000000000004</v>
      </c>
      <c r="I17" s="42">
        <v>45478</v>
      </c>
      <c r="J17" s="42">
        <v>0.12</v>
      </c>
      <c r="K17" s="42">
        <v>207751</v>
      </c>
      <c r="L17" s="42">
        <v>207751</v>
      </c>
      <c r="M17" s="42">
        <v>207751</v>
      </c>
      <c r="N17" s="42">
        <v>207778</v>
      </c>
      <c r="O17" s="42">
        <v>207778</v>
      </c>
      <c r="P17" s="42">
        <v>207778</v>
      </c>
      <c r="Q17" s="42">
        <v>207820</v>
      </c>
      <c r="R17" s="42">
        <v>207820</v>
      </c>
      <c r="S17" s="42">
        <v>207820</v>
      </c>
      <c r="T17" s="42">
        <v>207879</v>
      </c>
      <c r="U17" s="42">
        <v>207879</v>
      </c>
      <c r="V17" s="42">
        <v>207879</v>
      </c>
      <c r="W17" s="57">
        <f>W16</f>
        <v>0.9627420000000001</v>
      </c>
      <c r="Y17">
        <v>3</v>
      </c>
      <c r="Z17" t="s">
        <v>164</v>
      </c>
      <c r="AA17">
        <v>14208</v>
      </c>
      <c r="AB17">
        <v>32</v>
      </c>
      <c r="AC17">
        <v>1</v>
      </c>
      <c r="AD17">
        <v>4</v>
      </c>
      <c r="AE17">
        <v>2352.29</v>
      </c>
      <c r="AF17" s="48">
        <v>0.81298999999999999</v>
      </c>
      <c r="AG17" s="46">
        <v>45470</v>
      </c>
      <c r="AH17" s="47">
        <v>0.69</v>
      </c>
      <c r="AI17">
        <v>270079</v>
      </c>
      <c r="AJ17">
        <v>270079</v>
      </c>
      <c r="AK17">
        <v>270079</v>
      </c>
      <c r="AL17">
        <v>270126</v>
      </c>
      <c r="AM17">
        <v>270126</v>
      </c>
      <c r="AN17">
        <v>270127</v>
      </c>
      <c r="AO17">
        <v>270132</v>
      </c>
      <c r="AP17">
        <v>270132</v>
      </c>
      <c r="AQ17">
        <v>270133</v>
      </c>
      <c r="AR17">
        <v>270197</v>
      </c>
      <c r="AS17">
        <v>270197</v>
      </c>
      <c r="AT17">
        <v>270197</v>
      </c>
      <c r="AU17" s="57">
        <f t="shared" si="4"/>
        <v>0.81315199999999999</v>
      </c>
      <c r="AW17">
        <v>3</v>
      </c>
      <c r="AX17" t="s">
        <v>164</v>
      </c>
      <c r="AY17">
        <v>14208</v>
      </c>
      <c r="AZ17">
        <v>32</v>
      </c>
      <c r="BA17">
        <v>1</v>
      </c>
      <c r="BB17">
        <v>4</v>
      </c>
      <c r="BC17">
        <v>2014.83</v>
      </c>
      <c r="BD17" s="42">
        <v>0.94915000000000005</v>
      </c>
      <c r="BE17" s="57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57">
        <f>BS16</f>
        <v>0.95930800000000005</v>
      </c>
    </row>
    <row r="18" spans="1:71" x14ac:dyDescent="0.25">
      <c r="A18">
        <v>4</v>
      </c>
      <c r="B18" t="s">
        <v>164</v>
      </c>
      <c r="C18">
        <v>14208</v>
      </c>
      <c r="D18">
        <v>32</v>
      </c>
      <c r="E18">
        <v>1</v>
      </c>
      <c r="F18">
        <v>4</v>
      </c>
      <c r="G18">
        <v>1982.02</v>
      </c>
      <c r="H18" s="42">
        <v>0.96487000000000001</v>
      </c>
      <c r="I18" s="42">
        <v>45479</v>
      </c>
      <c r="J18" s="42">
        <v>0.10065972222222222</v>
      </c>
      <c r="K18" s="42">
        <v>206873</v>
      </c>
      <c r="L18" s="42">
        <v>206873</v>
      </c>
      <c r="M18" s="42">
        <v>206872</v>
      </c>
      <c r="N18" s="42">
        <v>206918</v>
      </c>
      <c r="O18" s="42">
        <v>206918</v>
      </c>
      <c r="P18" s="42">
        <v>206917</v>
      </c>
      <c r="Q18" s="42">
        <v>206960</v>
      </c>
      <c r="R18" s="42">
        <v>206960</v>
      </c>
      <c r="S18" s="42">
        <v>206960</v>
      </c>
      <c r="T18" s="42">
        <v>206998</v>
      </c>
      <c r="U18" s="42">
        <v>206997</v>
      </c>
      <c r="V18" s="42">
        <v>206997</v>
      </c>
      <c r="W18" s="57">
        <f>W17</f>
        <v>0.9627420000000001</v>
      </c>
      <c r="Y18">
        <v>4</v>
      </c>
      <c r="Z18" t="s">
        <v>164</v>
      </c>
      <c r="AA18">
        <v>14208</v>
      </c>
      <c r="AB18">
        <v>32</v>
      </c>
      <c r="AC18">
        <v>1</v>
      </c>
      <c r="AD18">
        <v>4</v>
      </c>
      <c r="AE18">
        <v>2341.65</v>
      </c>
      <c r="AF18" s="48">
        <v>0.81669000000000003</v>
      </c>
      <c r="AG18" s="46">
        <v>45472</v>
      </c>
      <c r="AH18" s="47">
        <v>5.3148148148148146E-2</v>
      </c>
      <c r="AI18">
        <v>268910</v>
      </c>
      <c r="AJ18">
        <v>268909</v>
      </c>
      <c r="AK18">
        <v>268910</v>
      </c>
      <c r="AL18">
        <v>268921</v>
      </c>
      <c r="AM18">
        <v>268921</v>
      </c>
      <c r="AN18">
        <v>268921</v>
      </c>
      <c r="AO18">
        <v>268966</v>
      </c>
      <c r="AP18">
        <v>268966</v>
      </c>
      <c r="AQ18">
        <v>268965</v>
      </c>
      <c r="AR18">
        <v>268995</v>
      </c>
      <c r="AS18">
        <v>268995</v>
      </c>
      <c r="AT18">
        <v>268994</v>
      </c>
      <c r="AU18" s="57">
        <f t="shared" si="4"/>
        <v>0.81315199999999999</v>
      </c>
      <c r="AW18">
        <v>4</v>
      </c>
      <c r="AX18" t="s">
        <v>164</v>
      </c>
      <c r="AY18">
        <v>14208</v>
      </c>
      <c r="AZ18">
        <v>32</v>
      </c>
      <c r="BA18">
        <v>1</v>
      </c>
      <c r="BB18">
        <v>4</v>
      </c>
      <c r="BC18">
        <v>1980.63</v>
      </c>
      <c r="BD18" s="42">
        <v>0.96555000000000002</v>
      </c>
      <c r="BE18" s="57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57">
        <f>BS17</f>
        <v>0.95930800000000005</v>
      </c>
    </row>
    <row r="19" spans="1:71" x14ac:dyDescent="0.25">
      <c r="A19">
        <v>0</v>
      </c>
      <c r="B19" t="s">
        <v>164</v>
      </c>
      <c r="C19">
        <v>12672</v>
      </c>
      <c r="D19">
        <v>32</v>
      </c>
      <c r="E19">
        <v>2</v>
      </c>
      <c r="F19">
        <v>2</v>
      </c>
      <c r="G19">
        <v>1382.59</v>
      </c>
      <c r="H19" s="70">
        <v>0.98136000000000001</v>
      </c>
      <c r="I19" s="42">
        <v>45474</v>
      </c>
      <c r="J19" s="42">
        <v>0.56190972222222224</v>
      </c>
      <c r="K19" s="42">
        <v>145152</v>
      </c>
      <c r="L19" s="42">
        <v>145152</v>
      </c>
      <c r="M19" s="42">
        <v>145153</v>
      </c>
      <c r="N19" s="42">
        <v>145155</v>
      </c>
      <c r="O19" s="42">
        <v>145154</v>
      </c>
      <c r="P19" s="42">
        <v>145155</v>
      </c>
      <c r="Q19" s="42">
        <v>145155</v>
      </c>
      <c r="R19" s="42">
        <v>145155</v>
      </c>
      <c r="S19" s="42">
        <v>145155</v>
      </c>
      <c r="T19" s="42">
        <v>145157</v>
      </c>
      <c r="U19" s="42">
        <v>145157</v>
      </c>
      <c r="V19" s="42">
        <v>145157</v>
      </c>
      <c r="W19" s="57">
        <f>AVERAGE(H19:H23)</f>
        <v>0.97878000000000009</v>
      </c>
      <c r="Y19">
        <v>0</v>
      </c>
      <c r="Z19" t="s">
        <v>164</v>
      </c>
      <c r="AA19">
        <v>12672</v>
      </c>
      <c r="AB19">
        <v>32</v>
      </c>
      <c r="AC19">
        <v>2</v>
      </c>
      <c r="AD19">
        <v>2</v>
      </c>
      <c r="AE19">
        <v>1645.75</v>
      </c>
      <c r="AF19" s="48">
        <v>0.82443999999999995</v>
      </c>
      <c r="AG19" s="46">
        <v>45465</v>
      </c>
      <c r="AH19" s="47">
        <v>0.75922453703703707</v>
      </c>
      <c r="AI19">
        <v>192200</v>
      </c>
      <c r="AJ19">
        <v>192200</v>
      </c>
      <c r="AK19">
        <v>192200</v>
      </c>
      <c r="AL19">
        <v>192201</v>
      </c>
      <c r="AM19">
        <v>192202</v>
      </c>
      <c r="AN19">
        <v>192202</v>
      </c>
      <c r="AO19">
        <v>192212</v>
      </c>
      <c r="AP19">
        <v>192212</v>
      </c>
      <c r="AQ19">
        <v>192212</v>
      </c>
      <c r="AR19">
        <v>192225</v>
      </c>
      <c r="AS19">
        <v>192225</v>
      </c>
      <c r="AT19">
        <v>192225</v>
      </c>
      <c r="AU19" s="57">
        <f t="shared" ref="AU19" si="7">AVERAGE(AF19:AF23)</f>
        <v>0.82677200000000006</v>
      </c>
      <c r="AW19">
        <v>0</v>
      </c>
      <c r="AX19" t="s">
        <v>164</v>
      </c>
      <c r="AY19">
        <v>12672</v>
      </c>
      <c r="AZ19">
        <v>32</v>
      </c>
      <c r="BA19">
        <v>2</v>
      </c>
      <c r="BB19">
        <v>2</v>
      </c>
      <c r="BC19">
        <v>1383.15</v>
      </c>
      <c r="BD19" s="42">
        <v>0.98096000000000005</v>
      </c>
      <c r="BE19" s="57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57">
        <f>AVERAGE(BD19:BD23)</f>
        <v>0.98006799999999994</v>
      </c>
    </row>
    <row r="20" spans="1:71" x14ac:dyDescent="0.25">
      <c r="A20">
        <v>1</v>
      </c>
      <c r="B20" t="s">
        <v>164</v>
      </c>
      <c r="C20">
        <v>12672</v>
      </c>
      <c r="D20">
        <v>32</v>
      </c>
      <c r="E20">
        <v>2</v>
      </c>
      <c r="F20">
        <v>2</v>
      </c>
      <c r="G20">
        <v>1382.86</v>
      </c>
      <c r="H20" s="42">
        <v>0.98116999999999999</v>
      </c>
      <c r="I20" s="42">
        <v>45475</v>
      </c>
      <c r="J20" s="42">
        <v>0.55672453703703706</v>
      </c>
      <c r="K20" s="42">
        <v>145154</v>
      </c>
      <c r="L20" s="42">
        <v>145154</v>
      </c>
      <c r="M20" s="42">
        <v>145154</v>
      </c>
      <c r="N20" s="42">
        <v>145160</v>
      </c>
      <c r="O20" s="42">
        <v>145161</v>
      </c>
      <c r="P20" s="42">
        <v>145160</v>
      </c>
      <c r="Q20" s="42">
        <v>145162</v>
      </c>
      <c r="R20" s="42">
        <v>145162</v>
      </c>
      <c r="S20" s="42">
        <v>145162</v>
      </c>
      <c r="T20" s="42">
        <v>145167</v>
      </c>
      <c r="U20" s="42">
        <v>145168</v>
      </c>
      <c r="V20" s="42">
        <v>145168</v>
      </c>
      <c r="W20" s="57">
        <f>W19</f>
        <v>0.97878000000000009</v>
      </c>
      <c r="Y20">
        <v>1</v>
      </c>
      <c r="Z20" t="s">
        <v>164</v>
      </c>
      <c r="AA20">
        <v>12672</v>
      </c>
      <c r="AB20">
        <v>32</v>
      </c>
      <c r="AC20">
        <v>2</v>
      </c>
      <c r="AD20">
        <v>2</v>
      </c>
      <c r="AE20">
        <v>1635.36</v>
      </c>
      <c r="AF20" s="48">
        <v>0.82967000000000002</v>
      </c>
      <c r="AG20" s="46">
        <v>45467</v>
      </c>
      <c r="AH20" s="47">
        <v>0.14730324074074075</v>
      </c>
      <c r="AI20">
        <v>191140</v>
      </c>
      <c r="AJ20">
        <v>191139</v>
      </c>
      <c r="AK20">
        <v>191140</v>
      </c>
      <c r="AL20">
        <v>191141</v>
      </c>
      <c r="AM20">
        <v>191141</v>
      </c>
      <c r="AN20">
        <v>191140</v>
      </c>
      <c r="AO20">
        <v>191142</v>
      </c>
      <c r="AP20">
        <v>191143</v>
      </c>
      <c r="AQ20">
        <v>191143</v>
      </c>
      <c r="AR20">
        <v>191148</v>
      </c>
      <c r="AS20">
        <v>191149</v>
      </c>
      <c r="AT20">
        <v>191148</v>
      </c>
      <c r="AU20" s="57">
        <f t="shared" ref="AU20" si="8">AU19</f>
        <v>0.82677200000000006</v>
      </c>
      <c r="AW20">
        <v>1</v>
      </c>
      <c r="AX20" t="s">
        <v>164</v>
      </c>
      <c r="AY20">
        <v>12672</v>
      </c>
      <c r="AZ20">
        <v>32</v>
      </c>
      <c r="BA20">
        <v>2</v>
      </c>
      <c r="BB20">
        <v>2</v>
      </c>
      <c r="BC20">
        <v>1381.02</v>
      </c>
      <c r="BD20" s="42">
        <v>0.98246999999999995</v>
      </c>
      <c r="BE20" s="57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57">
        <f>BS19</f>
        <v>0.98006799999999994</v>
      </c>
    </row>
    <row r="21" spans="1:71" x14ac:dyDescent="0.25">
      <c r="A21">
        <v>2</v>
      </c>
      <c r="B21" t="s">
        <v>164</v>
      </c>
      <c r="C21">
        <v>12672</v>
      </c>
      <c r="D21">
        <v>32</v>
      </c>
      <c r="E21">
        <v>2</v>
      </c>
      <c r="F21">
        <v>2</v>
      </c>
      <c r="G21">
        <v>1391.33</v>
      </c>
      <c r="H21" s="42">
        <v>0.97519</v>
      </c>
      <c r="I21" s="42">
        <v>45476</v>
      </c>
      <c r="J21" s="42">
        <v>0.54886574074074079</v>
      </c>
      <c r="K21" s="42">
        <v>145963</v>
      </c>
      <c r="L21" s="42">
        <v>145964</v>
      </c>
      <c r="M21" s="42">
        <v>145963</v>
      </c>
      <c r="N21" s="42">
        <v>145965</v>
      </c>
      <c r="O21" s="42">
        <v>145966</v>
      </c>
      <c r="P21" s="42">
        <v>145966</v>
      </c>
      <c r="Q21" s="42">
        <v>145963</v>
      </c>
      <c r="R21" s="42">
        <v>145963</v>
      </c>
      <c r="S21" s="42">
        <v>145963</v>
      </c>
      <c r="T21" s="42">
        <v>145965</v>
      </c>
      <c r="U21" s="42">
        <v>145965</v>
      </c>
      <c r="V21" s="42">
        <v>145965</v>
      </c>
      <c r="W21" s="57">
        <f>W20</f>
        <v>0.97878000000000009</v>
      </c>
      <c r="Y21">
        <v>2</v>
      </c>
      <c r="Z21" t="s">
        <v>164</v>
      </c>
      <c r="AA21">
        <v>12672</v>
      </c>
      <c r="AB21">
        <v>32</v>
      </c>
      <c r="AC21">
        <v>2</v>
      </c>
      <c r="AD21">
        <v>2</v>
      </c>
      <c r="AE21">
        <v>1638.73</v>
      </c>
      <c r="AF21" s="48">
        <v>0.82796999999999998</v>
      </c>
      <c r="AG21" s="46">
        <v>45468</v>
      </c>
      <c r="AH21" s="47">
        <v>0.52559027777777778</v>
      </c>
      <c r="AI21">
        <v>192253</v>
      </c>
      <c r="AJ21">
        <v>192254</v>
      </c>
      <c r="AK21">
        <v>192253</v>
      </c>
      <c r="AL21">
        <v>192257</v>
      </c>
      <c r="AM21">
        <v>192256</v>
      </c>
      <c r="AN21">
        <v>192256</v>
      </c>
      <c r="AO21">
        <v>192257</v>
      </c>
      <c r="AP21">
        <v>192258</v>
      </c>
      <c r="AQ21">
        <v>192258</v>
      </c>
      <c r="AR21">
        <v>192259</v>
      </c>
      <c r="AS21">
        <v>192260</v>
      </c>
      <c r="AT21">
        <v>192259</v>
      </c>
      <c r="AU21" s="57">
        <f t="shared" si="4"/>
        <v>0.82677200000000006</v>
      </c>
      <c r="AW21">
        <v>2</v>
      </c>
      <c r="AX21" t="s">
        <v>164</v>
      </c>
      <c r="AY21">
        <v>12672</v>
      </c>
      <c r="AZ21">
        <v>32</v>
      </c>
      <c r="BA21">
        <v>2</v>
      </c>
      <c r="BB21">
        <v>2</v>
      </c>
      <c r="BC21">
        <v>1382.24</v>
      </c>
      <c r="BD21" s="42">
        <v>0.98160999999999998</v>
      </c>
      <c r="BE21" s="57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57">
        <f>BS20</f>
        <v>0.98006799999999994</v>
      </c>
    </row>
    <row r="22" spans="1:71" x14ac:dyDescent="0.25">
      <c r="A22">
        <v>3</v>
      </c>
      <c r="B22" t="s">
        <v>164</v>
      </c>
      <c r="C22">
        <v>12672</v>
      </c>
      <c r="D22">
        <v>32</v>
      </c>
      <c r="E22">
        <v>2</v>
      </c>
      <c r="F22">
        <v>2</v>
      </c>
      <c r="G22">
        <v>1391.77</v>
      </c>
      <c r="H22" s="42">
        <v>0.97489000000000003</v>
      </c>
      <c r="I22" s="42">
        <v>45477</v>
      </c>
      <c r="J22" s="42">
        <v>0.53694444444444445</v>
      </c>
      <c r="K22" s="42">
        <v>146019</v>
      </c>
      <c r="L22" s="42">
        <v>146020</v>
      </c>
      <c r="M22" s="42">
        <v>146019</v>
      </c>
      <c r="N22" s="42">
        <v>146021</v>
      </c>
      <c r="O22" s="42">
        <v>146021</v>
      </c>
      <c r="P22" s="42">
        <v>146021</v>
      </c>
      <c r="Q22" s="42">
        <v>146023</v>
      </c>
      <c r="R22" s="42">
        <v>146023</v>
      </c>
      <c r="S22" s="42">
        <v>146023</v>
      </c>
      <c r="T22" s="42">
        <v>146026</v>
      </c>
      <c r="U22" s="42">
        <v>146026</v>
      </c>
      <c r="V22" s="42">
        <v>146025</v>
      </c>
      <c r="W22" s="57">
        <f>W21</f>
        <v>0.97878000000000009</v>
      </c>
      <c r="Y22">
        <v>3</v>
      </c>
      <c r="Z22" t="s">
        <v>164</v>
      </c>
      <c r="AA22">
        <v>12672</v>
      </c>
      <c r="AB22">
        <v>32</v>
      </c>
      <c r="AC22">
        <v>2</v>
      </c>
      <c r="AD22">
        <v>2</v>
      </c>
      <c r="AE22">
        <v>1643</v>
      </c>
      <c r="AF22" s="48">
        <v>0.82582</v>
      </c>
      <c r="AG22" s="46">
        <v>45469</v>
      </c>
      <c r="AH22" s="47">
        <v>0.89275462962962959</v>
      </c>
      <c r="AI22">
        <v>191934</v>
      </c>
      <c r="AJ22">
        <v>191935</v>
      </c>
      <c r="AK22">
        <v>191934</v>
      </c>
      <c r="AL22">
        <v>191937</v>
      </c>
      <c r="AM22">
        <v>191937</v>
      </c>
      <c r="AN22">
        <v>191936</v>
      </c>
      <c r="AO22">
        <v>191935</v>
      </c>
      <c r="AP22">
        <v>191936</v>
      </c>
      <c r="AQ22">
        <v>191935</v>
      </c>
      <c r="AR22">
        <v>191936</v>
      </c>
      <c r="AS22">
        <v>191937</v>
      </c>
      <c r="AT22">
        <v>191937</v>
      </c>
      <c r="AU22" s="57">
        <f t="shared" si="4"/>
        <v>0.82677200000000006</v>
      </c>
      <c r="AW22">
        <v>3</v>
      </c>
      <c r="AX22" t="s">
        <v>164</v>
      </c>
      <c r="AY22">
        <v>12672</v>
      </c>
      <c r="AZ22">
        <v>32</v>
      </c>
      <c r="BA22">
        <v>2</v>
      </c>
      <c r="BB22">
        <v>2</v>
      </c>
      <c r="BC22">
        <v>1380.6</v>
      </c>
      <c r="BD22" s="42">
        <v>0.98277999999999999</v>
      </c>
      <c r="BE22" s="57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57">
        <f>BS21</f>
        <v>0.98006799999999994</v>
      </c>
    </row>
    <row r="23" spans="1:71" x14ac:dyDescent="0.25">
      <c r="A23">
        <v>4</v>
      </c>
      <c r="B23" t="s">
        <v>164</v>
      </c>
      <c r="C23">
        <v>12672</v>
      </c>
      <c r="D23">
        <v>32</v>
      </c>
      <c r="E23">
        <v>2</v>
      </c>
      <c r="F23">
        <v>2</v>
      </c>
      <c r="G23">
        <v>1382.69</v>
      </c>
      <c r="H23" s="42">
        <v>0.98129</v>
      </c>
      <c r="I23" s="42">
        <v>45478</v>
      </c>
      <c r="J23" s="42">
        <v>0.51802083333333337</v>
      </c>
      <c r="K23" s="42">
        <v>145134</v>
      </c>
      <c r="L23" s="42">
        <v>145135</v>
      </c>
      <c r="M23" s="42">
        <v>145134</v>
      </c>
      <c r="N23" s="42">
        <v>145131</v>
      </c>
      <c r="O23" s="42">
        <v>145131</v>
      </c>
      <c r="P23" s="42">
        <v>145130</v>
      </c>
      <c r="Q23" s="42">
        <v>145133</v>
      </c>
      <c r="R23" s="42">
        <v>145132</v>
      </c>
      <c r="S23" s="42">
        <v>145133</v>
      </c>
      <c r="T23" s="42">
        <v>145135</v>
      </c>
      <c r="U23" s="42">
        <v>145134</v>
      </c>
      <c r="V23" s="42">
        <v>145135</v>
      </c>
      <c r="W23" s="57">
        <f>W22</f>
        <v>0.97878000000000009</v>
      </c>
      <c r="Y23">
        <v>4</v>
      </c>
      <c r="Z23" t="s">
        <v>164</v>
      </c>
      <c r="AA23">
        <v>12672</v>
      </c>
      <c r="AB23">
        <v>32</v>
      </c>
      <c r="AC23">
        <v>2</v>
      </c>
      <c r="AD23">
        <v>2</v>
      </c>
      <c r="AE23">
        <v>1642.72</v>
      </c>
      <c r="AF23" s="48">
        <v>0.82596000000000003</v>
      </c>
      <c r="AG23" s="46">
        <v>45471</v>
      </c>
      <c r="AH23" s="47">
        <v>0.24403935185185185</v>
      </c>
      <c r="AI23">
        <v>191887</v>
      </c>
      <c r="AJ23">
        <v>191887</v>
      </c>
      <c r="AK23">
        <v>191887</v>
      </c>
      <c r="AL23">
        <v>191888</v>
      </c>
      <c r="AM23">
        <v>191888</v>
      </c>
      <c r="AN23">
        <v>191887</v>
      </c>
      <c r="AO23">
        <v>191893</v>
      </c>
      <c r="AP23">
        <v>191894</v>
      </c>
      <c r="AQ23">
        <v>191894</v>
      </c>
      <c r="AR23">
        <v>191895</v>
      </c>
      <c r="AS23">
        <v>191895</v>
      </c>
      <c r="AT23">
        <v>191895</v>
      </c>
      <c r="AU23" s="57">
        <f t="shared" si="4"/>
        <v>0.82677200000000006</v>
      </c>
      <c r="AW23">
        <v>4</v>
      </c>
      <c r="AX23" t="s">
        <v>164</v>
      </c>
      <c r="AY23">
        <v>12672</v>
      </c>
      <c r="AZ23">
        <v>32</v>
      </c>
      <c r="BA23">
        <v>2</v>
      </c>
      <c r="BB23">
        <v>2</v>
      </c>
      <c r="BC23">
        <v>1395.15</v>
      </c>
      <c r="BD23" s="42">
        <v>0.97252000000000005</v>
      </c>
      <c r="BE23" s="57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57">
        <f>BS22</f>
        <v>0.98006799999999994</v>
      </c>
    </row>
    <row r="24" spans="1:71" x14ac:dyDescent="0.25">
      <c r="A24">
        <v>0</v>
      </c>
      <c r="B24" t="s">
        <v>164</v>
      </c>
      <c r="C24">
        <v>13440</v>
      </c>
      <c r="D24">
        <v>32</v>
      </c>
      <c r="E24">
        <v>2</v>
      </c>
      <c r="F24">
        <v>2</v>
      </c>
      <c r="G24">
        <v>1632.44</v>
      </c>
      <c r="H24" s="70">
        <v>0.99160999999999999</v>
      </c>
      <c r="I24" s="42">
        <v>45474</v>
      </c>
      <c r="J24" s="42">
        <v>0.83869212962962958</v>
      </c>
      <c r="K24" s="42">
        <v>170888</v>
      </c>
      <c r="L24" s="42">
        <v>170888</v>
      </c>
      <c r="M24" s="42">
        <v>170888</v>
      </c>
      <c r="N24" s="42">
        <v>170890</v>
      </c>
      <c r="O24" s="42">
        <v>170891</v>
      </c>
      <c r="P24" s="42">
        <v>170891</v>
      </c>
      <c r="Q24" s="42">
        <v>170893</v>
      </c>
      <c r="R24" s="42">
        <v>170892</v>
      </c>
      <c r="S24" s="42">
        <v>170893</v>
      </c>
      <c r="T24" s="42">
        <v>170894</v>
      </c>
      <c r="U24" s="42">
        <v>170895</v>
      </c>
      <c r="V24" s="42">
        <v>170895</v>
      </c>
      <c r="W24" s="57">
        <f>AVERAGE(H24:H28)</f>
        <v>0.98836200000000007</v>
      </c>
      <c r="Y24">
        <v>0</v>
      </c>
      <c r="Z24" t="s">
        <v>164</v>
      </c>
      <c r="AA24">
        <v>13440</v>
      </c>
      <c r="AB24">
        <v>32</v>
      </c>
      <c r="AC24">
        <v>2</v>
      </c>
      <c r="AD24">
        <v>2</v>
      </c>
      <c r="AE24">
        <v>1935.55</v>
      </c>
      <c r="AF24" s="48">
        <v>0.83631999999999995</v>
      </c>
      <c r="AG24" s="46">
        <v>45466</v>
      </c>
      <c r="AH24" s="47">
        <v>0.1404050925925926</v>
      </c>
      <c r="AI24">
        <v>224518</v>
      </c>
      <c r="AJ24">
        <v>224518</v>
      </c>
      <c r="AK24">
        <v>224518</v>
      </c>
      <c r="AL24">
        <v>224520</v>
      </c>
      <c r="AM24">
        <v>224520</v>
      </c>
      <c r="AN24">
        <v>224519</v>
      </c>
      <c r="AO24">
        <v>224521</v>
      </c>
      <c r="AP24">
        <v>224521</v>
      </c>
      <c r="AQ24">
        <v>224522</v>
      </c>
      <c r="AR24">
        <v>224523</v>
      </c>
      <c r="AS24">
        <v>224524</v>
      </c>
      <c r="AT24">
        <v>224524</v>
      </c>
      <c r="AU24" s="57">
        <f t="shared" ref="AU24" si="9">AVERAGE(AF24:AF28)</f>
        <v>0.83416600000000007</v>
      </c>
      <c r="AW24">
        <v>0</v>
      </c>
      <c r="AX24" t="s">
        <v>164</v>
      </c>
      <c r="AY24">
        <v>13440</v>
      </c>
      <c r="AZ24">
        <v>32</v>
      </c>
      <c r="BA24">
        <v>2</v>
      </c>
      <c r="BB24">
        <v>2</v>
      </c>
      <c r="BC24">
        <v>1632.58</v>
      </c>
      <c r="BD24" s="42">
        <v>0.99153000000000002</v>
      </c>
      <c r="BE24" s="57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57">
        <f>AVERAGE(BD24:BD28)</f>
        <v>0.98974399999999996</v>
      </c>
    </row>
    <row r="25" spans="1:71" x14ac:dyDescent="0.25">
      <c r="A25">
        <v>1</v>
      </c>
      <c r="B25" t="s">
        <v>164</v>
      </c>
      <c r="C25">
        <v>13440</v>
      </c>
      <c r="D25">
        <v>32</v>
      </c>
      <c r="E25">
        <v>2</v>
      </c>
      <c r="F25">
        <v>2</v>
      </c>
      <c r="G25">
        <v>1632.6</v>
      </c>
      <c r="H25" s="42">
        <v>0.99151</v>
      </c>
      <c r="I25" s="42">
        <v>45475</v>
      </c>
      <c r="J25" s="42">
        <v>0.83349537037037036</v>
      </c>
      <c r="K25" s="42">
        <v>170915</v>
      </c>
      <c r="L25" s="42">
        <v>170916</v>
      </c>
      <c r="M25" s="42">
        <v>170915</v>
      </c>
      <c r="N25" s="42">
        <v>170917</v>
      </c>
      <c r="O25" s="42">
        <v>170916</v>
      </c>
      <c r="P25" s="42">
        <v>170917</v>
      </c>
      <c r="Q25" s="42">
        <v>170918</v>
      </c>
      <c r="R25" s="42">
        <v>170917</v>
      </c>
      <c r="S25" s="42">
        <v>170918</v>
      </c>
      <c r="T25" s="42">
        <v>170915</v>
      </c>
      <c r="U25" s="42">
        <v>170915</v>
      </c>
      <c r="V25" s="42">
        <v>170916</v>
      </c>
      <c r="W25" s="57">
        <f>W24</f>
        <v>0.98836200000000007</v>
      </c>
      <c r="Y25">
        <v>1</v>
      </c>
      <c r="Z25" t="s">
        <v>164</v>
      </c>
      <c r="AA25">
        <v>13440</v>
      </c>
      <c r="AB25">
        <v>32</v>
      </c>
      <c r="AC25">
        <v>2</v>
      </c>
      <c r="AD25">
        <v>2</v>
      </c>
      <c r="AE25">
        <v>1937.1</v>
      </c>
      <c r="AF25" s="48">
        <v>0.83565999999999996</v>
      </c>
      <c r="AG25" s="46">
        <v>45467</v>
      </c>
      <c r="AH25" s="47">
        <v>0.52939814814814812</v>
      </c>
      <c r="AI25">
        <v>224691</v>
      </c>
      <c r="AJ25">
        <v>224691</v>
      </c>
      <c r="AK25">
        <v>224690</v>
      </c>
      <c r="AL25">
        <v>224688</v>
      </c>
      <c r="AM25">
        <v>224689</v>
      </c>
      <c r="AN25">
        <v>224688</v>
      </c>
      <c r="AO25">
        <v>224689</v>
      </c>
      <c r="AP25">
        <v>224690</v>
      </c>
      <c r="AQ25">
        <v>224690</v>
      </c>
      <c r="AR25">
        <v>224690</v>
      </c>
      <c r="AS25">
        <v>224691</v>
      </c>
      <c r="AT25">
        <v>224691</v>
      </c>
      <c r="AU25" s="57">
        <f t="shared" ref="AU25" si="10">AU24</f>
        <v>0.83416600000000007</v>
      </c>
      <c r="AW25">
        <v>1</v>
      </c>
      <c r="AX25" t="s">
        <v>164</v>
      </c>
      <c r="AY25">
        <v>13440</v>
      </c>
      <c r="AZ25">
        <v>32</v>
      </c>
      <c r="BA25">
        <v>2</v>
      </c>
      <c r="BB25">
        <v>2</v>
      </c>
      <c r="BC25">
        <v>1630.44</v>
      </c>
      <c r="BD25" s="42">
        <v>0.99282999999999999</v>
      </c>
      <c r="BE25" s="57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57">
        <f>BS24</f>
        <v>0.98974399999999996</v>
      </c>
    </row>
    <row r="26" spans="1:71" x14ac:dyDescent="0.25">
      <c r="A26">
        <v>2</v>
      </c>
      <c r="B26" t="s">
        <v>164</v>
      </c>
      <c r="C26">
        <v>13440</v>
      </c>
      <c r="D26">
        <v>32</v>
      </c>
      <c r="E26">
        <v>2</v>
      </c>
      <c r="F26">
        <v>2</v>
      </c>
      <c r="G26">
        <v>1659.97</v>
      </c>
      <c r="H26" s="42">
        <v>0.97516999999999998</v>
      </c>
      <c r="I26" s="42">
        <v>45476</v>
      </c>
      <c r="J26" s="42">
        <v>0.82592592592592595</v>
      </c>
      <c r="K26" s="42">
        <v>173728</v>
      </c>
      <c r="L26" s="42">
        <v>173727</v>
      </c>
      <c r="M26" s="42">
        <v>173728</v>
      </c>
      <c r="N26" s="42">
        <v>173729</v>
      </c>
      <c r="O26" s="42">
        <v>173730</v>
      </c>
      <c r="P26" s="42">
        <v>173730</v>
      </c>
      <c r="Q26" s="42">
        <v>173765</v>
      </c>
      <c r="R26" s="42">
        <v>173765</v>
      </c>
      <c r="S26" s="42">
        <v>173765</v>
      </c>
      <c r="T26" s="42">
        <v>173767</v>
      </c>
      <c r="U26" s="42">
        <v>173768</v>
      </c>
      <c r="V26" s="42">
        <v>173768</v>
      </c>
      <c r="W26" s="57">
        <f>W25</f>
        <v>0.98836200000000007</v>
      </c>
      <c r="Y26">
        <v>2</v>
      </c>
      <c r="Z26" t="s">
        <v>164</v>
      </c>
      <c r="AA26">
        <v>13440</v>
      </c>
      <c r="AB26">
        <v>32</v>
      </c>
      <c r="AC26">
        <v>2</v>
      </c>
      <c r="AD26">
        <v>2</v>
      </c>
      <c r="AE26">
        <v>1937.31</v>
      </c>
      <c r="AF26" s="48">
        <v>0.83557000000000003</v>
      </c>
      <c r="AG26" s="46">
        <v>45468</v>
      </c>
      <c r="AH26" s="47">
        <v>0.90706018518518516</v>
      </c>
      <c r="AI26">
        <v>224751</v>
      </c>
      <c r="AJ26">
        <v>224752</v>
      </c>
      <c r="AK26">
        <v>224751</v>
      </c>
      <c r="AL26">
        <v>224747</v>
      </c>
      <c r="AM26">
        <v>224746</v>
      </c>
      <c r="AN26">
        <v>224747</v>
      </c>
      <c r="AO26">
        <v>224748</v>
      </c>
      <c r="AP26">
        <v>224749</v>
      </c>
      <c r="AQ26">
        <v>224748</v>
      </c>
      <c r="AR26">
        <v>224749</v>
      </c>
      <c r="AS26">
        <v>224750</v>
      </c>
      <c r="AT26">
        <v>224750</v>
      </c>
      <c r="AU26" s="57">
        <f t="shared" si="4"/>
        <v>0.83416600000000007</v>
      </c>
      <c r="AW26">
        <v>2</v>
      </c>
      <c r="AX26" t="s">
        <v>164</v>
      </c>
      <c r="AY26">
        <v>13440</v>
      </c>
      <c r="AZ26">
        <v>32</v>
      </c>
      <c r="BA26">
        <v>2</v>
      </c>
      <c r="BB26">
        <v>2</v>
      </c>
      <c r="BC26">
        <v>1630.8</v>
      </c>
      <c r="BD26" s="42">
        <v>0.99260999999999999</v>
      </c>
      <c r="BE26" s="57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57">
        <f>BS25</f>
        <v>0.98974399999999996</v>
      </c>
    </row>
    <row r="27" spans="1:71" x14ac:dyDescent="0.25">
      <c r="A27">
        <v>3</v>
      </c>
      <c r="B27" t="s">
        <v>164</v>
      </c>
      <c r="C27">
        <v>13440</v>
      </c>
      <c r="D27">
        <v>32</v>
      </c>
      <c r="E27">
        <v>2</v>
      </c>
      <c r="F27">
        <v>2</v>
      </c>
      <c r="G27">
        <v>1632.15</v>
      </c>
      <c r="H27" s="42">
        <v>0.99178999999999995</v>
      </c>
      <c r="I27" s="42">
        <v>45477</v>
      </c>
      <c r="J27" s="42">
        <v>0.81374999999999997</v>
      </c>
      <c r="K27" s="42">
        <v>170887</v>
      </c>
      <c r="L27" s="42">
        <v>170887</v>
      </c>
      <c r="M27" s="42">
        <v>170888</v>
      </c>
      <c r="N27" s="42">
        <v>170889</v>
      </c>
      <c r="O27" s="42">
        <v>170889</v>
      </c>
      <c r="P27" s="42">
        <v>170889</v>
      </c>
      <c r="Q27" s="42">
        <v>170886</v>
      </c>
      <c r="R27" s="42">
        <v>170885</v>
      </c>
      <c r="S27" s="42">
        <v>170885</v>
      </c>
      <c r="T27" s="42">
        <v>170887</v>
      </c>
      <c r="U27" s="42">
        <v>170886</v>
      </c>
      <c r="V27" s="42">
        <v>170887</v>
      </c>
      <c r="W27" s="57">
        <f>W26</f>
        <v>0.98836200000000007</v>
      </c>
      <c r="Y27">
        <v>3</v>
      </c>
      <c r="Z27" t="s">
        <v>164</v>
      </c>
      <c r="AA27">
        <v>13440</v>
      </c>
      <c r="AB27">
        <v>32</v>
      </c>
      <c r="AC27">
        <v>2</v>
      </c>
      <c r="AD27">
        <v>2</v>
      </c>
      <c r="AE27">
        <v>1940.86</v>
      </c>
      <c r="AF27" s="48">
        <v>0.83404</v>
      </c>
      <c r="AG27" s="46">
        <v>45470</v>
      </c>
      <c r="AH27" s="47">
        <v>0.27072916666666669</v>
      </c>
      <c r="AI27">
        <v>226129</v>
      </c>
      <c r="AJ27">
        <v>226128</v>
      </c>
      <c r="AK27">
        <v>226128</v>
      </c>
      <c r="AL27">
        <v>226160</v>
      </c>
      <c r="AM27">
        <v>226160</v>
      </c>
      <c r="AN27">
        <v>226160</v>
      </c>
      <c r="AO27">
        <v>226157</v>
      </c>
      <c r="AP27">
        <v>226157</v>
      </c>
      <c r="AQ27">
        <v>226156</v>
      </c>
      <c r="AR27">
        <v>226159</v>
      </c>
      <c r="AS27">
        <v>226160</v>
      </c>
      <c r="AT27">
        <v>226160</v>
      </c>
      <c r="AU27" s="57">
        <f t="shared" si="4"/>
        <v>0.83416600000000007</v>
      </c>
      <c r="AW27">
        <v>3</v>
      </c>
      <c r="AX27" t="s">
        <v>164</v>
      </c>
      <c r="AY27">
        <v>13440</v>
      </c>
      <c r="AZ27">
        <v>32</v>
      </c>
      <c r="BA27">
        <v>2</v>
      </c>
      <c r="BB27">
        <v>2</v>
      </c>
      <c r="BC27">
        <v>1654.31</v>
      </c>
      <c r="BD27" s="42">
        <v>0.97850000000000004</v>
      </c>
      <c r="BE27" s="57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57">
        <f>BS26</f>
        <v>0.98974399999999996</v>
      </c>
    </row>
    <row r="28" spans="1:71" x14ac:dyDescent="0.25">
      <c r="A28">
        <v>4</v>
      </c>
      <c r="B28" t="s">
        <v>164</v>
      </c>
      <c r="C28">
        <v>13440</v>
      </c>
      <c r="D28">
        <v>32</v>
      </c>
      <c r="E28">
        <v>2</v>
      </c>
      <c r="F28">
        <v>2</v>
      </c>
      <c r="G28">
        <v>1632.24</v>
      </c>
      <c r="H28" s="42">
        <v>0.99173</v>
      </c>
      <c r="I28" s="42">
        <v>45478</v>
      </c>
      <c r="J28" s="42">
        <v>0.79486111111111113</v>
      </c>
      <c r="K28" s="42">
        <v>170951</v>
      </c>
      <c r="L28" s="42">
        <v>170950</v>
      </c>
      <c r="M28" s="42">
        <v>170950</v>
      </c>
      <c r="N28" s="42">
        <v>170948</v>
      </c>
      <c r="O28" s="42">
        <v>170948</v>
      </c>
      <c r="P28" s="42">
        <v>170947</v>
      </c>
      <c r="Q28" s="42">
        <v>170949</v>
      </c>
      <c r="R28" s="42">
        <v>170949</v>
      </c>
      <c r="S28" s="42">
        <v>170948</v>
      </c>
      <c r="T28" s="42">
        <v>170952</v>
      </c>
      <c r="U28" s="42">
        <v>170952</v>
      </c>
      <c r="V28" s="42">
        <v>170951</v>
      </c>
      <c r="W28" s="57">
        <f>W27</f>
        <v>0.98836200000000007</v>
      </c>
      <c r="Y28">
        <v>4</v>
      </c>
      <c r="Z28" t="s">
        <v>164</v>
      </c>
      <c r="AA28">
        <v>13440</v>
      </c>
      <c r="AB28">
        <v>32</v>
      </c>
      <c r="AC28">
        <v>2</v>
      </c>
      <c r="AD28">
        <v>2</v>
      </c>
      <c r="AE28">
        <v>1952.08</v>
      </c>
      <c r="AF28" s="48">
        <v>0.82923999999999998</v>
      </c>
      <c r="AG28" s="46">
        <v>45471</v>
      </c>
      <c r="AH28" s="47">
        <v>0.62759259259259259</v>
      </c>
      <c r="AI28">
        <v>226447</v>
      </c>
      <c r="AJ28">
        <v>226447</v>
      </c>
      <c r="AK28">
        <v>226447</v>
      </c>
      <c r="AL28">
        <v>226449</v>
      </c>
      <c r="AM28">
        <v>226448</v>
      </c>
      <c r="AN28">
        <v>226448</v>
      </c>
      <c r="AO28">
        <v>226473</v>
      </c>
      <c r="AP28">
        <v>226473</v>
      </c>
      <c r="AQ28">
        <v>226474</v>
      </c>
      <c r="AR28">
        <v>226475</v>
      </c>
      <c r="AS28">
        <v>226475</v>
      </c>
      <c r="AT28">
        <v>226475</v>
      </c>
      <c r="AU28" s="57">
        <f t="shared" si="4"/>
        <v>0.83416600000000007</v>
      </c>
      <c r="AW28">
        <v>4</v>
      </c>
      <c r="AX28" t="s">
        <v>164</v>
      </c>
      <c r="AY28">
        <v>13440</v>
      </c>
      <c r="AZ28">
        <v>32</v>
      </c>
      <c r="BA28">
        <v>2</v>
      </c>
      <c r="BB28">
        <v>2</v>
      </c>
      <c r="BC28">
        <v>1629.75</v>
      </c>
      <c r="BD28" s="42">
        <v>0.99324999999999997</v>
      </c>
      <c r="BE28" s="57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57">
        <f>BS27</f>
        <v>0.98974399999999996</v>
      </c>
    </row>
    <row r="29" spans="1:71" x14ac:dyDescent="0.25">
      <c r="A29">
        <v>0</v>
      </c>
      <c r="B29" t="s">
        <v>164</v>
      </c>
      <c r="C29">
        <v>14208</v>
      </c>
      <c r="D29">
        <v>32</v>
      </c>
      <c r="E29">
        <v>2</v>
      </c>
      <c r="F29">
        <v>2</v>
      </c>
      <c r="G29">
        <v>1916.79</v>
      </c>
      <c r="H29" s="70">
        <v>0.99770999999999999</v>
      </c>
      <c r="I29" s="42">
        <v>45475</v>
      </c>
      <c r="J29" s="42">
        <v>0.168125</v>
      </c>
      <c r="K29" s="42">
        <v>200835</v>
      </c>
      <c r="L29" s="42">
        <v>200835</v>
      </c>
      <c r="M29" s="42">
        <v>200835</v>
      </c>
      <c r="N29" s="42">
        <v>200858</v>
      </c>
      <c r="O29" s="42">
        <v>200858</v>
      </c>
      <c r="P29" s="42">
        <v>200858</v>
      </c>
      <c r="Q29" s="42">
        <v>200854</v>
      </c>
      <c r="R29" s="42">
        <v>200854</v>
      </c>
      <c r="S29" s="42">
        <v>200854</v>
      </c>
      <c r="T29" s="42">
        <v>200911</v>
      </c>
      <c r="U29" s="42">
        <v>200911</v>
      </c>
      <c r="V29" s="42">
        <v>200911</v>
      </c>
      <c r="W29" s="57">
        <f>AVERAGE(H29:H33)</f>
        <v>0.99314800000000003</v>
      </c>
      <c r="Y29">
        <v>0</v>
      </c>
      <c r="Z29" t="s">
        <v>164</v>
      </c>
      <c r="AA29">
        <v>14208</v>
      </c>
      <c r="AB29">
        <v>32</v>
      </c>
      <c r="AC29">
        <v>2</v>
      </c>
      <c r="AD29">
        <v>2</v>
      </c>
      <c r="AE29">
        <v>2291</v>
      </c>
      <c r="AF29" s="48">
        <v>0.83474000000000004</v>
      </c>
      <c r="AG29" s="46">
        <v>45466</v>
      </c>
      <c r="AH29" s="47">
        <v>0.59410879629629632</v>
      </c>
      <c r="AI29">
        <v>263797</v>
      </c>
      <c r="AJ29">
        <v>263796</v>
      </c>
      <c r="AK29">
        <v>263797</v>
      </c>
      <c r="AL29">
        <v>263843</v>
      </c>
      <c r="AM29">
        <v>263842</v>
      </c>
      <c r="AN29">
        <v>263843</v>
      </c>
      <c r="AO29">
        <v>263899</v>
      </c>
      <c r="AP29">
        <v>263899</v>
      </c>
      <c r="AQ29">
        <v>263898</v>
      </c>
      <c r="AR29">
        <v>263958</v>
      </c>
      <c r="AS29">
        <v>263958</v>
      </c>
      <c r="AT29">
        <v>263958</v>
      </c>
      <c r="AU29" s="57">
        <f t="shared" ref="AU29" si="11">AVERAGE(AF29:AF33)</f>
        <v>0.83470199999999983</v>
      </c>
      <c r="AW29">
        <v>0</v>
      </c>
      <c r="AX29" t="s">
        <v>164</v>
      </c>
      <c r="AY29">
        <v>14208</v>
      </c>
      <c r="AZ29">
        <v>32</v>
      </c>
      <c r="BA29">
        <v>2</v>
      </c>
      <c r="BB29">
        <v>2</v>
      </c>
      <c r="BC29">
        <v>1924.52</v>
      </c>
      <c r="BD29" s="42">
        <v>0.99368999999999996</v>
      </c>
      <c r="BE29" s="57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57">
        <f>AVERAGE(BD29:BD33)</f>
        <v>0.99051200000000006</v>
      </c>
    </row>
    <row r="30" spans="1:71" x14ac:dyDescent="0.25">
      <c r="A30">
        <v>1</v>
      </c>
      <c r="B30" t="s">
        <v>164</v>
      </c>
      <c r="C30">
        <v>14208</v>
      </c>
      <c r="D30">
        <v>32</v>
      </c>
      <c r="E30">
        <v>2</v>
      </c>
      <c r="F30">
        <v>2</v>
      </c>
      <c r="G30">
        <v>1927.9</v>
      </c>
      <c r="H30" s="42">
        <v>0.99195</v>
      </c>
      <c r="I30" s="42">
        <v>45476</v>
      </c>
      <c r="J30" s="42">
        <v>0.16297453703703704</v>
      </c>
      <c r="K30" s="42">
        <v>201497</v>
      </c>
      <c r="L30" s="42">
        <v>201497</v>
      </c>
      <c r="M30" s="42">
        <v>201497</v>
      </c>
      <c r="N30" s="42">
        <v>201540</v>
      </c>
      <c r="O30" s="42">
        <v>201540</v>
      </c>
      <c r="P30" s="42">
        <v>201540</v>
      </c>
      <c r="Q30" s="42">
        <v>201595</v>
      </c>
      <c r="R30" s="42">
        <v>201594</v>
      </c>
      <c r="S30" s="42">
        <v>201594</v>
      </c>
      <c r="T30" s="42">
        <v>201663</v>
      </c>
      <c r="U30" s="42">
        <v>201663</v>
      </c>
      <c r="V30" s="42">
        <v>201663</v>
      </c>
      <c r="W30" s="57">
        <f>W29</f>
        <v>0.99314800000000003</v>
      </c>
      <c r="Y30">
        <v>1</v>
      </c>
      <c r="Z30" t="s">
        <v>164</v>
      </c>
      <c r="AA30">
        <v>14208</v>
      </c>
      <c r="AB30">
        <v>32</v>
      </c>
      <c r="AC30">
        <v>2</v>
      </c>
      <c r="AD30">
        <v>2</v>
      </c>
      <c r="AE30">
        <v>2294.9899999999998</v>
      </c>
      <c r="AF30" s="48">
        <v>0.83328999999999998</v>
      </c>
      <c r="AG30" s="46">
        <v>45467</v>
      </c>
      <c r="AH30" s="47">
        <v>0.98310185185185184</v>
      </c>
      <c r="AI30">
        <v>264163</v>
      </c>
      <c r="AJ30">
        <v>264163</v>
      </c>
      <c r="AK30">
        <v>264164</v>
      </c>
      <c r="AL30">
        <v>264192</v>
      </c>
      <c r="AM30">
        <v>264192</v>
      </c>
      <c r="AN30">
        <v>264192</v>
      </c>
      <c r="AO30">
        <v>264223</v>
      </c>
      <c r="AP30">
        <v>264223</v>
      </c>
      <c r="AQ30">
        <v>264222</v>
      </c>
      <c r="AR30">
        <v>264278</v>
      </c>
      <c r="AS30">
        <v>264277</v>
      </c>
      <c r="AT30">
        <v>264278</v>
      </c>
      <c r="AU30" s="57">
        <f t="shared" ref="AU30" si="12">AU29</f>
        <v>0.83470199999999983</v>
      </c>
      <c r="AW30">
        <v>1</v>
      </c>
      <c r="AX30" t="s">
        <v>164</v>
      </c>
      <c r="AY30">
        <v>14208</v>
      </c>
      <c r="AZ30">
        <v>32</v>
      </c>
      <c r="BA30">
        <v>2</v>
      </c>
      <c r="BB30">
        <v>2</v>
      </c>
      <c r="BC30">
        <v>1944.53</v>
      </c>
      <c r="BD30" s="42">
        <v>0.98346999999999996</v>
      </c>
      <c r="BE30" s="57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57">
        <f>BS29</f>
        <v>0.99051200000000006</v>
      </c>
    </row>
    <row r="31" spans="1:71" x14ac:dyDescent="0.25">
      <c r="A31">
        <v>2</v>
      </c>
      <c r="B31" t="s">
        <v>164</v>
      </c>
      <c r="C31">
        <v>14208</v>
      </c>
      <c r="D31">
        <v>32</v>
      </c>
      <c r="E31">
        <v>2</v>
      </c>
      <c r="F31">
        <v>2</v>
      </c>
      <c r="G31">
        <v>1930.82</v>
      </c>
      <c r="H31" s="42">
        <v>0.99046000000000001</v>
      </c>
      <c r="I31" s="42">
        <v>45477</v>
      </c>
      <c r="J31" s="42">
        <v>0.1554861111111111</v>
      </c>
      <c r="K31" s="42">
        <v>201877</v>
      </c>
      <c r="L31" s="42">
        <v>201878</v>
      </c>
      <c r="M31" s="42">
        <v>201877</v>
      </c>
      <c r="N31" s="42">
        <v>201920</v>
      </c>
      <c r="O31" s="42">
        <v>201920</v>
      </c>
      <c r="P31" s="42">
        <v>201920</v>
      </c>
      <c r="Q31" s="42">
        <v>201975</v>
      </c>
      <c r="R31" s="42">
        <v>201975</v>
      </c>
      <c r="S31" s="42">
        <v>201974</v>
      </c>
      <c r="T31" s="42">
        <v>202003</v>
      </c>
      <c r="U31" s="42">
        <v>202003</v>
      </c>
      <c r="V31" s="42">
        <v>202003</v>
      </c>
      <c r="W31" s="57">
        <f>W30</f>
        <v>0.99314800000000003</v>
      </c>
      <c r="Y31">
        <v>2</v>
      </c>
      <c r="Z31" t="s">
        <v>164</v>
      </c>
      <c r="AA31">
        <v>14208</v>
      </c>
      <c r="AB31">
        <v>32</v>
      </c>
      <c r="AC31">
        <v>2</v>
      </c>
      <c r="AD31">
        <v>2</v>
      </c>
      <c r="AE31">
        <v>2307.9699999999998</v>
      </c>
      <c r="AF31" s="48">
        <v>0.8286</v>
      </c>
      <c r="AG31" s="46">
        <v>45469</v>
      </c>
      <c r="AH31" s="47">
        <v>0.3583101851851852</v>
      </c>
      <c r="AI31">
        <v>265593</v>
      </c>
      <c r="AJ31">
        <v>265593</v>
      </c>
      <c r="AK31">
        <v>265593</v>
      </c>
      <c r="AL31">
        <v>265624</v>
      </c>
      <c r="AM31">
        <v>265623</v>
      </c>
      <c r="AN31">
        <v>265623</v>
      </c>
      <c r="AO31">
        <v>265657</v>
      </c>
      <c r="AP31">
        <v>265657</v>
      </c>
      <c r="AQ31">
        <v>265657</v>
      </c>
      <c r="AR31">
        <v>265735</v>
      </c>
      <c r="AS31">
        <v>265735</v>
      </c>
      <c r="AT31">
        <v>265736</v>
      </c>
      <c r="AU31" s="57">
        <f t="shared" si="4"/>
        <v>0.83470199999999983</v>
      </c>
      <c r="AW31">
        <v>2</v>
      </c>
      <c r="AX31" t="s">
        <v>164</v>
      </c>
      <c r="AY31">
        <v>14208</v>
      </c>
      <c r="AZ31">
        <v>32</v>
      </c>
      <c r="BA31">
        <v>2</v>
      </c>
      <c r="BB31">
        <v>2</v>
      </c>
      <c r="BC31">
        <v>1920.77</v>
      </c>
      <c r="BD31" s="42">
        <v>0.99563999999999997</v>
      </c>
      <c r="BE31" s="57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57">
        <f>BS30</f>
        <v>0.99051200000000006</v>
      </c>
    </row>
    <row r="32" spans="1:71" x14ac:dyDescent="0.25">
      <c r="A32">
        <v>3</v>
      </c>
      <c r="B32" t="s">
        <v>164</v>
      </c>
      <c r="C32">
        <v>14208</v>
      </c>
      <c r="D32">
        <v>32</v>
      </c>
      <c r="E32">
        <v>2</v>
      </c>
      <c r="F32">
        <v>2</v>
      </c>
      <c r="G32">
        <v>1921.22</v>
      </c>
      <c r="H32" s="42">
        <v>0.99541000000000002</v>
      </c>
      <c r="I32" s="42">
        <v>45478</v>
      </c>
      <c r="J32" s="42">
        <v>0.14332175925925925</v>
      </c>
      <c r="K32" s="42">
        <v>200751</v>
      </c>
      <c r="L32" s="42">
        <v>200750</v>
      </c>
      <c r="M32" s="42">
        <v>200750</v>
      </c>
      <c r="N32" s="42">
        <v>200764</v>
      </c>
      <c r="O32" s="42">
        <v>200763</v>
      </c>
      <c r="P32" s="42">
        <v>200764</v>
      </c>
      <c r="Q32" s="42">
        <v>200800</v>
      </c>
      <c r="R32" s="42">
        <v>200800</v>
      </c>
      <c r="S32" s="42">
        <v>200799</v>
      </c>
      <c r="T32" s="42">
        <v>200860</v>
      </c>
      <c r="U32" s="42">
        <v>200859</v>
      </c>
      <c r="V32" s="42">
        <v>200859</v>
      </c>
      <c r="W32" s="57">
        <f>W31</f>
        <v>0.99314800000000003</v>
      </c>
      <c r="Y32">
        <v>3</v>
      </c>
      <c r="Z32" t="s">
        <v>164</v>
      </c>
      <c r="AA32">
        <v>14208</v>
      </c>
      <c r="AB32">
        <v>32</v>
      </c>
      <c r="AC32">
        <v>2</v>
      </c>
      <c r="AD32">
        <v>2</v>
      </c>
      <c r="AE32">
        <v>2284.58</v>
      </c>
      <c r="AF32" s="48">
        <v>0.83709</v>
      </c>
      <c r="AG32" s="46">
        <v>45470</v>
      </c>
      <c r="AH32" s="47">
        <v>0.72059027777777773</v>
      </c>
      <c r="AI32">
        <v>263634</v>
      </c>
      <c r="AJ32">
        <v>263633</v>
      </c>
      <c r="AK32">
        <v>263634</v>
      </c>
      <c r="AL32">
        <v>263680</v>
      </c>
      <c r="AM32">
        <v>263680</v>
      </c>
      <c r="AN32">
        <v>263679</v>
      </c>
      <c r="AO32">
        <v>263681</v>
      </c>
      <c r="AP32">
        <v>263680</v>
      </c>
      <c r="AQ32">
        <v>263680</v>
      </c>
      <c r="AR32">
        <v>263747</v>
      </c>
      <c r="AS32">
        <v>263746</v>
      </c>
      <c r="AT32">
        <v>263746</v>
      </c>
      <c r="AU32" s="57">
        <f t="shared" si="4"/>
        <v>0.83470199999999983</v>
      </c>
      <c r="AW32">
        <v>3</v>
      </c>
      <c r="AX32" t="s">
        <v>164</v>
      </c>
      <c r="AY32">
        <v>14208</v>
      </c>
      <c r="AZ32">
        <v>32</v>
      </c>
      <c r="BA32">
        <v>2</v>
      </c>
      <c r="BB32">
        <v>2</v>
      </c>
      <c r="BC32">
        <v>1931.84</v>
      </c>
      <c r="BD32" s="42">
        <v>0.98992999999999998</v>
      </c>
      <c r="BE32" s="57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57">
        <f>BS31</f>
        <v>0.99051200000000006</v>
      </c>
    </row>
    <row r="33" spans="1:71" x14ac:dyDescent="0.25">
      <c r="A33">
        <v>4</v>
      </c>
      <c r="B33" t="s">
        <v>164</v>
      </c>
      <c r="C33">
        <v>14208</v>
      </c>
      <c r="D33">
        <v>32</v>
      </c>
      <c r="E33">
        <v>2</v>
      </c>
      <c r="F33">
        <v>2</v>
      </c>
      <c r="G33">
        <v>1931.3</v>
      </c>
      <c r="H33" s="42">
        <v>0.99021000000000003</v>
      </c>
      <c r="I33" s="42">
        <v>45479</v>
      </c>
      <c r="J33" s="42">
        <v>0.12417824074074074</v>
      </c>
      <c r="K33" s="42">
        <v>202492</v>
      </c>
      <c r="L33" s="42">
        <v>202492</v>
      </c>
      <c r="M33" s="42">
        <v>202492</v>
      </c>
      <c r="N33" s="42">
        <v>202539</v>
      </c>
      <c r="O33" s="42">
        <v>202538</v>
      </c>
      <c r="P33" s="42">
        <v>202538</v>
      </c>
      <c r="Q33" s="42">
        <v>202576</v>
      </c>
      <c r="R33" s="42">
        <v>202577</v>
      </c>
      <c r="S33" s="42">
        <v>202576</v>
      </c>
      <c r="T33" s="42">
        <v>202636</v>
      </c>
      <c r="U33" s="42">
        <v>202636</v>
      </c>
      <c r="V33" s="42">
        <v>202636</v>
      </c>
      <c r="W33" s="57">
        <f>W32</f>
        <v>0.99314800000000003</v>
      </c>
      <c r="Y33">
        <v>4</v>
      </c>
      <c r="Z33" t="s">
        <v>164</v>
      </c>
      <c r="AA33">
        <v>14208</v>
      </c>
      <c r="AB33">
        <v>32</v>
      </c>
      <c r="AC33">
        <v>2</v>
      </c>
      <c r="AD33">
        <v>2</v>
      </c>
      <c r="AE33">
        <v>2277.23</v>
      </c>
      <c r="AF33" s="48">
        <v>0.83979000000000004</v>
      </c>
      <c r="AG33" s="46">
        <v>45472</v>
      </c>
      <c r="AH33" s="47">
        <v>8.3576388888888895E-2</v>
      </c>
      <c r="AI33">
        <v>262325</v>
      </c>
      <c r="AJ33">
        <v>262326</v>
      </c>
      <c r="AK33">
        <v>262325</v>
      </c>
      <c r="AL33">
        <v>262348</v>
      </c>
      <c r="AM33">
        <v>262348</v>
      </c>
      <c r="AN33">
        <v>262348</v>
      </c>
      <c r="AO33">
        <v>262367</v>
      </c>
      <c r="AP33">
        <v>262367</v>
      </c>
      <c r="AQ33">
        <v>262367</v>
      </c>
      <c r="AR33">
        <v>262369</v>
      </c>
      <c r="AS33">
        <v>262370</v>
      </c>
      <c r="AT33">
        <v>262369</v>
      </c>
      <c r="AU33" s="57">
        <f t="shared" si="4"/>
        <v>0.83470199999999983</v>
      </c>
      <c r="AW33">
        <v>4</v>
      </c>
      <c r="AX33" t="s">
        <v>164</v>
      </c>
      <c r="AY33">
        <v>14208</v>
      </c>
      <c r="AZ33">
        <v>32</v>
      </c>
      <c r="BA33">
        <v>2</v>
      </c>
      <c r="BB33">
        <v>2</v>
      </c>
      <c r="BC33">
        <v>1932.03</v>
      </c>
      <c r="BD33" s="42">
        <v>0.98982999999999999</v>
      </c>
      <c r="BE33" s="57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57">
        <f>BS32</f>
        <v>0.99051200000000006</v>
      </c>
    </row>
    <row r="34" spans="1:71" x14ac:dyDescent="0.25">
      <c r="A34">
        <v>0</v>
      </c>
      <c r="B34" t="s">
        <v>164</v>
      </c>
      <c r="C34">
        <v>12672</v>
      </c>
      <c r="D34">
        <v>64</v>
      </c>
      <c r="E34">
        <v>1</v>
      </c>
      <c r="F34">
        <v>4</v>
      </c>
      <c r="G34">
        <v>1359.79</v>
      </c>
      <c r="H34" s="70">
        <v>0.99780999999999997</v>
      </c>
      <c r="I34" s="42">
        <v>45474</v>
      </c>
      <c r="J34" s="42">
        <v>0.57851851851851854</v>
      </c>
      <c r="K34" s="42">
        <v>142915</v>
      </c>
      <c r="L34" s="42">
        <v>142915</v>
      </c>
      <c r="M34" s="42">
        <v>142915</v>
      </c>
      <c r="N34" s="42">
        <v>142928</v>
      </c>
      <c r="O34" s="42">
        <v>142928</v>
      </c>
      <c r="P34" s="42">
        <v>142928</v>
      </c>
      <c r="Q34" s="42">
        <v>142932</v>
      </c>
      <c r="R34" s="42">
        <v>142932</v>
      </c>
      <c r="S34" s="42">
        <v>142932</v>
      </c>
      <c r="T34" s="42">
        <v>142937</v>
      </c>
      <c r="U34" s="42">
        <v>142938</v>
      </c>
      <c r="V34" s="42">
        <v>142938</v>
      </c>
      <c r="W34" s="57">
        <f>AVERAGE(H34:H38)</f>
        <v>0.99759400000000009</v>
      </c>
      <c r="Y34">
        <v>0</v>
      </c>
      <c r="Z34" t="s">
        <v>164</v>
      </c>
      <c r="AA34">
        <v>12672</v>
      </c>
      <c r="AB34">
        <v>64</v>
      </c>
      <c r="AC34">
        <v>1</v>
      </c>
      <c r="AD34">
        <v>4</v>
      </c>
      <c r="AE34">
        <v>1673.56</v>
      </c>
      <c r="AF34" s="48">
        <v>0.81074000000000002</v>
      </c>
      <c r="AG34" s="46">
        <v>45465</v>
      </c>
      <c r="AH34" s="47">
        <v>0.78184027777777776</v>
      </c>
      <c r="AI34">
        <v>194830</v>
      </c>
      <c r="AJ34">
        <v>194831</v>
      </c>
      <c r="AK34">
        <v>194830</v>
      </c>
      <c r="AL34">
        <v>194827</v>
      </c>
      <c r="AM34">
        <v>194827</v>
      </c>
      <c r="AN34">
        <v>194827</v>
      </c>
      <c r="AO34">
        <v>194828</v>
      </c>
      <c r="AP34">
        <v>194829</v>
      </c>
      <c r="AQ34">
        <v>194829</v>
      </c>
      <c r="AR34">
        <v>194829</v>
      </c>
      <c r="AS34">
        <v>194829</v>
      </c>
      <c r="AT34">
        <v>194829</v>
      </c>
      <c r="AU34" s="57">
        <f t="shared" ref="AU34" si="13">AVERAGE(AF34:AF38)</f>
        <v>0.81602799999999998</v>
      </c>
      <c r="AW34">
        <v>0</v>
      </c>
      <c r="AX34" t="s">
        <v>164</v>
      </c>
      <c r="AY34">
        <v>12672</v>
      </c>
      <c r="AZ34">
        <v>64</v>
      </c>
      <c r="BA34">
        <v>1</v>
      </c>
      <c r="BB34">
        <v>4</v>
      </c>
      <c r="BC34">
        <v>1361.48</v>
      </c>
      <c r="BD34" s="42">
        <v>0.99656999999999996</v>
      </c>
      <c r="BE34" s="57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57">
        <f>AVERAGE(BD34:BD38)</f>
        <v>0.99558199999999997</v>
      </c>
    </row>
    <row r="35" spans="1:71" x14ac:dyDescent="0.25">
      <c r="A35">
        <v>1</v>
      </c>
      <c r="B35" t="s">
        <v>164</v>
      </c>
      <c r="C35">
        <v>12672</v>
      </c>
      <c r="D35">
        <v>64</v>
      </c>
      <c r="E35">
        <v>1</v>
      </c>
      <c r="F35">
        <v>4</v>
      </c>
      <c r="G35">
        <v>1360.27</v>
      </c>
      <c r="H35" s="42">
        <v>0.99746000000000001</v>
      </c>
      <c r="I35" s="42">
        <v>45475</v>
      </c>
      <c r="J35" s="42">
        <v>0.5733449074074074</v>
      </c>
      <c r="K35" s="42">
        <v>142972</v>
      </c>
      <c r="L35" s="42">
        <v>142971</v>
      </c>
      <c r="M35" s="42">
        <v>142971</v>
      </c>
      <c r="N35" s="42">
        <v>142973</v>
      </c>
      <c r="O35" s="42">
        <v>142973</v>
      </c>
      <c r="P35" s="42">
        <v>142973</v>
      </c>
      <c r="Q35" s="42">
        <v>142975</v>
      </c>
      <c r="R35" s="42">
        <v>142974</v>
      </c>
      <c r="S35" s="42">
        <v>142975</v>
      </c>
      <c r="T35" s="42">
        <v>142975</v>
      </c>
      <c r="U35" s="42">
        <v>142975</v>
      </c>
      <c r="V35" s="42">
        <v>142976</v>
      </c>
      <c r="W35" s="57">
        <f>W34</f>
        <v>0.99759400000000009</v>
      </c>
      <c r="Y35">
        <v>1</v>
      </c>
      <c r="Z35" t="s">
        <v>164</v>
      </c>
      <c r="AA35">
        <v>12672</v>
      </c>
      <c r="AB35">
        <v>64</v>
      </c>
      <c r="AC35">
        <v>1</v>
      </c>
      <c r="AD35">
        <v>4</v>
      </c>
      <c r="AE35">
        <v>1658.04</v>
      </c>
      <c r="AF35" s="48">
        <v>0.81832000000000005</v>
      </c>
      <c r="AG35" s="46">
        <v>45467</v>
      </c>
      <c r="AH35" s="47">
        <v>0.16973379629629629</v>
      </c>
      <c r="AI35">
        <v>193303</v>
      </c>
      <c r="AJ35">
        <v>193302</v>
      </c>
      <c r="AK35">
        <v>193303</v>
      </c>
      <c r="AL35">
        <v>193306</v>
      </c>
      <c r="AM35">
        <v>193305</v>
      </c>
      <c r="AN35">
        <v>193306</v>
      </c>
      <c r="AO35">
        <v>193308</v>
      </c>
      <c r="AP35">
        <v>193308</v>
      </c>
      <c r="AQ35">
        <v>193307</v>
      </c>
      <c r="AR35">
        <v>193309</v>
      </c>
      <c r="AS35">
        <v>193310</v>
      </c>
      <c r="AT35">
        <v>193309</v>
      </c>
      <c r="AU35" s="57">
        <f t="shared" ref="AU35" si="14">AU34</f>
        <v>0.81602799999999998</v>
      </c>
      <c r="AW35">
        <v>1</v>
      </c>
      <c r="AX35" t="s">
        <v>164</v>
      </c>
      <c r="AY35">
        <v>12672</v>
      </c>
      <c r="AZ35">
        <v>64</v>
      </c>
      <c r="BA35">
        <v>1</v>
      </c>
      <c r="BB35">
        <v>4</v>
      </c>
      <c r="BC35">
        <v>1364.82</v>
      </c>
      <c r="BD35" s="42">
        <v>0.99414000000000002</v>
      </c>
      <c r="BE35" s="57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57">
        <f>BS34</f>
        <v>0.99558199999999997</v>
      </c>
    </row>
    <row r="36" spans="1:71" x14ac:dyDescent="0.25">
      <c r="A36">
        <v>2</v>
      </c>
      <c r="B36" t="s">
        <v>164</v>
      </c>
      <c r="C36">
        <v>12672</v>
      </c>
      <c r="D36">
        <v>64</v>
      </c>
      <c r="E36">
        <v>1</v>
      </c>
      <c r="F36">
        <v>4</v>
      </c>
      <c r="G36">
        <v>1359.81</v>
      </c>
      <c r="H36" s="42">
        <v>0.99780000000000002</v>
      </c>
      <c r="I36" s="42">
        <v>45476</v>
      </c>
      <c r="J36" s="42">
        <v>0.56547453703703698</v>
      </c>
      <c r="K36" s="42">
        <v>142930</v>
      </c>
      <c r="L36" s="42">
        <v>142931</v>
      </c>
      <c r="M36" s="42">
        <v>142930</v>
      </c>
      <c r="N36" s="42">
        <v>142931</v>
      </c>
      <c r="O36" s="42">
        <v>142932</v>
      </c>
      <c r="P36" s="42">
        <v>142932</v>
      </c>
      <c r="Q36" s="42">
        <v>142934</v>
      </c>
      <c r="R36" s="42">
        <v>142934</v>
      </c>
      <c r="S36" s="42">
        <v>142934</v>
      </c>
      <c r="T36" s="42">
        <v>142935</v>
      </c>
      <c r="U36" s="42">
        <v>142936</v>
      </c>
      <c r="V36" s="42">
        <v>142935</v>
      </c>
      <c r="W36" s="57">
        <f>W35</f>
        <v>0.99759400000000009</v>
      </c>
      <c r="Y36">
        <v>2</v>
      </c>
      <c r="Z36" t="s">
        <v>164</v>
      </c>
      <c r="AA36">
        <v>12672</v>
      </c>
      <c r="AB36">
        <v>64</v>
      </c>
      <c r="AC36">
        <v>1</v>
      </c>
      <c r="AD36">
        <v>4</v>
      </c>
      <c r="AE36">
        <v>1658.13</v>
      </c>
      <c r="AF36" s="48">
        <v>0.81828000000000001</v>
      </c>
      <c r="AG36" s="46">
        <v>45468</v>
      </c>
      <c r="AH36" s="47">
        <v>0.54803240740740744</v>
      </c>
      <c r="AI36">
        <v>193304</v>
      </c>
      <c r="AJ36">
        <v>193305</v>
      </c>
      <c r="AK36">
        <v>193304</v>
      </c>
      <c r="AL36">
        <v>193305</v>
      </c>
      <c r="AM36">
        <v>193304</v>
      </c>
      <c r="AN36">
        <v>193304</v>
      </c>
      <c r="AO36">
        <v>193306</v>
      </c>
      <c r="AP36">
        <v>193306</v>
      </c>
      <c r="AQ36">
        <v>193307</v>
      </c>
      <c r="AR36">
        <v>193311</v>
      </c>
      <c r="AS36">
        <v>193312</v>
      </c>
      <c r="AT36">
        <v>193312</v>
      </c>
      <c r="AU36" s="57">
        <f t="shared" si="4"/>
        <v>0.81602799999999998</v>
      </c>
      <c r="AW36">
        <v>2</v>
      </c>
      <c r="AX36" t="s">
        <v>164</v>
      </c>
      <c r="AY36">
        <v>12672</v>
      </c>
      <c r="AZ36">
        <v>64</v>
      </c>
      <c r="BA36">
        <v>1</v>
      </c>
      <c r="BB36">
        <v>4</v>
      </c>
      <c r="BC36">
        <v>1357.1</v>
      </c>
      <c r="BD36" s="42">
        <v>0.99980000000000002</v>
      </c>
      <c r="BE36" s="57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57">
        <f>BS35</f>
        <v>0.99558199999999997</v>
      </c>
    </row>
    <row r="37" spans="1:71" x14ac:dyDescent="0.25">
      <c r="A37">
        <v>3</v>
      </c>
      <c r="B37" t="s">
        <v>164</v>
      </c>
      <c r="C37">
        <v>12672</v>
      </c>
      <c r="D37">
        <v>64</v>
      </c>
      <c r="E37">
        <v>1</v>
      </c>
      <c r="F37">
        <v>4</v>
      </c>
      <c r="G37">
        <v>1361.74</v>
      </c>
      <c r="H37" s="42">
        <v>0.99639</v>
      </c>
      <c r="I37" s="42">
        <v>45477</v>
      </c>
      <c r="J37" s="42">
        <v>0.55357638888888894</v>
      </c>
      <c r="K37" s="42">
        <v>143142</v>
      </c>
      <c r="L37" s="42">
        <v>143143</v>
      </c>
      <c r="M37" s="42">
        <v>143142</v>
      </c>
      <c r="N37" s="42">
        <v>143144</v>
      </c>
      <c r="O37" s="42">
        <v>143145</v>
      </c>
      <c r="P37" s="42">
        <v>143145</v>
      </c>
      <c r="Q37" s="42">
        <v>143148</v>
      </c>
      <c r="R37" s="42">
        <v>143147</v>
      </c>
      <c r="S37" s="42">
        <v>143148</v>
      </c>
      <c r="T37" s="42">
        <v>143148</v>
      </c>
      <c r="U37" s="42">
        <v>143149</v>
      </c>
      <c r="V37" s="42">
        <v>143149</v>
      </c>
      <c r="W37" s="57">
        <f>W36</f>
        <v>0.99759400000000009</v>
      </c>
      <c r="Y37">
        <v>3</v>
      </c>
      <c r="Z37" t="s">
        <v>164</v>
      </c>
      <c r="AA37">
        <v>12672</v>
      </c>
      <c r="AB37">
        <v>64</v>
      </c>
      <c r="AC37">
        <v>1</v>
      </c>
      <c r="AD37">
        <v>4</v>
      </c>
      <c r="AE37">
        <v>1659.42</v>
      </c>
      <c r="AF37" s="48">
        <v>0.81764999999999999</v>
      </c>
      <c r="AG37" s="46">
        <v>45469</v>
      </c>
      <c r="AH37" s="47">
        <v>0.91519675925925925</v>
      </c>
      <c r="AI37">
        <v>193377</v>
      </c>
      <c r="AJ37">
        <v>193377</v>
      </c>
      <c r="AK37">
        <v>193378</v>
      </c>
      <c r="AL37">
        <v>193379</v>
      </c>
      <c r="AM37">
        <v>193379</v>
      </c>
      <c r="AN37">
        <v>193379</v>
      </c>
      <c r="AO37">
        <v>193384</v>
      </c>
      <c r="AP37">
        <v>193384</v>
      </c>
      <c r="AQ37">
        <v>193385</v>
      </c>
      <c r="AR37">
        <v>193386</v>
      </c>
      <c r="AS37">
        <v>193387</v>
      </c>
      <c r="AT37">
        <v>193387</v>
      </c>
      <c r="AU37" s="57">
        <f t="shared" si="4"/>
        <v>0.81602799999999998</v>
      </c>
      <c r="AW37">
        <v>3</v>
      </c>
      <c r="AX37" t="s">
        <v>164</v>
      </c>
      <c r="AY37">
        <v>12672</v>
      </c>
      <c r="AZ37">
        <v>64</v>
      </c>
      <c r="BA37">
        <v>1</v>
      </c>
      <c r="BB37">
        <v>4</v>
      </c>
      <c r="BC37">
        <v>1357.39</v>
      </c>
      <c r="BD37" s="42">
        <v>0.99958000000000002</v>
      </c>
      <c r="BE37" s="57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57">
        <f>BS36</f>
        <v>0.99558199999999997</v>
      </c>
    </row>
    <row r="38" spans="1:71" x14ac:dyDescent="0.25">
      <c r="A38">
        <v>4</v>
      </c>
      <c r="B38" t="s">
        <v>164</v>
      </c>
      <c r="C38">
        <v>12672</v>
      </c>
      <c r="D38">
        <v>64</v>
      </c>
      <c r="E38">
        <v>1</v>
      </c>
      <c r="F38">
        <v>4</v>
      </c>
      <c r="G38">
        <v>1358.84</v>
      </c>
      <c r="H38" s="42">
        <v>0.99851000000000001</v>
      </c>
      <c r="I38" s="42">
        <v>45478</v>
      </c>
      <c r="J38" s="42">
        <v>0.53461805555555553</v>
      </c>
      <c r="K38" s="42">
        <v>142828</v>
      </c>
      <c r="L38" s="42">
        <v>142827</v>
      </c>
      <c r="M38" s="42">
        <v>142827</v>
      </c>
      <c r="N38" s="42">
        <v>142836</v>
      </c>
      <c r="O38" s="42">
        <v>142835</v>
      </c>
      <c r="P38" s="42">
        <v>142835</v>
      </c>
      <c r="Q38" s="42">
        <v>142837</v>
      </c>
      <c r="R38" s="42">
        <v>142836</v>
      </c>
      <c r="S38" s="42">
        <v>142837</v>
      </c>
      <c r="T38" s="42">
        <v>142838</v>
      </c>
      <c r="U38" s="42">
        <v>142838</v>
      </c>
      <c r="V38" s="42">
        <v>142838</v>
      </c>
      <c r="W38" s="57">
        <f>W37</f>
        <v>0.99759400000000009</v>
      </c>
      <c r="Y38">
        <v>4</v>
      </c>
      <c r="Z38" t="s">
        <v>164</v>
      </c>
      <c r="AA38">
        <v>12672</v>
      </c>
      <c r="AB38">
        <v>64</v>
      </c>
      <c r="AC38">
        <v>1</v>
      </c>
      <c r="AD38">
        <v>4</v>
      </c>
      <c r="AE38">
        <v>1664.5</v>
      </c>
      <c r="AF38" s="48">
        <v>0.81515000000000004</v>
      </c>
      <c r="AG38" s="46">
        <v>45471</v>
      </c>
      <c r="AH38" s="47">
        <v>0.26655092592592594</v>
      </c>
      <c r="AI38">
        <v>193887</v>
      </c>
      <c r="AJ38">
        <v>193886</v>
      </c>
      <c r="AK38">
        <v>193886</v>
      </c>
      <c r="AL38">
        <v>193888</v>
      </c>
      <c r="AM38">
        <v>193888</v>
      </c>
      <c r="AN38">
        <v>193888</v>
      </c>
      <c r="AO38">
        <v>193888</v>
      </c>
      <c r="AP38">
        <v>193889</v>
      </c>
      <c r="AQ38">
        <v>193889</v>
      </c>
      <c r="AR38">
        <v>193889</v>
      </c>
      <c r="AS38">
        <v>193890</v>
      </c>
      <c r="AT38">
        <v>193890</v>
      </c>
      <c r="AU38" s="57">
        <f t="shared" si="4"/>
        <v>0.81602799999999998</v>
      </c>
      <c r="AW38">
        <v>4</v>
      </c>
      <c r="AX38" t="s">
        <v>164</v>
      </c>
      <c r="AY38">
        <v>12672</v>
      </c>
      <c r="AZ38">
        <v>64</v>
      </c>
      <c r="BA38">
        <v>1</v>
      </c>
      <c r="BB38">
        <v>4</v>
      </c>
      <c r="BC38">
        <v>1373.55</v>
      </c>
      <c r="BD38" s="42">
        <v>0.98782000000000003</v>
      </c>
      <c r="BE38" s="57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57">
        <f>BS37</f>
        <v>0.99558199999999997</v>
      </c>
    </row>
    <row r="39" spans="1:71" x14ac:dyDescent="0.25">
      <c r="A39">
        <v>0</v>
      </c>
      <c r="B39" t="s">
        <v>164</v>
      </c>
      <c r="C39">
        <v>13440</v>
      </c>
      <c r="D39">
        <v>64</v>
      </c>
      <c r="E39">
        <v>1</v>
      </c>
      <c r="F39">
        <v>4</v>
      </c>
      <c r="G39">
        <v>1607.19</v>
      </c>
      <c r="H39" s="70">
        <v>1.0072000000000001</v>
      </c>
      <c r="I39" s="42">
        <v>45474</v>
      </c>
      <c r="J39" s="42">
        <v>0.85826388888888894</v>
      </c>
      <c r="K39" s="42">
        <v>168442</v>
      </c>
      <c r="L39" s="42">
        <v>168441</v>
      </c>
      <c r="M39" s="42">
        <v>168441</v>
      </c>
      <c r="N39" s="42">
        <v>168442</v>
      </c>
      <c r="O39" s="42">
        <v>168443</v>
      </c>
      <c r="P39" s="42">
        <v>168442</v>
      </c>
      <c r="Q39" s="42">
        <v>168444</v>
      </c>
      <c r="R39" s="42">
        <v>168443</v>
      </c>
      <c r="S39" s="42">
        <v>168444</v>
      </c>
      <c r="T39" s="42">
        <v>168470</v>
      </c>
      <c r="U39" s="42">
        <v>168469</v>
      </c>
      <c r="V39" s="42">
        <v>168469</v>
      </c>
      <c r="W39" s="57">
        <f>AVERAGE(H39:H43)</f>
        <v>1.0058600000000002</v>
      </c>
      <c r="Y39">
        <v>0</v>
      </c>
      <c r="Z39" t="s">
        <v>164</v>
      </c>
      <c r="AA39">
        <v>13440</v>
      </c>
      <c r="AB39">
        <v>64</v>
      </c>
      <c r="AC39">
        <v>1</v>
      </c>
      <c r="AD39">
        <v>4</v>
      </c>
      <c r="AE39">
        <v>1959.45</v>
      </c>
      <c r="AF39" s="48">
        <v>0.82613000000000003</v>
      </c>
      <c r="AG39" s="46">
        <v>45466</v>
      </c>
      <c r="AH39" s="47">
        <v>0.16671296296296295</v>
      </c>
      <c r="AI39">
        <v>226730</v>
      </c>
      <c r="AJ39">
        <v>226730</v>
      </c>
      <c r="AK39">
        <v>226730</v>
      </c>
      <c r="AL39">
        <v>226732</v>
      </c>
      <c r="AM39">
        <v>226732</v>
      </c>
      <c r="AN39">
        <v>226731</v>
      </c>
      <c r="AO39">
        <v>226732</v>
      </c>
      <c r="AP39">
        <v>226732</v>
      </c>
      <c r="AQ39">
        <v>226733</v>
      </c>
      <c r="AR39">
        <v>226735</v>
      </c>
      <c r="AS39">
        <v>226735</v>
      </c>
      <c r="AT39">
        <v>226735</v>
      </c>
      <c r="AU39" s="57">
        <f t="shared" ref="AU39" si="15">AVERAGE(AF39:AF43)</f>
        <v>0.81222399999999995</v>
      </c>
      <c r="AW39">
        <v>0</v>
      </c>
      <c r="AX39" t="s">
        <v>164</v>
      </c>
      <c r="AY39">
        <v>13440</v>
      </c>
      <c r="AZ39">
        <v>64</v>
      </c>
      <c r="BA39">
        <v>1</v>
      </c>
      <c r="BB39">
        <v>4</v>
      </c>
      <c r="BC39">
        <v>1606.32</v>
      </c>
      <c r="BD39" s="42">
        <v>1.0077</v>
      </c>
      <c r="BE39" s="57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57">
        <f>AVERAGE(BD39:BD43)</f>
        <v>1.0096599999999998</v>
      </c>
    </row>
    <row r="40" spans="1:71" x14ac:dyDescent="0.25">
      <c r="A40">
        <v>1</v>
      </c>
      <c r="B40" t="s">
        <v>164</v>
      </c>
      <c r="C40">
        <v>13440</v>
      </c>
      <c r="D40">
        <v>64</v>
      </c>
      <c r="E40">
        <v>1</v>
      </c>
      <c r="F40">
        <v>4</v>
      </c>
      <c r="G40">
        <v>1613.98</v>
      </c>
      <c r="H40" s="42">
        <v>1.0029999999999999</v>
      </c>
      <c r="I40" s="42">
        <v>45475</v>
      </c>
      <c r="J40" s="42">
        <v>0.85315972222222225</v>
      </c>
      <c r="K40" s="42">
        <v>169299</v>
      </c>
      <c r="L40" s="42">
        <v>169299</v>
      </c>
      <c r="M40" s="42">
        <v>169299</v>
      </c>
      <c r="N40" s="42">
        <v>169329</v>
      </c>
      <c r="O40" s="42">
        <v>169330</v>
      </c>
      <c r="P40" s="42">
        <v>169331</v>
      </c>
      <c r="Q40" s="42">
        <v>169333</v>
      </c>
      <c r="R40" s="42">
        <v>169332</v>
      </c>
      <c r="S40" s="42">
        <v>169333</v>
      </c>
      <c r="T40" s="42">
        <v>169334</v>
      </c>
      <c r="U40" s="42">
        <v>169335</v>
      </c>
      <c r="V40" s="42">
        <v>169335</v>
      </c>
      <c r="W40" s="57">
        <f>W39</f>
        <v>1.0058600000000002</v>
      </c>
      <c r="Y40">
        <v>1</v>
      </c>
      <c r="Z40" t="s">
        <v>164</v>
      </c>
      <c r="AA40">
        <v>13440</v>
      </c>
      <c r="AB40">
        <v>64</v>
      </c>
      <c r="AC40">
        <v>1</v>
      </c>
      <c r="AD40">
        <v>4</v>
      </c>
      <c r="AE40">
        <v>1961.11</v>
      </c>
      <c r="AF40" s="48">
        <v>0.82542000000000004</v>
      </c>
      <c r="AG40" s="46">
        <v>45467</v>
      </c>
      <c r="AH40" s="47">
        <v>0.55572916666666672</v>
      </c>
      <c r="AI40">
        <v>226889</v>
      </c>
      <c r="AJ40">
        <v>226889</v>
      </c>
      <c r="AK40">
        <v>226889</v>
      </c>
      <c r="AL40">
        <v>226891</v>
      </c>
      <c r="AM40">
        <v>226891</v>
      </c>
      <c r="AN40">
        <v>226890</v>
      </c>
      <c r="AO40">
        <v>226904</v>
      </c>
      <c r="AP40">
        <v>226904</v>
      </c>
      <c r="AQ40">
        <v>226905</v>
      </c>
      <c r="AR40">
        <v>226904</v>
      </c>
      <c r="AS40">
        <v>226905</v>
      </c>
      <c r="AT40">
        <v>226905</v>
      </c>
      <c r="AU40" s="57">
        <f t="shared" ref="AU40" si="16">AU39</f>
        <v>0.81222399999999995</v>
      </c>
      <c r="AW40">
        <v>1</v>
      </c>
      <c r="AX40" t="s">
        <v>164</v>
      </c>
      <c r="AY40">
        <v>13440</v>
      </c>
      <c r="AZ40">
        <v>64</v>
      </c>
      <c r="BA40">
        <v>1</v>
      </c>
      <c r="BB40">
        <v>4</v>
      </c>
      <c r="BC40">
        <v>1605.16</v>
      </c>
      <c r="BD40" s="42">
        <v>1.0085</v>
      </c>
      <c r="BE40" s="57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57">
        <f>BS39</f>
        <v>1.0096599999999998</v>
      </c>
    </row>
    <row r="41" spans="1:71" x14ac:dyDescent="0.25">
      <c r="A41">
        <v>2</v>
      </c>
      <c r="B41" t="s">
        <v>164</v>
      </c>
      <c r="C41">
        <v>13440</v>
      </c>
      <c r="D41">
        <v>64</v>
      </c>
      <c r="E41">
        <v>1</v>
      </c>
      <c r="F41">
        <v>4</v>
      </c>
      <c r="G41">
        <v>1606.14</v>
      </c>
      <c r="H41" s="42">
        <v>1.0078</v>
      </c>
      <c r="I41" s="42">
        <v>45476</v>
      </c>
      <c r="J41" s="42">
        <v>0.84547453703703701</v>
      </c>
      <c r="K41" s="42">
        <v>168366</v>
      </c>
      <c r="L41" s="42">
        <v>168366</v>
      </c>
      <c r="M41" s="42">
        <v>168366</v>
      </c>
      <c r="N41" s="42">
        <v>168368</v>
      </c>
      <c r="O41" s="42">
        <v>168368</v>
      </c>
      <c r="P41" s="42">
        <v>168367</v>
      </c>
      <c r="Q41" s="42">
        <v>168365</v>
      </c>
      <c r="R41" s="42">
        <v>168364</v>
      </c>
      <c r="S41" s="42">
        <v>168365</v>
      </c>
      <c r="T41" s="42">
        <v>168365</v>
      </c>
      <c r="U41" s="42">
        <v>168366</v>
      </c>
      <c r="V41" s="42">
        <v>168366</v>
      </c>
      <c r="W41" s="57">
        <f>W40</f>
        <v>1.0058600000000002</v>
      </c>
      <c r="Y41">
        <v>2</v>
      </c>
      <c r="Z41" t="s">
        <v>164</v>
      </c>
      <c r="AA41">
        <v>13440</v>
      </c>
      <c r="AB41">
        <v>64</v>
      </c>
      <c r="AC41">
        <v>1</v>
      </c>
      <c r="AD41">
        <v>4</v>
      </c>
      <c r="AE41">
        <v>1962.41</v>
      </c>
      <c r="AF41" s="48">
        <v>0.82487999999999995</v>
      </c>
      <c r="AG41" s="46">
        <v>45468</v>
      </c>
      <c r="AH41" s="47">
        <v>0.9334027777777778</v>
      </c>
      <c r="AI41">
        <v>227038</v>
      </c>
      <c r="AJ41">
        <v>227038</v>
      </c>
      <c r="AK41">
        <v>227039</v>
      </c>
      <c r="AL41">
        <v>227045</v>
      </c>
      <c r="AM41">
        <v>227045</v>
      </c>
      <c r="AN41">
        <v>227045</v>
      </c>
      <c r="AO41">
        <v>227046</v>
      </c>
      <c r="AP41">
        <v>227047</v>
      </c>
      <c r="AQ41">
        <v>227047</v>
      </c>
      <c r="AR41">
        <v>227048</v>
      </c>
      <c r="AS41">
        <v>227049</v>
      </c>
      <c r="AT41">
        <v>227049</v>
      </c>
      <c r="AU41" s="57">
        <f t="shared" si="4"/>
        <v>0.81222399999999995</v>
      </c>
      <c r="AW41">
        <v>2</v>
      </c>
      <c r="AX41" t="s">
        <v>164</v>
      </c>
      <c r="AY41">
        <v>13440</v>
      </c>
      <c r="AZ41">
        <v>64</v>
      </c>
      <c r="BA41">
        <v>1</v>
      </c>
      <c r="BB41">
        <v>4</v>
      </c>
      <c r="BC41">
        <v>1602.58</v>
      </c>
      <c r="BD41" s="42">
        <v>1.0101</v>
      </c>
      <c r="BE41" s="57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57">
        <f>BS40</f>
        <v>1.0096599999999998</v>
      </c>
    </row>
    <row r="42" spans="1:71" x14ac:dyDescent="0.25">
      <c r="A42">
        <v>3</v>
      </c>
      <c r="B42" t="s">
        <v>164</v>
      </c>
      <c r="C42">
        <v>13440</v>
      </c>
      <c r="D42">
        <v>64</v>
      </c>
      <c r="E42">
        <v>1</v>
      </c>
      <c r="F42">
        <v>4</v>
      </c>
      <c r="G42">
        <v>1613.8</v>
      </c>
      <c r="H42" s="42">
        <v>1.0031000000000001</v>
      </c>
      <c r="I42" s="42">
        <v>45477</v>
      </c>
      <c r="J42" s="42">
        <v>0.83340277777777783</v>
      </c>
      <c r="K42" s="42">
        <v>169148</v>
      </c>
      <c r="L42" s="42">
        <v>169148</v>
      </c>
      <c r="M42" s="42">
        <v>169148</v>
      </c>
      <c r="N42" s="42">
        <v>169149</v>
      </c>
      <c r="O42" s="42">
        <v>169149</v>
      </c>
      <c r="P42" s="42">
        <v>169148</v>
      </c>
      <c r="Q42" s="42">
        <v>169151</v>
      </c>
      <c r="R42" s="42">
        <v>169150</v>
      </c>
      <c r="S42" s="42">
        <v>169151</v>
      </c>
      <c r="T42" s="42">
        <v>169194</v>
      </c>
      <c r="U42" s="42">
        <v>169194</v>
      </c>
      <c r="V42" s="42">
        <v>169193</v>
      </c>
      <c r="W42" s="57">
        <f>W41</f>
        <v>1.0058600000000002</v>
      </c>
      <c r="Y42">
        <v>3</v>
      </c>
      <c r="Z42" t="s">
        <v>164</v>
      </c>
      <c r="AA42">
        <v>13440</v>
      </c>
      <c r="AB42">
        <v>64</v>
      </c>
      <c r="AC42">
        <v>1</v>
      </c>
      <c r="AD42">
        <v>4</v>
      </c>
      <c r="AE42">
        <v>1984.86</v>
      </c>
      <c r="AF42" s="48">
        <v>0.81555</v>
      </c>
      <c r="AG42" s="46">
        <v>45470</v>
      </c>
      <c r="AH42" s="47">
        <v>0.29736111111111113</v>
      </c>
      <c r="AI42">
        <v>229454</v>
      </c>
      <c r="AJ42">
        <v>229454</v>
      </c>
      <c r="AK42">
        <v>229453</v>
      </c>
      <c r="AL42">
        <v>229455</v>
      </c>
      <c r="AM42">
        <v>229454</v>
      </c>
      <c r="AN42">
        <v>229455</v>
      </c>
      <c r="AO42">
        <v>229485</v>
      </c>
      <c r="AP42">
        <v>229486</v>
      </c>
      <c r="AQ42">
        <v>229486</v>
      </c>
      <c r="AR42">
        <v>229515</v>
      </c>
      <c r="AS42">
        <v>229516</v>
      </c>
      <c r="AT42">
        <v>229516</v>
      </c>
      <c r="AU42" s="57">
        <f t="shared" si="4"/>
        <v>0.81222399999999995</v>
      </c>
      <c r="AW42">
        <v>3</v>
      </c>
      <c r="AX42" t="s">
        <v>164</v>
      </c>
      <c r="AY42">
        <v>13440</v>
      </c>
      <c r="AZ42">
        <v>64</v>
      </c>
      <c r="BA42">
        <v>1</v>
      </c>
      <c r="BB42">
        <v>4</v>
      </c>
      <c r="BC42">
        <v>1601.91</v>
      </c>
      <c r="BD42" s="42">
        <v>1.0105</v>
      </c>
      <c r="BE42" s="57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57">
        <f>BS41</f>
        <v>1.0096599999999998</v>
      </c>
    </row>
    <row r="43" spans="1:71" x14ac:dyDescent="0.25">
      <c r="A43">
        <v>4</v>
      </c>
      <c r="B43" t="s">
        <v>164</v>
      </c>
      <c r="C43">
        <v>13440</v>
      </c>
      <c r="D43">
        <v>64</v>
      </c>
      <c r="E43">
        <v>1</v>
      </c>
      <c r="F43">
        <v>4</v>
      </c>
      <c r="G43">
        <v>1605.5</v>
      </c>
      <c r="H43" s="42">
        <v>1.0082</v>
      </c>
      <c r="I43" s="42">
        <v>45478</v>
      </c>
      <c r="J43" s="42">
        <v>0.81439814814814815</v>
      </c>
      <c r="K43" s="42">
        <v>168274</v>
      </c>
      <c r="L43" s="42">
        <v>168275</v>
      </c>
      <c r="M43" s="42">
        <v>168275</v>
      </c>
      <c r="N43" s="42">
        <v>168275</v>
      </c>
      <c r="O43" s="42">
        <v>168276</v>
      </c>
      <c r="P43" s="42">
        <v>168276</v>
      </c>
      <c r="Q43" s="42">
        <v>168278</v>
      </c>
      <c r="R43" s="42">
        <v>168277</v>
      </c>
      <c r="S43" s="42">
        <v>168278</v>
      </c>
      <c r="T43" s="42">
        <v>168279</v>
      </c>
      <c r="U43" s="42">
        <v>168279</v>
      </c>
      <c r="V43" s="42">
        <v>168279</v>
      </c>
      <c r="W43" s="57">
        <f>W42</f>
        <v>1.0058600000000002</v>
      </c>
      <c r="Y43">
        <v>4</v>
      </c>
      <c r="Z43" t="s">
        <v>164</v>
      </c>
      <c r="AA43">
        <v>13440</v>
      </c>
      <c r="AB43">
        <v>64</v>
      </c>
      <c r="AC43">
        <v>1</v>
      </c>
      <c r="AD43">
        <v>4</v>
      </c>
      <c r="AE43">
        <v>2104.63</v>
      </c>
      <c r="AF43" s="48">
        <v>0.76914000000000005</v>
      </c>
      <c r="AG43" s="46">
        <v>45471</v>
      </c>
      <c r="AH43" s="47">
        <v>0.65557870370370375</v>
      </c>
      <c r="AI43">
        <v>241243</v>
      </c>
      <c r="AJ43">
        <v>241243</v>
      </c>
      <c r="AK43">
        <v>241244</v>
      </c>
      <c r="AL43">
        <v>241246</v>
      </c>
      <c r="AM43">
        <v>241245</v>
      </c>
      <c r="AN43">
        <v>241245</v>
      </c>
      <c r="AO43">
        <v>241258</v>
      </c>
      <c r="AP43">
        <v>241258</v>
      </c>
      <c r="AQ43">
        <v>241257</v>
      </c>
      <c r="AR43">
        <v>241259</v>
      </c>
      <c r="AS43">
        <v>241260</v>
      </c>
      <c r="AT43">
        <v>241259</v>
      </c>
      <c r="AU43" s="57">
        <f t="shared" si="4"/>
        <v>0.81222399999999995</v>
      </c>
      <c r="AW43">
        <v>4</v>
      </c>
      <c r="AX43" t="s">
        <v>164</v>
      </c>
      <c r="AY43">
        <v>13440</v>
      </c>
      <c r="AZ43">
        <v>64</v>
      </c>
      <c r="BA43">
        <v>1</v>
      </c>
      <c r="BB43">
        <v>4</v>
      </c>
      <c r="BC43">
        <v>1600.33</v>
      </c>
      <c r="BD43" s="42">
        <v>1.0115000000000001</v>
      </c>
      <c r="BE43" s="57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57">
        <f>BS42</f>
        <v>1.0096599999999998</v>
      </c>
    </row>
    <row r="44" spans="1:71" x14ac:dyDescent="0.25">
      <c r="A44">
        <v>0</v>
      </c>
      <c r="B44" t="s">
        <v>164</v>
      </c>
      <c r="C44">
        <v>14208</v>
      </c>
      <c r="D44">
        <v>64</v>
      </c>
      <c r="E44">
        <v>1</v>
      </c>
      <c r="F44">
        <v>4</v>
      </c>
      <c r="G44">
        <v>1895.86</v>
      </c>
      <c r="H44" s="70">
        <v>1.0086999999999999</v>
      </c>
      <c r="I44" s="42">
        <v>45475</v>
      </c>
      <c r="J44" s="42">
        <v>0.19118055555555555</v>
      </c>
      <c r="K44" s="42">
        <v>198429</v>
      </c>
      <c r="L44" s="42">
        <v>198429</v>
      </c>
      <c r="M44" s="42">
        <v>198428</v>
      </c>
      <c r="N44" s="42">
        <v>198473</v>
      </c>
      <c r="O44" s="42">
        <v>198473</v>
      </c>
      <c r="P44" s="42">
        <v>198473</v>
      </c>
      <c r="Q44" s="42">
        <v>198509</v>
      </c>
      <c r="R44" s="42">
        <v>198508</v>
      </c>
      <c r="S44" s="42">
        <v>198508</v>
      </c>
      <c r="T44" s="42">
        <v>198553</v>
      </c>
      <c r="U44" s="42">
        <v>198553</v>
      </c>
      <c r="V44" s="42">
        <v>198553</v>
      </c>
      <c r="W44" s="57">
        <f>AVERAGE(H44:H48)</f>
        <v>1.0016159999999998</v>
      </c>
      <c r="Y44">
        <v>0</v>
      </c>
      <c r="Z44" t="s">
        <v>164</v>
      </c>
      <c r="AA44">
        <v>14208</v>
      </c>
      <c r="AB44">
        <v>64</v>
      </c>
      <c r="AC44">
        <v>1</v>
      </c>
      <c r="AD44">
        <v>4</v>
      </c>
      <c r="AE44">
        <v>2639.83</v>
      </c>
      <c r="AF44" s="48">
        <v>0.72443999999999997</v>
      </c>
      <c r="AG44" s="46">
        <v>45466</v>
      </c>
      <c r="AH44" s="47">
        <v>0.62880787037037034</v>
      </c>
      <c r="AI44">
        <v>299005</v>
      </c>
      <c r="AJ44">
        <v>299005</v>
      </c>
      <c r="AK44">
        <v>299005</v>
      </c>
      <c r="AL44">
        <v>299049</v>
      </c>
      <c r="AM44">
        <v>299049</v>
      </c>
      <c r="AN44">
        <v>299050</v>
      </c>
      <c r="AO44">
        <v>299097</v>
      </c>
      <c r="AP44">
        <v>299097</v>
      </c>
      <c r="AQ44">
        <v>299096</v>
      </c>
      <c r="AR44">
        <v>299170</v>
      </c>
      <c r="AS44">
        <v>299170</v>
      </c>
      <c r="AT44">
        <v>299169</v>
      </c>
      <c r="AU44" s="57">
        <f t="shared" ref="AU44" si="17">AVERAGE(AF44:AF48)</f>
        <v>0.78657599999999994</v>
      </c>
      <c r="AW44">
        <v>0</v>
      </c>
      <c r="AX44" t="s">
        <v>164</v>
      </c>
      <c r="AY44">
        <v>14208</v>
      </c>
      <c r="AZ44">
        <v>64</v>
      </c>
      <c r="BA44">
        <v>1</v>
      </c>
      <c r="BB44">
        <v>4</v>
      </c>
      <c r="BC44">
        <v>1918.85</v>
      </c>
      <c r="BD44" s="42">
        <v>0.99663000000000002</v>
      </c>
      <c r="BE44" s="57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57">
        <f>AVERAGE(BD44:BD48)</f>
        <v>0.99658000000000002</v>
      </c>
    </row>
    <row r="45" spans="1:71" x14ac:dyDescent="0.25">
      <c r="A45">
        <v>1</v>
      </c>
      <c r="B45" t="s">
        <v>164</v>
      </c>
      <c r="C45">
        <v>14208</v>
      </c>
      <c r="D45">
        <v>64</v>
      </c>
      <c r="E45">
        <v>1</v>
      </c>
      <c r="F45">
        <v>4</v>
      </c>
      <c r="G45">
        <v>1932.65</v>
      </c>
      <c r="H45" s="42">
        <v>0.98951999999999996</v>
      </c>
      <c r="I45" s="42">
        <v>45476</v>
      </c>
      <c r="J45" s="42">
        <v>0.1865162037037037</v>
      </c>
      <c r="K45" s="42">
        <v>202668</v>
      </c>
      <c r="L45" s="42">
        <v>202668</v>
      </c>
      <c r="M45" s="42">
        <v>202668</v>
      </c>
      <c r="N45" s="42">
        <v>202722</v>
      </c>
      <c r="O45" s="42">
        <v>202722</v>
      </c>
      <c r="P45" s="42">
        <v>202722</v>
      </c>
      <c r="Q45" s="42">
        <v>202759</v>
      </c>
      <c r="R45" s="42">
        <v>202760</v>
      </c>
      <c r="S45" s="42">
        <v>202761</v>
      </c>
      <c r="T45" s="42">
        <v>202804</v>
      </c>
      <c r="U45" s="42">
        <v>202804</v>
      </c>
      <c r="V45" s="42">
        <v>202805</v>
      </c>
      <c r="W45" s="57">
        <f>W44</f>
        <v>1.0016159999999998</v>
      </c>
      <c r="Y45">
        <v>1</v>
      </c>
      <c r="Z45" t="s">
        <v>164</v>
      </c>
      <c r="AA45">
        <v>14208</v>
      </c>
      <c r="AB45">
        <v>64</v>
      </c>
      <c r="AC45">
        <v>1</v>
      </c>
      <c r="AD45">
        <v>4</v>
      </c>
      <c r="AE45">
        <v>2525.25</v>
      </c>
      <c r="AF45" s="48">
        <v>0.75731000000000004</v>
      </c>
      <c r="AG45" s="46">
        <v>45468</v>
      </c>
      <c r="AH45" s="47">
        <v>1.6458333333333332E-2</v>
      </c>
      <c r="AI45">
        <v>287439</v>
      </c>
      <c r="AJ45">
        <v>287439</v>
      </c>
      <c r="AK45">
        <v>287439</v>
      </c>
      <c r="AL45">
        <v>287491</v>
      </c>
      <c r="AM45">
        <v>287490</v>
      </c>
      <c r="AN45">
        <v>287491</v>
      </c>
      <c r="AO45">
        <v>287540</v>
      </c>
      <c r="AP45">
        <v>287539</v>
      </c>
      <c r="AQ45">
        <v>287539</v>
      </c>
      <c r="AR45">
        <v>287609</v>
      </c>
      <c r="AS45">
        <v>287609</v>
      </c>
      <c r="AT45">
        <v>287608</v>
      </c>
      <c r="AU45" s="57">
        <f t="shared" ref="AU45" si="18">AU44</f>
        <v>0.78657599999999994</v>
      </c>
      <c r="AW45">
        <v>1</v>
      </c>
      <c r="AX45" t="s">
        <v>164</v>
      </c>
      <c r="AY45">
        <v>14208</v>
      </c>
      <c r="AZ45">
        <v>64</v>
      </c>
      <c r="BA45">
        <v>1</v>
      </c>
      <c r="BB45">
        <v>4</v>
      </c>
      <c r="BC45">
        <v>1896.68</v>
      </c>
      <c r="BD45" s="42">
        <v>1.0083</v>
      </c>
      <c r="BE45" s="57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57">
        <f>BS44</f>
        <v>0.99658000000000002</v>
      </c>
    </row>
    <row r="46" spans="1:71" x14ac:dyDescent="0.25">
      <c r="A46">
        <v>2</v>
      </c>
      <c r="B46" t="s">
        <v>164</v>
      </c>
      <c r="C46">
        <v>14208</v>
      </c>
      <c r="D46">
        <v>64</v>
      </c>
      <c r="E46">
        <v>1</v>
      </c>
      <c r="F46">
        <v>4</v>
      </c>
      <c r="G46">
        <v>1905.19</v>
      </c>
      <c r="H46" s="42">
        <v>1.0038</v>
      </c>
      <c r="I46" s="42">
        <v>45477</v>
      </c>
      <c r="J46" s="42">
        <v>0.17863425925925927</v>
      </c>
      <c r="K46" s="42">
        <v>199326</v>
      </c>
      <c r="L46" s="42">
        <v>199326</v>
      </c>
      <c r="M46" s="42">
        <v>199325</v>
      </c>
      <c r="N46" s="42">
        <v>199376</v>
      </c>
      <c r="O46" s="42">
        <v>199376</v>
      </c>
      <c r="P46" s="42">
        <v>199377</v>
      </c>
      <c r="Q46" s="42">
        <v>199426</v>
      </c>
      <c r="R46" s="42">
        <v>199426</v>
      </c>
      <c r="S46" s="42">
        <v>199426</v>
      </c>
      <c r="T46" s="42">
        <v>199472</v>
      </c>
      <c r="U46" s="42">
        <v>199471</v>
      </c>
      <c r="V46" s="42">
        <v>199472</v>
      </c>
      <c r="W46" s="57">
        <f>W45</f>
        <v>1.0016159999999998</v>
      </c>
      <c r="Y46">
        <v>2</v>
      </c>
      <c r="Z46" t="s">
        <v>164</v>
      </c>
      <c r="AA46">
        <v>14208</v>
      </c>
      <c r="AB46">
        <v>64</v>
      </c>
      <c r="AC46">
        <v>1</v>
      </c>
      <c r="AD46">
        <v>4</v>
      </c>
      <c r="AE46">
        <v>2358.9499999999998</v>
      </c>
      <c r="AF46" s="48">
        <v>0.81069000000000002</v>
      </c>
      <c r="AG46" s="46">
        <v>45469</v>
      </c>
      <c r="AH46" s="47">
        <v>0.38976851851851851</v>
      </c>
      <c r="AI46">
        <v>271083</v>
      </c>
      <c r="AJ46">
        <v>271083</v>
      </c>
      <c r="AK46">
        <v>271082</v>
      </c>
      <c r="AL46">
        <v>271134</v>
      </c>
      <c r="AM46">
        <v>271133</v>
      </c>
      <c r="AN46">
        <v>271133</v>
      </c>
      <c r="AO46">
        <v>271166</v>
      </c>
      <c r="AP46">
        <v>271166</v>
      </c>
      <c r="AQ46">
        <v>271167</v>
      </c>
      <c r="AR46">
        <v>271228</v>
      </c>
      <c r="AS46">
        <v>271228</v>
      </c>
      <c r="AT46">
        <v>271229</v>
      </c>
      <c r="AU46" s="57">
        <f t="shared" si="4"/>
        <v>0.78657599999999994</v>
      </c>
      <c r="AW46">
        <v>2</v>
      </c>
      <c r="AX46" t="s">
        <v>164</v>
      </c>
      <c r="AY46">
        <v>14208</v>
      </c>
      <c r="AZ46">
        <v>64</v>
      </c>
      <c r="BA46">
        <v>1</v>
      </c>
      <c r="BB46">
        <v>4</v>
      </c>
      <c r="BC46">
        <v>1959.66</v>
      </c>
      <c r="BD46" s="42">
        <v>0.97587999999999997</v>
      </c>
      <c r="BE46" s="57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57">
        <f>BS45</f>
        <v>0.99658000000000002</v>
      </c>
    </row>
    <row r="47" spans="1:71" x14ac:dyDescent="0.25">
      <c r="A47">
        <v>3</v>
      </c>
      <c r="B47" t="s">
        <v>164</v>
      </c>
      <c r="C47">
        <v>14208</v>
      </c>
      <c r="D47">
        <v>64</v>
      </c>
      <c r="E47">
        <v>1</v>
      </c>
      <c r="F47">
        <v>4</v>
      </c>
      <c r="G47">
        <v>1913.61</v>
      </c>
      <c r="H47" s="42">
        <v>0.99936000000000003</v>
      </c>
      <c r="I47" s="42">
        <v>45478</v>
      </c>
      <c r="J47" s="42">
        <v>0.16657407407407407</v>
      </c>
      <c r="K47" s="42">
        <v>200186</v>
      </c>
      <c r="L47" s="42">
        <v>200186</v>
      </c>
      <c r="M47" s="42">
        <v>200185</v>
      </c>
      <c r="N47" s="42">
        <v>200242</v>
      </c>
      <c r="O47" s="42">
        <v>200241</v>
      </c>
      <c r="P47" s="42">
        <v>200242</v>
      </c>
      <c r="Q47" s="42">
        <v>200292</v>
      </c>
      <c r="R47" s="42">
        <v>200292</v>
      </c>
      <c r="S47" s="42">
        <v>200292</v>
      </c>
      <c r="T47" s="42">
        <v>200350</v>
      </c>
      <c r="U47" s="42">
        <v>200350</v>
      </c>
      <c r="V47" s="42">
        <v>200350</v>
      </c>
      <c r="W47" s="57">
        <f>W46</f>
        <v>1.0016159999999998</v>
      </c>
      <c r="Y47">
        <v>3</v>
      </c>
      <c r="Z47" t="s">
        <v>164</v>
      </c>
      <c r="AA47">
        <v>14208</v>
      </c>
      <c r="AB47">
        <v>64</v>
      </c>
      <c r="AC47">
        <v>1</v>
      </c>
      <c r="AD47">
        <v>4</v>
      </c>
      <c r="AE47">
        <v>2355.39</v>
      </c>
      <c r="AF47" s="48">
        <v>0.81191999999999998</v>
      </c>
      <c r="AG47" s="46">
        <v>45470</v>
      </c>
      <c r="AH47" s="47">
        <v>0.7519675925925926</v>
      </c>
      <c r="AI47">
        <v>270352</v>
      </c>
      <c r="AJ47">
        <v>270353</v>
      </c>
      <c r="AK47">
        <v>270352</v>
      </c>
      <c r="AL47">
        <v>270409</v>
      </c>
      <c r="AM47">
        <v>270409</v>
      </c>
      <c r="AN47">
        <v>270408</v>
      </c>
      <c r="AO47">
        <v>270411</v>
      </c>
      <c r="AP47">
        <v>270410</v>
      </c>
      <c r="AQ47">
        <v>270410</v>
      </c>
      <c r="AR47">
        <v>270471</v>
      </c>
      <c r="AS47">
        <v>270471</v>
      </c>
      <c r="AT47">
        <v>270470</v>
      </c>
      <c r="AU47" s="57">
        <f t="shared" si="4"/>
        <v>0.78657599999999994</v>
      </c>
      <c r="AW47">
        <v>3</v>
      </c>
      <c r="AX47" t="s">
        <v>164</v>
      </c>
      <c r="AY47">
        <v>14208</v>
      </c>
      <c r="AZ47">
        <v>64</v>
      </c>
      <c r="BA47">
        <v>1</v>
      </c>
      <c r="BB47">
        <v>4</v>
      </c>
      <c r="BC47">
        <v>1921.44</v>
      </c>
      <c r="BD47" s="42">
        <v>0.99529000000000001</v>
      </c>
      <c r="BE47" s="57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57">
        <f>BS46</f>
        <v>0.99658000000000002</v>
      </c>
    </row>
    <row r="48" spans="1:71" x14ac:dyDescent="0.25">
      <c r="A48">
        <v>4</v>
      </c>
      <c r="B48" t="s">
        <v>164</v>
      </c>
      <c r="C48">
        <v>14208</v>
      </c>
      <c r="D48">
        <v>64</v>
      </c>
      <c r="E48">
        <v>1</v>
      </c>
      <c r="F48">
        <v>4</v>
      </c>
      <c r="G48">
        <v>1899.74</v>
      </c>
      <c r="H48" s="42">
        <v>1.0066999999999999</v>
      </c>
      <c r="I48" s="42">
        <v>45479</v>
      </c>
      <c r="J48" s="42">
        <v>0.14739583333333334</v>
      </c>
      <c r="K48" s="42">
        <v>199805</v>
      </c>
      <c r="L48" s="42">
        <v>199805</v>
      </c>
      <c r="M48" s="42">
        <v>199804</v>
      </c>
      <c r="N48" s="42">
        <v>199854</v>
      </c>
      <c r="O48" s="42">
        <v>199853</v>
      </c>
      <c r="P48" s="42">
        <v>199853</v>
      </c>
      <c r="Q48" s="42">
        <v>199908</v>
      </c>
      <c r="R48" s="42">
        <v>199907</v>
      </c>
      <c r="S48" s="42">
        <v>199908</v>
      </c>
      <c r="T48" s="42">
        <v>199972</v>
      </c>
      <c r="U48" s="42">
        <v>199971</v>
      </c>
      <c r="V48" s="42">
        <v>199972</v>
      </c>
      <c r="W48" s="57">
        <f>W47</f>
        <v>1.0016159999999998</v>
      </c>
      <c r="Y48">
        <v>4</v>
      </c>
      <c r="Z48" t="s">
        <v>164</v>
      </c>
      <c r="AA48">
        <v>14208</v>
      </c>
      <c r="AB48">
        <v>64</v>
      </c>
      <c r="AC48">
        <v>1</v>
      </c>
      <c r="AD48">
        <v>4</v>
      </c>
      <c r="AE48">
        <v>2308.19</v>
      </c>
      <c r="AF48" s="48">
        <v>0.82852000000000003</v>
      </c>
      <c r="AG48" s="46">
        <v>45472</v>
      </c>
      <c r="AH48" s="47">
        <v>0.114375</v>
      </c>
      <c r="AI48">
        <v>265422</v>
      </c>
      <c r="AJ48">
        <v>265421</v>
      </c>
      <c r="AK48">
        <v>265422</v>
      </c>
      <c r="AL48">
        <v>265456</v>
      </c>
      <c r="AM48">
        <v>265456</v>
      </c>
      <c r="AN48">
        <v>265455</v>
      </c>
      <c r="AO48">
        <v>265497</v>
      </c>
      <c r="AP48">
        <v>265497</v>
      </c>
      <c r="AQ48">
        <v>265496</v>
      </c>
      <c r="AR48">
        <v>265498</v>
      </c>
      <c r="AS48">
        <v>265498</v>
      </c>
      <c r="AT48">
        <v>265499</v>
      </c>
      <c r="AU48" s="57">
        <f t="shared" si="4"/>
        <v>0.78657599999999994</v>
      </c>
      <c r="AW48">
        <v>4</v>
      </c>
      <c r="AX48" t="s">
        <v>164</v>
      </c>
      <c r="AY48">
        <v>14208</v>
      </c>
      <c r="AZ48">
        <v>64</v>
      </c>
      <c r="BA48">
        <v>1</v>
      </c>
      <c r="BB48">
        <v>4</v>
      </c>
      <c r="BC48">
        <v>1899.47</v>
      </c>
      <c r="BD48" s="42">
        <v>1.0067999999999999</v>
      </c>
      <c r="BE48" s="57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57">
        <f>BS47</f>
        <v>0.99658000000000002</v>
      </c>
    </row>
    <row r="49" spans="1:71" x14ac:dyDescent="0.25">
      <c r="A49">
        <v>0</v>
      </c>
      <c r="B49" t="s">
        <v>164</v>
      </c>
      <c r="C49">
        <v>12672</v>
      </c>
      <c r="D49">
        <v>64</v>
      </c>
      <c r="E49">
        <v>2</v>
      </c>
      <c r="F49">
        <v>2</v>
      </c>
      <c r="G49">
        <v>1319.83</v>
      </c>
      <c r="H49" s="70">
        <v>1.028</v>
      </c>
      <c r="I49" s="42">
        <v>45474</v>
      </c>
      <c r="J49" s="42">
        <v>0.59464120370370366</v>
      </c>
      <c r="K49" s="42">
        <v>138743</v>
      </c>
      <c r="L49" s="42">
        <v>138743</v>
      </c>
      <c r="M49" s="42">
        <v>138743</v>
      </c>
      <c r="N49" s="42">
        <v>138744</v>
      </c>
      <c r="O49" s="42">
        <v>138745</v>
      </c>
      <c r="P49" s="42">
        <v>138745</v>
      </c>
      <c r="Q49" s="42">
        <v>138747</v>
      </c>
      <c r="R49" s="42">
        <v>138746</v>
      </c>
      <c r="S49" s="42">
        <v>138747</v>
      </c>
      <c r="T49" s="42">
        <v>138751</v>
      </c>
      <c r="U49" s="42">
        <v>138752</v>
      </c>
      <c r="V49" s="42">
        <v>138752</v>
      </c>
      <c r="W49" s="57">
        <f>AVERAGE(H49:H53)</f>
        <v>1.0266199999999999</v>
      </c>
      <c r="Y49">
        <v>0</v>
      </c>
      <c r="Z49" t="s">
        <v>164</v>
      </c>
      <c r="AA49">
        <v>12672</v>
      </c>
      <c r="AB49">
        <v>64</v>
      </c>
      <c r="AC49">
        <v>2</v>
      </c>
      <c r="AD49">
        <v>2</v>
      </c>
      <c r="AE49">
        <v>1624.05</v>
      </c>
      <c r="AF49" s="48">
        <v>0.83545000000000003</v>
      </c>
      <c r="AG49" s="46">
        <v>45465</v>
      </c>
      <c r="AH49" s="47">
        <v>0.80385416666666665</v>
      </c>
      <c r="AI49">
        <v>189666</v>
      </c>
      <c r="AJ49">
        <v>189666</v>
      </c>
      <c r="AK49">
        <v>189666</v>
      </c>
      <c r="AL49">
        <v>189667</v>
      </c>
      <c r="AM49">
        <v>189666</v>
      </c>
      <c r="AN49">
        <v>189666</v>
      </c>
      <c r="AO49">
        <v>189667</v>
      </c>
      <c r="AP49">
        <v>189668</v>
      </c>
      <c r="AQ49">
        <v>189668</v>
      </c>
      <c r="AR49">
        <v>189668</v>
      </c>
      <c r="AS49">
        <v>189668</v>
      </c>
      <c r="AT49">
        <v>189669</v>
      </c>
      <c r="AU49" s="57">
        <f t="shared" ref="AU49" si="19">AVERAGE(AF49:AF53)</f>
        <v>0.83278200000000013</v>
      </c>
      <c r="AW49">
        <v>0</v>
      </c>
      <c r="AX49" t="s">
        <v>164</v>
      </c>
      <c r="AY49">
        <v>12672</v>
      </c>
      <c r="AZ49">
        <v>64</v>
      </c>
      <c r="BA49">
        <v>2</v>
      </c>
      <c r="BB49">
        <v>2</v>
      </c>
      <c r="BC49">
        <v>1318.17</v>
      </c>
      <c r="BD49" s="42">
        <v>1.0293000000000001</v>
      </c>
      <c r="BE49" s="57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57">
        <f>AVERAGE(BD49:BD53)</f>
        <v>1.0294599999999998</v>
      </c>
    </row>
    <row r="50" spans="1:71" x14ac:dyDescent="0.25">
      <c r="A50">
        <v>1</v>
      </c>
      <c r="B50" t="s">
        <v>164</v>
      </c>
      <c r="C50">
        <v>12672</v>
      </c>
      <c r="D50">
        <v>64</v>
      </c>
      <c r="E50">
        <v>2</v>
      </c>
      <c r="F50">
        <v>2</v>
      </c>
      <c r="G50">
        <v>1320.95</v>
      </c>
      <c r="H50" s="42">
        <v>1.0271999999999999</v>
      </c>
      <c r="I50" s="42">
        <v>45475</v>
      </c>
      <c r="J50" s="42">
        <v>0.5894907407407407</v>
      </c>
      <c r="K50" s="42">
        <v>138931</v>
      </c>
      <c r="L50" s="42">
        <v>138932</v>
      </c>
      <c r="M50" s="42">
        <v>138932</v>
      </c>
      <c r="N50" s="42">
        <v>138933</v>
      </c>
      <c r="O50" s="42">
        <v>138934</v>
      </c>
      <c r="P50" s="42">
        <v>138933</v>
      </c>
      <c r="Q50" s="42">
        <v>138936</v>
      </c>
      <c r="R50" s="42">
        <v>138935</v>
      </c>
      <c r="S50" s="42">
        <v>138935</v>
      </c>
      <c r="T50" s="42">
        <v>138937</v>
      </c>
      <c r="U50" s="42">
        <v>138937</v>
      </c>
      <c r="V50" s="42">
        <v>138938</v>
      </c>
      <c r="W50" s="57">
        <f>W49</f>
        <v>1.0266199999999999</v>
      </c>
      <c r="Y50">
        <v>1</v>
      </c>
      <c r="Z50" t="s">
        <v>164</v>
      </c>
      <c r="AA50">
        <v>12672</v>
      </c>
      <c r="AB50">
        <v>64</v>
      </c>
      <c r="AC50">
        <v>2</v>
      </c>
      <c r="AD50">
        <v>2</v>
      </c>
      <c r="AE50">
        <v>1624.27</v>
      </c>
      <c r="AF50" s="48">
        <v>0.83533999999999997</v>
      </c>
      <c r="AG50" s="46">
        <v>45467</v>
      </c>
      <c r="AH50" s="47">
        <v>0.19175925925925927</v>
      </c>
      <c r="AI50">
        <v>189675</v>
      </c>
      <c r="AJ50">
        <v>189675</v>
      </c>
      <c r="AK50">
        <v>189674</v>
      </c>
      <c r="AL50">
        <v>189672</v>
      </c>
      <c r="AM50">
        <v>189672</v>
      </c>
      <c r="AN50">
        <v>189672</v>
      </c>
      <c r="AO50">
        <v>189672</v>
      </c>
      <c r="AP50">
        <v>189673</v>
      </c>
      <c r="AQ50">
        <v>189673</v>
      </c>
      <c r="AR50">
        <v>189673</v>
      </c>
      <c r="AS50">
        <v>189674</v>
      </c>
      <c r="AT50">
        <v>189673</v>
      </c>
      <c r="AU50" s="57">
        <f t="shared" ref="AU50" si="20">AU49</f>
        <v>0.83278200000000013</v>
      </c>
      <c r="AW50">
        <v>1</v>
      </c>
      <c r="AX50" t="s">
        <v>164</v>
      </c>
      <c r="AY50">
        <v>12672</v>
      </c>
      <c r="AZ50">
        <v>64</v>
      </c>
      <c r="BA50">
        <v>2</v>
      </c>
      <c r="BB50">
        <v>2</v>
      </c>
      <c r="BC50">
        <v>1318.01</v>
      </c>
      <c r="BD50" s="42">
        <v>1.0294000000000001</v>
      </c>
      <c r="BE50" s="57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57">
        <f>BS49</f>
        <v>1.0294599999999998</v>
      </c>
    </row>
    <row r="51" spans="1:71" x14ac:dyDescent="0.25">
      <c r="A51">
        <v>2</v>
      </c>
      <c r="B51" t="s">
        <v>164</v>
      </c>
      <c r="C51">
        <v>12672</v>
      </c>
      <c r="D51">
        <v>64</v>
      </c>
      <c r="E51">
        <v>2</v>
      </c>
      <c r="F51">
        <v>2</v>
      </c>
      <c r="G51">
        <v>1318.63</v>
      </c>
      <c r="H51" s="42">
        <v>1.0289999999999999</v>
      </c>
      <c r="I51" s="42">
        <v>45476</v>
      </c>
      <c r="J51" s="42">
        <v>0.58158564814814817</v>
      </c>
      <c r="K51" s="42">
        <v>138642</v>
      </c>
      <c r="L51" s="42">
        <v>138641</v>
      </c>
      <c r="M51" s="42">
        <v>138642</v>
      </c>
      <c r="N51" s="42">
        <v>138644</v>
      </c>
      <c r="O51" s="42">
        <v>138645</v>
      </c>
      <c r="P51" s="42">
        <v>138645</v>
      </c>
      <c r="Q51" s="42">
        <v>138642</v>
      </c>
      <c r="R51" s="42">
        <v>138641</v>
      </c>
      <c r="S51" s="42">
        <v>138641</v>
      </c>
      <c r="T51" s="42">
        <v>138642</v>
      </c>
      <c r="U51" s="42">
        <v>138643</v>
      </c>
      <c r="V51" s="42">
        <v>138643</v>
      </c>
      <c r="W51" s="57">
        <f>W50</f>
        <v>1.0266199999999999</v>
      </c>
      <c r="Y51">
        <v>2</v>
      </c>
      <c r="Z51" t="s">
        <v>164</v>
      </c>
      <c r="AA51">
        <v>12672</v>
      </c>
      <c r="AB51">
        <v>64</v>
      </c>
      <c r="AC51">
        <v>2</v>
      </c>
      <c r="AD51">
        <v>2</v>
      </c>
      <c r="AE51">
        <v>1623.52</v>
      </c>
      <c r="AF51" s="48">
        <v>0.83572000000000002</v>
      </c>
      <c r="AG51" s="46">
        <v>45468</v>
      </c>
      <c r="AH51" s="47">
        <v>0.57003472222222218</v>
      </c>
      <c r="AI51">
        <v>189599</v>
      </c>
      <c r="AJ51">
        <v>189600</v>
      </c>
      <c r="AK51">
        <v>189599</v>
      </c>
      <c r="AL51">
        <v>189602</v>
      </c>
      <c r="AM51">
        <v>189601</v>
      </c>
      <c r="AN51">
        <v>189601</v>
      </c>
      <c r="AO51">
        <v>189603</v>
      </c>
      <c r="AP51">
        <v>189603</v>
      </c>
      <c r="AQ51">
        <v>189603</v>
      </c>
      <c r="AR51">
        <v>189605</v>
      </c>
      <c r="AS51">
        <v>189605</v>
      </c>
      <c r="AT51">
        <v>189606</v>
      </c>
      <c r="AU51" s="57">
        <f t="shared" si="4"/>
        <v>0.83278200000000013</v>
      </c>
      <c r="AW51">
        <v>2</v>
      </c>
      <c r="AX51" t="s">
        <v>164</v>
      </c>
      <c r="AY51">
        <v>12672</v>
      </c>
      <c r="AZ51">
        <v>64</v>
      </c>
      <c r="BA51">
        <v>2</v>
      </c>
      <c r="BB51">
        <v>2</v>
      </c>
      <c r="BC51">
        <v>1318.35</v>
      </c>
      <c r="BD51" s="42">
        <v>1.0291999999999999</v>
      </c>
      <c r="BE51" s="57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57">
        <f>BS50</f>
        <v>1.0294599999999998</v>
      </c>
    </row>
    <row r="52" spans="1:71" x14ac:dyDescent="0.25">
      <c r="A52">
        <v>3</v>
      </c>
      <c r="B52" t="s">
        <v>164</v>
      </c>
      <c r="C52">
        <v>12672</v>
      </c>
      <c r="D52">
        <v>64</v>
      </c>
      <c r="E52">
        <v>2</v>
      </c>
      <c r="F52">
        <v>2</v>
      </c>
      <c r="G52">
        <v>1320.15</v>
      </c>
      <c r="H52" s="42">
        <v>1.0278</v>
      </c>
      <c r="I52" s="42">
        <v>45477</v>
      </c>
      <c r="J52" s="42">
        <v>0.5697106481481482</v>
      </c>
      <c r="K52" s="42">
        <v>138846</v>
      </c>
      <c r="L52" s="42">
        <v>138847</v>
      </c>
      <c r="M52" s="42">
        <v>138846</v>
      </c>
      <c r="N52" s="42">
        <v>138847</v>
      </c>
      <c r="O52" s="42">
        <v>138847</v>
      </c>
      <c r="P52" s="42">
        <v>138848</v>
      </c>
      <c r="Q52" s="42">
        <v>138848</v>
      </c>
      <c r="R52" s="42">
        <v>138847</v>
      </c>
      <c r="S52" s="42">
        <v>138848</v>
      </c>
      <c r="T52" s="42">
        <v>138849</v>
      </c>
      <c r="U52" s="42">
        <v>138849</v>
      </c>
      <c r="V52" s="42">
        <v>138849</v>
      </c>
      <c r="W52" s="57">
        <f>W51</f>
        <v>1.0266199999999999</v>
      </c>
      <c r="Y52">
        <v>3</v>
      </c>
      <c r="Z52" t="s">
        <v>164</v>
      </c>
      <c r="AA52">
        <v>12672</v>
      </c>
      <c r="AB52">
        <v>64</v>
      </c>
      <c r="AC52">
        <v>2</v>
      </c>
      <c r="AD52">
        <v>2</v>
      </c>
      <c r="AE52">
        <v>1623.44</v>
      </c>
      <c r="AF52" s="48">
        <v>0.83577000000000001</v>
      </c>
      <c r="AG52" s="46">
        <v>45469</v>
      </c>
      <c r="AH52" s="47">
        <v>0.93721064814814814</v>
      </c>
      <c r="AI52">
        <v>189587</v>
      </c>
      <c r="AJ52">
        <v>189587</v>
      </c>
      <c r="AK52">
        <v>189586</v>
      </c>
      <c r="AL52">
        <v>189588</v>
      </c>
      <c r="AM52">
        <v>189588</v>
      </c>
      <c r="AN52">
        <v>189587</v>
      </c>
      <c r="AO52">
        <v>189593</v>
      </c>
      <c r="AP52">
        <v>189593</v>
      </c>
      <c r="AQ52">
        <v>189593</v>
      </c>
      <c r="AR52">
        <v>189593</v>
      </c>
      <c r="AS52">
        <v>189594</v>
      </c>
      <c r="AT52">
        <v>189594</v>
      </c>
      <c r="AU52" s="57">
        <f t="shared" si="4"/>
        <v>0.83278200000000013</v>
      </c>
      <c r="AW52">
        <v>3</v>
      </c>
      <c r="AX52" t="s">
        <v>164</v>
      </c>
      <c r="AY52">
        <v>12672</v>
      </c>
      <c r="AZ52">
        <v>64</v>
      </c>
      <c r="BA52">
        <v>2</v>
      </c>
      <c r="BB52">
        <v>2</v>
      </c>
      <c r="BC52">
        <v>1318.31</v>
      </c>
      <c r="BD52" s="42">
        <v>1.0291999999999999</v>
      </c>
      <c r="BE52" s="57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57">
        <f>BS51</f>
        <v>1.0294599999999998</v>
      </c>
    </row>
    <row r="53" spans="1:71" x14ac:dyDescent="0.25">
      <c r="A53">
        <v>4</v>
      </c>
      <c r="B53" t="s">
        <v>164</v>
      </c>
      <c r="C53">
        <v>12672</v>
      </c>
      <c r="D53">
        <v>64</v>
      </c>
      <c r="E53">
        <v>2</v>
      </c>
      <c r="F53">
        <v>2</v>
      </c>
      <c r="G53">
        <v>1328.73</v>
      </c>
      <c r="H53" s="42">
        <v>1.0210999999999999</v>
      </c>
      <c r="I53" s="42">
        <v>45478</v>
      </c>
      <c r="J53" s="42">
        <v>0.55085648148148147</v>
      </c>
      <c r="K53" s="42">
        <v>139686</v>
      </c>
      <c r="L53" s="42">
        <v>139687</v>
      </c>
      <c r="M53" s="42">
        <v>139686</v>
      </c>
      <c r="N53" s="42">
        <v>139691</v>
      </c>
      <c r="O53" s="42">
        <v>139691</v>
      </c>
      <c r="P53" s="42">
        <v>139692</v>
      </c>
      <c r="Q53" s="42">
        <v>139694</v>
      </c>
      <c r="R53" s="42">
        <v>139693</v>
      </c>
      <c r="S53" s="42">
        <v>139694</v>
      </c>
      <c r="T53" s="42">
        <v>139695</v>
      </c>
      <c r="U53" s="42">
        <v>139696</v>
      </c>
      <c r="V53" s="42">
        <v>139696</v>
      </c>
      <c r="W53" s="57">
        <f>W52</f>
        <v>1.0266199999999999</v>
      </c>
      <c r="Y53">
        <v>4</v>
      </c>
      <c r="Z53" t="s">
        <v>164</v>
      </c>
      <c r="AA53">
        <v>12672</v>
      </c>
      <c r="AB53">
        <v>64</v>
      </c>
      <c r="AC53">
        <v>2</v>
      </c>
      <c r="AD53">
        <v>2</v>
      </c>
      <c r="AE53">
        <v>1651.37</v>
      </c>
      <c r="AF53" s="48">
        <v>0.82162999999999997</v>
      </c>
      <c r="AG53" s="46">
        <v>45471</v>
      </c>
      <c r="AH53" s="47">
        <v>0.28892361111111109</v>
      </c>
      <c r="AI53">
        <v>192709</v>
      </c>
      <c r="AJ53">
        <v>192709</v>
      </c>
      <c r="AK53">
        <v>192709</v>
      </c>
      <c r="AL53">
        <v>192710</v>
      </c>
      <c r="AM53">
        <v>192709</v>
      </c>
      <c r="AN53">
        <v>192710</v>
      </c>
      <c r="AO53">
        <v>192720</v>
      </c>
      <c r="AP53">
        <v>192720</v>
      </c>
      <c r="AQ53">
        <v>192720</v>
      </c>
      <c r="AR53">
        <v>192721</v>
      </c>
      <c r="AS53">
        <v>192721</v>
      </c>
      <c r="AT53">
        <v>192722</v>
      </c>
      <c r="AU53" s="57">
        <f t="shared" si="4"/>
        <v>0.83278200000000013</v>
      </c>
      <c r="AW53">
        <v>4</v>
      </c>
      <c r="AX53" t="s">
        <v>164</v>
      </c>
      <c r="AY53">
        <v>12672</v>
      </c>
      <c r="AZ53">
        <v>64</v>
      </c>
      <c r="BA53">
        <v>2</v>
      </c>
      <c r="BB53">
        <v>2</v>
      </c>
      <c r="BC53">
        <v>1317.01</v>
      </c>
      <c r="BD53" s="42">
        <v>1.0302</v>
      </c>
      <c r="BE53" s="57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57">
        <f>BS52</f>
        <v>1.0294599999999998</v>
      </c>
    </row>
    <row r="54" spans="1:71" x14ac:dyDescent="0.25">
      <c r="A54">
        <v>0</v>
      </c>
      <c r="B54" t="s">
        <v>164</v>
      </c>
      <c r="C54">
        <v>13440</v>
      </c>
      <c r="D54">
        <v>64</v>
      </c>
      <c r="E54">
        <v>2</v>
      </c>
      <c r="F54">
        <v>2</v>
      </c>
      <c r="G54">
        <v>1560.13</v>
      </c>
      <c r="H54" s="70">
        <v>1.0376000000000001</v>
      </c>
      <c r="I54" s="42">
        <v>45474</v>
      </c>
      <c r="J54" s="42">
        <v>0.8772685185185185</v>
      </c>
      <c r="K54" s="42">
        <v>163606</v>
      </c>
      <c r="L54" s="42">
        <v>163606</v>
      </c>
      <c r="M54" s="42">
        <v>163606</v>
      </c>
      <c r="N54" s="42">
        <v>163606</v>
      </c>
      <c r="O54" s="42">
        <v>163607</v>
      </c>
      <c r="P54" s="42">
        <v>163607</v>
      </c>
      <c r="Q54" s="42">
        <v>163629</v>
      </c>
      <c r="R54" s="42">
        <v>163628</v>
      </c>
      <c r="S54" s="42">
        <v>163629</v>
      </c>
      <c r="T54" s="42">
        <v>163631</v>
      </c>
      <c r="U54" s="42">
        <v>163631</v>
      </c>
      <c r="V54" s="42">
        <v>163631</v>
      </c>
      <c r="W54" s="57">
        <f>AVERAGE(H54:H58)</f>
        <v>1.0367600000000001</v>
      </c>
      <c r="Y54">
        <v>0</v>
      </c>
      <c r="Z54" t="s">
        <v>164</v>
      </c>
      <c r="AA54">
        <v>13440</v>
      </c>
      <c r="AB54">
        <v>64</v>
      </c>
      <c r="AC54">
        <v>2</v>
      </c>
      <c r="AD54">
        <v>2</v>
      </c>
      <c r="AE54">
        <v>1920.24</v>
      </c>
      <c r="AF54" s="48">
        <v>0.84299000000000002</v>
      </c>
      <c r="AG54" s="46">
        <v>45466</v>
      </c>
      <c r="AH54" s="47">
        <v>0.1925462962962963</v>
      </c>
      <c r="AI54">
        <v>222605</v>
      </c>
      <c r="AJ54">
        <v>222606</v>
      </c>
      <c r="AK54">
        <v>222605</v>
      </c>
      <c r="AL54">
        <v>222608</v>
      </c>
      <c r="AM54">
        <v>222608</v>
      </c>
      <c r="AN54">
        <v>222608</v>
      </c>
      <c r="AO54">
        <v>222609</v>
      </c>
      <c r="AP54">
        <v>222610</v>
      </c>
      <c r="AQ54">
        <v>222610</v>
      </c>
      <c r="AR54">
        <v>222619</v>
      </c>
      <c r="AS54">
        <v>222618</v>
      </c>
      <c r="AT54">
        <v>222618</v>
      </c>
      <c r="AU54" s="57">
        <f t="shared" ref="AU54" si="21">AVERAGE(AF54:AF58)</f>
        <v>0.83976600000000001</v>
      </c>
      <c r="AW54">
        <v>0</v>
      </c>
      <c r="AX54" t="s">
        <v>164</v>
      </c>
      <c r="AY54">
        <v>13440</v>
      </c>
      <c r="AZ54">
        <v>64</v>
      </c>
      <c r="BA54">
        <v>2</v>
      </c>
      <c r="BB54">
        <v>2</v>
      </c>
      <c r="BC54">
        <v>1559.91</v>
      </c>
      <c r="BD54" s="42">
        <v>1.0377000000000001</v>
      </c>
      <c r="BE54" s="57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  <c r="BS54" s="57">
        <f>AVERAGE(BD54:BD58)</f>
        <v>1.0350199999999998</v>
      </c>
    </row>
    <row r="55" spans="1:71" x14ac:dyDescent="0.25">
      <c r="A55">
        <v>1</v>
      </c>
      <c r="B55" t="s">
        <v>164</v>
      </c>
      <c r="C55">
        <v>13440</v>
      </c>
      <c r="D55">
        <v>64</v>
      </c>
      <c r="E55">
        <v>2</v>
      </c>
      <c r="F55">
        <v>2</v>
      </c>
      <c r="G55">
        <v>1558.16</v>
      </c>
      <c r="H55" s="42">
        <v>1.0388999999999999</v>
      </c>
      <c r="I55" s="42">
        <v>45475</v>
      </c>
      <c r="J55" s="42">
        <v>0.87214120370370374</v>
      </c>
      <c r="K55" s="42">
        <v>163421</v>
      </c>
      <c r="L55" s="42">
        <v>163422</v>
      </c>
      <c r="M55" s="42">
        <v>163421</v>
      </c>
      <c r="N55" s="42">
        <v>163419</v>
      </c>
      <c r="O55" s="42">
        <v>163418</v>
      </c>
      <c r="P55" s="42">
        <v>163419</v>
      </c>
      <c r="Q55" s="42">
        <v>163421</v>
      </c>
      <c r="R55" s="42">
        <v>163420</v>
      </c>
      <c r="S55" s="42">
        <v>163421</v>
      </c>
      <c r="T55" s="42">
        <v>163419</v>
      </c>
      <c r="U55" s="42">
        <v>163418</v>
      </c>
      <c r="V55" s="42">
        <v>163418</v>
      </c>
      <c r="W55" s="57">
        <f>W54</f>
        <v>1.0367600000000001</v>
      </c>
      <c r="Y55">
        <v>1</v>
      </c>
      <c r="Z55" t="s">
        <v>164</v>
      </c>
      <c r="AA55">
        <v>13440</v>
      </c>
      <c r="AB55">
        <v>64</v>
      </c>
      <c r="AC55">
        <v>2</v>
      </c>
      <c r="AD55">
        <v>2</v>
      </c>
      <c r="AE55">
        <v>1924.74</v>
      </c>
      <c r="AF55" s="48">
        <v>0.84101999999999999</v>
      </c>
      <c r="AG55" s="46">
        <v>45467</v>
      </c>
      <c r="AH55" s="47">
        <v>0.58160879629629625</v>
      </c>
      <c r="AI55">
        <v>223027</v>
      </c>
      <c r="AJ55">
        <v>223028</v>
      </c>
      <c r="AK55">
        <v>223027</v>
      </c>
      <c r="AL55">
        <v>223030</v>
      </c>
      <c r="AM55">
        <v>223029</v>
      </c>
      <c r="AN55">
        <v>223030</v>
      </c>
      <c r="AO55">
        <v>223026</v>
      </c>
      <c r="AP55">
        <v>223026</v>
      </c>
      <c r="AQ55">
        <v>223027</v>
      </c>
      <c r="AR55">
        <v>223023</v>
      </c>
      <c r="AS55">
        <v>223023</v>
      </c>
      <c r="AT55">
        <v>223023</v>
      </c>
      <c r="AU55" s="57">
        <f t="shared" ref="AU55" si="22">AU54</f>
        <v>0.83976600000000001</v>
      </c>
      <c r="AW55">
        <v>1</v>
      </c>
      <c r="AX55" t="s">
        <v>164</v>
      </c>
      <c r="AY55">
        <v>13440</v>
      </c>
      <c r="AZ55">
        <v>64</v>
      </c>
      <c r="BA55">
        <v>2</v>
      </c>
      <c r="BB55">
        <v>2</v>
      </c>
      <c r="BC55">
        <v>1572.6</v>
      </c>
      <c r="BD55" s="42">
        <v>1.0293000000000001</v>
      </c>
      <c r="BE55" s="57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57">
        <f>BS54</f>
        <v>1.0350199999999998</v>
      </c>
    </row>
    <row r="56" spans="1:71" x14ac:dyDescent="0.25">
      <c r="A56">
        <v>2</v>
      </c>
      <c r="B56" t="s">
        <v>164</v>
      </c>
      <c r="C56">
        <v>13440</v>
      </c>
      <c r="D56">
        <v>64</v>
      </c>
      <c r="E56">
        <v>2</v>
      </c>
      <c r="F56">
        <v>2</v>
      </c>
      <c r="G56">
        <v>1560.39</v>
      </c>
      <c r="H56" s="42">
        <v>1.0374000000000001</v>
      </c>
      <c r="I56" s="42">
        <v>45476</v>
      </c>
      <c r="J56" s="42">
        <v>0.86447916666666669</v>
      </c>
      <c r="K56" s="42">
        <v>163620</v>
      </c>
      <c r="L56" s="42">
        <v>163620</v>
      </c>
      <c r="M56" s="42">
        <v>163620</v>
      </c>
      <c r="N56" s="42">
        <v>163621</v>
      </c>
      <c r="O56" s="42">
        <v>163622</v>
      </c>
      <c r="P56" s="42">
        <v>163622</v>
      </c>
      <c r="Q56" s="42">
        <v>163618</v>
      </c>
      <c r="R56" s="42">
        <v>163618</v>
      </c>
      <c r="S56" s="42">
        <v>163618</v>
      </c>
      <c r="T56" s="42">
        <v>163623</v>
      </c>
      <c r="U56" s="42">
        <v>163624</v>
      </c>
      <c r="V56" s="42">
        <v>163623</v>
      </c>
      <c r="W56" s="57">
        <f>W55</f>
        <v>1.0367600000000001</v>
      </c>
      <c r="Y56">
        <v>2</v>
      </c>
      <c r="Z56" t="s">
        <v>164</v>
      </c>
      <c r="AA56">
        <v>13440</v>
      </c>
      <c r="AB56">
        <v>64</v>
      </c>
      <c r="AC56">
        <v>2</v>
      </c>
      <c r="AD56">
        <v>2</v>
      </c>
      <c r="AE56">
        <v>1937.08</v>
      </c>
      <c r="AF56" s="48">
        <v>0.83567000000000002</v>
      </c>
      <c r="AG56" s="46">
        <v>45468</v>
      </c>
      <c r="AH56" s="47">
        <v>0.95943287037037039</v>
      </c>
      <c r="AI56">
        <v>224274</v>
      </c>
      <c r="AJ56">
        <v>224274</v>
      </c>
      <c r="AK56">
        <v>224273</v>
      </c>
      <c r="AL56">
        <v>224276</v>
      </c>
      <c r="AM56">
        <v>224276</v>
      </c>
      <c r="AN56">
        <v>224275</v>
      </c>
      <c r="AO56">
        <v>224278</v>
      </c>
      <c r="AP56">
        <v>224278</v>
      </c>
      <c r="AQ56">
        <v>224278</v>
      </c>
      <c r="AR56">
        <v>224301</v>
      </c>
      <c r="AS56">
        <v>224301</v>
      </c>
      <c r="AT56">
        <v>224301</v>
      </c>
      <c r="AU56" s="57">
        <f t="shared" si="4"/>
        <v>0.83976600000000001</v>
      </c>
      <c r="AW56">
        <v>2</v>
      </c>
      <c r="AX56" t="s">
        <v>164</v>
      </c>
      <c r="AY56">
        <v>13440</v>
      </c>
      <c r="AZ56">
        <v>64</v>
      </c>
      <c r="BA56">
        <v>2</v>
      </c>
      <c r="BB56">
        <v>2</v>
      </c>
      <c r="BC56">
        <v>1574.42</v>
      </c>
      <c r="BD56" s="42">
        <v>1.0282</v>
      </c>
      <c r="BE56" s="57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57">
        <f>BS55</f>
        <v>1.0350199999999998</v>
      </c>
    </row>
    <row r="57" spans="1:71" x14ac:dyDescent="0.25">
      <c r="A57">
        <v>3</v>
      </c>
      <c r="B57" t="s">
        <v>164</v>
      </c>
      <c r="C57">
        <v>13440</v>
      </c>
      <c r="D57">
        <v>64</v>
      </c>
      <c r="E57">
        <v>2</v>
      </c>
      <c r="F57">
        <v>2</v>
      </c>
      <c r="G57">
        <v>1558.96</v>
      </c>
      <c r="H57" s="42">
        <v>1.0384</v>
      </c>
      <c r="I57" s="42">
        <v>45477</v>
      </c>
      <c r="J57" s="42">
        <v>0.85238425925925931</v>
      </c>
      <c r="K57" s="42">
        <v>163449</v>
      </c>
      <c r="L57" s="42">
        <v>163449</v>
      </c>
      <c r="M57" s="42">
        <v>163449</v>
      </c>
      <c r="N57" s="42">
        <v>163455</v>
      </c>
      <c r="O57" s="42">
        <v>163455</v>
      </c>
      <c r="P57" s="42">
        <v>163455</v>
      </c>
      <c r="Q57" s="42">
        <v>163456</v>
      </c>
      <c r="R57" s="42">
        <v>163456</v>
      </c>
      <c r="S57" s="42">
        <v>163455</v>
      </c>
      <c r="T57" s="42">
        <v>163458</v>
      </c>
      <c r="U57" s="42">
        <v>163459</v>
      </c>
      <c r="V57" s="42">
        <v>163459</v>
      </c>
      <c r="W57" s="57">
        <f>W56</f>
        <v>1.0367600000000001</v>
      </c>
      <c r="Y57">
        <v>3</v>
      </c>
      <c r="Z57" t="s">
        <v>164</v>
      </c>
      <c r="AA57">
        <v>13440</v>
      </c>
      <c r="AB57">
        <v>64</v>
      </c>
      <c r="AC57">
        <v>2</v>
      </c>
      <c r="AD57">
        <v>2</v>
      </c>
      <c r="AE57">
        <v>1933.78</v>
      </c>
      <c r="AF57" s="48">
        <v>0.83709</v>
      </c>
      <c r="AG57" s="46">
        <v>45470</v>
      </c>
      <c r="AH57" s="47">
        <v>0.32336805555555553</v>
      </c>
      <c r="AI57">
        <v>224057</v>
      </c>
      <c r="AJ57">
        <v>224056</v>
      </c>
      <c r="AK57">
        <v>224057</v>
      </c>
      <c r="AL57">
        <v>224059</v>
      </c>
      <c r="AM57">
        <v>224059</v>
      </c>
      <c r="AN57">
        <v>224059</v>
      </c>
      <c r="AO57">
        <v>224073</v>
      </c>
      <c r="AP57">
        <v>224073</v>
      </c>
      <c r="AQ57">
        <v>224073</v>
      </c>
      <c r="AR57">
        <v>224074</v>
      </c>
      <c r="AS57">
        <v>224075</v>
      </c>
      <c r="AT57">
        <v>224074</v>
      </c>
      <c r="AU57" s="57">
        <f t="shared" si="4"/>
        <v>0.83976600000000001</v>
      </c>
      <c r="AW57">
        <v>3</v>
      </c>
      <c r="AX57" t="s">
        <v>164</v>
      </c>
      <c r="AY57">
        <v>13440</v>
      </c>
      <c r="AZ57">
        <v>64</v>
      </c>
      <c r="BA57">
        <v>2</v>
      </c>
      <c r="BB57">
        <v>2</v>
      </c>
      <c r="BC57">
        <v>1556.8</v>
      </c>
      <c r="BD57" s="42">
        <v>1.0398000000000001</v>
      </c>
      <c r="BE57" s="57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57">
        <f>BS56</f>
        <v>1.0350199999999998</v>
      </c>
    </row>
    <row r="58" spans="1:71" x14ac:dyDescent="0.25">
      <c r="A58">
        <v>4</v>
      </c>
      <c r="B58" t="s">
        <v>164</v>
      </c>
      <c r="C58">
        <v>13440</v>
      </c>
      <c r="D58">
        <v>64</v>
      </c>
      <c r="E58">
        <v>2</v>
      </c>
      <c r="F58">
        <v>2</v>
      </c>
      <c r="G58">
        <v>1569.37</v>
      </c>
      <c r="H58" s="42">
        <v>1.0315000000000001</v>
      </c>
      <c r="I58" s="42">
        <v>45478</v>
      </c>
      <c r="J58" s="42">
        <v>0.83353009259259259</v>
      </c>
      <c r="K58" s="42">
        <v>164627</v>
      </c>
      <c r="L58" s="42">
        <v>164628</v>
      </c>
      <c r="M58" s="42">
        <v>164627</v>
      </c>
      <c r="N58" s="42">
        <v>164658</v>
      </c>
      <c r="O58" s="42">
        <v>164659</v>
      </c>
      <c r="P58" s="42">
        <v>164659</v>
      </c>
      <c r="Q58" s="42">
        <v>164660</v>
      </c>
      <c r="R58" s="42">
        <v>164660</v>
      </c>
      <c r="S58" s="42">
        <v>164659</v>
      </c>
      <c r="T58" s="42">
        <v>164661</v>
      </c>
      <c r="U58" s="42">
        <v>164661</v>
      </c>
      <c r="V58" s="42">
        <v>164662</v>
      </c>
      <c r="W58" s="57">
        <f>W57</f>
        <v>1.0367600000000001</v>
      </c>
      <c r="Y58">
        <v>4</v>
      </c>
      <c r="Z58" t="s">
        <v>164</v>
      </c>
      <c r="AA58">
        <v>13440</v>
      </c>
      <c r="AB58">
        <v>64</v>
      </c>
      <c r="AC58">
        <v>2</v>
      </c>
      <c r="AD58">
        <v>2</v>
      </c>
      <c r="AE58">
        <v>1922.36</v>
      </c>
      <c r="AF58" s="48">
        <v>0.84206000000000003</v>
      </c>
      <c r="AG58" s="46">
        <v>45471</v>
      </c>
      <c r="AH58" s="47">
        <v>0.6814351851851852</v>
      </c>
      <c r="AI58">
        <v>222798</v>
      </c>
      <c r="AJ58">
        <v>222798</v>
      </c>
      <c r="AK58">
        <v>222799</v>
      </c>
      <c r="AL58">
        <v>222800</v>
      </c>
      <c r="AM58">
        <v>222799</v>
      </c>
      <c r="AN58">
        <v>222800</v>
      </c>
      <c r="AO58">
        <v>222800</v>
      </c>
      <c r="AP58">
        <v>222801</v>
      </c>
      <c r="AQ58">
        <v>222800</v>
      </c>
      <c r="AR58">
        <v>222801</v>
      </c>
      <c r="AS58">
        <v>222801</v>
      </c>
      <c r="AT58">
        <v>222802</v>
      </c>
      <c r="AU58" s="57">
        <f t="shared" si="4"/>
        <v>0.83976600000000001</v>
      </c>
      <c r="AW58">
        <v>4</v>
      </c>
      <c r="AX58" t="s">
        <v>164</v>
      </c>
      <c r="AY58">
        <v>13440</v>
      </c>
      <c r="AZ58">
        <v>64</v>
      </c>
      <c r="BA58">
        <v>2</v>
      </c>
      <c r="BB58">
        <v>2</v>
      </c>
      <c r="BC58">
        <v>1556.36</v>
      </c>
      <c r="BD58" s="42">
        <v>1.0401</v>
      </c>
      <c r="BE58" s="57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57">
        <f>BS57</f>
        <v>1.0350199999999998</v>
      </c>
    </row>
    <row r="59" spans="1:71" x14ac:dyDescent="0.25">
      <c r="A59">
        <v>0</v>
      </c>
      <c r="B59" t="s">
        <v>164</v>
      </c>
      <c r="C59">
        <v>14208</v>
      </c>
      <c r="D59">
        <v>64</v>
      </c>
      <c r="E59">
        <v>2</v>
      </c>
      <c r="F59">
        <v>2</v>
      </c>
      <c r="G59">
        <v>1832.34</v>
      </c>
      <c r="H59" s="70">
        <v>1.0437000000000001</v>
      </c>
      <c r="I59" s="42">
        <v>45475</v>
      </c>
      <c r="J59" s="42">
        <v>0.21361111111111111</v>
      </c>
      <c r="K59" s="42">
        <v>193099</v>
      </c>
      <c r="L59" s="42">
        <v>193099</v>
      </c>
      <c r="M59" s="42">
        <v>193100</v>
      </c>
      <c r="N59" s="42">
        <v>193145</v>
      </c>
      <c r="O59" s="42">
        <v>193144</v>
      </c>
      <c r="P59" s="42">
        <v>193144</v>
      </c>
      <c r="Q59" s="42">
        <v>193193</v>
      </c>
      <c r="R59" s="42">
        <v>193193</v>
      </c>
      <c r="S59" s="42">
        <v>193193</v>
      </c>
      <c r="T59" s="42">
        <v>193243</v>
      </c>
      <c r="U59" s="42">
        <v>193243</v>
      </c>
      <c r="V59" s="42">
        <v>193242</v>
      </c>
      <c r="W59" s="57">
        <f>AVERAGE(H59:H63)</f>
        <v>1.0358000000000001</v>
      </c>
      <c r="Y59">
        <v>0</v>
      </c>
      <c r="Z59" t="s">
        <v>164</v>
      </c>
      <c r="AA59">
        <v>14208</v>
      </c>
      <c r="AB59">
        <v>64</v>
      </c>
      <c r="AC59">
        <v>2</v>
      </c>
      <c r="AD59">
        <v>2</v>
      </c>
      <c r="AE59">
        <v>2748.67</v>
      </c>
      <c r="AF59" s="48">
        <v>0.69574999999999998</v>
      </c>
      <c r="AG59" s="46">
        <v>45466</v>
      </c>
      <c r="AH59" s="47">
        <v>0.66469907407407403</v>
      </c>
      <c r="AI59">
        <v>309291</v>
      </c>
      <c r="AJ59">
        <v>309292</v>
      </c>
      <c r="AK59">
        <v>309291</v>
      </c>
      <c r="AL59">
        <v>309340</v>
      </c>
      <c r="AM59">
        <v>309340</v>
      </c>
      <c r="AN59">
        <v>309340</v>
      </c>
      <c r="AO59">
        <v>309379</v>
      </c>
      <c r="AP59">
        <v>309379</v>
      </c>
      <c r="AQ59">
        <v>309378</v>
      </c>
      <c r="AR59">
        <v>309465</v>
      </c>
      <c r="AS59">
        <v>309466</v>
      </c>
      <c r="AT59">
        <v>309466</v>
      </c>
      <c r="AU59" s="57">
        <f t="shared" ref="AU59" si="23">AVERAGE(AF59:AF63)</f>
        <v>0.76187399999999994</v>
      </c>
      <c r="AW59">
        <v>0</v>
      </c>
      <c r="AX59" s="43" t="s">
        <v>164</v>
      </c>
      <c r="AY59" s="43">
        <v>14208</v>
      </c>
      <c r="AZ59" s="43">
        <v>64</v>
      </c>
      <c r="BA59" s="43">
        <v>2</v>
      </c>
      <c r="BB59" s="43">
        <v>2</v>
      </c>
      <c r="BC59" s="43">
        <v>1851.25</v>
      </c>
      <c r="BD59" s="44">
        <v>1.0329999999999999</v>
      </c>
      <c r="BE59" s="57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57">
        <f>AVERAGE(BD59:BD63)</f>
        <v>1.0353999999999999</v>
      </c>
    </row>
    <row r="60" spans="1:71" x14ac:dyDescent="0.25">
      <c r="A60">
        <v>1</v>
      </c>
      <c r="B60" t="s">
        <v>164</v>
      </c>
      <c r="C60">
        <v>14208</v>
      </c>
      <c r="D60">
        <v>64</v>
      </c>
      <c r="E60">
        <v>2</v>
      </c>
      <c r="F60">
        <v>2</v>
      </c>
      <c r="G60">
        <v>1853.57</v>
      </c>
      <c r="H60" s="42">
        <v>1.0317000000000001</v>
      </c>
      <c r="I60" s="42">
        <v>45476</v>
      </c>
      <c r="J60" s="42">
        <v>0.20906250000000001</v>
      </c>
      <c r="K60" s="42">
        <v>194004</v>
      </c>
      <c r="L60" s="42">
        <v>194004</v>
      </c>
      <c r="M60" s="42">
        <v>194003</v>
      </c>
      <c r="N60" s="42">
        <v>194057</v>
      </c>
      <c r="O60" s="42">
        <v>194057</v>
      </c>
      <c r="P60" s="42">
        <v>194057</v>
      </c>
      <c r="Q60" s="42">
        <v>194109</v>
      </c>
      <c r="R60" s="42">
        <v>194109</v>
      </c>
      <c r="S60" s="42">
        <v>194109</v>
      </c>
      <c r="T60" s="42">
        <v>194171</v>
      </c>
      <c r="U60" s="42">
        <v>194171</v>
      </c>
      <c r="V60" s="42">
        <v>194171</v>
      </c>
      <c r="W60" s="57">
        <f>W59</f>
        <v>1.0358000000000001</v>
      </c>
      <c r="Y60">
        <v>1</v>
      </c>
      <c r="Z60" t="s">
        <v>164</v>
      </c>
      <c r="AA60">
        <v>14208</v>
      </c>
      <c r="AB60">
        <v>64</v>
      </c>
      <c r="AC60">
        <v>2</v>
      </c>
      <c r="AD60">
        <v>2</v>
      </c>
      <c r="AE60">
        <v>2445.34</v>
      </c>
      <c r="AF60" s="48">
        <v>0.78205999999999998</v>
      </c>
      <c r="AG60" s="46">
        <v>45468</v>
      </c>
      <c r="AH60" s="47">
        <v>4.8819444444444443E-2</v>
      </c>
      <c r="AI60">
        <v>278866</v>
      </c>
      <c r="AJ60">
        <v>278862</v>
      </c>
      <c r="AK60">
        <v>278862</v>
      </c>
      <c r="AL60">
        <v>278899</v>
      </c>
      <c r="AM60">
        <v>278899</v>
      </c>
      <c r="AN60">
        <v>278899</v>
      </c>
      <c r="AO60">
        <v>278925</v>
      </c>
      <c r="AP60">
        <v>278925</v>
      </c>
      <c r="AQ60">
        <v>278925</v>
      </c>
      <c r="AR60">
        <v>278981</v>
      </c>
      <c r="AS60">
        <v>278981</v>
      </c>
      <c r="AT60">
        <v>278981</v>
      </c>
      <c r="AU60" s="57">
        <f t="shared" ref="AU60" si="24">AU59</f>
        <v>0.76187399999999994</v>
      </c>
      <c r="AW60">
        <v>1</v>
      </c>
      <c r="AX60" s="43" t="s">
        <v>164</v>
      </c>
      <c r="AY60" s="43">
        <v>14208</v>
      </c>
      <c r="AZ60" s="43">
        <v>64</v>
      </c>
      <c r="BA60" s="43">
        <v>2</v>
      </c>
      <c r="BB60" s="43">
        <v>2</v>
      </c>
      <c r="BC60" s="43">
        <v>1851.71</v>
      </c>
      <c r="BD60" s="44">
        <v>1.0327999999999999</v>
      </c>
      <c r="BE60" s="57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57">
        <f>BS59</f>
        <v>1.0353999999999999</v>
      </c>
    </row>
    <row r="61" spans="1:71" x14ac:dyDescent="0.25">
      <c r="A61">
        <v>2</v>
      </c>
      <c r="B61" t="s">
        <v>164</v>
      </c>
      <c r="C61">
        <v>14208</v>
      </c>
      <c r="D61">
        <v>64</v>
      </c>
      <c r="E61">
        <v>2</v>
      </c>
      <c r="F61">
        <v>2</v>
      </c>
      <c r="G61">
        <v>1845.67</v>
      </c>
      <c r="H61" s="42">
        <v>1.0361</v>
      </c>
      <c r="I61" s="42">
        <v>45477</v>
      </c>
      <c r="J61" s="42">
        <v>0.20109953703703703</v>
      </c>
      <c r="K61" s="42">
        <v>193257</v>
      </c>
      <c r="L61" s="42">
        <v>193257</v>
      </c>
      <c r="M61" s="42">
        <v>193257</v>
      </c>
      <c r="N61" s="42">
        <v>193318</v>
      </c>
      <c r="O61" s="42">
        <v>193317</v>
      </c>
      <c r="P61" s="42">
        <v>193317</v>
      </c>
      <c r="Q61" s="42">
        <v>193384</v>
      </c>
      <c r="R61" s="42">
        <v>193384</v>
      </c>
      <c r="S61" s="42">
        <v>193384</v>
      </c>
      <c r="T61" s="42">
        <v>193442</v>
      </c>
      <c r="U61" s="42">
        <v>193442</v>
      </c>
      <c r="V61" s="42">
        <v>193442</v>
      </c>
      <c r="W61" s="57">
        <f>W60</f>
        <v>1.0358000000000001</v>
      </c>
      <c r="Y61">
        <v>2</v>
      </c>
      <c r="Z61" t="s">
        <v>164</v>
      </c>
      <c r="AA61">
        <v>14208</v>
      </c>
      <c r="AB61">
        <v>64</v>
      </c>
      <c r="AC61">
        <v>2</v>
      </c>
      <c r="AD61">
        <v>2</v>
      </c>
      <c r="AE61">
        <v>2558.1</v>
      </c>
      <c r="AF61" s="48">
        <v>0.74758000000000002</v>
      </c>
      <c r="AG61" s="46">
        <v>45469</v>
      </c>
      <c r="AH61" s="47">
        <v>0.42357638888888888</v>
      </c>
      <c r="AI61">
        <v>291311</v>
      </c>
      <c r="AJ61">
        <v>291310</v>
      </c>
      <c r="AK61">
        <v>291310</v>
      </c>
      <c r="AL61">
        <v>291363</v>
      </c>
      <c r="AM61">
        <v>291362</v>
      </c>
      <c r="AN61">
        <v>291362</v>
      </c>
      <c r="AO61">
        <v>291414</v>
      </c>
      <c r="AP61">
        <v>291414</v>
      </c>
      <c r="AQ61">
        <v>291413</v>
      </c>
      <c r="AR61">
        <v>291478</v>
      </c>
      <c r="AS61">
        <v>291478</v>
      </c>
      <c r="AT61">
        <v>291478</v>
      </c>
      <c r="AU61" s="57">
        <f t="shared" si="4"/>
        <v>0.76187399999999994</v>
      </c>
      <c r="AW61">
        <v>2</v>
      </c>
      <c r="AX61" s="43" t="s">
        <v>164</v>
      </c>
      <c r="AY61" s="43">
        <v>14208</v>
      </c>
      <c r="AZ61" s="43">
        <v>64</v>
      </c>
      <c r="BA61" s="43">
        <v>2</v>
      </c>
      <c r="BB61" s="43">
        <v>2</v>
      </c>
      <c r="BC61" s="43">
        <v>1843.11</v>
      </c>
      <c r="BD61" s="44">
        <v>1.0376000000000001</v>
      </c>
      <c r="BE61" s="57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57">
        <f>BS60</f>
        <v>1.0353999999999999</v>
      </c>
    </row>
    <row r="62" spans="1:71" x14ac:dyDescent="0.25">
      <c r="A62">
        <v>3</v>
      </c>
      <c r="B62" t="s">
        <v>164</v>
      </c>
      <c r="C62">
        <v>14208</v>
      </c>
      <c r="D62">
        <v>64</v>
      </c>
      <c r="E62">
        <v>2</v>
      </c>
      <c r="F62">
        <v>2</v>
      </c>
      <c r="G62">
        <v>1844.96</v>
      </c>
      <c r="H62" s="42">
        <v>1.0365</v>
      </c>
      <c r="I62" s="42">
        <v>45478</v>
      </c>
      <c r="J62" s="42">
        <v>0.18902777777777777</v>
      </c>
      <c r="K62" s="42">
        <v>193216</v>
      </c>
      <c r="L62" s="42">
        <v>193215</v>
      </c>
      <c r="M62" s="42">
        <v>193215</v>
      </c>
      <c r="N62" s="42">
        <v>193266</v>
      </c>
      <c r="O62" s="42">
        <v>193265</v>
      </c>
      <c r="P62" s="42">
        <v>193265</v>
      </c>
      <c r="Q62" s="42">
        <v>193298</v>
      </c>
      <c r="R62" s="42">
        <v>193298</v>
      </c>
      <c r="S62" s="42">
        <v>193297</v>
      </c>
      <c r="T62" s="42">
        <v>193360</v>
      </c>
      <c r="U62" s="42">
        <v>193360</v>
      </c>
      <c r="V62" s="42">
        <v>193359</v>
      </c>
      <c r="W62" s="57">
        <f>W61</f>
        <v>1.0358000000000001</v>
      </c>
      <c r="Y62">
        <v>3</v>
      </c>
      <c r="Z62" t="s">
        <v>164</v>
      </c>
      <c r="AA62">
        <v>14208</v>
      </c>
      <c r="AB62">
        <v>64</v>
      </c>
      <c r="AC62">
        <v>2</v>
      </c>
      <c r="AD62">
        <v>2</v>
      </c>
      <c r="AE62">
        <v>2559.38</v>
      </c>
      <c r="AF62" s="48">
        <v>0.74721000000000004</v>
      </c>
      <c r="AG62" s="46">
        <v>45470</v>
      </c>
      <c r="AH62" s="47">
        <v>0.78571759259259255</v>
      </c>
      <c r="AI62">
        <v>290846</v>
      </c>
      <c r="AJ62">
        <v>290847</v>
      </c>
      <c r="AK62">
        <v>290846</v>
      </c>
      <c r="AL62">
        <v>290898</v>
      </c>
      <c r="AM62">
        <v>290897</v>
      </c>
      <c r="AN62">
        <v>290897</v>
      </c>
      <c r="AO62">
        <v>290912</v>
      </c>
      <c r="AP62">
        <v>290913</v>
      </c>
      <c r="AQ62">
        <v>290912</v>
      </c>
      <c r="AR62">
        <v>290989</v>
      </c>
      <c r="AS62">
        <v>290989</v>
      </c>
      <c r="AT62">
        <v>290990</v>
      </c>
      <c r="AU62" s="57">
        <f t="shared" si="4"/>
        <v>0.76187399999999994</v>
      </c>
      <c r="AW62">
        <v>3</v>
      </c>
      <c r="AX62" s="43" t="s">
        <v>164</v>
      </c>
      <c r="AY62" s="43">
        <v>14208</v>
      </c>
      <c r="AZ62" s="43">
        <v>64</v>
      </c>
      <c r="BA62" s="43">
        <v>2</v>
      </c>
      <c r="BB62" s="43">
        <v>2</v>
      </c>
      <c r="BC62" s="43">
        <v>1840.38</v>
      </c>
      <c r="BD62" s="44">
        <v>1.0390999999999999</v>
      </c>
      <c r="BE62" s="57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57">
        <f>BS61</f>
        <v>1.0353999999999999</v>
      </c>
    </row>
    <row r="63" spans="1:71" x14ac:dyDescent="0.25">
      <c r="A63">
        <v>4</v>
      </c>
      <c r="B63" t="s">
        <v>164</v>
      </c>
      <c r="C63">
        <v>14208</v>
      </c>
      <c r="D63">
        <v>64</v>
      </c>
      <c r="E63">
        <v>2</v>
      </c>
      <c r="F63">
        <v>2</v>
      </c>
      <c r="G63">
        <v>1854.93</v>
      </c>
      <c r="H63" s="42">
        <v>1.0309999999999999</v>
      </c>
      <c r="I63" s="42">
        <v>45479</v>
      </c>
      <c r="J63" s="42">
        <v>0.16995370370370369</v>
      </c>
      <c r="K63" s="42">
        <v>194156</v>
      </c>
      <c r="L63" s="42">
        <v>194156</v>
      </c>
      <c r="M63" s="42">
        <v>194156</v>
      </c>
      <c r="N63" s="42">
        <v>194212</v>
      </c>
      <c r="O63" s="42">
        <v>194212</v>
      </c>
      <c r="P63" s="42">
        <v>194211</v>
      </c>
      <c r="Q63" s="42">
        <v>194272</v>
      </c>
      <c r="R63" s="42">
        <v>194272</v>
      </c>
      <c r="S63" s="42">
        <v>194272</v>
      </c>
      <c r="T63" s="42">
        <v>194340</v>
      </c>
      <c r="U63" s="42">
        <v>194340</v>
      </c>
      <c r="V63" s="42">
        <v>194340</v>
      </c>
      <c r="W63" s="57">
        <f>W62</f>
        <v>1.0358000000000001</v>
      </c>
      <c r="Y63">
        <v>4</v>
      </c>
      <c r="Z63" t="s">
        <v>164</v>
      </c>
      <c r="AA63">
        <v>14208</v>
      </c>
      <c r="AB63">
        <v>64</v>
      </c>
      <c r="AC63">
        <v>2</v>
      </c>
      <c r="AD63">
        <v>2</v>
      </c>
      <c r="AE63">
        <v>2285.4299999999998</v>
      </c>
      <c r="AF63" s="48">
        <v>0.83677000000000001</v>
      </c>
      <c r="AG63" s="46">
        <v>45472</v>
      </c>
      <c r="AH63" s="47">
        <v>0.14488425925925927</v>
      </c>
      <c r="AI63">
        <v>262855</v>
      </c>
      <c r="AJ63">
        <v>262855</v>
      </c>
      <c r="AK63">
        <v>262854</v>
      </c>
      <c r="AL63">
        <v>262904</v>
      </c>
      <c r="AM63">
        <v>262903</v>
      </c>
      <c r="AN63">
        <v>262903</v>
      </c>
      <c r="AO63">
        <v>262922</v>
      </c>
      <c r="AP63">
        <v>262922</v>
      </c>
      <c r="AQ63">
        <v>262923</v>
      </c>
      <c r="AR63">
        <v>262985</v>
      </c>
      <c r="AS63">
        <v>262985</v>
      </c>
      <c r="AT63">
        <v>262985</v>
      </c>
      <c r="AU63" s="57">
        <f t="shared" si="4"/>
        <v>0.76187399999999994</v>
      </c>
      <c r="AW63">
        <v>4</v>
      </c>
      <c r="AX63" s="43" t="s">
        <v>164</v>
      </c>
      <c r="AY63" s="43">
        <v>14208</v>
      </c>
      <c r="AZ63" s="43">
        <v>64</v>
      </c>
      <c r="BA63" s="43">
        <v>2</v>
      </c>
      <c r="BB63" s="43">
        <v>2</v>
      </c>
      <c r="BC63" s="43">
        <v>1848.54</v>
      </c>
      <c r="BD63" s="44">
        <v>1.0345</v>
      </c>
      <c r="BE63" s="57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57">
        <f>BS62</f>
        <v>1.0353999999999999</v>
      </c>
    </row>
    <row r="64" spans="1:71" x14ac:dyDescent="0.25">
      <c r="A64">
        <v>0</v>
      </c>
      <c r="B64" t="s">
        <v>164</v>
      </c>
      <c r="C64">
        <v>12672</v>
      </c>
      <c r="D64">
        <v>96</v>
      </c>
      <c r="E64">
        <v>1</v>
      </c>
      <c r="F64">
        <v>4</v>
      </c>
      <c r="G64">
        <v>1385.53</v>
      </c>
      <c r="H64" s="70">
        <v>0.97928000000000004</v>
      </c>
      <c r="I64" s="42">
        <v>45474</v>
      </c>
      <c r="J64" s="42">
        <v>0.61153935185185182</v>
      </c>
      <c r="K64" s="42">
        <v>145415</v>
      </c>
      <c r="L64" s="42">
        <v>145415</v>
      </c>
      <c r="M64" s="42">
        <v>145416</v>
      </c>
      <c r="N64" s="42">
        <v>145416</v>
      </c>
      <c r="O64" s="42">
        <v>145416</v>
      </c>
      <c r="P64" s="42">
        <v>145417</v>
      </c>
      <c r="Q64" s="42">
        <v>145417</v>
      </c>
      <c r="R64" s="42">
        <v>145417</v>
      </c>
      <c r="S64" s="42">
        <v>145417</v>
      </c>
      <c r="T64" s="42">
        <v>145419</v>
      </c>
      <c r="U64" s="42">
        <v>145420</v>
      </c>
      <c r="V64" s="42">
        <v>145419</v>
      </c>
      <c r="W64" s="57">
        <f>AVERAGE(H64:H68)</f>
        <v>0.98056599999999994</v>
      </c>
      <c r="Y64">
        <v>0</v>
      </c>
      <c r="Z64" t="s">
        <v>164</v>
      </c>
      <c r="AA64">
        <v>12672</v>
      </c>
      <c r="AB64">
        <v>96</v>
      </c>
      <c r="AC64">
        <v>1</v>
      </c>
      <c r="AD64">
        <v>4</v>
      </c>
      <c r="AE64">
        <v>1715.7</v>
      </c>
      <c r="AF64" s="48">
        <v>0.79081999999999997</v>
      </c>
      <c r="AG64" s="46">
        <v>45465</v>
      </c>
      <c r="AH64" s="47">
        <v>0.82692129629629629</v>
      </c>
      <c r="AI64">
        <v>198692</v>
      </c>
      <c r="AJ64">
        <v>198692</v>
      </c>
      <c r="AK64">
        <v>198691</v>
      </c>
      <c r="AL64">
        <v>198697</v>
      </c>
      <c r="AM64">
        <v>198697</v>
      </c>
      <c r="AN64">
        <v>198697</v>
      </c>
      <c r="AO64">
        <v>198698</v>
      </c>
      <c r="AP64">
        <v>198698</v>
      </c>
      <c r="AQ64">
        <v>198699</v>
      </c>
      <c r="AR64">
        <v>198695</v>
      </c>
      <c r="AS64">
        <v>198695</v>
      </c>
      <c r="AT64">
        <v>198696</v>
      </c>
      <c r="AU64" s="57">
        <f t="shared" ref="AU64" si="25">AVERAGE(AF64:AF68)</f>
        <v>0.77736799999999995</v>
      </c>
      <c r="AW64">
        <v>0</v>
      </c>
      <c r="AX64" t="s">
        <v>164</v>
      </c>
      <c r="AY64">
        <v>14464</v>
      </c>
      <c r="AZ64">
        <v>64</v>
      </c>
      <c r="BA64">
        <v>2</v>
      </c>
      <c r="BB64">
        <v>2</v>
      </c>
      <c r="BC64">
        <v>2063.33</v>
      </c>
      <c r="BD64" s="42">
        <v>0.97785</v>
      </c>
      <c r="BE64" s="57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57">
        <f>AVERAGE(BD64:BD68)</f>
        <v>0.99161999999999995</v>
      </c>
    </row>
    <row r="65" spans="1:71" x14ac:dyDescent="0.25">
      <c r="A65">
        <v>1</v>
      </c>
      <c r="B65" t="s">
        <v>164</v>
      </c>
      <c r="C65">
        <v>12672</v>
      </c>
      <c r="D65">
        <v>96</v>
      </c>
      <c r="E65">
        <v>1</v>
      </c>
      <c r="F65">
        <v>4</v>
      </c>
      <c r="G65">
        <v>1383.27</v>
      </c>
      <c r="H65" s="42">
        <v>0.98087999999999997</v>
      </c>
      <c r="I65" s="42">
        <v>45475</v>
      </c>
      <c r="J65" s="42">
        <v>0.60636574074074079</v>
      </c>
      <c r="K65" s="42">
        <v>145206</v>
      </c>
      <c r="L65" s="42">
        <v>145206</v>
      </c>
      <c r="M65" s="42">
        <v>145207</v>
      </c>
      <c r="N65" s="42">
        <v>145208</v>
      </c>
      <c r="O65" s="42">
        <v>145207</v>
      </c>
      <c r="P65" s="42">
        <v>145207</v>
      </c>
      <c r="Q65" s="42">
        <v>145213</v>
      </c>
      <c r="R65" s="42">
        <v>145213</v>
      </c>
      <c r="S65" s="42">
        <v>145213</v>
      </c>
      <c r="T65" s="42">
        <v>145224</v>
      </c>
      <c r="U65" s="42">
        <v>145223</v>
      </c>
      <c r="V65" s="42">
        <v>145224</v>
      </c>
      <c r="W65" s="57">
        <f>W64</f>
        <v>0.98056599999999994</v>
      </c>
      <c r="Y65">
        <v>1</v>
      </c>
      <c r="Z65" t="s">
        <v>164</v>
      </c>
      <c r="AA65">
        <v>12672</v>
      </c>
      <c r="AB65">
        <v>96</v>
      </c>
      <c r="AC65">
        <v>1</v>
      </c>
      <c r="AD65">
        <v>4</v>
      </c>
      <c r="AE65">
        <v>1841.35</v>
      </c>
      <c r="AF65" s="48">
        <v>0.73685999999999996</v>
      </c>
      <c r="AG65" s="46">
        <v>45467</v>
      </c>
      <c r="AH65" s="47">
        <v>0.21627314814814816</v>
      </c>
      <c r="AI65">
        <v>211212</v>
      </c>
      <c r="AJ65">
        <v>211211</v>
      </c>
      <c r="AK65">
        <v>211211</v>
      </c>
      <c r="AL65">
        <v>211212</v>
      </c>
      <c r="AM65">
        <v>211212</v>
      </c>
      <c r="AN65">
        <v>211212</v>
      </c>
      <c r="AO65">
        <v>211213</v>
      </c>
      <c r="AP65">
        <v>211214</v>
      </c>
      <c r="AQ65">
        <v>211214</v>
      </c>
      <c r="AR65">
        <v>211215</v>
      </c>
      <c r="AS65">
        <v>211216</v>
      </c>
      <c r="AT65">
        <v>211216</v>
      </c>
      <c r="AU65" s="57">
        <f t="shared" ref="AU65" si="26">AU64</f>
        <v>0.77736799999999995</v>
      </c>
      <c r="AW65">
        <v>1</v>
      </c>
      <c r="AX65" t="s">
        <v>164</v>
      </c>
      <c r="AY65">
        <v>14464</v>
      </c>
      <c r="AZ65">
        <v>64</v>
      </c>
      <c r="BA65">
        <v>2</v>
      </c>
      <c r="BB65">
        <v>2</v>
      </c>
      <c r="BC65">
        <v>2057.54</v>
      </c>
      <c r="BD65" s="42">
        <v>0.98060000000000003</v>
      </c>
      <c r="BE65" s="57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57">
        <f>BS64</f>
        <v>0.99161999999999995</v>
      </c>
    </row>
    <row r="66" spans="1:71" x14ac:dyDescent="0.25">
      <c r="A66">
        <v>2</v>
      </c>
      <c r="B66" t="s">
        <v>164</v>
      </c>
      <c r="C66">
        <v>12672</v>
      </c>
      <c r="D66">
        <v>96</v>
      </c>
      <c r="E66">
        <v>1</v>
      </c>
      <c r="F66">
        <v>4</v>
      </c>
      <c r="G66">
        <v>1383.52</v>
      </c>
      <c r="H66" s="42">
        <v>0.98070000000000002</v>
      </c>
      <c r="I66" s="42">
        <v>45476</v>
      </c>
      <c r="J66" s="42">
        <v>0.59846064814814814</v>
      </c>
      <c r="K66" s="42">
        <v>145220</v>
      </c>
      <c r="L66" s="42">
        <v>145219</v>
      </c>
      <c r="M66" s="42">
        <v>145219</v>
      </c>
      <c r="N66" s="42">
        <v>145220</v>
      </c>
      <c r="O66" s="42">
        <v>145221</v>
      </c>
      <c r="P66" s="42">
        <v>145221</v>
      </c>
      <c r="Q66" s="42">
        <v>145217</v>
      </c>
      <c r="R66" s="42">
        <v>145217</v>
      </c>
      <c r="S66" s="42">
        <v>145217</v>
      </c>
      <c r="T66" s="42">
        <v>145219</v>
      </c>
      <c r="U66" s="42">
        <v>145219</v>
      </c>
      <c r="V66" s="42">
        <v>145219</v>
      </c>
      <c r="W66" s="57">
        <f>W65</f>
        <v>0.98056599999999994</v>
      </c>
      <c r="Y66">
        <v>2</v>
      </c>
      <c r="Z66" t="s">
        <v>164</v>
      </c>
      <c r="AA66">
        <v>12672</v>
      </c>
      <c r="AB66">
        <v>96</v>
      </c>
      <c r="AC66">
        <v>1</v>
      </c>
      <c r="AD66">
        <v>4</v>
      </c>
      <c r="AE66">
        <v>1710.41</v>
      </c>
      <c r="AF66" s="48">
        <v>0.79327000000000003</v>
      </c>
      <c r="AG66" s="46">
        <v>45468</v>
      </c>
      <c r="AH66" s="47">
        <v>0.59303240740740737</v>
      </c>
      <c r="AI66">
        <v>198113</v>
      </c>
      <c r="AJ66">
        <v>198113</v>
      </c>
      <c r="AK66">
        <v>198113</v>
      </c>
      <c r="AL66">
        <v>198114</v>
      </c>
      <c r="AM66">
        <v>198114</v>
      </c>
      <c r="AN66">
        <v>198114</v>
      </c>
      <c r="AO66">
        <v>198126</v>
      </c>
      <c r="AP66">
        <v>198126</v>
      </c>
      <c r="AQ66">
        <v>198126</v>
      </c>
      <c r="AR66">
        <v>198128</v>
      </c>
      <c r="AS66">
        <v>198129</v>
      </c>
      <c r="AT66">
        <v>198129</v>
      </c>
      <c r="AU66" s="57">
        <f t="shared" si="4"/>
        <v>0.77736799999999995</v>
      </c>
      <c r="AW66">
        <v>2</v>
      </c>
      <c r="AX66" t="s">
        <v>164</v>
      </c>
      <c r="AY66">
        <v>14464</v>
      </c>
      <c r="AZ66">
        <v>64</v>
      </c>
      <c r="BA66">
        <v>2</v>
      </c>
      <c r="BB66">
        <v>2</v>
      </c>
      <c r="BC66">
        <v>2017.28</v>
      </c>
      <c r="BD66" s="42">
        <v>1.0002</v>
      </c>
      <c r="BE66" s="57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57">
        <f>BS65</f>
        <v>0.99161999999999995</v>
      </c>
    </row>
    <row r="67" spans="1:71" x14ac:dyDescent="0.25">
      <c r="A67">
        <v>3</v>
      </c>
      <c r="B67" t="s">
        <v>164</v>
      </c>
      <c r="C67">
        <v>12672</v>
      </c>
      <c r="D67">
        <v>96</v>
      </c>
      <c r="E67">
        <v>1</v>
      </c>
      <c r="F67">
        <v>4</v>
      </c>
      <c r="G67">
        <v>1382.9</v>
      </c>
      <c r="H67" s="42">
        <v>0.98114000000000001</v>
      </c>
      <c r="I67" s="42">
        <v>45477</v>
      </c>
      <c r="J67" s="42">
        <v>0.58657407407407403</v>
      </c>
      <c r="K67" s="42">
        <v>145189</v>
      </c>
      <c r="L67" s="42">
        <v>145190</v>
      </c>
      <c r="M67" s="42">
        <v>145189</v>
      </c>
      <c r="N67" s="42">
        <v>145186</v>
      </c>
      <c r="O67" s="42">
        <v>145186</v>
      </c>
      <c r="P67" s="42">
        <v>145186</v>
      </c>
      <c r="Q67" s="42">
        <v>145187</v>
      </c>
      <c r="R67" s="42">
        <v>145186</v>
      </c>
      <c r="S67" s="42">
        <v>145187</v>
      </c>
      <c r="T67" s="42">
        <v>145189</v>
      </c>
      <c r="U67" s="42">
        <v>145189</v>
      </c>
      <c r="V67" s="42">
        <v>145189</v>
      </c>
      <c r="W67" s="57">
        <f>W66</f>
        <v>0.98056599999999994</v>
      </c>
      <c r="Y67">
        <v>3</v>
      </c>
      <c r="Z67" t="s">
        <v>164</v>
      </c>
      <c r="AA67">
        <v>12672</v>
      </c>
      <c r="AB67">
        <v>96</v>
      </c>
      <c r="AC67">
        <v>1</v>
      </c>
      <c r="AD67">
        <v>4</v>
      </c>
      <c r="AE67">
        <v>1746.43</v>
      </c>
      <c r="AF67" s="48">
        <v>0.77690999999999999</v>
      </c>
      <c r="AG67" s="46">
        <v>45469</v>
      </c>
      <c r="AH67" s="47">
        <v>0.96062499999999995</v>
      </c>
      <c r="AI67">
        <v>201722</v>
      </c>
      <c r="AJ67">
        <v>201723</v>
      </c>
      <c r="AK67">
        <v>201722</v>
      </c>
      <c r="AL67">
        <v>201724</v>
      </c>
      <c r="AM67">
        <v>201724</v>
      </c>
      <c r="AN67">
        <v>201723</v>
      </c>
      <c r="AO67">
        <v>201724</v>
      </c>
      <c r="AP67">
        <v>201724</v>
      </c>
      <c r="AQ67">
        <v>201725</v>
      </c>
      <c r="AR67">
        <v>201726</v>
      </c>
      <c r="AS67">
        <v>201727</v>
      </c>
      <c r="AT67">
        <v>201727</v>
      </c>
      <c r="AU67" s="57">
        <f t="shared" si="4"/>
        <v>0.77736799999999995</v>
      </c>
      <c r="AW67">
        <v>3</v>
      </c>
      <c r="AX67" t="s">
        <v>164</v>
      </c>
      <c r="AY67">
        <v>14464</v>
      </c>
      <c r="AZ67">
        <v>64</v>
      </c>
      <c r="BA67">
        <v>2</v>
      </c>
      <c r="BB67">
        <v>2</v>
      </c>
      <c r="BC67">
        <v>2051.58</v>
      </c>
      <c r="BD67" s="42">
        <v>0.98345000000000005</v>
      </c>
      <c r="BE67" s="57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57">
        <f>BS66</f>
        <v>0.99161999999999995</v>
      </c>
    </row>
    <row r="68" spans="1:71" x14ac:dyDescent="0.25">
      <c r="A68">
        <v>4</v>
      </c>
      <c r="B68" t="s">
        <v>164</v>
      </c>
      <c r="C68">
        <v>12672</v>
      </c>
      <c r="D68">
        <v>96</v>
      </c>
      <c r="E68">
        <v>1</v>
      </c>
      <c r="F68">
        <v>4</v>
      </c>
      <c r="G68">
        <v>1383.33</v>
      </c>
      <c r="H68" s="42">
        <v>0.98082999999999998</v>
      </c>
      <c r="I68" s="42">
        <v>45478</v>
      </c>
      <c r="J68" s="42">
        <v>0.56771990740740741</v>
      </c>
      <c r="K68" s="42">
        <v>145191</v>
      </c>
      <c r="L68" s="42">
        <v>145190</v>
      </c>
      <c r="M68" s="42">
        <v>145191</v>
      </c>
      <c r="N68" s="42">
        <v>145187</v>
      </c>
      <c r="O68" s="42">
        <v>145187</v>
      </c>
      <c r="P68" s="42">
        <v>145187</v>
      </c>
      <c r="Q68" s="42">
        <v>145189</v>
      </c>
      <c r="R68" s="42">
        <v>145188</v>
      </c>
      <c r="S68" s="42">
        <v>145189</v>
      </c>
      <c r="T68" s="42">
        <v>145185</v>
      </c>
      <c r="U68" s="42">
        <v>145186</v>
      </c>
      <c r="V68" s="42">
        <v>145186</v>
      </c>
      <c r="W68" s="57">
        <f>W67</f>
        <v>0.98056599999999994</v>
      </c>
      <c r="Y68">
        <v>4</v>
      </c>
      <c r="Z68" t="s">
        <v>164</v>
      </c>
      <c r="AA68">
        <v>12672</v>
      </c>
      <c r="AB68">
        <v>96</v>
      </c>
      <c r="AC68">
        <v>1</v>
      </c>
      <c r="AD68">
        <v>4</v>
      </c>
      <c r="AE68">
        <v>1719.71</v>
      </c>
      <c r="AF68" s="48">
        <v>0.78898000000000001</v>
      </c>
      <c r="AG68" s="46">
        <v>45471</v>
      </c>
      <c r="AH68" s="47">
        <v>0.31211805555555555</v>
      </c>
      <c r="AI68">
        <v>199869</v>
      </c>
      <c r="AJ68">
        <v>199869</v>
      </c>
      <c r="AK68">
        <v>199868</v>
      </c>
      <c r="AL68">
        <v>199868</v>
      </c>
      <c r="AM68">
        <v>199867</v>
      </c>
      <c r="AN68">
        <v>199868</v>
      </c>
      <c r="AO68">
        <v>199873</v>
      </c>
      <c r="AP68">
        <v>199873</v>
      </c>
      <c r="AQ68">
        <v>199873</v>
      </c>
      <c r="AR68">
        <v>199875</v>
      </c>
      <c r="AS68">
        <v>199876</v>
      </c>
      <c r="AT68">
        <v>199875</v>
      </c>
      <c r="AU68" s="57">
        <f t="shared" si="4"/>
        <v>0.77736799999999995</v>
      </c>
      <c r="AW68">
        <v>4</v>
      </c>
      <c r="AX68" t="s">
        <v>164</v>
      </c>
      <c r="AY68">
        <v>14464</v>
      </c>
      <c r="AZ68">
        <v>64</v>
      </c>
      <c r="BA68">
        <v>2</v>
      </c>
      <c r="BB68">
        <v>2</v>
      </c>
      <c r="BC68">
        <v>1985.92</v>
      </c>
      <c r="BD68" s="42">
        <v>1.016</v>
      </c>
      <c r="BE68" s="57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57">
        <f>BS67</f>
        <v>0.99161999999999995</v>
      </c>
    </row>
    <row r="69" spans="1:71" x14ac:dyDescent="0.25">
      <c r="A69">
        <v>0</v>
      </c>
      <c r="B69" t="s">
        <v>164</v>
      </c>
      <c r="C69">
        <v>13440</v>
      </c>
      <c r="D69">
        <v>96</v>
      </c>
      <c r="E69">
        <v>1</v>
      </c>
      <c r="F69">
        <v>4</v>
      </c>
      <c r="G69">
        <v>1633.68</v>
      </c>
      <c r="H69" s="70">
        <v>0.99085999999999996</v>
      </c>
      <c r="I69" s="42">
        <v>45474</v>
      </c>
      <c r="J69" s="42">
        <v>0.89711805555555557</v>
      </c>
      <c r="K69" s="42">
        <v>170993</v>
      </c>
      <c r="L69" s="42">
        <v>170993</v>
      </c>
      <c r="M69" s="42">
        <v>170993</v>
      </c>
      <c r="N69" s="42">
        <v>170994</v>
      </c>
      <c r="O69" s="42">
        <v>170995</v>
      </c>
      <c r="P69" s="42">
        <v>170994</v>
      </c>
      <c r="Q69" s="42">
        <v>170999</v>
      </c>
      <c r="R69" s="42">
        <v>170998</v>
      </c>
      <c r="S69" s="42">
        <v>170999</v>
      </c>
      <c r="T69" s="42">
        <v>171000</v>
      </c>
      <c r="U69" s="42">
        <v>171000</v>
      </c>
      <c r="V69" s="42">
        <v>171000</v>
      </c>
      <c r="W69" s="57">
        <f>AVERAGE(H69:H73)</f>
        <v>0.98974399999999996</v>
      </c>
      <c r="Y69">
        <v>0</v>
      </c>
      <c r="Z69" t="s">
        <v>164</v>
      </c>
      <c r="AA69">
        <v>13440</v>
      </c>
      <c r="AB69">
        <v>96</v>
      </c>
      <c r="AC69">
        <v>1</v>
      </c>
      <c r="AD69">
        <v>4</v>
      </c>
      <c r="AE69">
        <v>2038.82</v>
      </c>
      <c r="AF69" s="48">
        <v>0.79396</v>
      </c>
      <c r="AG69" s="46">
        <v>45466</v>
      </c>
      <c r="AH69" s="47">
        <v>0.2197337962962963</v>
      </c>
      <c r="AI69">
        <v>234291</v>
      </c>
      <c r="AJ69">
        <v>234291</v>
      </c>
      <c r="AK69">
        <v>234291</v>
      </c>
      <c r="AL69">
        <v>234293</v>
      </c>
      <c r="AM69">
        <v>234292</v>
      </c>
      <c r="AN69">
        <v>234292</v>
      </c>
      <c r="AO69">
        <v>234294</v>
      </c>
      <c r="AP69">
        <v>234295</v>
      </c>
      <c r="AQ69">
        <v>234295</v>
      </c>
      <c r="AR69">
        <v>234326</v>
      </c>
      <c r="AS69">
        <v>234326</v>
      </c>
      <c r="AT69">
        <v>234326</v>
      </c>
      <c r="AU69" s="57">
        <f t="shared" ref="AU69" si="27">AVERAGE(AF69:AF73)</f>
        <v>0.77827799999999991</v>
      </c>
      <c r="AW69">
        <v>0</v>
      </c>
      <c r="AX69" t="s">
        <v>164</v>
      </c>
      <c r="AY69">
        <v>14720</v>
      </c>
      <c r="AZ69">
        <v>64</v>
      </c>
      <c r="BA69">
        <v>2</v>
      </c>
      <c r="BB69">
        <v>2</v>
      </c>
      <c r="BC69">
        <v>2872.37</v>
      </c>
      <c r="BD69" s="42">
        <v>0.74038000000000004</v>
      </c>
      <c r="BE69" s="57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7">
        <f>AVERAGE(BD69:BD73)</f>
        <v>0.752556</v>
      </c>
    </row>
    <row r="70" spans="1:71" x14ac:dyDescent="0.25">
      <c r="A70">
        <v>1</v>
      </c>
      <c r="B70" t="s">
        <v>164</v>
      </c>
      <c r="C70">
        <v>13440</v>
      </c>
      <c r="D70">
        <v>96</v>
      </c>
      <c r="E70">
        <v>1</v>
      </c>
      <c r="F70">
        <v>4</v>
      </c>
      <c r="G70">
        <v>1633.61</v>
      </c>
      <c r="H70" s="42">
        <v>0.9909</v>
      </c>
      <c r="I70" s="42">
        <v>45475</v>
      </c>
      <c r="J70" s="42">
        <v>0.89200231481481485</v>
      </c>
      <c r="K70" s="42">
        <v>170985</v>
      </c>
      <c r="L70" s="42">
        <v>170986</v>
      </c>
      <c r="M70" s="42">
        <v>170985</v>
      </c>
      <c r="N70" s="42">
        <v>170987</v>
      </c>
      <c r="O70" s="42">
        <v>170986</v>
      </c>
      <c r="P70" s="42">
        <v>170987</v>
      </c>
      <c r="Q70" s="42">
        <v>171007</v>
      </c>
      <c r="R70" s="42">
        <v>171006</v>
      </c>
      <c r="S70" s="42">
        <v>171006</v>
      </c>
      <c r="T70" s="42">
        <v>171009</v>
      </c>
      <c r="U70" s="42">
        <v>171009</v>
      </c>
      <c r="V70" s="42">
        <v>171009</v>
      </c>
      <c r="W70" s="57">
        <f>W69</f>
        <v>0.98974399999999996</v>
      </c>
      <c r="Y70">
        <v>1</v>
      </c>
      <c r="Z70" t="s">
        <v>164</v>
      </c>
      <c r="AA70">
        <v>13440</v>
      </c>
      <c r="AB70">
        <v>96</v>
      </c>
      <c r="AC70">
        <v>1</v>
      </c>
      <c r="AD70">
        <v>4</v>
      </c>
      <c r="AE70">
        <v>2231.88</v>
      </c>
      <c r="AF70" s="48">
        <v>0.72528000000000004</v>
      </c>
      <c r="AG70" s="46">
        <v>45467</v>
      </c>
      <c r="AH70" s="47">
        <v>0.61101851851851852</v>
      </c>
      <c r="AI70">
        <v>253597</v>
      </c>
      <c r="AJ70">
        <v>253596</v>
      </c>
      <c r="AK70">
        <v>253597</v>
      </c>
      <c r="AL70">
        <v>253599</v>
      </c>
      <c r="AM70">
        <v>253598</v>
      </c>
      <c r="AN70">
        <v>253599</v>
      </c>
      <c r="AO70">
        <v>253599</v>
      </c>
      <c r="AP70">
        <v>253600</v>
      </c>
      <c r="AQ70">
        <v>253599</v>
      </c>
      <c r="AR70">
        <v>253601</v>
      </c>
      <c r="AS70">
        <v>253602</v>
      </c>
      <c r="AT70">
        <v>253601</v>
      </c>
      <c r="AU70" s="57">
        <f t="shared" ref="AU70" si="28">AU69</f>
        <v>0.77827799999999991</v>
      </c>
      <c r="AW70">
        <v>1</v>
      </c>
      <c r="AX70" t="s">
        <v>164</v>
      </c>
      <c r="AY70">
        <v>14720</v>
      </c>
      <c r="AZ70">
        <v>64</v>
      </c>
      <c r="BA70">
        <v>2</v>
      </c>
      <c r="BB70">
        <v>2</v>
      </c>
      <c r="BC70">
        <v>2858.12</v>
      </c>
      <c r="BD70" s="42">
        <v>0.74407999999999996</v>
      </c>
      <c r="BE70" s="57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57">
        <f>BS69</f>
        <v>0.752556</v>
      </c>
    </row>
    <row r="71" spans="1:71" x14ac:dyDescent="0.25">
      <c r="A71">
        <v>2</v>
      </c>
      <c r="B71" t="s">
        <v>164</v>
      </c>
      <c r="C71">
        <v>13440</v>
      </c>
      <c r="D71">
        <v>96</v>
      </c>
      <c r="E71">
        <v>1</v>
      </c>
      <c r="F71">
        <v>4</v>
      </c>
      <c r="G71">
        <v>1631.97</v>
      </c>
      <c r="H71" s="42">
        <v>0.9919</v>
      </c>
      <c r="I71" s="42">
        <v>45476</v>
      </c>
      <c r="J71" s="42">
        <v>0.88431712962962961</v>
      </c>
      <c r="K71" s="42">
        <v>170821</v>
      </c>
      <c r="L71" s="42">
        <v>170820</v>
      </c>
      <c r="M71" s="42">
        <v>170821</v>
      </c>
      <c r="N71" s="42">
        <v>170819</v>
      </c>
      <c r="O71" s="42">
        <v>170818</v>
      </c>
      <c r="P71" s="42">
        <v>170818</v>
      </c>
      <c r="Q71" s="42">
        <v>170837</v>
      </c>
      <c r="R71" s="42">
        <v>170836</v>
      </c>
      <c r="S71" s="42">
        <v>170836</v>
      </c>
      <c r="T71" s="42">
        <v>170841</v>
      </c>
      <c r="U71" s="42">
        <v>170842</v>
      </c>
      <c r="V71" s="42">
        <v>170842</v>
      </c>
      <c r="W71" s="57">
        <f>W70</f>
        <v>0.98974399999999996</v>
      </c>
      <c r="Y71">
        <v>2</v>
      </c>
      <c r="Z71" t="s">
        <v>164</v>
      </c>
      <c r="AA71">
        <v>13440</v>
      </c>
      <c r="AB71">
        <v>96</v>
      </c>
      <c r="AC71">
        <v>1</v>
      </c>
      <c r="AD71">
        <v>4</v>
      </c>
      <c r="AE71">
        <v>2033.54</v>
      </c>
      <c r="AF71" s="48">
        <v>0.79601999999999995</v>
      </c>
      <c r="AG71" s="46">
        <v>45468</v>
      </c>
      <c r="AH71" s="47">
        <v>0.98655092592592597</v>
      </c>
      <c r="AI71">
        <v>233750</v>
      </c>
      <c r="AJ71">
        <v>233751</v>
      </c>
      <c r="AK71">
        <v>233751</v>
      </c>
      <c r="AL71">
        <v>233753</v>
      </c>
      <c r="AM71">
        <v>233752</v>
      </c>
      <c r="AN71">
        <v>233752</v>
      </c>
      <c r="AO71">
        <v>233753</v>
      </c>
      <c r="AP71">
        <v>233754</v>
      </c>
      <c r="AQ71">
        <v>233754</v>
      </c>
      <c r="AR71">
        <v>233758</v>
      </c>
      <c r="AS71">
        <v>233759</v>
      </c>
      <c r="AT71">
        <v>233758</v>
      </c>
      <c r="AU71" s="57">
        <f t="shared" si="4"/>
        <v>0.77827799999999991</v>
      </c>
      <c r="AW71">
        <v>2</v>
      </c>
      <c r="AX71" t="s">
        <v>164</v>
      </c>
      <c r="AY71">
        <v>14720</v>
      </c>
      <c r="AZ71">
        <v>64</v>
      </c>
      <c r="BA71">
        <v>2</v>
      </c>
      <c r="BB71">
        <v>2</v>
      </c>
      <c r="BC71">
        <v>2768.95</v>
      </c>
      <c r="BD71" s="42">
        <v>0.76803999999999994</v>
      </c>
      <c r="BE71" s="57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57">
        <f>BS70</f>
        <v>0.752556</v>
      </c>
    </row>
    <row r="72" spans="1:71" x14ac:dyDescent="0.25">
      <c r="A72">
        <v>3</v>
      </c>
      <c r="B72" t="s">
        <v>164</v>
      </c>
      <c r="C72">
        <v>13440</v>
      </c>
      <c r="D72">
        <v>96</v>
      </c>
      <c r="E72">
        <v>1</v>
      </c>
      <c r="F72">
        <v>4</v>
      </c>
      <c r="G72">
        <v>1645.33</v>
      </c>
      <c r="H72" s="42">
        <v>0.98384000000000005</v>
      </c>
      <c r="I72" s="42">
        <v>45477</v>
      </c>
      <c r="J72" s="42">
        <v>0.87240740740740741</v>
      </c>
      <c r="K72" s="42">
        <v>172426</v>
      </c>
      <c r="L72" s="42">
        <v>172427</v>
      </c>
      <c r="M72" s="42">
        <v>172426</v>
      </c>
      <c r="N72" s="42">
        <v>172430</v>
      </c>
      <c r="O72" s="42">
        <v>172430</v>
      </c>
      <c r="P72" s="42">
        <v>172429</v>
      </c>
      <c r="Q72" s="42">
        <v>172431</v>
      </c>
      <c r="R72" s="42">
        <v>172431</v>
      </c>
      <c r="S72" s="42">
        <v>172431</v>
      </c>
      <c r="T72" s="42">
        <v>172436</v>
      </c>
      <c r="U72" s="42">
        <v>172437</v>
      </c>
      <c r="V72" s="42">
        <v>172437</v>
      </c>
      <c r="W72" s="57">
        <f>W71</f>
        <v>0.98974399999999996</v>
      </c>
      <c r="Y72">
        <v>3</v>
      </c>
      <c r="Z72" t="s">
        <v>164</v>
      </c>
      <c r="AA72">
        <v>13440</v>
      </c>
      <c r="AB72">
        <v>96</v>
      </c>
      <c r="AC72">
        <v>1</v>
      </c>
      <c r="AD72">
        <v>4</v>
      </c>
      <c r="AE72">
        <v>2080.19</v>
      </c>
      <c r="AF72" s="48">
        <v>0.77817000000000003</v>
      </c>
      <c r="AG72" s="46">
        <v>45470</v>
      </c>
      <c r="AH72" s="47">
        <v>0.3510300925925926</v>
      </c>
      <c r="AI72">
        <v>238375</v>
      </c>
      <c r="AJ72">
        <v>238376</v>
      </c>
      <c r="AK72">
        <v>238376</v>
      </c>
      <c r="AL72">
        <v>238378</v>
      </c>
      <c r="AM72">
        <v>238378</v>
      </c>
      <c r="AN72">
        <v>238377</v>
      </c>
      <c r="AO72">
        <v>238379</v>
      </c>
      <c r="AP72">
        <v>238380</v>
      </c>
      <c r="AQ72">
        <v>238379</v>
      </c>
      <c r="AR72">
        <v>238416</v>
      </c>
      <c r="AS72">
        <v>238416</v>
      </c>
      <c r="AT72">
        <v>238416</v>
      </c>
      <c r="AU72" s="57">
        <f t="shared" si="4"/>
        <v>0.77827799999999991</v>
      </c>
      <c r="AW72">
        <v>3</v>
      </c>
      <c r="AX72" t="s">
        <v>164</v>
      </c>
      <c r="AY72">
        <v>14720</v>
      </c>
      <c r="AZ72">
        <v>64</v>
      </c>
      <c r="BA72">
        <v>2</v>
      </c>
      <c r="BB72">
        <v>2</v>
      </c>
      <c r="BC72">
        <v>2791.24</v>
      </c>
      <c r="BD72" s="42">
        <v>0.76190999999999998</v>
      </c>
      <c r="BE72" s="57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7">
        <f>BS71</f>
        <v>0.752556</v>
      </c>
    </row>
    <row r="73" spans="1:71" x14ac:dyDescent="0.25">
      <c r="A73">
        <v>4</v>
      </c>
      <c r="B73" t="s">
        <v>164</v>
      </c>
      <c r="C73">
        <v>13440</v>
      </c>
      <c r="D73">
        <v>96</v>
      </c>
      <c r="E73">
        <v>1</v>
      </c>
      <c r="F73">
        <v>4</v>
      </c>
      <c r="G73">
        <v>1633.08</v>
      </c>
      <c r="H73" s="42">
        <v>0.99121999999999999</v>
      </c>
      <c r="I73" s="42">
        <v>45478</v>
      </c>
      <c r="J73" s="42">
        <v>0.85337962962962965</v>
      </c>
      <c r="K73" s="42">
        <v>170936</v>
      </c>
      <c r="L73" s="42">
        <v>170937</v>
      </c>
      <c r="M73" s="42">
        <v>170937</v>
      </c>
      <c r="N73" s="42">
        <v>170940</v>
      </c>
      <c r="O73" s="42">
        <v>170940</v>
      </c>
      <c r="P73" s="42">
        <v>170939</v>
      </c>
      <c r="Q73" s="42">
        <v>170941</v>
      </c>
      <c r="R73" s="42">
        <v>170941</v>
      </c>
      <c r="S73" s="42">
        <v>170940</v>
      </c>
      <c r="T73" s="42">
        <v>170945</v>
      </c>
      <c r="U73" s="42">
        <v>170945</v>
      </c>
      <c r="V73" s="42">
        <v>170946</v>
      </c>
      <c r="W73" s="57">
        <f>W72</f>
        <v>0.98974399999999996</v>
      </c>
      <c r="Y73">
        <v>4</v>
      </c>
      <c r="Z73" t="s">
        <v>164</v>
      </c>
      <c r="AA73">
        <v>13440</v>
      </c>
      <c r="AB73">
        <v>96</v>
      </c>
      <c r="AC73">
        <v>1</v>
      </c>
      <c r="AD73">
        <v>4</v>
      </c>
      <c r="AE73">
        <v>2028.62</v>
      </c>
      <c r="AF73" s="48">
        <v>0.79796</v>
      </c>
      <c r="AG73" s="46">
        <v>45471</v>
      </c>
      <c r="AH73" s="47">
        <v>0.70849537037037036</v>
      </c>
      <c r="AI73">
        <v>233220</v>
      </c>
      <c r="AJ73">
        <v>233221</v>
      </c>
      <c r="AK73">
        <v>233220</v>
      </c>
      <c r="AL73">
        <v>233218</v>
      </c>
      <c r="AM73">
        <v>233217</v>
      </c>
      <c r="AN73">
        <v>233218</v>
      </c>
      <c r="AO73">
        <v>233225</v>
      </c>
      <c r="AP73">
        <v>233226</v>
      </c>
      <c r="AQ73">
        <v>233226</v>
      </c>
      <c r="AR73">
        <v>233227</v>
      </c>
      <c r="AS73">
        <v>233228</v>
      </c>
      <c r="AT73">
        <v>233228</v>
      </c>
      <c r="AU73" s="57">
        <f t="shared" si="4"/>
        <v>0.77827799999999991</v>
      </c>
      <c r="AW73">
        <v>4</v>
      </c>
      <c r="AX73" t="s">
        <v>164</v>
      </c>
      <c r="AY73">
        <v>14720</v>
      </c>
      <c r="AZ73">
        <v>64</v>
      </c>
      <c r="BA73">
        <v>2</v>
      </c>
      <c r="BB73">
        <v>2</v>
      </c>
      <c r="BC73">
        <v>2841.74</v>
      </c>
      <c r="BD73" s="42">
        <v>0.74836999999999998</v>
      </c>
      <c r="BE73" s="57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57">
        <f>BS72</f>
        <v>0.752556</v>
      </c>
    </row>
    <row r="74" spans="1:71" x14ac:dyDescent="0.25">
      <c r="A74">
        <v>0</v>
      </c>
      <c r="B74" t="s">
        <v>164</v>
      </c>
      <c r="C74">
        <v>14208</v>
      </c>
      <c r="D74">
        <v>96</v>
      </c>
      <c r="E74">
        <v>1</v>
      </c>
      <c r="F74">
        <v>4</v>
      </c>
      <c r="G74">
        <v>1933.31</v>
      </c>
      <c r="H74" s="70">
        <v>0.98917999999999995</v>
      </c>
      <c r="I74" s="42">
        <v>45475</v>
      </c>
      <c r="J74" s="42">
        <v>0.23708333333333334</v>
      </c>
      <c r="K74" s="42">
        <v>202045</v>
      </c>
      <c r="L74" s="42">
        <v>202044</v>
      </c>
      <c r="M74" s="42">
        <v>202045</v>
      </c>
      <c r="N74" s="42">
        <v>202078</v>
      </c>
      <c r="O74" s="42">
        <v>202078</v>
      </c>
      <c r="P74" s="42">
        <v>202078</v>
      </c>
      <c r="Q74" s="42">
        <v>202121</v>
      </c>
      <c r="R74" s="42">
        <v>202121</v>
      </c>
      <c r="S74" s="42">
        <v>202121</v>
      </c>
      <c r="T74" s="42">
        <v>202186</v>
      </c>
      <c r="U74" s="42">
        <v>202186</v>
      </c>
      <c r="V74" s="42">
        <v>202187</v>
      </c>
      <c r="W74" s="57">
        <f>AVERAGE(H74:H78)</f>
        <v>0.98530800000000007</v>
      </c>
      <c r="Y74">
        <v>0</v>
      </c>
      <c r="Z74" t="s">
        <v>164</v>
      </c>
      <c r="AA74">
        <v>14208</v>
      </c>
      <c r="AB74">
        <v>96</v>
      </c>
      <c r="AC74">
        <v>1</v>
      </c>
      <c r="AD74">
        <v>4</v>
      </c>
      <c r="AE74">
        <v>2777.51</v>
      </c>
      <c r="AF74" s="48">
        <v>0.68852999999999998</v>
      </c>
      <c r="AG74" s="46">
        <v>45466</v>
      </c>
      <c r="AH74" s="47">
        <v>0.70087962962962957</v>
      </c>
      <c r="AI74">
        <v>311910</v>
      </c>
      <c r="AJ74">
        <v>311909</v>
      </c>
      <c r="AK74">
        <v>311909</v>
      </c>
      <c r="AL74">
        <v>311952</v>
      </c>
      <c r="AM74">
        <v>311953</v>
      </c>
      <c r="AN74">
        <v>311953</v>
      </c>
      <c r="AO74">
        <v>312013</v>
      </c>
      <c r="AP74">
        <v>312013</v>
      </c>
      <c r="AQ74">
        <v>312013</v>
      </c>
      <c r="AR74">
        <v>312062</v>
      </c>
      <c r="AS74">
        <v>312062</v>
      </c>
      <c r="AT74">
        <v>312062</v>
      </c>
      <c r="AU74" s="57">
        <f t="shared" ref="AU74" si="29">AVERAGE(AF74:AF78)</f>
        <v>0.73642399999999986</v>
      </c>
      <c r="AW74">
        <v>0</v>
      </c>
      <c r="AX74" t="s">
        <v>164</v>
      </c>
      <c r="AY74">
        <v>14976</v>
      </c>
      <c r="AZ74">
        <v>64</v>
      </c>
      <c r="BA74">
        <v>2</v>
      </c>
      <c r="BB74">
        <v>2</v>
      </c>
      <c r="BC74">
        <v>4392.8500000000004</v>
      </c>
      <c r="BD74" s="42">
        <v>0.50982000000000005</v>
      </c>
      <c r="BE74" s="57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57">
        <f>AVERAGE(BD74:BD78)</f>
        <v>0.51069600000000004</v>
      </c>
    </row>
    <row r="75" spans="1:71" x14ac:dyDescent="0.25">
      <c r="A75">
        <v>1</v>
      </c>
      <c r="B75" t="s">
        <v>164</v>
      </c>
      <c r="C75">
        <v>14208</v>
      </c>
      <c r="D75">
        <v>96</v>
      </c>
      <c r="E75">
        <v>1</v>
      </c>
      <c r="F75">
        <v>4</v>
      </c>
      <c r="G75">
        <v>1965.91</v>
      </c>
      <c r="H75" s="42">
        <v>0.97277999999999998</v>
      </c>
      <c r="I75" s="42">
        <v>45476</v>
      </c>
      <c r="J75" s="42">
        <v>0.23290509259259259</v>
      </c>
      <c r="K75" s="42">
        <v>205257</v>
      </c>
      <c r="L75" s="42">
        <v>205256</v>
      </c>
      <c r="M75" s="42">
        <v>205256</v>
      </c>
      <c r="N75" s="42">
        <v>205296</v>
      </c>
      <c r="O75" s="42">
        <v>205296</v>
      </c>
      <c r="P75" s="42">
        <v>205297</v>
      </c>
      <c r="Q75" s="42">
        <v>205345</v>
      </c>
      <c r="R75" s="42">
        <v>205344</v>
      </c>
      <c r="S75" s="42">
        <v>205344</v>
      </c>
      <c r="T75" s="42">
        <v>205398</v>
      </c>
      <c r="U75" s="42">
        <v>205399</v>
      </c>
      <c r="V75" s="42">
        <v>205398</v>
      </c>
      <c r="W75" s="57">
        <f>W74</f>
        <v>0.98530800000000007</v>
      </c>
      <c r="Y75">
        <v>1</v>
      </c>
      <c r="Z75" t="s">
        <v>164</v>
      </c>
      <c r="AA75">
        <v>14208</v>
      </c>
      <c r="AB75">
        <v>96</v>
      </c>
      <c r="AC75">
        <v>1</v>
      </c>
      <c r="AD75">
        <v>4</v>
      </c>
      <c r="AE75">
        <v>2724.05</v>
      </c>
      <c r="AF75" s="48">
        <v>0.70204</v>
      </c>
      <c r="AG75" s="46">
        <v>45468</v>
      </c>
      <c r="AH75" s="47">
        <v>8.4444444444444447E-2</v>
      </c>
      <c r="AI75">
        <v>307014</v>
      </c>
      <c r="AJ75">
        <v>307015</v>
      </c>
      <c r="AK75">
        <v>307014</v>
      </c>
      <c r="AL75">
        <v>307056</v>
      </c>
      <c r="AM75">
        <v>307056</v>
      </c>
      <c r="AN75">
        <v>307056</v>
      </c>
      <c r="AO75">
        <v>307090</v>
      </c>
      <c r="AP75">
        <v>307090</v>
      </c>
      <c r="AQ75">
        <v>307090</v>
      </c>
      <c r="AR75">
        <v>307146</v>
      </c>
      <c r="AS75">
        <v>307146</v>
      </c>
      <c r="AT75">
        <v>307147</v>
      </c>
      <c r="AU75" s="57">
        <f t="shared" ref="AU75:AU138" si="30">AU74</f>
        <v>0.73642399999999986</v>
      </c>
      <c r="AW75">
        <v>1</v>
      </c>
      <c r="AX75" t="s">
        <v>164</v>
      </c>
      <c r="AY75">
        <v>14976</v>
      </c>
      <c r="AZ75">
        <v>64</v>
      </c>
      <c r="BA75">
        <v>2</v>
      </c>
      <c r="BB75">
        <v>2</v>
      </c>
      <c r="BC75">
        <v>4409.7299999999996</v>
      </c>
      <c r="BD75" s="42">
        <v>0.50787000000000004</v>
      </c>
      <c r="BE75" s="57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57">
        <f>BS74</f>
        <v>0.51069600000000004</v>
      </c>
    </row>
    <row r="76" spans="1:71" x14ac:dyDescent="0.25">
      <c r="A76">
        <v>2</v>
      </c>
      <c r="B76" t="s">
        <v>164</v>
      </c>
      <c r="C76">
        <v>14208</v>
      </c>
      <c r="D76">
        <v>96</v>
      </c>
      <c r="E76">
        <v>1</v>
      </c>
      <c r="F76">
        <v>4</v>
      </c>
      <c r="G76">
        <v>1941.7</v>
      </c>
      <c r="H76" s="42">
        <v>0.9849</v>
      </c>
      <c r="I76" s="42">
        <v>45477</v>
      </c>
      <c r="J76" s="42">
        <v>0.22467592592592592</v>
      </c>
      <c r="K76" s="42">
        <v>202926</v>
      </c>
      <c r="L76" s="42">
        <v>202925</v>
      </c>
      <c r="M76" s="42">
        <v>202925</v>
      </c>
      <c r="N76" s="42">
        <v>202972</v>
      </c>
      <c r="O76" s="42">
        <v>202972</v>
      </c>
      <c r="P76" s="42">
        <v>202971</v>
      </c>
      <c r="Q76" s="42">
        <v>203024</v>
      </c>
      <c r="R76" s="42">
        <v>203024</v>
      </c>
      <c r="S76" s="42">
        <v>203023</v>
      </c>
      <c r="T76" s="42">
        <v>203092</v>
      </c>
      <c r="U76" s="42">
        <v>203092</v>
      </c>
      <c r="V76" s="42">
        <v>203093</v>
      </c>
      <c r="W76" s="57">
        <f>W75</f>
        <v>0.98530800000000007</v>
      </c>
      <c r="Y76">
        <v>2</v>
      </c>
      <c r="Z76" t="s">
        <v>164</v>
      </c>
      <c r="AA76">
        <v>14208</v>
      </c>
      <c r="AB76">
        <v>96</v>
      </c>
      <c r="AC76">
        <v>1</v>
      </c>
      <c r="AD76">
        <v>4</v>
      </c>
      <c r="AE76">
        <v>2521.7199999999998</v>
      </c>
      <c r="AF76" s="48">
        <v>0.75836999999999999</v>
      </c>
      <c r="AG76" s="46">
        <v>45469</v>
      </c>
      <c r="AH76" s="47">
        <v>0.45682870370370371</v>
      </c>
      <c r="AI76">
        <v>286551</v>
      </c>
      <c r="AJ76">
        <v>286550</v>
      </c>
      <c r="AK76">
        <v>286551</v>
      </c>
      <c r="AL76">
        <v>286613</v>
      </c>
      <c r="AM76">
        <v>286614</v>
      </c>
      <c r="AN76">
        <v>286613</v>
      </c>
      <c r="AO76">
        <v>286652</v>
      </c>
      <c r="AP76">
        <v>286651</v>
      </c>
      <c r="AQ76">
        <v>286652</v>
      </c>
      <c r="AR76">
        <v>286702</v>
      </c>
      <c r="AS76">
        <v>286701</v>
      </c>
      <c r="AT76">
        <v>286701</v>
      </c>
      <c r="AU76" s="57">
        <f t="shared" si="30"/>
        <v>0.73642399999999986</v>
      </c>
      <c r="AW76">
        <v>2</v>
      </c>
      <c r="AX76" t="s">
        <v>164</v>
      </c>
      <c r="AY76">
        <v>14976</v>
      </c>
      <c r="AZ76">
        <v>64</v>
      </c>
      <c r="BA76">
        <v>2</v>
      </c>
      <c r="BB76">
        <v>2</v>
      </c>
      <c r="BC76">
        <v>4405.47</v>
      </c>
      <c r="BD76" s="42">
        <v>0.50836000000000003</v>
      </c>
      <c r="BE76" s="57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57">
        <f>BS75</f>
        <v>0.51069600000000004</v>
      </c>
    </row>
    <row r="77" spans="1:71" x14ac:dyDescent="0.25">
      <c r="A77">
        <v>3</v>
      </c>
      <c r="B77" t="s">
        <v>164</v>
      </c>
      <c r="C77">
        <v>14208</v>
      </c>
      <c r="D77">
        <v>96</v>
      </c>
      <c r="E77">
        <v>1</v>
      </c>
      <c r="F77">
        <v>4</v>
      </c>
      <c r="G77">
        <v>1922.96</v>
      </c>
      <c r="H77" s="42">
        <v>0.99450000000000005</v>
      </c>
      <c r="I77" s="42">
        <v>45478</v>
      </c>
      <c r="J77" s="42">
        <v>0.21238425925925927</v>
      </c>
      <c r="K77" s="42">
        <v>201012</v>
      </c>
      <c r="L77" s="42">
        <v>201012</v>
      </c>
      <c r="M77" s="42">
        <v>201013</v>
      </c>
      <c r="N77" s="42">
        <v>201066</v>
      </c>
      <c r="O77" s="42">
        <v>201065</v>
      </c>
      <c r="P77" s="42">
        <v>201066</v>
      </c>
      <c r="Q77" s="42">
        <v>201112</v>
      </c>
      <c r="R77" s="42">
        <v>201112</v>
      </c>
      <c r="S77" s="42">
        <v>201113</v>
      </c>
      <c r="T77" s="42">
        <v>201173</v>
      </c>
      <c r="U77" s="42">
        <v>201173</v>
      </c>
      <c r="V77" s="42">
        <v>201173</v>
      </c>
      <c r="W77" s="57">
        <f>W76</f>
        <v>0.98530800000000007</v>
      </c>
      <c r="Y77">
        <v>3</v>
      </c>
      <c r="Z77" t="s">
        <v>164</v>
      </c>
      <c r="AA77">
        <v>14208</v>
      </c>
      <c r="AB77">
        <v>96</v>
      </c>
      <c r="AC77">
        <v>1</v>
      </c>
      <c r="AD77">
        <v>4</v>
      </c>
      <c r="AE77">
        <v>2562.6799999999998</v>
      </c>
      <c r="AF77" s="48">
        <v>0.74624999999999997</v>
      </c>
      <c r="AG77" s="46">
        <v>45470</v>
      </c>
      <c r="AH77" s="47">
        <v>0.81942129629629634</v>
      </c>
      <c r="AI77">
        <v>290411</v>
      </c>
      <c r="AJ77">
        <v>290411</v>
      </c>
      <c r="AK77">
        <v>290410</v>
      </c>
      <c r="AL77">
        <v>290460</v>
      </c>
      <c r="AM77">
        <v>290460</v>
      </c>
      <c r="AN77">
        <v>290460</v>
      </c>
      <c r="AO77">
        <v>290494</v>
      </c>
      <c r="AP77">
        <v>290494</v>
      </c>
      <c r="AQ77">
        <v>290494</v>
      </c>
      <c r="AR77">
        <v>290563</v>
      </c>
      <c r="AS77">
        <v>290562</v>
      </c>
      <c r="AT77">
        <v>290563</v>
      </c>
      <c r="AU77" s="57">
        <f t="shared" si="30"/>
        <v>0.73642399999999986</v>
      </c>
      <c r="AW77">
        <v>3</v>
      </c>
      <c r="AX77" t="s">
        <v>164</v>
      </c>
      <c r="AY77">
        <v>14976</v>
      </c>
      <c r="AZ77">
        <v>64</v>
      </c>
      <c r="BA77">
        <v>2</v>
      </c>
      <c r="BB77">
        <v>2</v>
      </c>
      <c r="BC77">
        <v>4380.51</v>
      </c>
      <c r="BD77" s="42">
        <v>0.51124999999999998</v>
      </c>
      <c r="BE77" s="57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57">
        <f>BS76</f>
        <v>0.51069600000000004</v>
      </c>
    </row>
    <row r="78" spans="1:71" x14ac:dyDescent="0.25">
      <c r="A78">
        <v>4</v>
      </c>
      <c r="B78" t="s">
        <v>164</v>
      </c>
      <c r="C78">
        <v>14208</v>
      </c>
      <c r="D78">
        <v>96</v>
      </c>
      <c r="E78">
        <v>1</v>
      </c>
      <c r="F78">
        <v>4</v>
      </c>
      <c r="G78">
        <v>1941.17</v>
      </c>
      <c r="H78" s="42">
        <v>0.98517999999999994</v>
      </c>
      <c r="I78" s="42">
        <v>45479</v>
      </c>
      <c r="J78" s="42">
        <v>0.1935300925925926</v>
      </c>
      <c r="K78" s="42">
        <v>202860</v>
      </c>
      <c r="L78" s="42">
        <v>202860</v>
      </c>
      <c r="M78" s="42">
        <v>202859</v>
      </c>
      <c r="N78" s="42">
        <v>202905</v>
      </c>
      <c r="O78" s="42">
        <v>202905</v>
      </c>
      <c r="P78" s="42">
        <v>202904</v>
      </c>
      <c r="Q78" s="42">
        <v>202958</v>
      </c>
      <c r="R78" s="42">
        <v>202958</v>
      </c>
      <c r="S78" s="42">
        <v>202957</v>
      </c>
      <c r="T78" s="42">
        <v>203022</v>
      </c>
      <c r="U78" s="42">
        <v>203022</v>
      </c>
      <c r="V78" s="42">
        <v>203022</v>
      </c>
      <c r="W78" s="57">
        <f>W77</f>
        <v>0.98530800000000007</v>
      </c>
      <c r="Y78">
        <v>4</v>
      </c>
      <c r="Z78" t="s">
        <v>164</v>
      </c>
      <c r="AA78">
        <v>14208</v>
      </c>
      <c r="AB78">
        <v>96</v>
      </c>
      <c r="AC78">
        <v>1</v>
      </c>
      <c r="AD78">
        <v>4</v>
      </c>
      <c r="AE78">
        <v>2430.1799999999998</v>
      </c>
      <c r="AF78" s="48">
        <v>0.78693000000000002</v>
      </c>
      <c r="AG78" s="46">
        <v>45472</v>
      </c>
      <c r="AH78" s="47">
        <v>0.17706018518518518</v>
      </c>
      <c r="AI78">
        <v>277193</v>
      </c>
      <c r="AJ78">
        <v>277193</v>
      </c>
      <c r="AK78">
        <v>277192</v>
      </c>
      <c r="AL78">
        <v>277245</v>
      </c>
      <c r="AM78">
        <v>277244</v>
      </c>
      <c r="AN78">
        <v>277244</v>
      </c>
      <c r="AO78">
        <v>277313</v>
      </c>
      <c r="AP78">
        <v>277313</v>
      </c>
      <c r="AQ78">
        <v>277313</v>
      </c>
      <c r="AR78">
        <v>277382</v>
      </c>
      <c r="AS78">
        <v>277381</v>
      </c>
      <c r="AT78">
        <v>277382</v>
      </c>
      <c r="AU78" s="57">
        <f t="shared" si="30"/>
        <v>0.73642399999999986</v>
      </c>
      <c r="AW78">
        <v>4</v>
      </c>
      <c r="AX78" t="s">
        <v>164</v>
      </c>
      <c r="AY78">
        <v>14976</v>
      </c>
      <c r="AZ78">
        <v>64</v>
      </c>
      <c r="BA78">
        <v>2</v>
      </c>
      <c r="BB78">
        <v>2</v>
      </c>
      <c r="BC78">
        <v>4338.7299999999996</v>
      </c>
      <c r="BD78" s="42">
        <v>0.51617999999999997</v>
      </c>
      <c r="BE78" s="57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57">
        <f>BS77</f>
        <v>0.51069600000000004</v>
      </c>
    </row>
    <row r="79" spans="1:71" x14ac:dyDescent="0.25">
      <c r="A79">
        <v>0</v>
      </c>
      <c r="B79" t="s">
        <v>164</v>
      </c>
      <c r="C79">
        <v>12672</v>
      </c>
      <c r="D79">
        <v>96</v>
      </c>
      <c r="E79">
        <v>2</v>
      </c>
      <c r="F79">
        <v>2</v>
      </c>
      <c r="G79">
        <v>1351.79</v>
      </c>
      <c r="H79" s="70">
        <v>1.0037</v>
      </c>
      <c r="I79" s="42">
        <v>45474</v>
      </c>
      <c r="J79" s="42">
        <v>0.6280324074074074</v>
      </c>
      <c r="K79" s="42">
        <v>141962</v>
      </c>
      <c r="L79" s="42">
        <v>141963</v>
      </c>
      <c r="M79" s="42">
        <v>141962</v>
      </c>
      <c r="N79" s="42">
        <v>141964</v>
      </c>
      <c r="O79" s="42">
        <v>141964</v>
      </c>
      <c r="P79" s="42">
        <v>141965</v>
      </c>
      <c r="Q79" s="42">
        <v>141966</v>
      </c>
      <c r="R79" s="42">
        <v>141965</v>
      </c>
      <c r="S79" s="42">
        <v>141966</v>
      </c>
      <c r="T79" s="42">
        <v>141962</v>
      </c>
      <c r="U79" s="42">
        <v>141962</v>
      </c>
      <c r="V79" s="42">
        <v>141962</v>
      </c>
      <c r="W79" s="57">
        <f>AVERAGE(H79:H83)</f>
        <v>1.0041</v>
      </c>
      <c r="Y79">
        <v>0</v>
      </c>
      <c r="Z79" t="s">
        <v>164</v>
      </c>
      <c r="AA79">
        <v>12672</v>
      </c>
      <c r="AB79">
        <v>96</v>
      </c>
      <c r="AC79">
        <v>2</v>
      </c>
      <c r="AD79">
        <v>2</v>
      </c>
      <c r="AE79">
        <v>1791.63</v>
      </c>
      <c r="AF79" s="48">
        <v>0.75731000000000004</v>
      </c>
      <c r="AG79" s="46">
        <v>45465</v>
      </c>
      <c r="AH79" s="47">
        <v>0.85086805555555556</v>
      </c>
      <c r="AI79">
        <v>206343</v>
      </c>
      <c r="AJ79">
        <v>206344</v>
      </c>
      <c r="AK79">
        <v>206343</v>
      </c>
      <c r="AL79">
        <v>206345</v>
      </c>
      <c r="AM79">
        <v>206345</v>
      </c>
      <c r="AN79">
        <v>206344</v>
      </c>
      <c r="AO79">
        <v>206346</v>
      </c>
      <c r="AP79">
        <v>206345</v>
      </c>
      <c r="AQ79">
        <v>206346</v>
      </c>
      <c r="AR79">
        <v>206346</v>
      </c>
      <c r="AS79">
        <v>206347</v>
      </c>
      <c r="AT79">
        <v>206347</v>
      </c>
      <c r="AU79" s="57">
        <f t="shared" ref="AU79" si="31">AVERAGE(AF79:AF83)</f>
        <v>0.79421799999999998</v>
      </c>
      <c r="AW79">
        <v>0</v>
      </c>
      <c r="AX79" t="s">
        <v>164</v>
      </c>
      <c r="AY79">
        <v>12672</v>
      </c>
      <c r="AZ79">
        <v>96</v>
      </c>
      <c r="BA79">
        <v>1</v>
      </c>
      <c r="BB79">
        <v>4</v>
      </c>
      <c r="BC79">
        <v>1384.76</v>
      </c>
      <c r="BD79" s="42">
        <v>0.97982000000000002</v>
      </c>
      <c r="BE79" s="57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57">
        <f>AVERAGE(BD79:BD83)</f>
        <v>0.98022199999999982</v>
      </c>
    </row>
    <row r="80" spans="1:71" x14ac:dyDescent="0.25">
      <c r="A80">
        <v>1</v>
      </c>
      <c r="B80" t="s">
        <v>164</v>
      </c>
      <c r="C80">
        <v>12672</v>
      </c>
      <c r="D80">
        <v>96</v>
      </c>
      <c r="E80">
        <v>2</v>
      </c>
      <c r="F80">
        <v>2</v>
      </c>
      <c r="G80">
        <v>1351.52</v>
      </c>
      <c r="H80" s="42">
        <v>1.0039</v>
      </c>
      <c r="I80" s="42">
        <v>45475</v>
      </c>
      <c r="J80" s="42">
        <v>0.62285879629629626</v>
      </c>
      <c r="K80" s="42">
        <v>141953</v>
      </c>
      <c r="L80" s="42">
        <v>141953</v>
      </c>
      <c r="M80" s="42">
        <v>141953</v>
      </c>
      <c r="N80" s="42">
        <v>141959</v>
      </c>
      <c r="O80" s="42">
        <v>141959</v>
      </c>
      <c r="P80" s="42">
        <v>141958</v>
      </c>
      <c r="Q80" s="42">
        <v>141960</v>
      </c>
      <c r="R80" s="42">
        <v>141959</v>
      </c>
      <c r="S80" s="42">
        <v>141960</v>
      </c>
      <c r="T80" s="42">
        <v>141965</v>
      </c>
      <c r="U80" s="42">
        <v>141965</v>
      </c>
      <c r="V80" s="42">
        <v>141966</v>
      </c>
      <c r="W80" s="57">
        <f>W79</f>
        <v>1.0041</v>
      </c>
      <c r="Y80">
        <v>1</v>
      </c>
      <c r="Z80" t="s">
        <v>164</v>
      </c>
      <c r="AA80">
        <v>12672</v>
      </c>
      <c r="AB80">
        <v>96</v>
      </c>
      <c r="AC80">
        <v>2</v>
      </c>
      <c r="AD80">
        <v>2</v>
      </c>
      <c r="AE80">
        <v>1733.82</v>
      </c>
      <c r="AF80" s="48">
        <v>0.78256000000000003</v>
      </c>
      <c r="AG80" s="46">
        <v>45467</v>
      </c>
      <c r="AH80" s="47">
        <v>0.23954861111111111</v>
      </c>
      <c r="AI80">
        <v>200562</v>
      </c>
      <c r="AJ80">
        <v>200563</v>
      </c>
      <c r="AK80">
        <v>200562</v>
      </c>
      <c r="AL80">
        <v>200564</v>
      </c>
      <c r="AM80">
        <v>200564</v>
      </c>
      <c r="AN80">
        <v>200563</v>
      </c>
      <c r="AO80">
        <v>200561</v>
      </c>
      <c r="AP80">
        <v>200561</v>
      </c>
      <c r="AQ80">
        <v>200561</v>
      </c>
      <c r="AR80">
        <v>200562</v>
      </c>
      <c r="AS80">
        <v>200563</v>
      </c>
      <c r="AT80">
        <v>200563</v>
      </c>
      <c r="AU80" s="57">
        <f t="shared" ref="AU80" si="32">AU79</f>
        <v>0.79421799999999998</v>
      </c>
      <c r="AW80">
        <v>1</v>
      </c>
      <c r="AX80" t="s">
        <v>164</v>
      </c>
      <c r="AY80">
        <v>12672</v>
      </c>
      <c r="AZ80">
        <v>96</v>
      </c>
      <c r="BA80">
        <v>1</v>
      </c>
      <c r="BB80">
        <v>4</v>
      </c>
      <c r="BC80">
        <v>1388.62</v>
      </c>
      <c r="BD80" s="42">
        <v>0.97709999999999997</v>
      </c>
      <c r="BE80" s="57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57">
        <f>BS79</f>
        <v>0.98022199999999982</v>
      </c>
    </row>
    <row r="81" spans="1:71" x14ac:dyDescent="0.25">
      <c r="A81">
        <v>2</v>
      </c>
      <c r="B81" t="s">
        <v>164</v>
      </c>
      <c r="C81">
        <v>12672</v>
      </c>
      <c r="D81">
        <v>96</v>
      </c>
      <c r="E81">
        <v>2</v>
      </c>
      <c r="F81">
        <v>2</v>
      </c>
      <c r="G81">
        <v>1351.54</v>
      </c>
      <c r="H81" s="42">
        <v>1.0039</v>
      </c>
      <c r="I81" s="42">
        <v>45476</v>
      </c>
      <c r="J81" s="42">
        <v>0.61495370370370372</v>
      </c>
      <c r="K81" s="42">
        <v>141955</v>
      </c>
      <c r="L81" s="42">
        <v>141956</v>
      </c>
      <c r="M81" s="42">
        <v>141956</v>
      </c>
      <c r="N81" s="42">
        <v>141958</v>
      </c>
      <c r="O81" s="42">
        <v>141958</v>
      </c>
      <c r="P81" s="42">
        <v>141958</v>
      </c>
      <c r="Q81" s="42">
        <v>141960</v>
      </c>
      <c r="R81" s="42">
        <v>141959</v>
      </c>
      <c r="S81" s="42">
        <v>141960</v>
      </c>
      <c r="T81" s="42">
        <v>141962</v>
      </c>
      <c r="U81" s="42">
        <v>141963</v>
      </c>
      <c r="V81" s="42">
        <v>141962</v>
      </c>
      <c r="W81" s="57">
        <f>W80</f>
        <v>1.0041</v>
      </c>
      <c r="Y81">
        <v>2</v>
      </c>
      <c r="Z81" t="s">
        <v>164</v>
      </c>
      <c r="AA81">
        <v>12672</v>
      </c>
      <c r="AB81">
        <v>96</v>
      </c>
      <c r="AC81">
        <v>2</v>
      </c>
      <c r="AD81">
        <v>2</v>
      </c>
      <c r="AE81">
        <v>1670.53</v>
      </c>
      <c r="AF81" s="48">
        <v>0.81220999999999999</v>
      </c>
      <c r="AG81" s="46">
        <v>45468</v>
      </c>
      <c r="AH81" s="47">
        <v>0.61561342592592594</v>
      </c>
      <c r="AI81">
        <v>194500</v>
      </c>
      <c r="AJ81">
        <v>194501</v>
      </c>
      <c r="AK81">
        <v>194500</v>
      </c>
      <c r="AL81">
        <v>194504</v>
      </c>
      <c r="AM81">
        <v>194504</v>
      </c>
      <c r="AN81">
        <v>194504</v>
      </c>
      <c r="AO81">
        <v>194510</v>
      </c>
      <c r="AP81">
        <v>194509</v>
      </c>
      <c r="AQ81">
        <v>194510</v>
      </c>
      <c r="AR81">
        <v>194510</v>
      </c>
      <c r="AS81">
        <v>194511</v>
      </c>
      <c r="AT81">
        <v>194511</v>
      </c>
      <c r="AU81" s="57">
        <f t="shared" si="30"/>
        <v>0.79421799999999998</v>
      </c>
      <c r="AW81">
        <v>2</v>
      </c>
      <c r="AX81" t="s">
        <v>164</v>
      </c>
      <c r="AY81">
        <v>12672</v>
      </c>
      <c r="AZ81">
        <v>96</v>
      </c>
      <c r="BA81">
        <v>1</v>
      </c>
      <c r="BB81">
        <v>4</v>
      </c>
      <c r="BC81">
        <v>1382.88</v>
      </c>
      <c r="BD81" s="42">
        <v>0.98114999999999997</v>
      </c>
      <c r="BE81" s="57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57">
        <f>BS80</f>
        <v>0.98022199999999982</v>
      </c>
    </row>
    <row r="82" spans="1:71" x14ac:dyDescent="0.25">
      <c r="A82">
        <v>3</v>
      </c>
      <c r="B82" t="s">
        <v>164</v>
      </c>
      <c r="C82">
        <v>12672</v>
      </c>
      <c r="D82">
        <v>96</v>
      </c>
      <c r="E82">
        <v>2</v>
      </c>
      <c r="F82">
        <v>2</v>
      </c>
      <c r="G82">
        <v>1350.68</v>
      </c>
      <c r="H82" s="42">
        <v>1.0044999999999999</v>
      </c>
      <c r="I82" s="42">
        <v>45477</v>
      </c>
      <c r="J82" s="42">
        <v>0.60305555555555557</v>
      </c>
      <c r="K82" s="42">
        <v>141819</v>
      </c>
      <c r="L82" s="42">
        <v>141819</v>
      </c>
      <c r="M82" s="42">
        <v>141819</v>
      </c>
      <c r="N82" s="42">
        <v>141824</v>
      </c>
      <c r="O82" s="42">
        <v>141825</v>
      </c>
      <c r="P82" s="42">
        <v>141825</v>
      </c>
      <c r="Q82" s="42">
        <v>141830</v>
      </c>
      <c r="R82" s="42">
        <v>141830</v>
      </c>
      <c r="S82" s="42">
        <v>141829</v>
      </c>
      <c r="T82" s="42">
        <v>141832</v>
      </c>
      <c r="U82" s="42">
        <v>141832</v>
      </c>
      <c r="V82" s="42">
        <v>141831</v>
      </c>
      <c r="W82" s="57">
        <f>W81</f>
        <v>1.0041</v>
      </c>
      <c r="Y82">
        <v>3</v>
      </c>
      <c r="Z82" t="s">
        <v>164</v>
      </c>
      <c r="AA82">
        <v>12672</v>
      </c>
      <c r="AB82">
        <v>96</v>
      </c>
      <c r="AC82">
        <v>2</v>
      </c>
      <c r="AD82">
        <v>2</v>
      </c>
      <c r="AE82">
        <v>1673.92</v>
      </c>
      <c r="AF82" s="48">
        <v>0.81055999999999995</v>
      </c>
      <c r="AG82" s="46">
        <v>45469</v>
      </c>
      <c r="AH82" s="47">
        <v>0.98320601851851852</v>
      </c>
      <c r="AI82">
        <v>194562</v>
      </c>
      <c r="AJ82">
        <v>194561</v>
      </c>
      <c r="AK82">
        <v>194562</v>
      </c>
      <c r="AL82">
        <v>194563</v>
      </c>
      <c r="AM82">
        <v>194563</v>
      </c>
      <c r="AN82">
        <v>194563</v>
      </c>
      <c r="AO82">
        <v>194564</v>
      </c>
      <c r="AP82">
        <v>194565</v>
      </c>
      <c r="AQ82">
        <v>194565</v>
      </c>
      <c r="AR82">
        <v>194566</v>
      </c>
      <c r="AS82">
        <v>194567</v>
      </c>
      <c r="AT82">
        <v>194567</v>
      </c>
      <c r="AU82" s="57">
        <f t="shared" si="30"/>
        <v>0.79421799999999998</v>
      </c>
      <c r="AW82">
        <v>3</v>
      </c>
      <c r="AX82" t="s">
        <v>164</v>
      </c>
      <c r="AY82">
        <v>12672</v>
      </c>
      <c r="AZ82">
        <v>96</v>
      </c>
      <c r="BA82">
        <v>1</v>
      </c>
      <c r="BB82">
        <v>4</v>
      </c>
      <c r="BC82">
        <v>1382.93</v>
      </c>
      <c r="BD82" s="42">
        <v>0.98111999999999999</v>
      </c>
      <c r="BE82" s="57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57">
        <f>BS81</f>
        <v>0.98022199999999982</v>
      </c>
    </row>
    <row r="83" spans="1:71" x14ac:dyDescent="0.25">
      <c r="A83">
        <v>4</v>
      </c>
      <c r="B83" t="s">
        <v>164</v>
      </c>
      <c r="C83">
        <v>12672</v>
      </c>
      <c r="D83">
        <v>96</v>
      </c>
      <c r="E83">
        <v>2</v>
      </c>
      <c r="F83">
        <v>2</v>
      </c>
      <c r="G83">
        <v>1350.73</v>
      </c>
      <c r="H83" s="42">
        <v>1.0044999999999999</v>
      </c>
      <c r="I83" s="42">
        <v>45478</v>
      </c>
      <c r="J83" s="42">
        <v>0.58421296296296299</v>
      </c>
      <c r="K83" s="42">
        <v>141846</v>
      </c>
      <c r="L83" s="42">
        <v>141846</v>
      </c>
      <c r="M83" s="42">
        <v>141845</v>
      </c>
      <c r="N83" s="42">
        <v>141852</v>
      </c>
      <c r="O83" s="42">
        <v>141852</v>
      </c>
      <c r="P83" s="42">
        <v>141851</v>
      </c>
      <c r="Q83" s="42">
        <v>141849</v>
      </c>
      <c r="R83" s="42">
        <v>141849</v>
      </c>
      <c r="S83" s="42">
        <v>141849</v>
      </c>
      <c r="T83" s="42">
        <v>141850</v>
      </c>
      <c r="U83" s="42">
        <v>141851</v>
      </c>
      <c r="V83" s="42">
        <v>141850</v>
      </c>
      <c r="W83" s="57">
        <f>W82</f>
        <v>1.0041</v>
      </c>
      <c r="Y83">
        <v>4</v>
      </c>
      <c r="Z83" t="s">
        <v>164</v>
      </c>
      <c r="AA83">
        <v>12672</v>
      </c>
      <c r="AB83">
        <v>96</v>
      </c>
      <c r="AC83">
        <v>2</v>
      </c>
      <c r="AD83">
        <v>2</v>
      </c>
      <c r="AE83">
        <v>1678.28</v>
      </c>
      <c r="AF83" s="48">
        <v>0.80845</v>
      </c>
      <c r="AG83" s="46">
        <v>45471</v>
      </c>
      <c r="AH83" s="47">
        <v>0.33474537037037039</v>
      </c>
      <c r="AI83">
        <v>194933</v>
      </c>
      <c r="AJ83">
        <v>194934</v>
      </c>
      <c r="AK83">
        <v>194933</v>
      </c>
      <c r="AL83">
        <v>194937</v>
      </c>
      <c r="AM83">
        <v>194936</v>
      </c>
      <c r="AN83">
        <v>194936</v>
      </c>
      <c r="AO83">
        <v>194941</v>
      </c>
      <c r="AP83">
        <v>194941</v>
      </c>
      <c r="AQ83">
        <v>194942</v>
      </c>
      <c r="AR83">
        <v>194947</v>
      </c>
      <c r="AS83">
        <v>194946</v>
      </c>
      <c r="AT83">
        <v>194946</v>
      </c>
      <c r="AU83" s="57">
        <f t="shared" si="30"/>
        <v>0.79421799999999998</v>
      </c>
      <c r="AW83">
        <v>4</v>
      </c>
      <c r="AX83" t="s">
        <v>164</v>
      </c>
      <c r="AY83">
        <v>12672</v>
      </c>
      <c r="AZ83">
        <v>96</v>
      </c>
      <c r="BA83">
        <v>1</v>
      </c>
      <c r="BB83">
        <v>4</v>
      </c>
      <c r="BC83">
        <v>1381.8</v>
      </c>
      <c r="BD83" s="42">
        <v>0.98192000000000002</v>
      </c>
      <c r="BE83" s="57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57">
        <f>BS82</f>
        <v>0.98022199999999982</v>
      </c>
    </row>
    <row r="84" spans="1:71" x14ac:dyDescent="0.25">
      <c r="A84">
        <v>0</v>
      </c>
      <c r="B84" t="s">
        <v>164</v>
      </c>
      <c r="C84">
        <v>13440</v>
      </c>
      <c r="D84">
        <v>96</v>
      </c>
      <c r="E84">
        <v>2</v>
      </c>
      <c r="F84">
        <v>2</v>
      </c>
      <c r="G84">
        <v>1597.7</v>
      </c>
      <c r="H84" s="70">
        <v>1.0132000000000001</v>
      </c>
      <c r="I84" s="42">
        <v>45474</v>
      </c>
      <c r="J84" s="42">
        <v>0.91655092592592591</v>
      </c>
      <c r="K84" s="42">
        <v>167300</v>
      </c>
      <c r="L84" s="42">
        <v>167301</v>
      </c>
      <c r="M84" s="42">
        <v>167301</v>
      </c>
      <c r="N84" s="42">
        <v>167297</v>
      </c>
      <c r="O84" s="42">
        <v>167297</v>
      </c>
      <c r="P84" s="42">
        <v>167296</v>
      </c>
      <c r="Q84" s="42">
        <v>167300</v>
      </c>
      <c r="R84" s="42">
        <v>167300</v>
      </c>
      <c r="S84" s="42">
        <v>167300</v>
      </c>
      <c r="T84" s="42">
        <v>167319</v>
      </c>
      <c r="U84" s="42">
        <v>167319</v>
      </c>
      <c r="V84" s="42">
        <v>167320</v>
      </c>
      <c r="W84" s="57">
        <f>AVERAGE(H84:H88)</f>
        <v>1.0113400000000001</v>
      </c>
      <c r="Y84">
        <v>0</v>
      </c>
      <c r="Z84" t="s">
        <v>164</v>
      </c>
      <c r="AA84">
        <v>13440</v>
      </c>
      <c r="AB84">
        <v>96</v>
      </c>
      <c r="AC84">
        <v>2</v>
      </c>
      <c r="AD84">
        <v>2</v>
      </c>
      <c r="AE84">
        <v>2035.14</v>
      </c>
      <c r="AF84" s="48">
        <v>0.7954</v>
      </c>
      <c r="AG84" s="46">
        <v>45466</v>
      </c>
      <c r="AH84" s="47">
        <v>0.24689814814814814</v>
      </c>
      <c r="AI84">
        <v>234170</v>
      </c>
      <c r="AJ84">
        <v>234171</v>
      </c>
      <c r="AK84">
        <v>234170</v>
      </c>
      <c r="AL84">
        <v>234178</v>
      </c>
      <c r="AM84">
        <v>234178</v>
      </c>
      <c r="AN84">
        <v>234178</v>
      </c>
      <c r="AO84">
        <v>234184</v>
      </c>
      <c r="AP84">
        <v>234184</v>
      </c>
      <c r="AQ84">
        <v>234184</v>
      </c>
      <c r="AR84">
        <v>234181</v>
      </c>
      <c r="AS84">
        <v>234181</v>
      </c>
      <c r="AT84">
        <v>234181</v>
      </c>
      <c r="AU84" s="57">
        <f t="shared" ref="AU84" si="33">AVERAGE(AF84:AF88)</f>
        <v>0.7864739999999999</v>
      </c>
      <c r="AW84">
        <v>0</v>
      </c>
      <c r="AX84" t="s">
        <v>164</v>
      </c>
      <c r="AY84">
        <v>13440</v>
      </c>
      <c r="AZ84">
        <v>96</v>
      </c>
      <c r="BA84">
        <v>1</v>
      </c>
      <c r="BB84">
        <v>4</v>
      </c>
      <c r="BC84">
        <v>1634.97</v>
      </c>
      <c r="BD84" s="42">
        <v>0.99007999999999996</v>
      </c>
      <c r="BE84" s="57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57">
        <f>AVERAGE(BD84:BD88)</f>
        <v>0.99109599999999998</v>
      </c>
    </row>
    <row r="85" spans="1:71" x14ac:dyDescent="0.25">
      <c r="A85">
        <v>1</v>
      </c>
      <c r="B85" t="s">
        <v>164</v>
      </c>
      <c r="C85">
        <v>13440</v>
      </c>
      <c r="D85">
        <v>96</v>
      </c>
      <c r="E85">
        <v>2</v>
      </c>
      <c r="F85">
        <v>2</v>
      </c>
      <c r="G85">
        <v>1609.58</v>
      </c>
      <c r="H85" s="42">
        <v>1.0057</v>
      </c>
      <c r="I85" s="42">
        <v>45475</v>
      </c>
      <c r="J85" s="42">
        <v>0.91158564814814813</v>
      </c>
      <c r="K85" s="42">
        <v>168663</v>
      </c>
      <c r="L85" s="42">
        <v>168663</v>
      </c>
      <c r="M85" s="42">
        <v>168663</v>
      </c>
      <c r="N85" s="42">
        <v>168670</v>
      </c>
      <c r="O85" s="42">
        <v>168669</v>
      </c>
      <c r="P85" s="42">
        <v>168669</v>
      </c>
      <c r="Q85" s="42">
        <v>168671</v>
      </c>
      <c r="R85" s="42">
        <v>168670</v>
      </c>
      <c r="S85" s="42">
        <v>168671</v>
      </c>
      <c r="T85" s="42">
        <v>168668</v>
      </c>
      <c r="U85" s="42">
        <v>168669</v>
      </c>
      <c r="V85" s="42">
        <v>168669</v>
      </c>
      <c r="W85" s="57">
        <f>W84</f>
        <v>1.0113400000000001</v>
      </c>
      <c r="Y85">
        <v>1</v>
      </c>
      <c r="Z85" t="s">
        <v>164</v>
      </c>
      <c r="AA85">
        <v>13440</v>
      </c>
      <c r="AB85">
        <v>96</v>
      </c>
      <c r="AC85">
        <v>2</v>
      </c>
      <c r="AD85">
        <v>2</v>
      </c>
      <c r="AE85">
        <v>2102.13</v>
      </c>
      <c r="AF85" s="48">
        <v>0.77005000000000001</v>
      </c>
      <c r="AG85" s="46">
        <v>45467</v>
      </c>
      <c r="AH85" s="47">
        <v>0.63894675925925926</v>
      </c>
      <c r="AI85">
        <v>240703</v>
      </c>
      <c r="AJ85">
        <v>240703</v>
      </c>
      <c r="AK85">
        <v>240702</v>
      </c>
      <c r="AL85">
        <v>240712</v>
      </c>
      <c r="AM85">
        <v>240712</v>
      </c>
      <c r="AN85">
        <v>240712</v>
      </c>
      <c r="AO85">
        <v>240713</v>
      </c>
      <c r="AP85">
        <v>240713</v>
      </c>
      <c r="AQ85">
        <v>240713</v>
      </c>
      <c r="AR85">
        <v>240740</v>
      </c>
      <c r="AS85">
        <v>240741</v>
      </c>
      <c r="AT85">
        <v>240740</v>
      </c>
      <c r="AU85" s="57">
        <f t="shared" ref="AU85" si="34">AU84</f>
        <v>0.7864739999999999</v>
      </c>
      <c r="AW85">
        <v>1</v>
      </c>
      <c r="AX85" t="s">
        <v>164</v>
      </c>
      <c r="AY85">
        <v>13440</v>
      </c>
      <c r="AZ85">
        <v>96</v>
      </c>
      <c r="BA85">
        <v>1</v>
      </c>
      <c r="BB85">
        <v>4</v>
      </c>
      <c r="BC85">
        <v>1630.69</v>
      </c>
      <c r="BD85" s="42">
        <v>0.99268000000000001</v>
      </c>
      <c r="BE85" s="57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57">
        <f>BS84</f>
        <v>0.99109599999999998</v>
      </c>
    </row>
    <row r="86" spans="1:71" x14ac:dyDescent="0.25">
      <c r="A86">
        <v>2</v>
      </c>
      <c r="B86" t="s">
        <v>164</v>
      </c>
      <c r="C86">
        <v>13440</v>
      </c>
      <c r="D86">
        <v>96</v>
      </c>
      <c r="E86">
        <v>2</v>
      </c>
      <c r="F86">
        <v>2</v>
      </c>
      <c r="G86">
        <v>1595.62</v>
      </c>
      <c r="H86" s="42">
        <v>1.0145</v>
      </c>
      <c r="I86" s="42">
        <v>45476</v>
      </c>
      <c r="J86" s="42">
        <v>0.90372685185185186</v>
      </c>
      <c r="K86" s="42">
        <v>167113</v>
      </c>
      <c r="L86" s="42">
        <v>167113</v>
      </c>
      <c r="M86" s="42">
        <v>167112</v>
      </c>
      <c r="N86" s="42">
        <v>167114</v>
      </c>
      <c r="O86" s="42">
        <v>167115</v>
      </c>
      <c r="P86" s="42">
        <v>167115</v>
      </c>
      <c r="Q86" s="42">
        <v>167116</v>
      </c>
      <c r="R86" s="42">
        <v>167115</v>
      </c>
      <c r="S86" s="42">
        <v>167116</v>
      </c>
      <c r="T86" s="42">
        <v>167117</v>
      </c>
      <c r="U86" s="42">
        <v>167117</v>
      </c>
      <c r="V86" s="42">
        <v>167117</v>
      </c>
      <c r="W86" s="57">
        <f>W85</f>
        <v>1.0113400000000001</v>
      </c>
      <c r="Y86">
        <v>2</v>
      </c>
      <c r="Z86" t="s">
        <v>164</v>
      </c>
      <c r="AA86">
        <v>13440</v>
      </c>
      <c r="AB86">
        <v>96</v>
      </c>
      <c r="AC86">
        <v>2</v>
      </c>
      <c r="AD86">
        <v>2</v>
      </c>
      <c r="AE86">
        <v>2010.56</v>
      </c>
      <c r="AF86" s="48">
        <v>0.80511999999999995</v>
      </c>
      <c r="AG86" s="46">
        <v>45469</v>
      </c>
      <c r="AH86" s="47">
        <v>1.3449074074074073E-2</v>
      </c>
      <c r="AI86">
        <v>231688</v>
      </c>
      <c r="AJ86">
        <v>231688</v>
      </c>
      <c r="AK86">
        <v>231687</v>
      </c>
      <c r="AL86">
        <v>231707</v>
      </c>
      <c r="AM86">
        <v>231707</v>
      </c>
      <c r="AN86">
        <v>231707</v>
      </c>
      <c r="AO86">
        <v>231738</v>
      </c>
      <c r="AP86">
        <v>231738</v>
      </c>
      <c r="AQ86">
        <v>231738</v>
      </c>
      <c r="AR86">
        <v>231761</v>
      </c>
      <c r="AS86">
        <v>231762</v>
      </c>
      <c r="AT86">
        <v>231762</v>
      </c>
      <c r="AU86" s="57">
        <f t="shared" si="30"/>
        <v>0.7864739999999999</v>
      </c>
      <c r="AW86">
        <v>2</v>
      </c>
      <c r="AX86" t="s">
        <v>164</v>
      </c>
      <c r="AY86">
        <v>13440</v>
      </c>
      <c r="AZ86">
        <v>96</v>
      </c>
      <c r="BA86">
        <v>1</v>
      </c>
      <c r="BB86">
        <v>4</v>
      </c>
      <c r="BC86">
        <v>1631.85</v>
      </c>
      <c r="BD86" s="42">
        <v>0.99197000000000002</v>
      </c>
      <c r="BE86" s="57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57">
        <f>BS85</f>
        <v>0.99109599999999998</v>
      </c>
    </row>
    <row r="87" spans="1:71" x14ac:dyDescent="0.25">
      <c r="A87">
        <v>3</v>
      </c>
      <c r="B87" t="s">
        <v>164</v>
      </c>
      <c r="C87">
        <v>13440</v>
      </c>
      <c r="D87">
        <v>96</v>
      </c>
      <c r="E87">
        <v>2</v>
      </c>
      <c r="F87">
        <v>2</v>
      </c>
      <c r="G87">
        <v>1604.35</v>
      </c>
      <c r="H87" s="42">
        <v>1.0089999999999999</v>
      </c>
      <c r="I87" s="42">
        <v>45477</v>
      </c>
      <c r="J87" s="42">
        <v>0.89194444444444443</v>
      </c>
      <c r="K87" s="42">
        <v>168161</v>
      </c>
      <c r="L87" s="42">
        <v>168161</v>
      </c>
      <c r="M87" s="42">
        <v>168161</v>
      </c>
      <c r="N87" s="42">
        <v>168162</v>
      </c>
      <c r="O87" s="42">
        <v>168163</v>
      </c>
      <c r="P87" s="42">
        <v>168162</v>
      </c>
      <c r="Q87" s="42">
        <v>168191</v>
      </c>
      <c r="R87" s="42">
        <v>168191</v>
      </c>
      <c r="S87" s="42">
        <v>168190</v>
      </c>
      <c r="T87" s="42">
        <v>168197</v>
      </c>
      <c r="U87" s="42">
        <v>168197</v>
      </c>
      <c r="V87" s="42">
        <v>168197</v>
      </c>
      <c r="W87" s="57">
        <f>W86</f>
        <v>1.0113400000000001</v>
      </c>
      <c r="Y87">
        <v>3</v>
      </c>
      <c r="Z87" t="s">
        <v>164</v>
      </c>
      <c r="AA87">
        <v>13440</v>
      </c>
      <c r="AB87">
        <v>96</v>
      </c>
      <c r="AC87">
        <v>2</v>
      </c>
      <c r="AD87">
        <v>2</v>
      </c>
      <c r="AE87">
        <v>2048.9699999999998</v>
      </c>
      <c r="AF87" s="48">
        <v>0.79003000000000001</v>
      </c>
      <c r="AG87" s="46">
        <v>45470</v>
      </c>
      <c r="AH87" s="47">
        <v>0.37833333333333335</v>
      </c>
      <c r="AI87">
        <v>235351</v>
      </c>
      <c r="AJ87">
        <v>235351</v>
      </c>
      <c r="AK87">
        <v>235352</v>
      </c>
      <c r="AL87">
        <v>235366</v>
      </c>
      <c r="AM87">
        <v>235366</v>
      </c>
      <c r="AN87">
        <v>235366</v>
      </c>
      <c r="AO87">
        <v>235369</v>
      </c>
      <c r="AP87">
        <v>235369</v>
      </c>
      <c r="AQ87">
        <v>235369</v>
      </c>
      <c r="AR87">
        <v>235370</v>
      </c>
      <c r="AS87">
        <v>235370</v>
      </c>
      <c r="AT87">
        <v>235370</v>
      </c>
      <c r="AU87" s="57">
        <f t="shared" si="30"/>
        <v>0.7864739999999999</v>
      </c>
      <c r="AW87">
        <v>3</v>
      </c>
      <c r="AX87" t="s">
        <v>164</v>
      </c>
      <c r="AY87">
        <v>13440</v>
      </c>
      <c r="AZ87">
        <v>96</v>
      </c>
      <c r="BA87">
        <v>1</v>
      </c>
      <c r="BB87">
        <v>4</v>
      </c>
      <c r="BC87">
        <v>1637.37</v>
      </c>
      <c r="BD87" s="42">
        <v>0.98862000000000005</v>
      </c>
      <c r="BE87" s="57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57">
        <f>BS86</f>
        <v>0.99109599999999998</v>
      </c>
    </row>
    <row r="88" spans="1:71" x14ac:dyDescent="0.25">
      <c r="A88">
        <v>4</v>
      </c>
      <c r="B88" t="s">
        <v>164</v>
      </c>
      <c r="C88">
        <v>13440</v>
      </c>
      <c r="D88">
        <v>96</v>
      </c>
      <c r="E88">
        <v>2</v>
      </c>
      <c r="F88">
        <v>2</v>
      </c>
      <c r="G88">
        <v>1595.94</v>
      </c>
      <c r="H88" s="42">
        <v>1.0143</v>
      </c>
      <c r="I88" s="42">
        <v>45478</v>
      </c>
      <c r="J88" s="42">
        <v>0.87277777777777776</v>
      </c>
      <c r="K88" s="42">
        <v>167097</v>
      </c>
      <c r="L88" s="42">
        <v>167098</v>
      </c>
      <c r="M88" s="42">
        <v>167097</v>
      </c>
      <c r="N88" s="42">
        <v>167099</v>
      </c>
      <c r="O88" s="42">
        <v>167099</v>
      </c>
      <c r="P88" s="42">
        <v>167100</v>
      </c>
      <c r="Q88" s="42">
        <v>167105</v>
      </c>
      <c r="R88" s="42">
        <v>167105</v>
      </c>
      <c r="S88" s="42">
        <v>167105</v>
      </c>
      <c r="T88" s="42">
        <v>167111</v>
      </c>
      <c r="U88" s="42">
        <v>167110</v>
      </c>
      <c r="V88" s="42">
        <v>167111</v>
      </c>
      <c r="W88" s="57">
        <f>W87</f>
        <v>1.0113400000000001</v>
      </c>
      <c r="Y88">
        <v>4</v>
      </c>
      <c r="Z88" t="s">
        <v>164</v>
      </c>
      <c r="AA88">
        <v>13440</v>
      </c>
      <c r="AB88">
        <v>96</v>
      </c>
      <c r="AC88">
        <v>2</v>
      </c>
      <c r="AD88">
        <v>2</v>
      </c>
      <c r="AE88">
        <v>2097.46</v>
      </c>
      <c r="AF88" s="48">
        <v>0.77176999999999996</v>
      </c>
      <c r="AG88" s="46">
        <v>45471</v>
      </c>
      <c r="AH88" s="47">
        <v>0.73636574074074079</v>
      </c>
      <c r="AI88">
        <v>240195</v>
      </c>
      <c r="AJ88">
        <v>240195</v>
      </c>
      <c r="AK88">
        <v>240195</v>
      </c>
      <c r="AL88">
        <v>240197</v>
      </c>
      <c r="AM88">
        <v>240196</v>
      </c>
      <c r="AN88">
        <v>240196</v>
      </c>
      <c r="AO88">
        <v>240197</v>
      </c>
      <c r="AP88">
        <v>240198</v>
      </c>
      <c r="AQ88">
        <v>240197</v>
      </c>
      <c r="AR88">
        <v>240201</v>
      </c>
      <c r="AS88">
        <v>240202</v>
      </c>
      <c r="AT88">
        <v>240202</v>
      </c>
      <c r="AU88" s="57">
        <f t="shared" si="30"/>
        <v>0.7864739999999999</v>
      </c>
      <c r="AW88">
        <v>4</v>
      </c>
      <c r="AX88" t="s">
        <v>164</v>
      </c>
      <c r="AY88">
        <v>13440</v>
      </c>
      <c r="AZ88">
        <v>96</v>
      </c>
      <c r="BA88">
        <v>1</v>
      </c>
      <c r="BB88">
        <v>4</v>
      </c>
      <c r="BC88">
        <v>1631.58</v>
      </c>
      <c r="BD88" s="42">
        <v>0.99212999999999996</v>
      </c>
      <c r="BE88" s="57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57">
        <f>BS87</f>
        <v>0.99109599999999998</v>
      </c>
    </row>
    <row r="89" spans="1:71" x14ac:dyDescent="0.25">
      <c r="A89">
        <v>0</v>
      </c>
      <c r="B89" t="s">
        <v>164</v>
      </c>
      <c r="C89">
        <v>14208</v>
      </c>
      <c r="D89">
        <v>96</v>
      </c>
      <c r="E89">
        <v>2</v>
      </c>
      <c r="F89">
        <v>2</v>
      </c>
      <c r="G89">
        <v>1914.24</v>
      </c>
      <c r="H89" s="70">
        <v>0.99902999999999997</v>
      </c>
      <c r="I89" s="42">
        <v>45475</v>
      </c>
      <c r="J89" s="42">
        <v>0.26037037037037036</v>
      </c>
      <c r="K89" s="42">
        <v>200424</v>
      </c>
      <c r="L89" s="42">
        <v>200423</v>
      </c>
      <c r="M89" s="42">
        <v>200424</v>
      </c>
      <c r="N89" s="42">
        <v>200477</v>
      </c>
      <c r="O89" s="42">
        <v>200477</v>
      </c>
      <c r="P89" s="42">
        <v>200477</v>
      </c>
      <c r="Q89" s="42">
        <v>200515</v>
      </c>
      <c r="R89" s="42">
        <v>200516</v>
      </c>
      <c r="S89" s="42">
        <v>200516</v>
      </c>
      <c r="T89" s="42">
        <v>200575</v>
      </c>
      <c r="U89" s="42">
        <v>200575</v>
      </c>
      <c r="V89" s="42">
        <v>200576</v>
      </c>
      <c r="W89" s="57">
        <f>AVERAGE(H89:H93)</f>
        <v>1.0086059999999999</v>
      </c>
      <c r="Y89">
        <v>0</v>
      </c>
      <c r="Z89" t="s">
        <v>164</v>
      </c>
      <c r="AA89">
        <v>14208</v>
      </c>
      <c r="AB89">
        <v>96</v>
      </c>
      <c r="AC89">
        <v>2</v>
      </c>
      <c r="AD89">
        <v>2</v>
      </c>
      <c r="AE89">
        <v>2485.12</v>
      </c>
      <c r="AF89" s="48">
        <v>0.76954</v>
      </c>
      <c r="AG89" s="46">
        <v>45466</v>
      </c>
      <c r="AH89" s="47">
        <v>0.73375000000000001</v>
      </c>
      <c r="AI89">
        <v>283228</v>
      </c>
      <c r="AJ89">
        <v>283228</v>
      </c>
      <c r="AK89">
        <v>283227</v>
      </c>
      <c r="AL89">
        <v>283264</v>
      </c>
      <c r="AM89">
        <v>283264</v>
      </c>
      <c r="AN89">
        <v>283264</v>
      </c>
      <c r="AO89">
        <v>283320</v>
      </c>
      <c r="AP89">
        <v>283320</v>
      </c>
      <c r="AQ89">
        <v>283319</v>
      </c>
      <c r="AR89">
        <v>283384</v>
      </c>
      <c r="AS89">
        <v>283384</v>
      </c>
      <c r="AT89">
        <v>283384</v>
      </c>
      <c r="AU89" s="57">
        <f t="shared" ref="AU89" si="35">AVERAGE(AF89:AF93)</f>
        <v>0.72139600000000004</v>
      </c>
      <c r="AW89">
        <v>0</v>
      </c>
      <c r="AX89" t="s">
        <v>164</v>
      </c>
      <c r="AY89">
        <v>14208</v>
      </c>
      <c r="AZ89">
        <v>96</v>
      </c>
      <c r="BA89">
        <v>1</v>
      </c>
      <c r="BB89">
        <v>4</v>
      </c>
      <c r="BC89">
        <v>1934.56</v>
      </c>
      <c r="BD89" s="42">
        <v>0.98853999999999997</v>
      </c>
      <c r="BE89" s="57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  <c r="BR89" s="45"/>
      <c r="BS89" s="57">
        <f>AVERAGE(BD89:BD93)</f>
        <v>0.98021800000000003</v>
      </c>
    </row>
    <row r="90" spans="1:71" x14ac:dyDescent="0.25">
      <c r="A90">
        <v>1</v>
      </c>
      <c r="B90" t="s">
        <v>164</v>
      </c>
      <c r="C90">
        <v>14208</v>
      </c>
      <c r="D90">
        <v>96</v>
      </c>
      <c r="E90">
        <v>2</v>
      </c>
      <c r="F90">
        <v>2</v>
      </c>
      <c r="G90">
        <v>1909.78</v>
      </c>
      <c r="H90" s="42">
        <v>1.0014000000000001</v>
      </c>
      <c r="I90" s="42">
        <v>45476</v>
      </c>
      <c r="J90" s="42">
        <v>0.25615740740740739</v>
      </c>
      <c r="K90" s="42">
        <v>200102</v>
      </c>
      <c r="L90" s="42">
        <v>200102</v>
      </c>
      <c r="M90" s="42">
        <v>200101</v>
      </c>
      <c r="N90" s="42">
        <v>200149</v>
      </c>
      <c r="O90" s="42">
        <v>200149</v>
      </c>
      <c r="P90" s="42">
        <v>200150</v>
      </c>
      <c r="Q90" s="42">
        <v>200204</v>
      </c>
      <c r="R90" s="42">
        <v>200203</v>
      </c>
      <c r="S90" s="42">
        <v>200203</v>
      </c>
      <c r="T90" s="42">
        <v>200259</v>
      </c>
      <c r="U90" s="42">
        <v>200259</v>
      </c>
      <c r="V90" s="42">
        <v>200259</v>
      </c>
      <c r="W90" s="57">
        <f>W89</f>
        <v>1.0086059999999999</v>
      </c>
      <c r="Y90">
        <v>1</v>
      </c>
      <c r="Z90" t="s">
        <v>164</v>
      </c>
      <c r="AA90">
        <v>14208</v>
      </c>
      <c r="AB90">
        <v>96</v>
      </c>
      <c r="AC90">
        <v>2</v>
      </c>
      <c r="AD90">
        <v>2</v>
      </c>
      <c r="AE90">
        <v>2698.98</v>
      </c>
      <c r="AF90" s="48">
        <v>0.70855999999999997</v>
      </c>
      <c r="AG90" s="46">
        <v>45468</v>
      </c>
      <c r="AH90" s="47">
        <v>0.11979166666666667</v>
      </c>
      <c r="AI90">
        <v>304660</v>
      </c>
      <c r="AJ90">
        <v>304660</v>
      </c>
      <c r="AK90">
        <v>304661</v>
      </c>
      <c r="AL90">
        <v>304704</v>
      </c>
      <c r="AM90">
        <v>304704</v>
      </c>
      <c r="AN90">
        <v>304703</v>
      </c>
      <c r="AO90">
        <v>304768</v>
      </c>
      <c r="AP90">
        <v>304768</v>
      </c>
      <c r="AQ90">
        <v>304767</v>
      </c>
      <c r="AR90">
        <v>304822</v>
      </c>
      <c r="AS90">
        <v>304821</v>
      </c>
      <c r="AT90">
        <v>304822</v>
      </c>
      <c r="AU90" s="57">
        <f t="shared" ref="AU90" si="36">AU89</f>
        <v>0.72139600000000004</v>
      </c>
      <c r="AW90">
        <v>1</v>
      </c>
      <c r="AX90" t="s">
        <v>164</v>
      </c>
      <c r="AY90">
        <v>14208</v>
      </c>
      <c r="AZ90">
        <v>96</v>
      </c>
      <c r="BA90">
        <v>1</v>
      </c>
      <c r="BB90">
        <v>4</v>
      </c>
      <c r="BC90">
        <v>1946.05</v>
      </c>
      <c r="BD90" s="42">
        <v>0.98270000000000002</v>
      </c>
      <c r="BE90" s="57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57">
        <f>BS89</f>
        <v>0.98021800000000003</v>
      </c>
    </row>
    <row r="91" spans="1:71" x14ac:dyDescent="0.25">
      <c r="A91">
        <v>2</v>
      </c>
      <c r="B91" t="s">
        <v>164</v>
      </c>
      <c r="C91">
        <v>14208</v>
      </c>
      <c r="D91">
        <v>96</v>
      </c>
      <c r="E91">
        <v>2</v>
      </c>
      <c r="F91">
        <v>2</v>
      </c>
      <c r="G91">
        <v>1887.73</v>
      </c>
      <c r="H91" s="42">
        <v>1.0130999999999999</v>
      </c>
      <c r="I91" s="42">
        <v>45477</v>
      </c>
      <c r="J91" s="42">
        <v>0.24761574074074075</v>
      </c>
      <c r="K91" s="42">
        <v>197453</v>
      </c>
      <c r="L91" s="42">
        <v>197453</v>
      </c>
      <c r="M91" s="42">
        <v>197453</v>
      </c>
      <c r="N91" s="42">
        <v>197511</v>
      </c>
      <c r="O91" s="42">
        <v>197511</v>
      </c>
      <c r="P91" s="42">
        <v>197511</v>
      </c>
      <c r="Q91" s="42">
        <v>197572</v>
      </c>
      <c r="R91" s="42">
        <v>197572</v>
      </c>
      <c r="S91" s="42">
        <v>197572</v>
      </c>
      <c r="T91" s="42">
        <v>197638</v>
      </c>
      <c r="U91" s="42">
        <v>197638</v>
      </c>
      <c r="V91" s="42">
        <v>197638</v>
      </c>
      <c r="W91" s="57">
        <f>W90</f>
        <v>1.0086059999999999</v>
      </c>
      <c r="Y91">
        <v>2</v>
      </c>
      <c r="Z91" t="s">
        <v>164</v>
      </c>
      <c r="AA91">
        <v>14208</v>
      </c>
      <c r="AB91">
        <v>96</v>
      </c>
      <c r="AC91">
        <v>2</v>
      </c>
      <c r="AD91">
        <v>2</v>
      </c>
      <c r="AE91">
        <v>2941.62</v>
      </c>
      <c r="AF91" s="48">
        <v>0.65010999999999997</v>
      </c>
      <c r="AG91" s="46">
        <v>45469</v>
      </c>
      <c r="AH91" s="47">
        <v>0.49494212962962963</v>
      </c>
      <c r="AI91">
        <v>328523</v>
      </c>
      <c r="AJ91">
        <v>328524</v>
      </c>
      <c r="AK91">
        <v>328523</v>
      </c>
      <c r="AL91">
        <v>328568</v>
      </c>
      <c r="AM91">
        <v>328568</v>
      </c>
      <c r="AN91">
        <v>328568</v>
      </c>
      <c r="AO91">
        <v>328627</v>
      </c>
      <c r="AP91">
        <v>328627</v>
      </c>
      <c r="AQ91">
        <v>328626</v>
      </c>
      <c r="AR91">
        <v>328692</v>
      </c>
      <c r="AS91">
        <v>328693</v>
      </c>
      <c r="AT91">
        <v>328693</v>
      </c>
      <c r="AU91" s="57">
        <f t="shared" si="30"/>
        <v>0.72139600000000004</v>
      </c>
      <c r="AW91">
        <v>2</v>
      </c>
      <c r="AX91" t="s">
        <v>164</v>
      </c>
      <c r="AY91">
        <v>14208</v>
      </c>
      <c r="AZ91">
        <v>96</v>
      </c>
      <c r="BA91">
        <v>1</v>
      </c>
      <c r="BB91">
        <v>4</v>
      </c>
      <c r="BC91">
        <v>1982.42</v>
      </c>
      <c r="BD91" s="42">
        <v>0.96467000000000003</v>
      </c>
      <c r="BE91" s="57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57">
        <f>BS90</f>
        <v>0.98021800000000003</v>
      </c>
    </row>
    <row r="92" spans="1:71" x14ac:dyDescent="0.25">
      <c r="A92">
        <v>3</v>
      </c>
      <c r="B92" t="s">
        <v>164</v>
      </c>
      <c r="C92">
        <v>14208</v>
      </c>
      <c r="D92">
        <v>96</v>
      </c>
      <c r="E92">
        <v>2</v>
      </c>
      <c r="F92">
        <v>2</v>
      </c>
      <c r="G92">
        <v>1887.9</v>
      </c>
      <c r="H92" s="42">
        <v>1.0129999999999999</v>
      </c>
      <c r="I92" s="42">
        <v>45478</v>
      </c>
      <c r="J92" s="42">
        <v>0.23531250000000001</v>
      </c>
      <c r="K92" s="42">
        <v>197395</v>
      </c>
      <c r="L92" s="42">
        <v>197395</v>
      </c>
      <c r="M92" s="42">
        <v>197395</v>
      </c>
      <c r="N92" s="42">
        <v>197428</v>
      </c>
      <c r="O92" s="42">
        <v>197427</v>
      </c>
      <c r="P92" s="42">
        <v>197428</v>
      </c>
      <c r="Q92" s="42">
        <v>197469</v>
      </c>
      <c r="R92" s="42">
        <v>197469</v>
      </c>
      <c r="S92" s="42">
        <v>197468</v>
      </c>
      <c r="T92" s="42">
        <v>197515</v>
      </c>
      <c r="U92" s="42">
        <v>197514</v>
      </c>
      <c r="V92" s="42">
        <v>197514</v>
      </c>
      <c r="W92" s="57">
        <f>W91</f>
        <v>1.0086059999999999</v>
      </c>
      <c r="Y92">
        <v>3</v>
      </c>
      <c r="Z92" t="s">
        <v>164</v>
      </c>
      <c r="AA92">
        <v>14208</v>
      </c>
      <c r="AB92">
        <v>96</v>
      </c>
      <c r="AC92">
        <v>2</v>
      </c>
      <c r="AD92">
        <v>2</v>
      </c>
      <c r="AE92">
        <v>2482.36</v>
      </c>
      <c r="AF92" s="48">
        <v>0.77039000000000002</v>
      </c>
      <c r="AG92" s="46">
        <v>45470</v>
      </c>
      <c r="AH92" s="47">
        <v>0.85223379629629625</v>
      </c>
      <c r="AI92">
        <v>282755</v>
      </c>
      <c r="AJ92">
        <v>282755</v>
      </c>
      <c r="AK92">
        <v>282755</v>
      </c>
      <c r="AL92">
        <v>282802</v>
      </c>
      <c r="AM92">
        <v>282802</v>
      </c>
      <c r="AN92">
        <v>282802</v>
      </c>
      <c r="AO92">
        <v>282853</v>
      </c>
      <c r="AP92">
        <v>282853</v>
      </c>
      <c r="AQ92">
        <v>282853</v>
      </c>
      <c r="AR92">
        <v>282916</v>
      </c>
      <c r="AS92">
        <v>282915</v>
      </c>
      <c r="AT92">
        <v>282915</v>
      </c>
      <c r="AU92" s="57">
        <f t="shared" si="30"/>
        <v>0.72139600000000004</v>
      </c>
      <c r="AW92">
        <v>3</v>
      </c>
      <c r="AX92" t="s">
        <v>164</v>
      </c>
      <c r="AY92">
        <v>14208</v>
      </c>
      <c r="AZ92">
        <v>96</v>
      </c>
      <c r="BA92">
        <v>1</v>
      </c>
      <c r="BB92">
        <v>4</v>
      </c>
      <c r="BC92">
        <v>1941.29</v>
      </c>
      <c r="BD92" s="42">
        <v>0.98511000000000004</v>
      </c>
      <c r="BE92" s="57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57">
        <f>BS91</f>
        <v>0.98021800000000003</v>
      </c>
    </row>
    <row r="93" spans="1:71" x14ac:dyDescent="0.25">
      <c r="A93">
        <v>4</v>
      </c>
      <c r="B93" t="s">
        <v>164</v>
      </c>
      <c r="C93">
        <v>14208</v>
      </c>
      <c r="D93">
        <v>96</v>
      </c>
      <c r="E93">
        <v>2</v>
      </c>
      <c r="F93">
        <v>2</v>
      </c>
      <c r="G93">
        <v>1881.38</v>
      </c>
      <c r="H93" s="42">
        <v>1.0165</v>
      </c>
      <c r="I93" s="42">
        <v>45479</v>
      </c>
      <c r="J93" s="42">
        <v>0.2164699074074074</v>
      </c>
      <c r="K93" s="42">
        <v>197418</v>
      </c>
      <c r="L93" s="42">
        <v>197417</v>
      </c>
      <c r="M93" s="42">
        <v>197417</v>
      </c>
      <c r="N93" s="42">
        <v>197475</v>
      </c>
      <c r="O93" s="42">
        <v>197475</v>
      </c>
      <c r="P93" s="42">
        <v>197475</v>
      </c>
      <c r="Q93" s="42">
        <v>197536</v>
      </c>
      <c r="R93" s="42">
        <v>197536</v>
      </c>
      <c r="S93" s="42">
        <v>197535</v>
      </c>
      <c r="T93" s="42">
        <v>197591</v>
      </c>
      <c r="U93" s="42">
        <v>197591</v>
      </c>
      <c r="V93" s="42">
        <v>197591</v>
      </c>
      <c r="W93" s="57">
        <f>W92</f>
        <v>1.0086059999999999</v>
      </c>
      <c r="Y93">
        <v>4</v>
      </c>
      <c r="Z93" t="s">
        <v>164</v>
      </c>
      <c r="AA93">
        <v>14208</v>
      </c>
      <c r="AB93">
        <v>96</v>
      </c>
      <c r="AC93">
        <v>2</v>
      </c>
      <c r="AD93">
        <v>2</v>
      </c>
      <c r="AE93">
        <v>2699.65</v>
      </c>
      <c r="AF93" s="48">
        <v>0.70838000000000001</v>
      </c>
      <c r="AG93" s="46">
        <v>45472</v>
      </c>
      <c r="AH93" s="47">
        <v>0.21239583333333334</v>
      </c>
      <c r="AI93">
        <v>304491</v>
      </c>
      <c r="AJ93">
        <v>304491</v>
      </c>
      <c r="AK93">
        <v>304491</v>
      </c>
      <c r="AL93">
        <v>304551</v>
      </c>
      <c r="AM93">
        <v>304551</v>
      </c>
      <c r="AN93">
        <v>304550</v>
      </c>
      <c r="AO93">
        <v>304610</v>
      </c>
      <c r="AP93">
        <v>304610</v>
      </c>
      <c r="AQ93">
        <v>304610</v>
      </c>
      <c r="AR93">
        <v>304691</v>
      </c>
      <c r="AS93">
        <v>304690</v>
      </c>
      <c r="AT93">
        <v>304690</v>
      </c>
      <c r="AU93" s="57">
        <f t="shared" si="30"/>
        <v>0.72139600000000004</v>
      </c>
      <c r="AW93">
        <v>4</v>
      </c>
      <c r="AX93" t="s">
        <v>164</v>
      </c>
      <c r="AY93">
        <v>14208</v>
      </c>
      <c r="AZ93">
        <v>96</v>
      </c>
      <c r="BA93">
        <v>1</v>
      </c>
      <c r="BB93">
        <v>4</v>
      </c>
      <c r="BC93">
        <v>1951.27</v>
      </c>
      <c r="BD93" s="42">
        <v>0.98007</v>
      </c>
      <c r="BE93" s="57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57">
        <f>BS92</f>
        <v>0.98021800000000003</v>
      </c>
    </row>
    <row r="94" spans="1:71" x14ac:dyDescent="0.25">
      <c r="A94">
        <v>0</v>
      </c>
      <c r="B94" t="s">
        <v>164</v>
      </c>
      <c r="C94">
        <v>12672</v>
      </c>
      <c r="D94">
        <v>128</v>
      </c>
      <c r="E94">
        <v>1</v>
      </c>
      <c r="F94">
        <v>4</v>
      </c>
      <c r="G94">
        <v>1385.13</v>
      </c>
      <c r="H94" s="70">
        <v>0.97955999999999999</v>
      </c>
      <c r="I94" s="42">
        <v>45474</v>
      </c>
      <c r="J94" s="42">
        <v>0.64493055555555556</v>
      </c>
      <c r="K94" s="42">
        <v>145435</v>
      </c>
      <c r="L94" s="42">
        <v>145436</v>
      </c>
      <c r="M94" s="42">
        <v>145435</v>
      </c>
      <c r="N94" s="42">
        <v>145440</v>
      </c>
      <c r="O94" s="42">
        <v>145441</v>
      </c>
      <c r="P94" s="42">
        <v>145441</v>
      </c>
      <c r="Q94" s="42">
        <v>145438</v>
      </c>
      <c r="R94" s="42">
        <v>145439</v>
      </c>
      <c r="S94" s="42">
        <v>145438</v>
      </c>
      <c r="T94" s="42">
        <v>145440</v>
      </c>
      <c r="U94" s="42">
        <v>145441</v>
      </c>
      <c r="V94" s="42">
        <v>145441</v>
      </c>
      <c r="W94" s="57">
        <f>AVERAGE(H94:H98)</f>
        <v>0.97961799999999999</v>
      </c>
      <c r="Y94">
        <v>0</v>
      </c>
      <c r="Z94" t="s">
        <v>164</v>
      </c>
      <c r="AA94">
        <v>12672</v>
      </c>
      <c r="AB94">
        <v>128</v>
      </c>
      <c r="AC94">
        <v>1</v>
      </c>
      <c r="AD94">
        <v>4</v>
      </c>
      <c r="AE94">
        <v>1690.08</v>
      </c>
      <c r="AF94" s="48">
        <v>0.80281000000000002</v>
      </c>
      <c r="AG94" s="46">
        <v>45465</v>
      </c>
      <c r="AH94" s="47">
        <v>0.87365740740740738</v>
      </c>
      <c r="AI94">
        <v>196312</v>
      </c>
      <c r="AJ94">
        <v>196312</v>
      </c>
      <c r="AK94">
        <v>196311</v>
      </c>
      <c r="AL94">
        <v>196313</v>
      </c>
      <c r="AM94">
        <v>196313</v>
      </c>
      <c r="AN94">
        <v>196312</v>
      </c>
      <c r="AO94">
        <v>196320</v>
      </c>
      <c r="AP94">
        <v>196321</v>
      </c>
      <c r="AQ94">
        <v>196321</v>
      </c>
      <c r="AR94">
        <v>196316</v>
      </c>
      <c r="AS94">
        <v>196317</v>
      </c>
      <c r="AT94">
        <v>196317</v>
      </c>
      <c r="AU94" s="57">
        <f t="shared" ref="AU94" si="37">AVERAGE(AF94:AF98)</f>
        <v>0.79908600000000007</v>
      </c>
      <c r="AW94">
        <v>0</v>
      </c>
      <c r="AX94" t="s">
        <v>164</v>
      </c>
      <c r="AY94">
        <v>12672</v>
      </c>
      <c r="AZ94">
        <v>96</v>
      </c>
      <c r="BA94">
        <v>2</v>
      </c>
      <c r="BB94">
        <v>2</v>
      </c>
      <c r="BC94">
        <v>1350.95</v>
      </c>
      <c r="BD94" s="42">
        <v>1.0043</v>
      </c>
      <c r="BE94" s="57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5"/>
      <c r="BS94" s="57">
        <f>AVERAGE(BD94:BD98)</f>
        <v>1.0010520000000001</v>
      </c>
    </row>
    <row r="95" spans="1:71" x14ac:dyDescent="0.25">
      <c r="A95">
        <v>1</v>
      </c>
      <c r="B95" t="s">
        <v>164</v>
      </c>
      <c r="C95">
        <v>12672</v>
      </c>
      <c r="D95">
        <v>128</v>
      </c>
      <c r="E95">
        <v>1</v>
      </c>
      <c r="F95">
        <v>4</v>
      </c>
      <c r="G95">
        <v>1384.07</v>
      </c>
      <c r="H95" s="42">
        <v>0.98031000000000001</v>
      </c>
      <c r="I95" s="42">
        <v>45475</v>
      </c>
      <c r="J95" s="42">
        <v>0.63974537037037038</v>
      </c>
      <c r="K95" s="42">
        <v>145313</v>
      </c>
      <c r="L95" s="42">
        <v>145313</v>
      </c>
      <c r="M95" s="42">
        <v>145313</v>
      </c>
      <c r="N95" s="42">
        <v>145310</v>
      </c>
      <c r="O95" s="42">
        <v>145311</v>
      </c>
      <c r="P95" s="42">
        <v>145310</v>
      </c>
      <c r="Q95" s="42">
        <v>145316</v>
      </c>
      <c r="R95" s="42">
        <v>145316</v>
      </c>
      <c r="S95" s="42">
        <v>145317</v>
      </c>
      <c r="T95" s="42">
        <v>145318</v>
      </c>
      <c r="U95" s="42">
        <v>145318</v>
      </c>
      <c r="V95" s="42">
        <v>145319</v>
      </c>
      <c r="W95" s="57">
        <f>W94</f>
        <v>0.97961799999999999</v>
      </c>
      <c r="Y95">
        <v>1</v>
      </c>
      <c r="Z95" t="s">
        <v>164</v>
      </c>
      <c r="AA95">
        <v>12672</v>
      </c>
      <c r="AB95">
        <v>128</v>
      </c>
      <c r="AC95">
        <v>1</v>
      </c>
      <c r="AD95">
        <v>4</v>
      </c>
      <c r="AE95">
        <v>1695.49</v>
      </c>
      <c r="AF95" s="48">
        <v>0.80025000000000002</v>
      </c>
      <c r="AG95" s="46">
        <v>45467</v>
      </c>
      <c r="AH95" s="47">
        <v>0.26239583333333333</v>
      </c>
      <c r="AI95">
        <v>196824</v>
      </c>
      <c r="AJ95">
        <v>196824</v>
      </c>
      <c r="AK95">
        <v>196824</v>
      </c>
      <c r="AL95">
        <v>196821</v>
      </c>
      <c r="AM95">
        <v>196822</v>
      </c>
      <c r="AN95">
        <v>196821</v>
      </c>
      <c r="AO95">
        <v>196822</v>
      </c>
      <c r="AP95">
        <v>196823</v>
      </c>
      <c r="AQ95">
        <v>196823</v>
      </c>
      <c r="AR95">
        <v>196823</v>
      </c>
      <c r="AS95">
        <v>196824</v>
      </c>
      <c r="AT95">
        <v>196824</v>
      </c>
      <c r="AU95" s="57">
        <f t="shared" ref="AU95" si="38">AU94</f>
        <v>0.79908600000000007</v>
      </c>
      <c r="AW95">
        <v>1</v>
      </c>
      <c r="AX95" t="s">
        <v>164</v>
      </c>
      <c r="AY95">
        <v>12672</v>
      </c>
      <c r="AZ95">
        <v>96</v>
      </c>
      <c r="BA95">
        <v>2</v>
      </c>
      <c r="BB95">
        <v>2</v>
      </c>
      <c r="BC95">
        <v>1376.13</v>
      </c>
      <c r="BD95" s="42">
        <v>0.98595999999999995</v>
      </c>
      <c r="BE95" s="57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57">
        <f>BS94</f>
        <v>1.0010520000000001</v>
      </c>
    </row>
    <row r="96" spans="1:71" x14ac:dyDescent="0.25">
      <c r="A96">
        <v>2</v>
      </c>
      <c r="B96" t="s">
        <v>164</v>
      </c>
      <c r="C96">
        <v>12672</v>
      </c>
      <c r="D96">
        <v>128</v>
      </c>
      <c r="E96">
        <v>1</v>
      </c>
      <c r="F96">
        <v>4</v>
      </c>
      <c r="G96">
        <v>1383.98</v>
      </c>
      <c r="H96" s="42">
        <v>0.98036999999999996</v>
      </c>
      <c r="I96" s="42">
        <v>45476</v>
      </c>
      <c r="J96" s="42">
        <v>0.63184027777777774</v>
      </c>
      <c r="K96" s="42">
        <v>145305</v>
      </c>
      <c r="L96" s="42">
        <v>145306</v>
      </c>
      <c r="M96" s="42">
        <v>145305</v>
      </c>
      <c r="N96" s="42">
        <v>145309</v>
      </c>
      <c r="O96" s="42">
        <v>145309</v>
      </c>
      <c r="P96" s="42">
        <v>145309</v>
      </c>
      <c r="Q96" s="42">
        <v>145311</v>
      </c>
      <c r="R96" s="42">
        <v>145310</v>
      </c>
      <c r="S96" s="42">
        <v>145311</v>
      </c>
      <c r="T96" s="42">
        <v>145316</v>
      </c>
      <c r="U96" s="42">
        <v>145316</v>
      </c>
      <c r="V96" s="42">
        <v>145316</v>
      </c>
      <c r="W96" s="57">
        <f>W95</f>
        <v>0.97961799999999999</v>
      </c>
      <c r="Y96">
        <v>2</v>
      </c>
      <c r="Z96" t="s">
        <v>164</v>
      </c>
      <c r="AA96">
        <v>12672</v>
      </c>
      <c r="AB96">
        <v>128</v>
      </c>
      <c r="AC96">
        <v>1</v>
      </c>
      <c r="AD96">
        <v>4</v>
      </c>
      <c r="AE96">
        <v>1710.66</v>
      </c>
      <c r="AF96" s="48">
        <v>0.79315999999999998</v>
      </c>
      <c r="AG96" s="46">
        <v>45468</v>
      </c>
      <c r="AH96" s="47">
        <v>0.63863425925925921</v>
      </c>
      <c r="AI96">
        <v>198356</v>
      </c>
      <c r="AJ96">
        <v>198356</v>
      </c>
      <c r="AK96">
        <v>198357</v>
      </c>
      <c r="AL96">
        <v>198359</v>
      </c>
      <c r="AM96">
        <v>198358</v>
      </c>
      <c r="AN96">
        <v>198359</v>
      </c>
      <c r="AO96">
        <v>198359</v>
      </c>
      <c r="AP96">
        <v>198359</v>
      </c>
      <c r="AQ96">
        <v>198360</v>
      </c>
      <c r="AR96">
        <v>198360</v>
      </c>
      <c r="AS96">
        <v>198361</v>
      </c>
      <c r="AT96">
        <v>198360</v>
      </c>
      <c r="AU96" s="57">
        <f t="shared" si="30"/>
        <v>0.79908600000000007</v>
      </c>
      <c r="AW96">
        <v>2</v>
      </c>
      <c r="AX96" t="s">
        <v>164</v>
      </c>
      <c r="AY96">
        <v>12672</v>
      </c>
      <c r="AZ96">
        <v>96</v>
      </c>
      <c r="BA96">
        <v>2</v>
      </c>
      <c r="BB96">
        <v>2</v>
      </c>
      <c r="BC96">
        <v>1350.45</v>
      </c>
      <c r="BD96" s="42">
        <v>1.0046999999999999</v>
      </c>
      <c r="BE96" s="57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57">
        <f>BS95</f>
        <v>1.0010520000000001</v>
      </c>
    </row>
    <row r="97" spans="1:71" x14ac:dyDescent="0.25">
      <c r="A97">
        <v>3</v>
      </c>
      <c r="B97" t="s">
        <v>164</v>
      </c>
      <c r="C97">
        <v>12672</v>
      </c>
      <c r="D97">
        <v>128</v>
      </c>
      <c r="E97">
        <v>1</v>
      </c>
      <c r="F97">
        <v>4</v>
      </c>
      <c r="G97">
        <v>1388.09</v>
      </c>
      <c r="H97" s="42">
        <v>0.97746999999999995</v>
      </c>
      <c r="I97" s="42">
        <v>45477</v>
      </c>
      <c r="J97" s="42">
        <v>0.61998842592592596</v>
      </c>
      <c r="K97" s="42">
        <v>145712</v>
      </c>
      <c r="L97" s="42">
        <v>145713</v>
      </c>
      <c r="M97" s="42">
        <v>145712</v>
      </c>
      <c r="N97" s="42">
        <v>145718</v>
      </c>
      <c r="O97" s="42">
        <v>145717</v>
      </c>
      <c r="P97" s="42">
        <v>145718</v>
      </c>
      <c r="Q97" s="42">
        <v>145715</v>
      </c>
      <c r="R97" s="42">
        <v>145715</v>
      </c>
      <c r="S97" s="42">
        <v>145715</v>
      </c>
      <c r="T97" s="42">
        <v>145717</v>
      </c>
      <c r="U97" s="42">
        <v>145717</v>
      </c>
      <c r="V97" s="42">
        <v>145717</v>
      </c>
      <c r="W97" s="57">
        <f>W96</f>
        <v>0.97961799999999999</v>
      </c>
      <c r="Y97">
        <v>3</v>
      </c>
      <c r="Z97" t="s">
        <v>164</v>
      </c>
      <c r="AA97">
        <v>12672</v>
      </c>
      <c r="AB97">
        <v>128</v>
      </c>
      <c r="AC97">
        <v>1</v>
      </c>
      <c r="AD97">
        <v>4</v>
      </c>
      <c r="AE97">
        <v>1708.79</v>
      </c>
      <c r="AF97" s="48">
        <v>0.79401999999999995</v>
      </c>
      <c r="AG97" s="46">
        <v>45470</v>
      </c>
      <c r="AH97" s="47">
        <v>6.2152777777777779E-3</v>
      </c>
      <c r="AI97">
        <v>198145</v>
      </c>
      <c r="AJ97">
        <v>198146</v>
      </c>
      <c r="AK97">
        <v>198146</v>
      </c>
      <c r="AL97">
        <v>198148</v>
      </c>
      <c r="AM97">
        <v>198148</v>
      </c>
      <c r="AN97">
        <v>198147</v>
      </c>
      <c r="AO97">
        <v>198149</v>
      </c>
      <c r="AP97">
        <v>198150</v>
      </c>
      <c r="AQ97">
        <v>198150</v>
      </c>
      <c r="AR97">
        <v>198153</v>
      </c>
      <c r="AS97">
        <v>198154</v>
      </c>
      <c r="AT97">
        <v>198153</v>
      </c>
      <c r="AU97" s="57">
        <f t="shared" si="30"/>
        <v>0.79908600000000007</v>
      </c>
      <c r="AW97">
        <v>3</v>
      </c>
      <c r="AX97" t="s">
        <v>164</v>
      </c>
      <c r="AY97">
        <v>12672</v>
      </c>
      <c r="AZ97">
        <v>96</v>
      </c>
      <c r="BA97">
        <v>2</v>
      </c>
      <c r="BB97">
        <v>2</v>
      </c>
      <c r="BC97">
        <v>1350.4</v>
      </c>
      <c r="BD97" s="42">
        <v>1.0047999999999999</v>
      </c>
      <c r="BE97" s="57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57">
        <f>BS96</f>
        <v>1.0010520000000001</v>
      </c>
    </row>
    <row r="98" spans="1:71" x14ac:dyDescent="0.25">
      <c r="A98">
        <v>4</v>
      </c>
      <c r="B98" t="s">
        <v>164</v>
      </c>
      <c r="C98">
        <v>12672</v>
      </c>
      <c r="D98">
        <v>128</v>
      </c>
      <c r="E98">
        <v>1</v>
      </c>
      <c r="F98">
        <v>4</v>
      </c>
      <c r="G98">
        <v>1383.98</v>
      </c>
      <c r="H98" s="42">
        <v>0.98038000000000003</v>
      </c>
      <c r="I98" s="42">
        <v>45478</v>
      </c>
      <c r="J98" s="42">
        <v>0.60108796296296296</v>
      </c>
      <c r="K98" s="42">
        <v>145303</v>
      </c>
      <c r="L98" s="42">
        <v>145303</v>
      </c>
      <c r="M98" s="42">
        <v>145304</v>
      </c>
      <c r="N98" s="42">
        <v>145309</v>
      </c>
      <c r="O98" s="42">
        <v>145309</v>
      </c>
      <c r="P98" s="42">
        <v>145309</v>
      </c>
      <c r="Q98" s="42">
        <v>145311</v>
      </c>
      <c r="R98" s="42">
        <v>145310</v>
      </c>
      <c r="S98" s="42">
        <v>145310</v>
      </c>
      <c r="T98" s="42">
        <v>145312</v>
      </c>
      <c r="U98" s="42">
        <v>145312</v>
      </c>
      <c r="V98" s="42">
        <v>145311</v>
      </c>
      <c r="W98" s="57">
        <f>W97</f>
        <v>0.97961799999999999</v>
      </c>
      <c r="Y98">
        <v>4</v>
      </c>
      <c r="Z98" t="s">
        <v>164</v>
      </c>
      <c r="AA98">
        <v>12672</v>
      </c>
      <c r="AB98">
        <v>128</v>
      </c>
      <c r="AC98">
        <v>1</v>
      </c>
      <c r="AD98">
        <v>4</v>
      </c>
      <c r="AE98">
        <v>1685.09</v>
      </c>
      <c r="AF98" s="48">
        <v>0.80518999999999996</v>
      </c>
      <c r="AG98" s="46">
        <v>45471</v>
      </c>
      <c r="AH98" s="47">
        <v>0.35747685185185185</v>
      </c>
      <c r="AI98">
        <v>195832</v>
      </c>
      <c r="AJ98">
        <v>195833</v>
      </c>
      <c r="AK98">
        <v>195832</v>
      </c>
      <c r="AL98">
        <v>195834</v>
      </c>
      <c r="AM98">
        <v>195835</v>
      </c>
      <c r="AN98">
        <v>195835</v>
      </c>
      <c r="AO98">
        <v>195835</v>
      </c>
      <c r="AP98">
        <v>195835</v>
      </c>
      <c r="AQ98">
        <v>195836</v>
      </c>
      <c r="AR98">
        <v>195837</v>
      </c>
      <c r="AS98">
        <v>195838</v>
      </c>
      <c r="AT98">
        <v>195837</v>
      </c>
      <c r="AU98" s="57">
        <f t="shared" si="30"/>
        <v>0.79908600000000007</v>
      </c>
      <c r="AW98">
        <v>4</v>
      </c>
      <c r="AX98" t="s">
        <v>164</v>
      </c>
      <c r="AY98">
        <v>12672</v>
      </c>
      <c r="AZ98">
        <v>96</v>
      </c>
      <c r="BA98">
        <v>2</v>
      </c>
      <c r="BB98">
        <v>2</v>
      </c>
      <c r="BC98">
        <v>1349.42</v>
      </c>
      <c r="BD98" s="42">
        <v>1.0055000000000001</v>
      </c>
      <c r="BE98" s="57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57">
        <f>BS97</f>
        <v>1.0010520000000001</v>
      </c>
    </row>
    <row r="99" spans="1:71" x14ac:dyDescent="0.25">
      <c r="A99">
        <v>0</v>
      </c>
      <c r="B99" t="s">
        <v>164</v>
      </c>
      <c r="C99">
        <v>13440</v>
      </c>
      <c r="D99">
        <v>128</v>
      </c>
      <c r="E99">
        <v>1</v>
      </c>
      <c r="F99">
        <v>4</v>
      </c>
      <c r="G99">
        <v>1636.54</v>
      </c>
      <c r="H99" s="70">
        <v>0.98912999999999995</v>
      </c>
      <c r="I99" s="42">
        <v>45474</v>
      </c>
      <c r="J99" s="42">
        <v>0.93646990740740743</v>
      </c>
      <c r="K99" s="42">
        <v>171509</v>
      </c>
      <c r="L99" s="42">
        <v>171509</v>
      </c>
      <c r="M99" s="42">
        <v>171510</v>
      </c>
      <c r="N99" s="42">
        <v>171507</v>
      </c>
      <c r="O99" s="42">
        <v>171508</v>
      </c>
      <c r="P99" s="42">
        <v>171507</v>
      </c>
      <c r="Q99" s="42">
        <v>171509</v>
      </c>
      <c r="R99" s="42">
        <v>171508</v>
      </c>
      <c r="S99" s="42">
        <v>171509</v>
      </c>
      <c r="T99" s="42">
        <v>171509</v>
      </c>
      <c r="U99" s="42">
        <v>171509</v>
      </c>
      <c r="V99" s="42">
        <v>171510</v>
      </c>
      <c r="W99" s="57">
        <f>AVERAGE(H99:H103)</f>
        <v>0.990788</v>
      </c>
      <c r="Y99">
        <v>0</v>
      </c>
      <c r="Z99" t="s">
        <v>164</v>
      </c>
      <c r="AA99">
        <v>13440</v>
      </c>
      <c r="AB99">
        <v>128</v>
      </c>
      <c r="AC99">
        <v>1</v>
      </c>
      <c r="AD99">
        <v>4</v>
      </c>
      <c r="AE99">
        <v>2027.17</v>
      </c>
      <c r="AF99" s="48">
        <v>0.79852000000000001</v>
      </c>
      <c r="AG99" s="46">
        <v>45466</v>
      </c>
      <c r="AH99" s="47">
        <v>0.27407407407407408</v>
      </c>
      <c r="AI99">
        <v>234103</v>
      </c>
      <c r="AJ99">
        <v>234102</v>
      </c>
      <c r="AK99">
        <v>234103</v>
      </c>
      <c r="AL99">
        <v>234140</v>
      </c>
      <c r="AM99">
        <v>234140</v>
      </c>
      <c r="AN99">
        <v>234140</v>
      </c>
      <c r="AO99">
        <v>234142</v>
      </c>
      <c r="AP99">
        <v>234143</v>
      </c>
      <c r="AQ99">
        <v>234143</v>
      </c>
      <c r="AR99">
        <v>234167</v>
      </c>
      <c r="AS99">
        <v>234168</v>
      </c>
      <c r="AT99">
        <v>234168</v>
      </c>
      <c r="AU99" s="57">
        <f t="shared" ref="AU99" si="39">AVERAGE(AF99:AF103)</f>
        <v>0.79917599999999989</v>
      </c>
      <c r="AW99">
        <v>0</v>
      </c>
      <c r="AX99" t="s">
        <v>164</v>
      </c>
      <c r="AY99">
        <v>13440</v>
      </c>
      <c r="AZ99">
        <v>96</v>
      </c>
      <c r="BA99">
        <v>2</v>
      </c>
      <c r="BB99">
        <v>2</v>
      </c>
      <c r="BC99">
        <v>1594.15</v>
      </c>
      <c r="BD99" s="42">
        <v>1.0154000000000001</v>
      </c>
      <c r="BE99" s="57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57">
        <f>AVERAGE(BD99:BD103)</f>
        <v>1.01254</v>
      </c>
    </row>
    <row r="100" spans="1:71" x14ac:dyDescent="0.25">
      <c r="A100">
        <v>1</v>
      </c>
      <c r="B100" t="s">
        <v>164</v>
      </c>
      <c r="C100">
        <v>13440</v>
      </c>
      <c r="D100">
        <v>128</v>
      </c>
      <c r="E100">
        <v>1</v>
      </c>
      <c r="F100">
        <v>4</v>
      </c>
      <c r="G100">
        <v>1632.5</v>
      </c>
      <c r="H100" s="42">
        <v>0.99158000000000002</v>
      </c>
      <c r="I100" s="42">
        <v>45475</v>
      </c>
      <c r="J100" s="42">
        <v>0.93145833333333339</v>
      </c>
      <c r="K100" s="42">
        <v>171078</v>
      </c>
      <c r="L100" s="42">
        <v>171079</v>
      </c>
      <c r="M100" s="42">
        <v>171078</v>
      </c>
      <c r="N100" s="42">
        <v>171081</v>
      </c>
      <c r="O100" s="42">
        <v>171081</v>
      </c>
      <c r="P100" s="42">
        <v>171080</v>
      </c>
      <c r="Q100" s="42">
        <v>171083</v>
      </c>
      <c r="R100" s="42">
        <v>171082</v>
      </c>
      <c r="S100" s="42">
        <v>171083</v>
      </c>
      <c r="T100" s="42">
        <v>171088</v>
      </c>
      <c r="U100" s="42">
        <v>171089</v>
      </c>
      <c r="V100" s="42">
        <v>171089</v>
      </c>
      <c r="W100" s="57">
        <f>W99</f>
        <v>0.990788</v>
      </c>
      <c r="Y100">
        <v>1</v>
      </c>
      <c r="Z100" t="s">
        <v>164</v>
      </c>
      <c r="AA100">
        <v>13440</v>
      </c>
      <c r="AB100">
        <v>128</v>
      </c>
      <c r="AC100">
        <v>1</v>
      </c>
      <c r="AD100">
        <v>4</v>
      </c>
      <c r="AE100">
        <v>1980.86</v>
      </c>
      <c r="AF100" s="48">
        <v>0.81718999999999997</v>
      </c>
      <c r="AG100" s="46">
        <v>45467</v>
      </c>
      <c r="AH100" s="47">
        <v>0.66555555555555557</v>
      </c>
      <c r="AI100">
        <v>229293</v>
      </c>
      <c r="AJ100">
        <v>229293</v>
      </c>
      <c r="AK100">
        <v>229292</v>
      </c>
      <c r="AL100">
        <v>229300</v>
      </c>
      <c r="AM100">
        <v>229300</v>
      </c>
      <c r="AN100">
        <v>229301</v>
      </c>
      <c r="AO100">
        <v>229302</v>
      </c>
      <c r="AP100">
        <v>229302</v>
      </c>
      <c r="AQ100">
        <v>229302</v>
      </c>
      <c r="AR100">
        <v>229302</v>
      </c>
      <c r="AS100">
        <v>229302</v>
      </c>
      <c r="AT100">
        <v>229302</v>
      </c>
      <c r="AU100" s="57">
        <f t="shared" ref="AU100" si="40">AU99</f>
        <v>0.79917599999999989</v>
      </c>
      <c r="AW100">
        <v>1</v>
      </c>
      <c r="AX100" t="s">
        <v>164</v>
      </c>
      <c r="AY100">
        <v>13440</v>
      </c>
      <c r="AZ100">
        <v>96</v>
      </c>
      <c r="BA100">
        <v>2</v>
      </c>
      <c r="BB100">
        <v>2</v>
      </c>
      <c r="BC100">
        <v>1600.43</v>
      </c>
      <c r="BD100" s="42">
        <v>1.0114000000000001</v>
      </c>
      <c r="BE100" s="57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  <c r="BR100" s="45"/>
      <c r="BS100" s="57">
        <f>BS99</f>
        <v>1.01254</v>
      </c>
    </row>
    <row r="101" spans="1:71" x14ac:dyDescent="0.25">
      <c r="A101">
        <v>2</v>
      </c>
      <c r="B101" t="s">
        <v>164</v>
      </c>
      <c r="C101">
        <v>13440</v>
      </c>
      <c r="D101">
        <v>128</v>
      </c>
      <c r="E101">
        <v>1</v>
      </c>
      <c r="F101">
        <v>4</v>
      </c>
      <c r="G101">
        <v>1634.58</v>
      </c>
      <c r="H101" s="42">
        <v>0.99031000000000002</v>
      </c>
      <c r="I101" s="42">
        <v>45476</v>
      </c>
      <c r="J101" s="42">
        <v>0.9236226851851852</v>
      </c>
      <c r="K101" s="42">
        <v>171328</v>
      </c>
      <c r="L101" s="42">
        <v>171329</v>
      </c>
      <c r="M101" s="42">
        <v>171328</v>
      </c>
      <c r="N101" s="42">
        <v>171330</v>
      </c>
      <c r="O101" s="42">
        <v>171331</v>
      </c>
      <c r="P101" s="42">
        <v>171330</v>
      </c>
      <c r="Q101" s="42">
        <v>171332</v>
      </c>
      <c r="R101" s="42">
        <v>171331</v>
      </c>
      <c r="S101" s="42">
        <v>171331</v>
      </c>
      <c r="T101" s="42">
        <v>171336</v>
      </c>
      <c r="U101" s="42">
        <v>171336</v>
      </c>
      <c r="V101" s="42">
        <v>171337</v>
      </c>
      <c r="W101" s="57">
        <f>W100</f>
        <v>0.990788</v>
      </c>
      <c r="Y101">
        <v>2</v>
      </c>
      <c r="Z101" t="s">
        <v>164</v>
      </c>
      <c r="AA101">
        <v>13440</v>
      </c>
      <c r="AB101">
        <v>128</v>
      </c>
      <c r="AC101">
        <v>1</v>
      </c>
      <c r="AD101">
        <v>4</v>
      </c>
      <c r="AE101">
        <v>2106.92</v>
      </c>
      <c r="AF101" s="48">
        <v>0.76829999999999998</v>
      </c>
      <c r="AG101" s="46">
        <v>45469</v>
      </c>
      <c r="AH101" s="47">
        <v>4.1527777777777775E-2</v>
      </c>
      <c r="AI101">
        <v>242023</v>
      </c>
      <c r="AJ101">
        <v>242023</v>
      </c>
      <c r="AK101">
        <v>242023</v>
      </c>
      <c r="AL101">
        <v>242027</v>
      </c>
      <c r="AM101">
        <v>242027</v>
      </c>
      <c r="AN101">
        <v>242027</v>
      </c>
      <c r="AO101">
        <v>242033</v>
      </c>
      <c r="AP101">
        <v>242033</v>
      </c>
      <c r="AQ101">
        <v>242033</v>
      </c>
      <c r="AR101">
        <v>242050</v>
      </c>
      <c r="AS101">
        <v>242050</v>
      </c>
      <c r="AT101">
        <v>242049</v>
      </c>
      <c r="AU101" s="57">
        <f t="shared" si="30"/>
        <v>0.79917599999999989</v>
      </c>
      <c r="AW101">
        <v>2</v>
      </c>
      <c r="AX101" t="s">
        <v>164</v>
      </c>
      <c r="AY101">
        <v>13440</v>
      </c>
      <c r="AZ101">
        <v>96</v>
      </c>
      <c r="BA101">
        <v>2</v>
      </c>
      <c r="BB101">
        <v>2</v>
      </c>
      <c r="BC101">
        <v>1601.28</v>
      </c>
      <c r="BD101" s="42">
        <v>1.0108999999999999</v>
      </c>
      <c r="BE101" s="57"/>
      <c r="BF101" s="45"/>
      <c r="BG101" s="45"/>
      <c r="BH101" s="45"/>
      <c r="BI101" s="45"/>
      <c r="BJ101" s="45"/>
      <c r="BK101" s="45"/>
      <c r="BL101" s="45"/>
      <c r="BM101" s="45"/>
      <c r="BN101" s="45"/>
      <c r="BO101" s="45"/>
      <c r="BP101" s="45"/>
      <c r="BQ101" s="45"/>
      <c r="BR101" s="45"/>
      <c r="BS101" s="57">
        <f>BS100</f>
        <v>1.01254</v>
      </c>
    </row>
    <row r="102" spans="1:71" x14ac:dyDescent="0.25">
      <c r="A102">
        <v>3</v>
      </c>
      <c r="B102" t="s">
        <v>164</v>
      </c>
      <c r="C102">
        <v>13440</v>
      </c>
      <c r="D102">
        <v>128</v>
      </c>
      <c r="E102">
        <v>1</v>
      </c>
      <c r="F102">
        <v>4</v>
      </c>
      <c r="G102">
        <v>1633.68</v>
      </c>
      <c r="H102" s="42">
        <v>0.99085999999999996</v>
      </c>
      <c r="I102" s="42">
        <v>45477</v>
      </c>
      <c r="J102" s="42">
        <v>0.91182870370370372</v>
      </c>
      <c r="K102" s="42">
        <v>171183</v>
      </c>
      <c r="L102" s="42">
        <v>171183</v>
      </c>
      <c r="M102" s="42">
        <v>171183</v>
      </c>
      <c r="N102" s="42">
        <v>171184</v>
      </c>
      <c r="O102" s="42">
        <v>171185</v>
      </c>
      <c r="P102" s="42">
        <v>171184</v>
      </c>
      <c r="Q102" s="42">
        <v>171188</v>
      </c>
      <c r="R102" s="42">
        <v>171187</v>
      </c>
      <c r="S102" s="42">
        <v>171188</v>
      </c>
      <c r="T102" s="42">
        <v>171188</v>
      </c>
      <c r="U102" s="42">
        <v>171189</v>
      </c>
      <c r="V102" s="42">
        <v>171189</v>
      </c>
      <c r="W102" s="57">
        <f>W101</f>
        <v>0.990788</v>
      </c>
      <c r="Y102">
        <v>3</v>
      </c>
      <c r="Z102" t="s">
        <v>164</v>
      </c>
      <c r="AA102">
        <v>13440</v>
      </c>
      <c r="AB102">
        <v>128</v>
      </c>
      <c r="AC102">
        <v>1</v>
      </c>
      <c r="AD102">
        <v>4</v>
      </c>
      <c r="AE102">
        <v>2006.24</v>
      </c>
      <c r="AF102" s="48">
        <v>0.80686000000000002</v>
      </c>
      <c r="AG102" s="46">
        <v>45470</v>
      </c>
      <c r="AH102" s="47">
        <v>0.4052546296296296</v>
      </c>
      <c r="AI102">
        <v>232013</v>
      </c>
      <c r="AJ102">
        <v>232012</v>
      </c>
      <c r="AK102">
        <v>232013</v>
      </c>
      <c r="AL102">
        <v>232019</v>
      </c>
      <c r="AM102">
        <v>232019</v>
      </c>
      <c r="AN102">
        <v>232020</v>
      </c>
      <c r="AO102">
        <v>232021</v>
      </c>
      <c r="AP102">
        <v>232022</v>
      </c>
      <c r="AQ102">
        <v>232022</v>
      </c>
      <c r="AR102">
        <v>232023</v>
      </c>
      <c r="AS102">
        <v>232024</v>
      </c>
      <c r="AT102">
        <v>232024</v>
      </c>
      <c r="AU102" s="57">
        <f t="shared" si="30"/>
        <v>0.79917599999999989</v>
      </c>
      <c r="AW102">
        <v>3</v>
      </c>
      <c r="AX102" t="s">
        <v>164</v>
      </c>
      <c r="AY102">
        <v>13440</v>
      </c>
      <c r="AZ102">
        <v>96</v>
      </c>
      <c r="BA102">
        <v>2</v>
      </c>
      <c r="BB102">
        <v>2</v>
      </c>
      <c r="BC102">
        <v>1593.82</v>
      </c>
      <c r="BD102" s="42">
        <v>1.0156000000000001</v>
      </c>
      <c r="BE102" s="57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57">
        <f>BS101</f>
        <v>1.01254</v>
      </c>
    </row>
    <row r="103" spans="1:71" x14ac:dyDescent="0.25">
      <c r="A103">
        <v>4</v>
      </c>
      <c r="B103" t="s">
        <v>164</v>
      </c>
      <c r="C103">
        <v>13440</v>
      </c>
      <c r="D103">
        <v>128</v>
      </c>
      <c r="E103">
        <v>1</v>
      </c>
      <c r="F103">
        <v>4</v>
      </c>
      <c r="G103">
        <v>1631.7</v>
      </c>
      <c r="H103" s="42">
        <v>0.99206000000000005</v>
      </c>
      <c r="I103" s="42">
        <v>45478</v>
      </c>
      <c r="J103" s="42">
        <v>0.89263888888888887</v>
      </c>
      <c r="K103" s="42">
        <v>171029</v>
      </c>
      <c r="L103" s="42">
        <v>171029</v>
      </c>
      <c r="M103" s="42">
        <v>171029</v>
      </c>
      <c r="N103" s="42">
        <v>171031</v>
      </c>
      <c r="O103" s="42">
        <v>171031</v>
      </c>
      <c r="P103" s="42">
        <v>171032</v>
      </c>
      <c r="Q103" s="42">
        <v>171034</v>
      </c>
      <c r="R103" s="42">
        <v>171034</v>
      </c>
      <c r="S103" s="42">
        <v>171034</v>
      </c>
      <c r="T103" s="42">
        <v>171035</v>
      </c>
      <c r="U103" s="42">
        <v>171036</v>
      </c>
      <c r="V103" s="42">
        <v>171035</v>
      </c>
      <c r="W103" s="57">
        <f>W102</f>
        <v>0.990788</v>
      </c>
      <c r="Y103">
        <v>4</v>
      </c>
      <c r="Z103" t="s">
        <v>164</v>
      </c>
      <c r="AA103">
        <v>13440</v>
      </c>
      <c r="AB103">
        <v>128</v>
      </c>
      <c r="AC103">
        <v>1</v>
      </c>
      <c r="AD103">
        <v>4</v>
      </c>
      <c r="AE103">
        <v>2010.84</v>
      </c>
      <c r="AF103" s="48">
        <v>0.80501</v>
      </c>
      <c r="AG103" s="46">
        <v>45471</v>
      </c>
      <c r="AH103" s="47">
        <v>0.76332175925925927</v>
      </c>
      <c r="AI103">
        <v>232336</v>
      </c>
      <c r="AJ103">
        <v>232336</v>
      </c>
      <c r="AK103">
        <v>232335</v>
      </c>
      <c r="AL103">
        <v>232339</v>
      </c>
      <c r="AM103">
        <v>232339</v>
      </c>
      <c r="AN103">
        <v>232338</v>
      </c>
      <c r="AO103">
        <v>232349</v>
      </c>
      <c r="AP103">
        <v>232350</v>
      </c>
      <c r="AQ103">
        <v>232350</v>
      </c>
      <c r="AR103">
        <v>232351</v>
      </c>
      <c r="AS103">
        <v>232352</v>
      </c>
      <c r="AT103">
        <v>232352</v>
      </c>
      <c r="AU103" s="57">
        <f t="shared" si="30"/>
        <v>0.79917599999999989</v>
      </c>
      <c r="AW103">
        <v>4</v>
      </c>
      <c r="AX103" t="s">
        <v>164</v>
      </c>
      <c r="AY103">
        <v>13440</v>
      </c>
      <c r="AZ103">
        <v>96</v>
      </c>
      <c r="BA103">
        <v>2</v>
      </c>
      <c r="BB103">
        <v>2</v>
      </c>
      <c r="BC103">
        <v>1603.69</v>
      </c>
      <c r="BD103" s="42">
        <v>1.0094000000000001</v>
      </c>
      <c r="BE103" s="57"/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  <c r="BQ103" s="45"/>
      <c r="BR103" s="45"/>
      <c r="BS103" s="57">
        <f>BS102</f>
        <v>1.01254</v>
      </c>
    </row>
    <row r="104" spans="1:71" x14ac:dyDescent="0.25">
      <c r="A104">
        <v>0</v>
      </c>
      <c r="B104" t="s">
        <v>164</v>
      </c>
      <c r="C104">
        <v>14208</v>
      </c>
      <c r="D104">
        <v>128</v>
      </c>
      <c r="E104">
        <v>1</v>
      </c>
      <c r="F104">
        <v>4</v>
      </c>
      <c r="G104">
        <v>2309.44</v>
      </c>
      <c r="H104" s="70">
        <v>0.82806999999999997</v>
      </c>
      <c r="I104" s="42">
        <v>45475</v>
      </c>
      <c r="J104" s="42">
        <v>0.28828703703703706</v>
      </c>
      <c r="K104" s="42">
        <v>240452</v>
      </c>
      <c r="L104" s="42">
        <v>240452</v>
      </c>
      <c r="M104" s="42">
        <v>240452</v>
      </c>
      <c r="N104" s="42">
        <v>240502</v>
      </c>
      <c r="O104" s="42">
        <v>240501</v>
      </c>
      <c r="P104" s="42">
        <v>240501</v>
      </c>
      <c r="Q104" s="42">
        <v>240560</v>
      </c>
      <c r="R104" s="42">
        <v>240559</v>
      </c>
      <c r="S104" s="42">
        <v>240560</v>
      </c>
      <c r="T104" s="42">
        <v>240616</v>
      </c>
      <c r="U104" s="42">
        <v>240617</v>
      </c>
      <c r="V104" s="42">
        <v>240616</v>
      </c>
      <c r="W104" s="57">
        <f>AVERAGE(H104:H108)</f>
        <v>0.92583799999999994</v>
      </c>
      <c r="Y104">
        <v>0</v>
      </c>
      <c r="Z104" t="s">
        <v>164</v>
      </c>
      <c r="AA104">
        <v>14208</v>
      </c>
      <c r="AB104">
        <v>128</v>
      </c>
      <c r="AC104">
        <v>1</v>
      </c>
      <c r="AD104">
        <v>4</v>
      </c>
      <c r="AE104">
        <v>2583.71</v>
      </c>
      <c r="AF104" s="48">
        <v>0.74016999999999999</v>
      </c>
      <c r="AG104" s="46">
        <v>45466</v>
      </c>
      <c r="AH104" s="47">
        <v>0.76771990740740736</v>
      </c>
      <c r="AI104">
        <v>292693</v>
      </c>
      <c r="AJ104">
        <v>292693</v>
      </c>
      <c r="AK104">
        <v>292693</v>
      </c>
      <c r="AL104">
        <v>292747</v>
      </c>
      <c r="AM104">
        <v>292747</v>
      </c>
      <c r="AN104">
        <v>292747</v>
      </c>
      <c r="AO104">
        <v>292800</v>
      </c>
      <c r="AP104">
        <v>292800</v>
      </c>
      <c r="AQ104">
        <v>292801</v>
      </c>
      <c r="AR104">
        <v>292852</v>
      </c>
      <c r="AS104">
        <v>292851</v>
      </c>
      <c r="AT104">
        <v>292851</v>
      </c>
      <c r="AU104" s="57">
        <f t="shared" ref="AU104" si="41">AVERAGE(AF104:AF108)</f>
        <v>0.77354800000000001</v>
      </c>
      <c r="AW104">
        <v>0</v>
      </c>
      <c r="AX104" t="s">
        <v>164</v>
      </c>
      <c r="AY104">
        <v>14208</v>
      </c>
      <c r="AZ104">
        <v>96</v>
      </c>
      <c r="BA104">
        <v>2</v>
      </c>
      <c r="BB104">
        <v>2</v>
      </c>
      <c r="BC104">
        <v>1901.24</v>
      </c>
      <c r="BD104" s="42">
        <v>1.0059</v>
      </c>
      <c r="BE104" s="57"/>
      <c r="BF104" s="45"/>
      <c r="BG104" s="45"/>
      <c r="BH104" s="45"/>
      <c r="BI104" s="45"/>
      <c r="BJ104" s="45"/>
      <c r="BK104" s="45"/>
      <c r="BL104" s="45"/>
      <c r="BM104" s="45"/>
      <c r="BN104" s="45"/>
      <c r="BO104" s="45"/>
      <c r="BP104" s="45"/>
      <c r="BQ104" s="45"/>
      <c r="BR104" s="45"/>
      <c r="BS104" s="57">
        <f>AVERAGE(BD104:BD108)</f>
        <v>1.0036999999999998</v>
      </c>
    </row>
    <row r="105" spans="1:71" x14ac:dyDescent="0.25">
      <c r="A105">
        <v>1</v>
      </c>
      <c r="B105" t="s">
        <v>164</v>
      </c>
      <c r="C105">
        <v>14208</v>
      </c>
      <c r="D105">
        <v>128</v>
      </c>
      <c r="E105">
        <v>1</v>
      </c>
      <c r="F105">
        <v>4</v>
      </c>
      <c r="G105">
        <v>2130.33</v>
      </c>
      <c r="H105" s="42">
        <v>0.89770000000000005</v>
      </c>
      <c r="I105" s="42">
        <v>45476</v>
      </c>
      <c r="J105" s="42">
        <v>0.28202546296296294</v>
      </c>
      <c r="K105" s="42">
        <v>222689</v>
      </c>
      <c r="L105" s="42">
        <v>222690</v>
      </c>
      <c r="M105" s="42">
        <v>222690</v>
      </c>
      <c r="N105" s="42">
        <v>222763</v>
      </c>
      <c r="O105" s="42">
        <v>222763</v>
      </c>
      <c r="P105" s="42">
        <v>222762</v>
      </c>
      <c r="Q105" s="42">
        <v>222816</v>
      </c>
      <c r="R105" s="42">
        <v>222817</v>
      </c>
      <c r="S105" s="42">
        <v>222816</v>
      </c>
      <c r="T105" s="42">
        <v>222879</v>
      </c>
      <c r="U105" s="42">
        <v>222880</v>
      </c>
      <c r="V105" s="42">
        <v>222879</v>
      </c>
      <c r="W105" s="57">
        <f>W104</f>
        <v>0.92583799999999994</v>
      </c>
      <c r="Y105">
        <v>1</v>
      </c>
      <c r="Z105" t="s">
        <v>164</v>
      </c>
      <c r="AA105">
        <v>14208</v>
      </c>
      <c r="AB105">
        <v>128</v>
      </c>
      <c r="AC105">
        <v>1</v>
      </c>
      <c r="AD105">
        <v>4</v>
      </c>
      <c r="AE105">
        <v>2362.9499999999998</v>
      </c>
      <c r="AF105" s="48">
        <v>0.80932000000000004</v>
      </c>
      <c r="AG105" s="46">
        <v>45468</v>
      </c>
      <c r="AH105" s="47">
        <v>0.15126157407407406</v>
      </c>
      <c r="AI105">
        <v>271155</v>
      </c>
      <c r="AJ105">
        <v>271154</v>
      </c>
      <c r="AK105">
        <v>271155</v>
      </c>
      <c r="AL105">
        <v>271210</v>
      </c>
      <c r="AM105">
        <v>271209</v>
      </c>
      <c r="AN105">
        <v>271209</v>
      </c>
      <c r="AO105">
        <v>271259</v>
      </c>
      <c r="AP105">
        <v>271259</v>
      </c>
      <c r="AQ105">
        <v>271258</v>
      </c>
      <c r="AR105">
        <v>271327</v>
      </c>
      <c r="AS105">
        <v>271326</v>
      </c>
      <c r="AT105">
        <v>271326</v>
      </c>
      <c r="AU105" s="57">
        <f t="shared" ref="AU105" si="42">AU104</f>
        <v>0.77354800000000001</v>
      </c>
      <c r="AW105">
        <v>1</v>
      </c>
      <c r="AX105" t="s">
        <v>164</v>
      </c>
      <c r="AY105">
        <v>14208</v>
      </c>
      <c r="AZ105">
        <v>96</v>
      </c>
      <c r="BA105">
        <v>2</v>
      </c>
      <c r="BB105">
        <v>2</v>
      </c>
      <c r="BC105">
        <v>1888.69</v>
      </c>
      <c r="BD105" s="42">
        <v>1.0125</v>
      </c>
      <c r="BE105" s="57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  <c r="BQ105" s="45"/>
      <c r="BR105" s="45"/>
      <c r="BS105" s="57">
        <f>BS104</f>
        <v>1.0036999999999998</v>
      </c>
    </row>
    <row r="106" spans="1:71" x14ac:dyDescent="0.25">
      <c r="A106">
        <v>2</v>
      </c>
      <c r="B106" t="s">
        <v>164</v>
      </c>
      <c r="C106">
        <v>14208</v>
      </c>
      <c r="D106">
        <v>128</v>
      </c>
      <c r="E106">
        <v>1</v>
      </c>
      <c r="F106">
        <v>4</v>
      </c>
      <c r="G106">
        <v>1990.46</v>
      </c>
      <c r="H106" s="42">
        <v>0.96077999999999997</v>
      </c>
      <c r="I106" s="42">
        <v>45477</v>
      </c>
      <c r="J106" s="42">
        <v>0.27181712962962962</v>
      </c>
      <c r="K106" s="42">
        <v>208312</v>
      </c>
      <c r="L106" s="42">
        <v>208312</v>
      </c>
      <c r="M106" s="42">
        <v>208312</v>
      </c>
      <c r="N106" s="42">
        <v>208363</v>
      </c>
      <c r="O106" s="42">
        <v>208364</v>
      </c>
      <c r="P106" s="42">
        <v>208363</v>
      </c>
      <c r="Q106" s="42">
        <v>208411</v>
      </c>
      <c r="R106" s="42">
        <v>208411</v>
      </c>
      <c r="S106" s="42">
        <v>208411</v>
      </c>
      <c r="T106" s="42">
        <v>208478</v>
      </c>
      <c r="U106" s="42">
        <v>208479</v>
      </c>
      <c r="V106" s="42">
        <v>208479</v>
      </c>
      <c r="W106" s="57">
        <f>W105</f>
        <v>0.92583799999999994</v>
      </c>
      <c r="Y106">
        <v>2</v>
      </c>
      <c r="Z106" t="s">
        <v>164</v>
      </c>
      <c r="AA106">
        <v>14208</v>
      </c>
      <c r="AB106">
        <v>128</v>
      </c>
      <c r="AC106">
        <v>1</v>
      </c>
      <c r="AD106">
        <v>4</v>
      </c>
      <c r="AE106">
        <v>2360.02</v>
      </c>
      <c r="AF106" s="48">
        <v>0.81032999999999999</v>
      </c>
      <c r="AG106" s="46">
        <v>45469</v>
      </c>
      <c r="AH106" s="47">
        <v>0.52641203703703698</v>
      </c>
      <c r="AI106">
        <v>271161</v>
      </c>
      <c r="AJ106">
        <v>271161</v>
      </c>
      <c r="AK106">
        <v>271160</v>
      </c>
      <c r="AL106">
        <v>271210</v>
      </c>
      <c r="AM106">
        <v>271211</v>
      </c>
      <c r="AN106">
        <v>271210</v>
      </c>
      <c r="AO106">
        <v>271264</v>
      </c>
      <c r="AP106">
        <v>271263</v>
      </c>
      <c r="AQ106">
        <v>271263</v>
      </c>
      <c r="AR106">
        <v>271338</v>
      </c>
      <c r="AS106">
        <v>271337</v>
      </c>
      <c r="AT106">
        <v>271338</v>
      </c>
      <c r="AU106" s="57">
        <f t="shared" si="30"/>
        <v>0.77354800000000001</v>
      </c>
      <c r="AW106">
        <v>2</v>
      </c>
      <c r="AX106" t="s">
        <v>164</v>
      </c>
      <c r="AY106">
        <v>14208</v>
      </c>
      <c r="AZ106">
        <v>96</v>
      </c>
      <c r="BA106">
        <v>2</v>
      </c>
      <c r="BB106">
        <v>2</v>
      </c>
      <c r="BC106">
        <v>1968.09</v>
      </c>
      <c r="BD106" s="42">
        <v>0.97170000000000001</v>
      </c>
      <c r="BE106" s="57"/>
      <c r="BF106" s="45"/>
      <c r="BG106" s="45"/>
      <c r="BH106" s="45"/>
      <c r="BI106" s="45"/>
      <c r="BJ106" s="45"/>
      <c r="BK106" s="45"/>
      <c r="BL106" s="45"/>
      <c r="BM106" s="45"/>
      <c r="BN106" s="45"/>
      <c r="BO106" s="45"/>
      <c r="BP106" s="45"/>
      <c r="BQ106" s="45"/>
      <c r="BR106" s="45"/>
      <c r="BS106" s="57">
        <f>BS105</f>
        <v>1.0036999999999998</v>
      </c>
    </row>
    <row r="107" spans="1:71" x14ac:dyDescent="0.25">
      <c r="A107">
        <v>3</v>
      </c>
      <c r="B107" t="s">
        <v>164</v>
      </c>
      <c r="C107">
        <v>14208</v>
      </c>
      <c r="D107">
        <v>128</v>
      </c>
      <c r="E107">
        <v>1</v>
      </c>
      <c r="F107">
        <v>4</v>
      </c>
      <c r="G107">
        <v>2004.95</v>
      </c>
      <c r="H107" s="42">
        <v>0.95382999999999996</v>
      </c>
      <c r="I107" s="42">
        <v>45478</v>
      </c>
      <c r="J107" s="42">
        <v>0.25973379629629628</v>
      </c>
      <c r="K107" s="42">
        <v>210237</v>
      </c>
      <c r="L107" s="42">
        <v>210237</v>
      </c>
      <c r="M107" s="42">
        <v>210236</v>
      </c>
      <c r="N107" s="42">
        <v>210279</v>
      </c>
      <c r="O107" s="42">
        <v>210278</v>
      </c>
      <c r="P107" s="42">
        <v>210279</v>
      </c>
      <c r="Q107" s="42">
        <v>210322</v>
      </c>
      <c r="R107" s="42">
        <v>210322</v>
      </c>
      <c r="S107" s="42">
        <v>210322</v>
      </c>
      <c r="T107" s="42">
        <v>210375</v>
      </c>
      <c r="U107" s="42">
        <v>210375</v>
      </c>
      <c r="V107" s="42">
        <v>210375</v>
      </c>
      <c r="W107" s="57">
        <f>W106</f>
        <v>0.92583799999999994</v>
      </c>
      <c r="Y107">
        <v>3</v>
      </c>
      <c r="Z107" t="s">
        <v>164</v>
      </c>
      <c r="AA107">
        <v>14208</v>
      </c>
      <c r="AB107">
        <v>128</v>
      </c>
      <c r="AC107">
        <v>1</v>
      </c>
      <c r="AD107">
        <v>4</v>
      </c>
      <c r="AE107">
        <v>2593.9899999999998</v>
      </c>
      <c r="AF107" s="48">
        <v>0.73724000000000001</v>
      </c>
      <c r="AG107" s="46">
        <v>45470</v>
      </c>
      <c r="AH107" s="47">
        <v>0.88642361111111112</v>
      </c>
      <c r="AI107">
        <v>294646</v>
      </c>
      <c r="AJ107">
        <v>294646</v>
      </c>
      <c r="AK107">
        <v>294645</v>
      </c>
      <c r="AL107">
        <v>294686</v>
      </c>
      <c r="AM107">
        <v>294686</v>
      </c>
      <c r="AN107">
        <v>294685</v>
      </c>
      <c r="AO107">
        <v>294737</v>
      </c>
      <c r="AP107">
        <v>294737</v>
      </c>
      <c r="AQ107">
        <v>294738</v>
      </c>
      <c r="AR107">
        <v>294812</v>
      </c>
      <c r="AS107">
        <v>294812</v>
      </c>
      <c r="AT107">
        <v>294812</v>
      </c>
      <c r="AU107" s="57">
        <f t="shared" si="30"/>
        <v>0.77354800000000001</v>
      </c>
      <c r="AW107">
        <v>3</v>
      </c>
      <c r="AX107" t="s">
        <v>164</v>
      </c>
      <c r="AY107">
        <v>14208</v>
      </c>
      <c r="AZ107">
        <v>96</v>
      </c>
      <c r="BA107">
        <v>2</v>
      </c>
      <c r="BB107">
        <v>2</v>
      </c>
      <c r="BC107">
        <v>1889.95</v>
      </c>
      <c r="BD107" s="42">
        <v>1.0119</v>
      </c>
      <c r="BE107" s="57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45"/>
      <c r="BR107" s="45"/>
      <c r="BS107" s="57">
        <f>BS106</f>
        <v>1.0036999999999998</v>
      </c>
    </row>
    <row r="108" spans="1:71" x14ac:dyDescent="0.25">
      <c r="A108">
        <v>4</v>
      </c>
      <c r="B108" t="s">
        <v>164</v>
      </c>
      <c r="C108">
        <v>14208</v>
      </c>
      <c r="D108">
        <v>128</v>
      </c>
      <c r="E108">
        <v>1</v>
      </c>
      <c r="F108">
        <v>4</v>
      </c>
      <c r="G108">
        <v>1934.03</v>
      </c>
      <c r="H108" s="42">
        <v>0.98880999999999997</v>
      </c>
      <c r="I108" s="42">
        <v>45479</v>
      </c>
      <c r="J108" s="42">
        <v>0.24005787037037038</v>
      </c>
      <c r="K108" s="42">
        <v>203125</v>
      </c>
      <c r="L108" s="42">
        <v>203125</v>
      </c>
      <c r="M108" s="42">
        <v>203124</v>
      </c>
      <c r="N108" s="42">
        <v>203176</v>
      </c>
      <c r="O108" s="42">
        <v>203176</v>
      </c>
      <c r="P108" s="42">
        <v>203175</v>
      </c>
      <c r="Q108" s="42">
        <v>203221</v>
      </c>
      <c r="R108" s="42">
        <v>203221</v>
      </c>
      <c r="S108" s="42">
        <v>203220</v>
      </c>
      <c r="T108" s="42">
        <v>203273</v>
      </c>
      <c r="U108" s="42">
        <v>203273</v>
      </c>
      <c r="V108" s="42">
        <v>203272</v>
      </c>
      <c r="W108" s="57">
        <f>W107</f>
        <v>0.92583799999999994</v>
      </c>
      <c r="Y108">
        <v>4</v>
      </c>
      <c r="Z108" t="s">
        <v>164</v>
      </c>
      <c r="AA108">
        <v>14208</v>
      </c>
      <c r="AB108">
        <v>128</v>
      </c>
      <c r="AC108">
        <v>1</v>
      </c>
      <c r="AD108">
        <v>4</v>
      </c>
      <c r="AE108">
        <v>2481.4299999999998</v>
      </c>
      <c r="AF108" s="48">
        <v>0.77068000000000003</v>
      </c>
      <c r="AG108" s="46">
        <v>45472</v>
      </c>
      <c r="AH108" s="47">
        <v>0.24526620370370369</v>
      </c>
      <c r="AI108">
        <v>283238</v>
      </c>
      <c r="AJ108">
        <v>283238</v>
      </c>
      <c r="AK108">
        <v>283237</v>
      </c>
      <c r="AL108">
        <v>283295</v>
      </c>
      <c r="AM108">
        <v>283294</v>
      </c>
      <c r="AN108">
        <v>283294</v>
      </c>
      <c r="AO108">
        <v>283348</v>
      </c>
      <c r="AP108">
        <v>283348</v>
      </c>
      <c r="AQ108">
        <v>283347</v>
      </c>
      <c r="AR108">
        <v>283408</v>
      </c>
      <c r="AS108">
        <v>283409</v>
      </c>
      <c r="AT108">
        <v>283408</v>
      </c>
      <c r="AU108" s="57">
        <f t="shared" si="30"/>
        <v>0.77354800000000001</v>
      </c>
      <c r="AW108">
        <v>4</v>
      </c>
      <c r="AX108" t="s">
        <v>164</v>
      </c>
      <c r="AY108">
        <v>14208</v>
      </c>
      <c r="AZ108">
        <v>96</v>
      </c>
      <c r="BA108">
        <v>2</v>
      </c>
      <c r="BB108">
        <v>2</v>
      </c>
      <c r="BC108">
        <v>1881.37</v>
      </c>
      <c r="BD108" s="42">
        <v>1.0165</v>
      </c>
      <c r="BE108" s="57"/>
      <c r="BF108" s="45"/>
      <c r="BG108" s="45"/>
      <c r="BH108" s="45"/>
      <c r="BI108" s="45"/>
      <c r="BJ108" s="45"/>
      <c r="BK108" s="45"/>
      <c r="BL108" s="45"/>
      <c r="BM108" s="45"/>
      <c r="BN108" s="45"/>
      <c r="BO108" s="45"/>
      <c r="BP108" s="45"/>
      <c r="BQ108" s="45"/>
      <c r="BR108" s="45"/>
      <c r="BS108" s="57">
        <f>BS107</f>
        <v>1.0036999999999998</v>
      </c>
    </row>
    <row r="109" spans="1:71" x14ac:dyDescent="0.25">
      <c r="A109">
        <v>0</v>
      </c>
      <c r="B109" t="s">
        <v>164</v>
      </c>
      <c r="C109">
        <v>12672</v>
      </c>
      <c r="D109">
        <v>128</v>
      </c>
      <c r="E109">
        <v>2</v>
      </c>
      <c r="F109">
        <v>2</v>
      </c>
      <c r="G109">
        <v>1365.17</v>
      </c>
      <c r="H109" s="70">
        <v>0.99387999999999999</v>
      </c>
      <c r="I109" s="42">
        <v>45474</v>
      </c>
      <c r="J109" s="42">
        <v>0.66159722222222217</v>
      </c>
      <c r="K109" s="42">
        <v>143399</v>
      </c>
      <c r="L109" s="42">
        <v>143400</v>
      </c>
      <c r="M109" s="42">
        <v>143399</v>
      </c>
      <c r="N109" s="42">
        <v>143400</v>
      </c>
      <c r="O109" s="42">
        <v>143400</v>
      </c>
      <c r="P109" s="42">
        <v>143401</v>
      </c>
      <c r="Q109" s="42">
        <v>143402</v>
      </c>
      <c r="R109" s="42">
        <v>143401</v>
      </c>
      <c r="S109" s="42">
        <v>143402</v>
      </c>
      <c r="T109" s="42">
        <v>143403</v>
      </c>
      <c r="U109" s="42">
        <v>143403</v>
      </c>
      <c r="V109" s="42">
        <v>143404</v>
      </c>
      <c r="W109" s="57">
        <f>AVERAGE(H109:H113)</f>
        <v>0.99427800000000011</v>
      </c>
      <c r="Y109">
        <v>0</v>
      </c>
      <c r="Z109" t="s">
        <v>164</v>
      </c>
      <c r="AA109">
        <v>12672</v>
      </c>
      <c r="AB109">
        <v>128</v>
      </c>
      <c r="AC109">
        <v>2</v>
      </c>
      <c r="AD109">
        <v>2</v>
      </c>
      <c r="AE109">
        <v>1666.07</v>
      </c>
      <c r="AF109" s="48">
        <v>0.81437999999999999</v>
      </c>
      <c r="AG109" s="46">
        <v>45465</v>
      </c>
      <c r="AH109" s="47">
        <v>0.89620370370370372</v>
      </c>
      <c r="AI109">
        <v>194278</v>
      </c>
      <c r="AJ109">
        <v>194279</v>
      </c>
      <c r="AK109">
        <v>194278</v>
      </c>
      <c r="AL109">
        <v>194281</v>
      </c>
      <c r="AM109">
        <v>194281</v>
      </c>
      <c r="AN109">
        <v>194280</v>
      </c>
      <c r="AO109">
        <v>194281</v>
      </c>
      <c r="AP109">
        <v>194282</v>
      </c>
      <c r="AQ109">
        <v>194281</v>
      </c>
      <c r="AR109">
        <v>194283</v>
      </c>
      <c r="AS109">
        <v>194283</v>
      </c>
      <c r="AT109">
        <v>194283</v>
      </c>
      <c r="AU109" s="57">
        <f t="shared" ref="AU109" si="43">AVERAGE(AF109:AF113)</f>
        <v>0.78770000000000007</v>
      </c>
      <c r="AW109">
        <v>0</v>
      </c>
      <c r="AX109" t="s">
        <v>164</v>
      </c>
      <c r="AY109">
        <v>12672</v>
      </c>
      <c r="AZ109">
        <v>128</v>
      </c>
      <c r="BA109">
        <v>1</v>
      </c>
      <c r="BB109">
        <v>4</v>
      </c>
      <c r="BC109">
        <v>1384.14</v>
      </c>
      <c r="BD109" s="42">
        <v>0.98026000000000002</v>
      </c>
      <c r="BE109" s="57"/>
      <c r="BF109" s="45"/>
      <c r="BG109" s="45"/>
      <c r="BH109" s="45"/>
      <c r="BI109" s="45"/>
      <c r="BJ109" s="45"/>
      <c r="BK109" s="45"/>
      <c r="BL109" s="45"/>
      <c r="BM109" s="45"/>
      <c r="BN109" s="45"/>
      <c r="BO109" s="45"/>
      <c r="BP109" s="45"/>
      <c r="BQ109" s="45"/>
      <c r="BR109" s="45"/>
      <c r="BS109" s="57">
        <f>AVERAGE(BD109:BD113)</f>
        <v>0.98065600000000008</v>
      </c>
    </row>
    <row r="110" spans="1:71" x14ac:dyDescent="0.25">
      <c r="A110">
        <v>1</v>
      </c>
      <c r="B110" t="s">
        <v>164</v>
      </c>
      <c r="C110">
        <v>12672</v>
      </c>
      <c r="D110">
        <v>128</v>
      </c>
      <c r="E110">
        <v>2</v>
      </c>
      <c r="F110">
        <v>2</v>
      </c>
      <c r="G110">
        <v>1363.81</v>
      </c>
      <c r="H110" s="42">
        <v>0.99487000000000003</v>
      </c>
      <c r="I110" s="42">
        <v>45475</v>
      </c>
      <c r="J110" s="42">
        <v>0.65638888888888891</v>
      </c>
      <c r="K110" s="42">
        <v>143292</v>
      </c>
      <c r="L110" s="42">
        <v>143291</v>
      </c>
      <c r="M110" s="42">
        <v>143292</v>
      </c>
      <c r="N110" s="42">
        <v>143294</v>
      </c>
      <c r="O110" s="42">
        <v>143294</v>
      </c>
      <c r="P110" s="42">
        <v>143294</v>
      </c>
      <c r="Q110" s="42">
        <v>143296</v>
      </c>
      <c r="R110" s="42">
        <v>143295</v>
      </c>
      <c r="S110" s="42">
        <v>143295</v>
      </c>
      <c r="T110" s="42">
        <v>143298</v>
      </c>
      <c r="U110" s="42">
        <v>143297</v>
      </c>
      <c r="V110" s="42">
        <v>143297</v>
      </c>
      <c r="W110" s="57">
        <f>W109</f>
        <v>0.99427800000000011</v>
      </c>
      <c r="Y110">
        <v>1</v>
      </c>
      <c r="Z110" t="s">
        <v>164</v>
      </c>
      <c r="AA110">
        <v>12672</v>
      </c>
      <c r="AB110">
        <v>128</v>
      </c>
      <c r="AC110">
        <v>2</v>
      </c>
      <c r="AD110">
        <v>2</v>
      </c>
      <c r="AE110">
        <v>1842.38</v>
      </c>
      <c r="AF110" s="48">
        <v>0.73645000000000005</v>
      </c>
      <c r="AG110" s="46">
        <v>45467</v>
      </c>
      <c r="AH110" s="47">
        <v>0.28699074074074077</v>
      </c>
      <c r="AI110">
        <v>211939</v>
      </c>
      <c r="AJ110">
        <v>211938</v>
      </c>
      <c r="AK110">
        <v>211939</v>
      </c>
      <c r="AL110">
        <v>211937</v>
      </c>
      <c r="AM110">
        <v>211937</v>
      </c>
      <c r="AN110">
        <v>211937</v>
      </c>
      <c r="AO110">
        <v>211952</v>
      </c>
      <c r="AP110">
        <v>211952</v>
      </c>
      <c r="AQ110">
        <v>211953</v>
      </c>
      <c r="AR110">
        <v>211959</v>
      </c>
      <c r="AS110">
        <v>211959</v>
      </c>
      <c r="AT110">
        <v>211959</v>
      </c>
      <c r="AU110" s="57">
        <f t="shared" ref="AU110" si="44">AU109</f>
        <v>0.78770000000000007</v>
      </c>
      <c r="AW110">
        <v>1</v>
      </c>
      <c r="AX110" t="s">
        <v>164</v>
      </c>
      <c r="AY110">
        <v>12672</v>
      </c>
      <c r="AZ110">
        <v>128</v>
      </c>
      <c r="BA110">
        <v>1</v>
      </c>
      <c r="BB110">
        <v>4</v>
      </c>
      <c r="BC110">
        <v>1383.88</v>
      </c>
      <c r="BD110" s="42">
        <v>0.98043999999999998</v>
      </c>
      <c r="BE110" s="57"/>
      <c r="BF110" s="45"/>
      <c r="BG110" s="45"/>
      <c r="BH110" s="45"/>
      <c r="BI110" s="45"/>
      <c r="BJ110" s="45"/>
      <c r="BK110" s="45"/>
      <c r="BL110" s="45"/>
      <c r="BM110" s="45"/>
      <c r="BN110" s="45"/>
      <c r="BO110" s="45"/>
      <c r="BP110" s="45"/>
      <c r="BQ110" s="45"/>
      <c r="BR110" s="45"/>
      <c r="BS110" s="57">
        <f>BS109</f>
        <v>0.98065600000000008</v>
      </c>
    </row>
    <row r="111" spans="1:71" x14ac:dyDescent="0.25">
      <c r="A111">
        <v>2</v>
      </c>
      <c r="B111" t="s">
        <v>164</v>
      </c>
      <c r="C111">
        <v>12672</v>
      </c>
      <c r="D111">
        <v>128</v>
      </c>
      <c r="E111">
        <v>2</v>
      </c>
      <c r="F111">
        <v>2</v>
      </c>
      <c r="G111">
        <v>1368.65</v>
      </c>
      <c r="H111" s="42">
        <v>0.99136000000000002</v>
      </c>
      <c r="I111" s="42">
        <v>45476</v>
      </c>
      <c r="J111" s="42">
        <v>0.64854166666666668</v>
      </c>
      <c r="K111" s="42">
        <v>143783</v>
      </c>
      <c r="L111" s="42">
        <v>143783</v>
      </c>
      <c r="M111" s="42">
        <v>143783</v>
      </c>
      <c r="N111" s="42">
        <v>143790</v>
      </c>
      <c r="O111" s="42">
        <v>143790</v>
      </c>
      <c r="P111" s="42">
        <v>143790</v>
      </c>
      <c r="Q111" s="42">
        <v>143792</v>
      </c>
      <c r="R111" s="42">
        <v>143791</v>
      </c>
      <c r="S111" s="42">
        <v>143792</v>
      </c>
      <c r="T111" s="42">
        <v>143797</v>
      </c>
      <c r="U111" s="42">
        <v>143796</v>
      </c>
      <c r="V111" s="42">
        <v>143797</v>
      </c>
      <c r="W111" s="57">
        <f>W110</f>
        <v>0.99427800000000011</v>
      </c>
      <c r="Y111">
        <v>2</v>
      </c>
      <c r="Z111" t="s">
        <v>164</v>
      </c>
      <c r="AA111">
        <v>12672</v>
      </c>
      <c r="AB111">
        <v>128</v>
      </c>
      <c r="AC111">
        <v>2</v>
      </c>
      <c r="AD111">
        <v>2</v>
      </c>
      <c r="AE111">
        <v>1655.34</v>
      </c>
      <c r="AF111" s="48">
        <v>0.81966000000000006</v>
      </c>
      <c r="AG111" s="46">
        <v>45468</v>
      </c>
      <c r="AH111" s="47">
        <v>0.66106481481481483</v>
      </c>
      <c r="AI111">
        <v>193157</v>
      </c>
      <c r="AJ111">
        <v>193157</v>
      </c>
      <c r="AK111">
        <v>193157</v>
      </c>
      <c r="AL111">
        <v>193154</v>
      </c>
      <c r="AM111">
        <v>193154</v>
      </c>
      <c r="AN111">
        <v>193154</v>
      </c>
      <c r="AO111">
        <v>193156</v>
      </c>
      <c r="AP111">
        <v>193156</v>
      </c>
      <c r="AQ111">
        <v>193157</v>
      </c>
      <c r="AR111">
        <v>193157</v>
      </c>
      <c r="AS111">
        <v>193158</v>
      </c>
      <c r="AT111">
        <v>193158</v>
      </c>
      <c r="AU111" s="57">
        <f t="shared" si="30"/>
        <v>0.78770000000000007</v>
      </c>
      <c r="AW111">
        <v>2</v>
      </c>
      <c r="AX111" t="s">
        <v>164</v>
      </c>
      <c r="AY111">
        <v>12672</v>
      </c>
      <c r="AZ111">
        <v>128</v>
      </c>
      <c r="BA111">
        <v>1</v>
      </c>
      <c r="BB111">
        <v>4</v>
      </c>
      <c r="BC111">
        <v>1384.24</v>
      </c>
      <c r="BD111" s="42">
        <v>0.98019000000000001</v>
      </c>
      <c r="BE111" s="57"/>
      <c r="BF111" s="45"/>
      <c r="BG111" s="45"/>
      <c r="BH111" s="45"/>
      <c r="BI111" s="45"/>
      <c r="BJ111" s="45"/>
      <c r="BK111" s="45"/>
      <c r="BL111" s="45"/>
      <c r="BM111" s="45"/>
      <c r="BN111" s="45"/>
      <c r="BO111" s="45"/>
      <c r="BP111" s="45"/>
      <c r="BQ111" s="45"/>
      <c r="BR111" s="45"/>
      <c r="BS111" s="57">
        <f>BS110</f>
        <v>0.98065600000000008</v>
      </c>
    </row>
    <row r="112" spans="1:71" x14ac:dyDescent="0.25">
      <c r="A112">
        <v>3</v>
      </c>
      <c r="B112" t="s">
        <v>164</v>
      </c>
      <c r="C112">
        <v>12672</v>
      </c>
      <c r="D112">
        <v>128</v>
      </c>
      <c r="E112">
        <v>2</v>
      </c>
      <c r="F112">
        <v>2</v>
      </c>
      <c r="G112">
        <v>1363.6</v>
      </c>
      <c r="H112" s="42">
        <v>0.99502000000000002</v>
      </c>
      <c r="I112" s="42">
        <v>45477</v>
      </c>
      <c r="J112" s="42">
        <v>0.63663194444444449</v>
      </c>
      <c r="K112" s="42">
        <v>143254</v>
      </c>
      <c r="L112" s="42">
        <v>143254</v>
      </c>
      <c r="M112" s="42">
        <v>143254</v>
      </c>
      <c r="N112" s="42">
        <v>143254</v>
      </c>
      <c r="O112" s="42">
        <v>143254</v>
      </c>
      <c r="P112" s="42">
        <v>143255</v>
      </c>
      <c r="Q112" s="42">
        <v>143257</v>
      </c>
      <c r="R112" s="42">
        <v>143257</v>
      </c>
      <c r="S112" s="42">
        <v>143256</v>
      </c>
      <c r="T112" s="42">
        <v>143258</v>
      </c>
      <c r="U112" s="42">
        <v>143258</v>
      </c>
      <c r="V112" s="42">
        <v>143258</v>
      </c>
      <c r="W112" s="57">
        <f>W111</f>
        <v>0.99427800000000011</v>
      </c>
      <c r="Y112">
        <v>3</v>
      </c>
      <c r="Z112" t="s">
        <v>164</v>
      </c>
      <c r="AA112">
        <v>12672</v>
      </c>
      <c r="AB112">
        <v>128</v>
      </c>
      <c r="AC112">
        <v>2</v>
      </c>
      <c r="AD112">
        <v>2</v>
      </c>
      <c r="AE112">
        <v>1657.41</v>
      </c>
      <c r="AF112" s="48">
        <v>0.81864000000000003</v>
      </c>
      <c r="AG112" s="46">
        <v>45470</v>
      </c>
      <c r="AH112" s="47">
        <v>2.8657407407407406E-2</v>
      </c>
      <c r="AI112">
        <v>193382</v>
      </c>
      <c r="AJ112">
        <v>193382</v>
      </c>
      <c r="AK112">
        <v>193382</v>
      </c>
      <c r="AL112">
        <v>193384</v>
      </c>
      <c r="AM112">
        <v>193383</v>
      </c>
      <c r="AN112">
        <v>193384</v>
      </c>
      <c r="AO112">
        <v>193385</v>
      </c>
      <c r="AP112">
        <v>193386</v>
      </c>
      <c r="AQ112">
        <v>193385</v>
      </c>
      <c r="AR112">
        <v>193390</v>
      </c>
      <c r="AS112">
        <v>193391</v>
      </c>
      <c r="AT112">
        <v>193391</v>
      </c>
      <c r="AU112" s="57">
        <f t="shared" si="30"/>
        <v>0.78770000000000007</v>
      </c>
      <c r="AW112">
        <v>3</v>
      </c>
      <c r="AX112" t="s">
        <v>164</v>
      </c>
      <c r="AY112">
        <v>12672</v>
      </c>
      <c r="AZ112">
        <v>128</v>
      </c>
      <c r="BA112">
        <v>1</v>
      </c>
      <c r="BB112">
        <v>4</v>
      </c>
      <c r="BC112">
        <v>1381.97</v>
      </c>
      <c r="BD112" s="42">
        <v>0.98180000000000001</v>
      </c>
      <c r="BE112" s="57"/>
      <c r="BF112" s="45"/>
      <c r="BG112" s="45"/>
      <c r="BH112" s="45"/>
      <c r="BI112" s="45"/>
      <c r="BJ112" s="45"/>
      <c r="BK112" s="45"/>
      <c r="BL112" s="45"/>
      <c r="BM112" s="45"/>
      <c r="BN112" s="45"/>
      <c r="BO112" s="45"/>
      <c r="BP112" s="45"/>
      <c r="BQ112" s="45"/>
      <c r="BR112" s="45"/>
      <c r="BS112" s="57">
        <f>BS111</f>
        <v>0.98065600000000008</v>
      </c>
    </row>
    <row r="113" spans="1:71" x14ac:dyDescent="0.25">
      <c r="A113">
        <v>4</v>
      </c>
      <c r="B113" t="s">
        <v>164</v>
      </c>
      <c r="C113">
        <v>12672</v>
      </c>
      <c r="D113">
        <v>128</v>
      </c>
      <c r="E113">
        <v>2</v>
      </c>
      <c r="F113">
        <v>2</v>
      </c>
      <c r="G113">
        <v>1361.91</v>
      </c>
      <c r="H113" s="42">
        <v>0.99626000000000003</v>
      </c>
      <c r="I113" s="42">
        <v>45478</v>
      </c>
      <c r="J113" s="42">
        <v>0.61771990740740745</v>
      </c>
      <c r="K113" s="42">
        <v>143103</v>
      </c>
      <c r="L113" s="42">
        <v>143104</v>
      </c>
      <c r="M113" s="42">
        <v>143103</v>
      </c>
      <c r="N113" s="42">
        <v>143100</v>
      </c>
      <c r="O113" s="42">
        <v>143101</v>
      </c>
      <c r="P113" s="42">
        <v>143100</v>
      </c>
      <c r="Q113" s="42">
        <v>143102</v>
      </c>
      <c r="R113" s="42">
        <v>143101</v>
      </c>
      <c r="S113" s="42">
        <v>143101</v>
      </c>
      <c r="T113" s="42">
        <v>143103</v>
      </c>
      <c r="U113" s="42">
        <v>143103</v>
      </c>
      <c r="V113" s="42">
        <v>143102</v>
      </c>
      <c r="W113" s="57">
        <f>W112</f>
        <v>0.99427800000000011</v>
      </c>
      <c r="Y113">
        <v>4</v>
      </c>
      <c r="Z113" t="s">
        <v>164</v>
      </c>
      <c r="AA113">
        <v>12672</v>
      </c>
      <c r="AB113">
        <v>128</v>
      </c>
      <c r="AC113">
        <v>2</v>
      </c>
      <c r="AD113">
        <v>2</v>
      </c>
      <c r="AE113">
        <v>1810.61</v>
      </c>
      <c r="AF113" s="48">
        <v>0.74936999999999998</v>
      </c>
      <c r="AG113" s="46">
        <v>45471</v>
      </c>
      <c r="AH113" s="47">
        <v>0.38170138888888888</v>
      </c>
      <c r="AI113">
        <v>208680</v>
      </c>
      <c r="AJ113">
        <v>208681</v>
      </c>
      <c r="AK113">
        <v>208680</v>
      </c>
      <c r="AL113">
        <v>208686</v>
      </c>
      <c r="AM113">
        <v>208686</v>
      </c>
      <c r="AN113">
        <v>208686</v>
      </c>
      <c r="AO113">
        <v>208688</v>
      </c>
      <c r="AP113">
        <v>208688</v>
      </c>
      <c r="AQ113">
        <v>208688</v>
      </c>
      <c r="AR113">
        <v>208689</v>
      </c>
      <c r="AS113">
        <v>208690</v>
      </c>
      <c r="AT113">
        <v>208690</v>
      </c>
      <c r="AU113" s="57">
        <f t="shared" si="30"/>
        <v>0.78770000000000007</v>
      </c>
      <c r="AW113">
        <v>4</v>
      </c>
      <c r="AX113" t="s">
        <v>164</v>
      </c>
      <c r="AY113">
        <v>12672</v>
      </c>
      <c r="AZ113">
        <v>128</v>
      </c>
      <c r="BA113">
        <v>1</v>
      </c>
      <c r="BB113">
        <v>4</v>
      </c>
      <c r="BC113">
        <v>1383.68</v>
      </c>
      <c r="BD113" s="42">
        <v>0.98058999999999996</v>
      </c>
      <c r="BE113" s="57"/>
      <c r="BF113" s="45"/>
      <c r="BG113" s="45"/>
      <c r="BH113" s="45"/>
      <c r="BI113" s="45"/>
      <c r="BJ113" s="45"/>
      <c r="BK113" s="45"/>
      <c r="BL113" s="45"/>
      <c r="BM113" s="45"/>
      <c r="BN113" s="45"/>
      <c r="BO113" s="45"/>
      <c r="BP113" s="45"/>
      <c r="BQ113" s="45"/>
      <c r="BR113" s="45"/>
      <c r="BS113" s="57">
        <f>BS112</f>
        <v>0.98065600000000008</v>
      </c>
    </row>
    <row r="114" spans="1:71" x14ac:dyDescent="0.25">
      <c r="A114">
        <v>0</v>
      </c>
      <c r="B114" t="s">
        <v>164</v>
      </c>
      <c r="C114">
        <v>13440</v>
      </c>
      <c r="D114">
        <v>128</v>
      </c>
      <c r="E114">
        <v>2</v>
      </c>
      <c r="F114">
        <v>2</v>
      </c>
      <c r="G114">
        <v>1694.66</v>
      </c>
      <c r="H114" s="70">
        <v>0.95520000000000005</v>
      </c>
      <c r="I114" s="42">
        <v>45474</v>
      </c>
      <c r="J114" s="42">
        <v>0.95703703703703702</v>
      </c>
      <c r="K114" s="42">
        <v>177128</v>
      </c>
      <c r="L114" s="42">
        <v>177128</v>
      </c>
      <c r="M114" s="42">
        <v>177128</v>
      </c>
      <c r="N114" s="42">
        <v>177130</v>
      </c>
      <c r="O114" s="42">
        <v>177131</v>
      </c>
      <c r="P114" s="42">
        <v>177132</v>
      </c>
      <c r="Q114" s="42">
        <v>177131</v>
      </c>
      <c r="R114" s="42">
        <v>177132</v>
      </c>
      <c r="S114" s="42">
        <v>177133</v>
      </c>
      <c r="T114" s="42">
        <v>177133</v>
      </c>
      <c r="U114" s="42">
        <v>177133</v>
      </c>
      <c r="V114" s="42">
        <v>177134</v>
      </c>
      <c r="W114" s="57">
        <f>AVERAGE(H114:H118)</f>
        <v>0.95467400000000002</v>
      </c>
      <c r="Y114">
        <v>0</v>
      </c>
      <c r="Z114" t="s">
        <v>164</v>
      </c>
      <c r="AA114">
        <v>13440</v>
      </c>
      <c r="AB114">
        <v>128</v>
      </c>
      <c r="AC114">
        <v>2</v>
      </c>
      <c r="AD114">
        <v>2</v>
      </c>
      <c r="AE114">
        <v>2014.83</v>
      </c>
      <c r="AF114" s="48">
        <v>0.80342000000000002</v>
      </c>
      <c r="AG114" s="46">
        <v>45466</v>
      </c>
      <c r="AH114" s="47">
        <v>0.30108796296296297</v>
      </c>
      <c r="AI114">
        <v>232701</v>
      </c>
      <c r="AJ114">
        <v>232701</v>
      </c>
      <c r="AK114">
        <v>232701</v>
      </c>
      <c r="AL114">
        <v>232734</v>
      </c>
      <c r="AM114">
        <v>232734</v>
      </c>
      <c r="AN114">
        <v>232734</v>
      </c>
      <c r="AO114">
        <v>232774</v>
      </c>
      <c r="AP114">
        <v>232773</v>
      </c>
      <c r="AQ114">
        <v>232773</v>
      </c>
      <c r="AR114">
        <v>232775</v>
      </c>
      <c r="AS114">
        <v>232776</v>
      </c>
      <c r="AT114">
        <v>232776</v>
      </c>
      <c r="AU114" s="57">
        <f t="shared" ref="AU114" si="45">AVERAGE(AF114:AF118)</f>
        <v>0.796898</v>
      </c>
      <c r="AW114">
        <v>0</v>
      </c>
      <c r="AX114" t="s">
        <v>164</v>
      </c>
      <c r="AY114">
        <v>13440</v>
      </c>
      <c r="AZ114">
        <v>128</v>
      </c>
      <c r="BA114">
        <v>1</v>
      </c>
      <c r="BB114">
        <v>4</v>
      </c>
      <c r="BC114">
        <v>1633.38</v>
      </c>
      <c r="BD114" s="42">
        <v>0.99104000000000003</v>
      </c>
      <c r="BE114" s="57"/>
      <c r="BF114" s="45"/>
      <c r="BG114" s="45"/>
      <c r="BH114" s="45"/>
      <c r="BI114" s="45"/>
      <c r="BJ114" s="45"/>
      <c r="BK114" s="45"/>
      <c r="BL114" s="45"/>
      <c r="BM114" s="45"/>
      <c r="BN114" s="45"/>
      <c r="BO114" s="45"/>
      <c r="BP114" s="45"/>
      <c r="BQ114" s="45"/>
      <c r="BR114" s="45"/>
      <c r="BS114" s="57">
        <f>AVERAGE(BD114:BD118)</f>
        <v>0.99097800000000014</v>
      </c>
    </row>
    <row r="115" spans="1:71" x14ac:dyDescent="0.25">
      <c r="A115">
        <v>1</v>
      </c>
      <c r="B115" t="s">
        <v>164</v>
      </c>
      <c r="C115">
        <v>13440</v>
      </c>
      <c r="D115">
        <v>128</v>
      </c>
      <c r="E115">
        <v>2</v>
      </c>
      <c r="F115">
        <v>2</v>
      </c>
      <c r="G115">
        <v>1695.5</v>
      </c>
      <c r="H115" s="42">
        <v>0.95472999999999997</v>
      </c>
      <c r="I115" s="42">
        <v>45475</v>
      </c>
      <c r="J115" s="42">
        <v>0.95203703703703701</v>
      </c>
      <c r="K115" s="42">
        <v>177227</v>
      </c>
      <c r="L115" s="42">
        <v>177227</v>
      </c>
      <c r="M115" s="42">
        <v>177226</v>
      </c>
      <c r="N115" s="42">
        <v>177229</v>
      </c>
      <c r="O115" s="42">
        <v>177229</v>
      </c>
      <c r="P115" s="42">
        <v>177230</v>
      </c>
      <c r="Q115" s="42">
        <v>177232</v>
      </c>
      <c r="R115" s="42">
        <v>177231</v>
      </c>
      <c r="S115" s="42">
        <v>177232</v>
      </c>
      <c r="T115" s="42">
        <v>177233</v>
      </c>
      <c r="U115" s="42">
        <v>177233</v>
      </c>
      <c r="V115" s="42">
        <v>177234</v>
      </c>
      <c r="W115" s="57">
        <f>W114</f>
        <v>0.95467400000000002</v>
      </c>
      <c r="Y115">
        <v>1</v>
      </c>
      <c r="Z115" t="s">
        <v>164</v>
      </c>
      <c r="AA115">
        <v>13440</v>
      </c>
      <c r="AB115">
        <v>128</v>
      </c>
      <c r="AC115">
        <v>2</v>
      </c>
      <c r="AD115">
        <v>2</v>
      </c>
      <c r="AE115">
        <v>2160.31</v>
      </c>
      <c r="AF115" s="48">
        <v>0.74931000000000003</v>
      </c>
      <c r="AG115" s="46">
        <v>45467</v>
      </c>
      <c r="AH115" s="47">
        <v>0.6942476851851852</v>
      </c>
      <c r="AI115">
        <v>247148</v>
      </c>
      <c r="AJ115">
        <v>247148</v>
      </c>
      <c r="AK115">
        <v>247147</v>
      </c>
      <c r="AL115">
        <v>247154</v>
      </c>
      <c r="AM115">
        <v>247154</v>
      </c>
      <c r="AN115">
        <v>247153</v>
      </c>
      <c r="AO115">
        <v>247154</v>
      </c>
      <c r="AP115">
        <v>247155</v>
      </c>
      <c r="AQ115">
        <v>247154</v>
      </c>
      <c r="AR115">
        <v>247157</v>
      </c>
      <c r="AS115">
        <v>247157</v>
      </c>
      <c r="AT115">
        <v>247156</v>
      </c>
      <c r="AU115" s="57">
        <f t="shared" ref="AU115" si="46">AU114</f>
        <v>0.796898</v>
      </c>
      <c r="AW115">
        <v>1</v>
      </c>
      <c r="AX115" t="s">
        <v>164</v>
      </c>
      <c r="AY115">
        <v>13440</v>
      </c>
      <c r="AZ115">
        <v>128</v>
      </c>
      <c r="BA115">
        <v>1</v>
      </c>
      <c r="BB115">
        <v>4</v>
      </c>
      <c r="BC115">
        <v>1631.27</v>
      </c>
      <c r="BD115" s="42">
        <v>0.99231999999999998</v>
      </c>
      <c r="BE115" s="57"/>
      <c r="BF115" s="45"/>
      <c r="BG115" s="45"/>
      <c r="BH115" s="45"/>
      <c r="BI115" s="45"/>
      <c r="BJ115" s="45"/>
      <c r="BK115" s="45"/>
      <c r="BL115" s="45"/>
      <c r="BM115" s="45"/>
      <c r="BN115" s="45"/>
      <c r="BO115" s="45"/>
      <c r="BP115" s="45"/>
      <c r="BQ115" s="45"/>
      <c r="BR115" s="45"/>
      <c r="BS115" s="57">
        <f>BS114</f>
        <v>0.99097800000000014</v>
      </c>
    </row>
    <row r="116" spans="1:71" x14ac:dyDescent="0.25">
      <c r="A116">
        <v>2</v>
      </c>
      <c r="B116" t="s">
        <v>164</v>
      </c>
      <c r="C116">
        <v>13440</v>
      </c>
      <c r="D116">
        <v>128</v>
      </c>
      <c r="E116">
        <v>2</v>
      </c>
      <c r="F116">
        <v>2</v>
      </c>
      <c r="G116">
        <v>1694.99</v>
      </c>
      <c r="H116" s="42">
        <v>0.95501999999999998</v>
      </c>
      <c r="I116" s="42">
        <v>45476</v>
      </c>
      <c r="J116" s="42">
        <v>0.94420138888888894</v>
      </c>
      <c r="K116" s="42">
        <v>177177</v>
      </c>
      <c r="L116" s="42">
        <v>177178</v>
      </c>
      <c r="M116" s="42">
        <v>177177</v>
      </c>
      <c r="N116" s="42">
        <v>177179</v>
      </c>
      <c r="O116" s="42">
        <v>177179</v>
      </c>
      <c r="P116" s="42">
        <v>177179</v>
      </c>
      <c r="Q116" s="42">
        <v>177181</v>
      </c>
      <c r="R116" s="42">
        <v>177181</v>
      </c>
      <c r="S116" s="42">
        <v>177181</v>
      </c>
      <c r="T116" s="42">
        <v>177181</v>
      </c>
      <c r="U116" s="42">
        <v>177182</v>
      </c>
      <c r="V116" s="42">
        <v>177182</v>
      </c>
      <c r="W116" s="57">
        <f>W115</f>
        <v>0.95467400000000002</v>
      </c>
      <c r="Y116">
        <v>2</v>
      </c>
      <c r="Z116" t="s">
        <v>164</v>
      </c>
      <c r="AA116">
        <v>13440</v>
      </c>
      <c r="AB116">
        <v>128</v>
      </c>
      <c r="AC116">
        <v>2</v>
      </c>
      <c r="AD116">
        <v>2</v>
      </c>
      <c r="AE116">
        <v>1995.73</v>
      </c>
      <c r="AF116" s="48">
        <v>0.81110000000000004</v>
      </c>
      <c r="AG116" s="46">
        <v>45469</v>
      </c>
      <c r="AH116" s="47">
        <v>6.8310185185185182E-2</v>
      </c>
      <c r="AI116">
        <v>230763</v>
      </c>
      <c r="AJ116">
        <v>230763</v>
      </c>
      <c r="AK116">
        <v>230763</v>
      </c>
      <c r="AL116">
        <v>230776</v>
      </c>
      <c r="AM116">
        <v>230775</v>
      </c>
      <c r="AN116">
        <v>230775</v>
      </c>
      <c r="AO116">
        <v>230776</v>
      </c>
      <c r="AP116">
        <v>230776</v>
      </c>
      <c r="AQ116">
        <v>230777</v>
      </c>
      <c r="AR116">
        <v>230778</v>
      </c>
      <c r="AS116">
        <v>230779</v>
      </c>
      <c r="AT116">
        <v>230778</v>
      </c>
      <c r="AU116" s="57">
        <f t="shared" si="30"/>
        <v>0.796898</v>
      </c>
      <c r="AW116">
        <v>2</v>
      </c>
      <c r="AX116" t="s">
        <v>164</v>
      </c>
      <c r="AY116">
        <v>13440</v>
      </c>
      <c r="AZ116">
        <v>128</v>
      </c>
      <c r="BA116">
        <v>1</v>
      </c>
      <c r="BB116">
        <v>4</v>
      </c>
      <c r="BC116">
        <v>1629.91</v>
      </c>
      <c r="BD116" s="42">
        <v>0.99314999999999998</v>
      </c>
      <c r="BE116" s="57"/>
      <c r="BF116" s="45"/>
      <c r="BG116" s="45"/>
      <c r="BH116" s="45"/>
      <c r="BI116" s="45"/>
      <c r="BJ116" s="45"/>
      <c r="BK116" s="45"/>
      <c r="BL116" s="45"/>
      <c r="BM116" s="45"/>
      <c r="BN116" s="45"/>
      <c r="BO116" s="45"/>
      <c r="BP116" s="45"/>
      <c r="BQ116" s="45"/>
      <c r="BR116" s="45"/>
      <c r="BS116" s="57">
        <f>BS115</f>
        <v>0.99097800000000014</v>
      </c>
    </row>
    <row r="117" spans="1:71" x14ac:dyDescent="0.25">
      <c r="A117">
        <v>3</v>
      </c>
      <c r="B117" t="s">
        <v>164</v>
      </c>
      <c r="C117">
        <v>13440</v>
      </c>
      <c r="D117">
        <v>128</v>
      </c>
      <c r="E117">
        <v>2</v>
      </c>
      <c r="F117">
        <v>2</v>
      </c>
      <c r="G117">
        <v>1696.38</v>
      </c>
      <c r="H117" s="42">
        <v>0.95423000000000002</v>
      </c>
      <c r="I117" s="42">
        <v>45477</v>
      </c>
      <c r="J117" s="42">
        <v>0.9324189814814815</v>
      </c>
      <c r="K117" s="42">
        <v>177291</v>
      </c>
      <c r="L117" s="42">
        <v>177292</v>
      </c>
      <c r="M117" s="42">
        <v>177292</v>
      </c>
      <c r="N117" s="42">
        <v>177298</v>
      </c>
      <c r="O117" s="42">
        <v>177298</v>
      </c>
      <c r="P117" s="42">
        <v>177298</v>
      </c>
      <c r="Q117" s="42">
        <v>177300</v>
      </c>
      <c r="R117" s="42">
        <v>177300</v>
      </c>
      <c r="S117" s="42">
        <v>177299</v>
      </c>
      <c r="T117" s="42">
        <v>177300</v>
      </c>
      <c r="U117" s="42">
        <v>177301</v>
      </c>
      <c r="V117" s="42">
        <v>177302</v>
      </c>
      <c r="W117" s="57">
        <f>W116</f>
        <v>0.95467400000000002</v>
      </c>
      <c r="Y117">
        <v>3</v>
      </c>
      <c r="Z117" t="s">
        <v>164</v>
      </c>
      <c r="AA117">
        <v>13440</v>
      </c>
      <c r="AB117">
        <v>128</v>
      </c>
      <c r="AC117">
        <v>2</v>
      </c>
      <c r="AD117">
        <v>2</v>
      </c>
      <c r="AE117">
        <v>1998.08</v>
      </c>
      <c r="AF117" s="48">
        <v>0.81015000000000004</v>
      </c>
      <c r="AG117" s="46">
        <v>45470</v>
      </c>
      <c r="AH117" s="47">
        <v>0.43207175925925928</v>
      </c>
      <c r="AI117">
        <v>230966</v>
      </c>
      <c r="AJ117">
        <v>230966</v>
      </c>
      <c r="AK117">
        <v>230966</v>
      </c>
      <c r="AL117">
        <v>230997</v>
      </c>
      <c r="AM117">
        <v>230996</v>
      </c>
      <c r="AN117">
        <v>230997</v>
      </c>
      <c r="AO117">
        <v>231011</v>
      </c>
      <c r="AP117">
        <v>231011</v>
      </c>
      <c r="AQ117">
        <v>231012</v>
      </c>
      <c r="AR117">
        <v>231017</v>
      </c>
      <c r="AS117">
        <v>231017</v>
      </c>
      <c r="AT117">
        <v>231017</v>
      </c>
      <c r="AU117" s="57">
        <f t="shared" si="30"/>
        <v>0.796898</v>
      </c>
      <c r="AW117">
        <v>3</v>
      </c>
      <c r="AX117" t="s">
        <v>164</v>
      </c>
      <c r="AY117">
        <v>13440</v>
      </c>
      <c r="AZ117">
        <v>128</v>
      </c>
      <c r="BA117">
        <v>1</v>
      </c>
      <c r="BB117">
        <v>4</v>
      </c>
      <c r="BC117">
        <v>1630.32</v>
      </c>
      <c r="BD117" s="42">
        <v>0.9929</v>
      </c>
      <c r="BE117" s="57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  <c r="BR117" s="45"/>
      <c r="BS117" s="57">
        <f>BS116</f>
        <v>0.99097800000000014</v>
      </c>
    </row>
    <row r="118" spans="1:71" x14ac:dyDescent="0.25">
      <c r="A118">
        <v>4</v>
      </c>
      <c r="B118" t="s">
        <v>164</v>
      </c>
      <c r="C118">
        <v>13440</v>
      </c>
      <c r="D118">
        <v>128</v>
      </c>
      <c r="E118">
        <v>2</v>
      </c>
      <c r="F118">
        <v>2</v>
      </c>
      <c r="G118">
        <v>1696.46</v>
      </c>
      <c r="H118" s="42">
        <v>0.95418999999999998</v>
      </c>
      <c r="I118" s="42">
        <v>45478</v>
      </c>
      <c r="J118" s="42">
        <v>0.91324074074074069</v>
      </c>
      <c r="K118" s="42">
        <v>177330</v>
      </c>
      <c r="L118" s="42">
        <v>177331</v>
      </c>
      <c r="M118" s="42">
        <v>177330</v>
      </c>
      <c r="N118" s="42">
        <v>177332</v>
      </c>
      <c r="O118" s="42">
        <v>177333</v>
      </c>
      <c r="P118" s="42">
        <v>177333</v>
      </c>
      <c r="Q118" s="42">
        <v>177355</v>
      </c>
      <c r="R118" s="42">
        <v>177355</v>
      </c>
      <c r="S118" s="42">
        <v>177354</v>
      </c>
      <c r="T118" s="42">
        <v>177355</v>
      </c>
      <c r="U118" s="42">
        <v>177356</v>
      </c>
      <c r="V118" s="42">
        <v>177356</v>
      </c>
      <c r="W118" s="57">
        <f>W117</f>
        <v>0.95467400000000002</v>
      </c>
      <c r="Y118">
        <v>4</v>
      </c>
      <c r="Z118" t="s">
        <v>164</v>
      </c>
      <c r="AA118">
        <v>13440</v>
      </c>
      <c r="AB118">
        <v>128</v>
      </c>
      <c r="AC118">
        <v>2</v>
      </c>
      <c r="AD118">
        <v>2</v>
      </c>
      <c r="AE118">
        <v>1997.2</v>
      </c>
      <c r="AF118" s="48">
        <v>0.81050999999999995</v>
      </c>
      <c r="AG118" s="46">
        <v>45471</v>
      </c>
      <c r="AH118" s="47">
        <v>0.79011574074074076</v>
      </c>
      <c r="AI118">
        <v>230879</v>
      </c>
      <c r="AJ118">
        <v>230880</v>
      </c>
      <c r="AK118">
        <v>230879</v>
      </c>
      <c r="AL118">
        <v>230888</v>
      </c>
      <c r="AM118">
        <v>230887</v>
      </c>
      <c r="AN118">
        <v>230888</v>
      </c>
      <c r="AO118">
        <v>230889</v>
      </c>
      <c r="AP118">
        <v>230890</v>
      </c>
      <c r="AQ118">
        <v>230890</v>
      </c>
      <c r="AR118">
        <v>230888</v>
      </c>
      <c r="AS118">
        <v>230888</v>
      </c>
      <c r="AT118">
        <v>230889</v>
      </c>
      <c r="AU118" s="57">
        <f t="shared" si="30"/>
        <v>0.796898</v>
      </c>
      <c r="AW118">
        <v>4</v>
      </c>
      <c r="AX118" t="s">
        <v>164</v>
      </c>
      <c r="AY118">
        <v>13440</v>
      </c>
      <c r="AZ118">
        <v>128</v>
      </c>
      <c r="BA118">
        <v>1</v>
      </c>
      <c r="BB118">
        <v>4</v>
      </c>
      <c r="BC118">
        <v>1642.6</v>
      </c>
      <c r="BD118" s="42">
        <v>0.98548000000000002</v>
      </c>
      <c r="BE118" s="57"/>
      <c r="BF118" s="45"/>
      <c r="BG118" s="45"/>
      <c r="BH118" s="45"/>
      <c r="BI118" s="45"/>
      <c r="BJ118" s="45"/>
      <c r="BK118" s="45"/>
      <c r="BL118" s="45"/>
      <c r="BM118" s="45"/>
      <c r="BN118" s="45"/>
      <c r="BO118" s="45"/>
      <c r="BP118" s="45"/>
      <c r="BQ118" s="45"/>
      <c r="BR118" s="45"/>
      <c r="BS118" s="57">
        <f>BS117</f>
        <v>0.99097800000000014</v>
      </c>
    </row>
    <row r="119" spans="1:71" x14ac:dyDescent="0.25">
      <c r="A119">
        <v>0</v>
      </c>
      <c r="B119" t="s">
        <v>164</v>
      </c>
      <c r="C119">
        <v>14208</v>
      </c>
      <c r="D119">
        <v>128</v>
      </c>
      <c r="E119">
        <v>2</v>
      </c>
      <c r="F119">
        <v>2</v>
      </c>
      <c r="G119">
        <v>2091.87</v>
      </c>
      <c r="H119" s="70">
        <v>0.91420000000000001</v>
      </c>
      <c r="I119" s="42">
        <v>45475</v>
      </c>
      <c r="J119" s="42">
        <v>0.31372685185185184</v>
      </c>
      <c r="K119" s="42">
        <v>219048</v>
      </c>
      <c r="L119" s="42">
        <v>219048</v>
      </c>
      <c r="M119" s="42">
        <v>219047</v>
      </c>
      <c r="N119" s="42">
        <v>219094</v>
      </c>
      <c r="O119" s="42">
        <v>219094</v>
      </c>
      <c r="P119" s="42">
        <v>219093</v>
      </c>
      <c r="Q119" s="42">
        <v>219148</v>
      </c>
      <c r="R119" s="42">
        <v>219148</v>
      </c>
      <c r="S119" s="42">
        <v>219148</v>
      </c>
      <c r="T119" s="42">
        <v>219212</v>
      </c>
      <c r="U119" s="42">
        <v>219212</v>
      </c>
      <c r="V119" s="42">
        <v>219213</v>
      </c>
      <c r="W119" s="57">
        <f>AVERAGE(H119:H123)</f>
        <v>0.91799199999999992</v>
      </c>
      <c r="Y119">
        <v>0</v>
      </c>
      <c r="Z119" t="s">
        <v>164</v>
      </c>
      <c r="AA119">
        <v>14208</v>
      </c>
      <c r="AB119">
        <v>128</v>
      </c>
      <c r="AC119">
        <v>2</v>
      </c>
      <c r="AD119">
        <v>2</v>
      </c>
      <c r="AE119">
        <v>2785.66</v>
      </c>
      <c r="AF119" s="48">
        <v>0.68650999999999995</v>
      </c>
      <c r="AG119" s="46">
        <v>45466</v>
      </c>
      <c r="AH119" s="47">
        <v>0.80418981481481477</v>
      </c>
      <c r="AI119">
        <v>314414</v>
      </c>
      <c r="AJ119">
        <v>314413</v>
      </c>
      <c r="AK119">
        <v>314413</v>
      </c>
      <c r="AL119">
        <v>314456</v>
      </c>
      <c r="AM119">
        <v>314455</v>
      </c>
      <c r="AN119">
        <v>314455</v>
      </c>
      <c r="AO119">
        <v>314505</v>
      </c>
      <c r="AP119">
        <v>314505</v>
      </c>
      <c r="AQ119">
        <v>314504</v>
      </c>
      <c r="AR119">
        <v>314571</v>
      </c>
      <c r="AS119">
        <v>314570</v>
      </c>
      <c r="AT119">
        <v>314570</v>
      </c>
      <c r="AU119" s="57">
        <f t="shared" ref="AU119" si="47">AVERAGE(AF119:AF123)</f>
        <v>0.78007599999999999</v>
      </c>
      <c r="AW119">
        <v>0</v>
      </c>
      <c r="AX119" t="s">
        <v>164</v>
      </c>
      <c r="AY119">
        <v>14208</v>
      </c>
      <c r="AZ119">
        <v>128</v>
      </c>
      <c r="BA119">
        <v>1</v>
      </c>
      <c r="BB119">
        <v>4</v>
      </c>
      <c r="BC119">
        <v>2310.5</v>
      </c>
      <c r="BD119" s="42">
        <v>0.82769999999999999</v>
      </c>
      <c r="BE119" s="57"/>
      <c r="BF119" s="45"/>
      <c r="BG119" s="45"/>
      <c r="BH119" s="45"/>
      <c r="BI119" s="45"/>
      <c r="BJ119" s="45"/>
      <c r="BK119" s="45"/>
      <c r="BL119" s="45"/>
      <c r="BM119" s="45"/>
      <c r="BN119" s="45"/>
      <c r="BO119" s="45"/>
      <c r="BP119" s="45"/>
      <c r="BQ119" s="45"/>
      <c r="BR119" s="45"/>
      <c r="BS119" s="57">
        <f>AVERAGE(BD119:BD123)</f>
        <v>0.88914799999999994</v>
      </c>
    </row>
    <row r="120" spans="1:71" x14ac:dyDescent="0.25">
      <c r="A120">
        <v>1</v>
      </c>
      <c r="B120" t="s">
        <v>164</v>
      </c>
      <c r="C120">
        <v>14208</v>
      </c>
      <c r="D120">
        <v>128</v>
      </c>
      <c r="E120">
        <v>2</v>
      </c>
      <c r="F120">
        <v>2</v>
      </c>
      <c r="G120">
        <v>2092.91</v>
      </c>
      <c r="H120" s="42">
        <v>0.91374999999999995</v>
      </c>
      <c r="I120" s="42">
        <v>45476</v>
      </c>
      <c r="J120" s="42">
        <v>0.30736111111111108</v>
      </c>
      <c r="K120" s="42">
        <v>218168</v>
      </c>
      <c r="L120" s="42">
        <v>218168</v>
      </c>
      <c r="M120" s="42">
        <v>218167</v>
      </c>
      <c r="N120" s="42">
        <v>218217</v>
      </c>
      <c r="O120" s="42">
        <v>218216</v>
      </c>
      <c r="P120" s="42">
        <v>218216</v>
      </c>
      <c r="Q120" s="42">
        <v>218261</v>
      </c>
      <c r="R120" s="42">
        <v>218261</v>
      </c>
      <c r="S120" s="42">
        <v>218262</v>
      </c>
      <c r="T120" s="42">
        <v>218310</v>
      </c>
      <c r="U120" s="42">
        <v>218310</v>
      </c>
      <c r="V120" s="42">
        <v>218310</v>
      </c>
      <c r="W120" s="57">
        <f>W119</f>
        <v>0.91799199999999992</v>
      </c>
      <c r="Y120">
        <v>1</v>
      </c>
      <c r="Z120" t="s">
        <v>164</v>
      </c>
      <c r="AA120">
        <v>14208</v>
      </c>
      <c r="AB120">
        <v>128</v>
      </c>
      <c r="AC120">
        <v>2</v>
      </c>
      <c r="AD120">
        <v>2</v>
      </c>
      <c r="AE120">
        <v>2385.61</v>
      </c>
      <c r="AF120" s="48">
        <v>0.80162999999999995</v>
      </c>
      <c r="AG120" s="46">
        <v>45468</v>
      </c>
      <c r="AH120" s="47">
        <v>0.18303240740740739</v>
      </c>
      <c r="AI120">
        <v>273727</v>
      </c>
      <c r="AJ120">
        <v>273727</v>
      </c>
      <c r="AK120">
        <v>273726</v>
      </c>
      <c r="AL120">
        <v>273776</v>
      </c>
      <c r="AM120">
        <v>273776</v>
      </c>
      <c r="AN120">
        <v>273776</v>
      </c>
      <c r="AO120">
        <v>273825</v>
      </c>
      <c r="AP120">
        <v>273825</v>
      </c>
      <c r="AQ120">
        <v>273825</v>
      </c>
      <c r="AR120">
        <v>273884</v>
      </c>
      <c r="AS120">
        <v>273885</v>
      </c>
      <c r="AT120">
        <v>273885</v>
      </c>
      <c r="AU120" s="57">
        <f t="shared" ref="AU120" si="48">AU119</f>
        <v>0.78007599999999999</v>
      </c>
      <c r="AW120">
        <v>1</v>
      </c>
      <c r="AX120" t="s">
        <v>164</v>
      </c>
      <c r="AY120">
        <v>14208</v>
      </c>
      <c r="AZ120">
        <v>128</v>
      </c>
      <c r="BA120">
        <v>1</v>
      </c>
      <c r="BB120">
        <v>4</v>
      </c>
      <c r="BC120">
        <v>1953.76</v>
      </c>
      <c r="BD120" s="42">
        <v>0.97882000000000002</v>
      </c>
      <c r="BE120" s="57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45"/>
      <c r="BQ120" s="45"/>
      <c r="BR120" s="45"/>
      <c r="BS120" s="57">
        <f>BS119</f>
        <v>0.88914799999999994</v>
      </c>
    </row>
    <row r="121" spans="1:71" x14ac:dyDescent="0.25">
      <c r="A121">
        <v>2</v>
      </c>
      <c r="B121" t="s">
        <v>164</v>
      </c>
      <c r="C121">
        <v>14208</v>
      </c>
      <c r="D121">
        <v>128</v>
      </c>
      <c r="E121">
        <v>2</v>
      </c>
      <c r="F121">
        <v>2</v>
      </c>
      <c r="G121">
        <v>2121.94</v>
      </c>
      <c r="H121" s="42">
        <v>0.90124000000000004</v>
      </c>
      <c r="I121" s="42">
        <v>45477</v>
      </c>
      <c r="J121" s="42">
        <v>0.29759259259259258</v>
      </c>
      <c r="K121" s="42">
        <v>221972</v>
      </c>
      <c r="L121" s="42">
        <v>221972</v>
      </c>
      <c r="M121" s="42">
        <v>221971</v>
      </c>
      <c r="N121" s="42">
        <v>222029</v>
      </c>
      <c r="O121" s="42">
        <v>222028</v>
      </c>
      <c r="P121" s="42">
        <v>222028</v>
      </c>
      <c r="Q121" s="42">
        <v>222075</v>
      </c>
      <c r="R121" s="42">
        <v>222075</v>
      </c>
      <c r="S121" s="42">
        <v>222075</v>
      </c>
      <c r="T121" s="42">
        <v>222126</v>
      </c>
      <c r="U121" s="42">
        <v>222126</v>
      </c>
      <c r="V121" s="42">
        <v>222127</v>
      </c>
      <c r="W121" s="57">
        <f>W120</f>
        <v>0.91799199999999992</v>
      </c>
      <c r="Y121">
        <v>2</v>
      </c>
      <c r="Z121" t="s">
        <v>164</v>
      </c>
      <c r="AA121">
        <v>14208</v>
      </c>
      <c r="AB121">
        <v>128</v>
      </c>
      <c r="AC121">
        <v>2</v>
      </c>
      <c r="AD121">
        <v>2</v>
      </c>
      <c r="AE121">
        <v>2353.69</v>
      </c>
      <c r="AF121" s="48">
        <v>0.81250999999999995</v>
      </c>
      <c r="AG121" s="46">
        <v>45469</v>
      </c>
      <c r="AH121" s="47">
        <v>0.55780092592592589</v>
      </c>
      <c r="AI121">
        <v>270465</v>
      </c>
      <c r="AJ121">
        <v>270466</v>
      </c>
      <c r="AK121">
        <v>270465</v>
      </c>
      <c r="AL121">
        <v>270496</v>
      </c>
      <c r="AM121">
        <v>270496</v>
      </c>
      <c r="AN121">
        <v>270495</v>
      </c>
      <c r="AO121">
        <v>270551</v>
      </c>
      <c r="AP121">
        <v>270550</v>
      </c>
      <c r="AQ121">
        <v>270550</v>
      </c>
      <c r="AR121">
        <v>270616</v>
      </c>
      <c r="AS121">
        <v>270616</v>
      </c>
      <c r="AT121">
        <v>270617</v>
      </c>
      <c r="AU121" s="57">
        <f t="shared" si="30"/>
        <v>0.78007599999999999</v>
      </c>
      <c r="AW121">
        <v>2</v>
      </c>
      <c r="AX121" t="s">
        <v>164</v>
      </c>
      <c r="AY121">
        <v>14208</v>
      </c>
      <c r="AZ121">
        <v>128</v>
      </c>
      <c r="BA121">
        <v>1</v>
      </c>
      <c r="BB121">
        <v>4</v>
      </c>
      <c r="BC121">
        <v>2310.31</v>
      </c>
      <c r="BD121" s="42">
        <v>0.82776000000000005</v>
      </c>
      <c r="BE121" s="57"/>
      <c r="BF121" s="45"/>
      <c r="BG121" s="45"/>
      <c r="BH121" s="45"/>
      <c r="BI121" s="45"/>
      <c r="BJ121" s="45"/>
      <c r="BK121" s="45"/>
      <c r="BL121" s="45"/>
      <c r="BM121" s="45"/>
      <c r="BN121" s="45"/>
      <c r="BO121" s="45"/>
      <c r="BP121" s="45"/>
      <c r="BQ121" s="45"/>
      <c r="BR121" s="45"/>
      <c r="BS121" s="57">
        <f>BS120</f>
        <v>0.88914799999999994</v>
      </c>
    </row>
    <row r="122" spans="1:71" x14ac:dyDescent="0.25">
      <c r="A122">
        <v>3</v>
      </c>
      <c r="B122" t="s">
        <v>164</v>
      </c>
      <c r="C122">
        <v>14208</v>
      </c>
      <c r="D122">
        <v>128</v>
      </c>
      <c r="E122">
        <v>2</v>
      </c>
      <c r="F122">
        <v>2</v>
      </c>
      <c r="G122">
        <v>2068.44</v>
      </c>
      <c r="H122" s="42">
        <v>0.92456000000000005</v>
      </c>
      <c r="I122" s="42">
        <v>45478</v>
      </c>
      <c r="J122" s="42">
        <v>0.28488425925925925</v>
      </c>
      <c r="K122" s="42">
        <v>216548</v>
      </c>
      <c r="L122" s="42">
        <v>216547</v>
      </c>
      <c r="M122" s="42">
        <v>216548</v>
      </c>
      <c r="N122" s="42">
        <v>216598</v>
      </c>
      <c r="O122" s="42">
        <v>216597</v>
      </c>
      <c r="P122" s="42">
        <v>216598</v>
      </c>
      <c r="Q122" s="42">
        <v>216639</v>
      </c>
      <c r="R122" s="42">
        <v>216639</v>
      </c>
      <c r="S122" s="42">
        <v>216639</v>
      </c>
      <c r="T122" s="42">
        <v>216703</v>
      </c>
      <c r="U122" s="42">
        <v>216702</v>
      </c>
      <c r="V122" s="42">
        <v>216703</v>
      </c>
      <c r="W122" s="57">
        <f>W121</f>
        <v>0.91799199999999992</v>
      </c>
      <c r="Y122">
        <v>3</v>
      </c>
      <c r="Z122" t="s">
        <v>164</v>
      </c>
      <c r="AA122">
        <v>14208</v>
      </c>
      <c r="AB122">
        <v>128</v>
      </c>
      <c r="AC122">
        <v>2</v>
      </c>
      <c r="AD122">
        <v>2</v>
      </c>
      <c r="AE122">
        <v>2378.4699999999998</v>
      </c>
      <c r="AF122" s="48">
        <v>0.80403999999999998</v>
      </c>
      <c r="AG122" s="46">
        <v>45470</v>
      </c>
      <c r="AH122" s="47">
        <v>0.91813657407407412</v>
      </c>
      <c r="AI122">
        <v>273197</v>
      </c>
      <c r="AJ122">
        <v>273196</v>
      </c>
      <c r="AK122">
        <v>273196</v>
      </c>
      <c r="AL122">
        <v>273258</v>
      </c>
      <c r="AM122">
        <v>273258</v>
      </c>
      <c r="AN122">
        <v>273258</v>
      </c>
      <c r="AO122">
        <v>273317</v>
      </c>
      <c r="AP122">
        <v>273317</v>
      </c>
      <c r="AQ122">
        <v>273318</v>
      </c>
      <c r="AR122">
        <v>273367</v>
      </c>
      <c r="AS122">
        <v>273367</v>
      </c>
      <c r="AT122">
        <v>273367</v>
      </c>
      <c r="AU122" s="57">
        <f t="shared" si="30"/>
        <v>0.78007599999999999</v>
      </c>
      <c r="AW122">
        <v>3</v>
      </c>
      <c r="AX122" t="s">
        <v>164</v>
      </c>
      <c r="AY122">
        <v>14208</v>
      </c>
      <c r="AZ122">
        <v>128</v>
      </c>
      <c r="BA122">
        <v>1</v>
      </c>
      <c r="BB122">
        <v>4</v>
      </c>
      <c r="BC122">
        <v>2221.0100000000002</v>
      </c>
      <c r="BD122" s="42">
        <v>0.86104999999999998</v>
      </c>
      <c r="BE122" s="57"/>
      <c r="BF122" s="45"/>
      <c r="BG122" s="45"/>
      <c r="BH122" s="45"/>
      <c r="BI122" s="45"/>
      <c r="BJ122" s="45"/>
      <c r="BK122" s="45"/>
      <c r="BL122" s="45"/>
      <c r="BM122" s="45"/>
      <c r="BN122" s="45"/>
      <c r="BO122" s="45"/>
      <c r="BP122" s="45"/>
      <c r="BQ122" s="45"/>
      <c r="BR122" s="45"/>
      <c r="BS122" s="57">
        <f>BS121</f>
        <v>0.88914799999999994</v>
      </c>
    </row>
    <row r="123" spans="1:71" x14ac:dyDescent="0.25">
      <c r="A123">
        <v>4</v>
      </c>
      <c r="B123" t="s">
        <v>164</v>
      </c>
      <c r="C123">
        <v>14208</v>
      </c>
      <c r="D123">
        <v>128</v>
      </c>
      <c r="E123">
        <v>2</v>
      </c>
      <c r="F123">
        <v>2</v>
      </c>
      <c r="G123">
        <v>2042.7</v>
      </c>
      <c r="H123" s="42">
        <v>0.93620999999999999</v>
      </c>
      <c r="I123" s="42">
        <v>45479</v>
      </c>
      <c r="J123" s="42">
        <v>0.26490740740740742</v>
      </c>
      <c r="K123" s="42">
        <v>213880</v>
      </c>
      <c r="L123" s="42">
        <v>213880</v>
      </c>
      <c r="M123" s="42">
        <v>213880</v>
      </c>
      <c r="N123" s="42">
        <v>213930</v>
      </c>
      <c r="O123" s="42">
        <v>213930</v>
      </c>
      <c r="P123" s="42">
        <v>213929</v>
      </c>
      <c r="Q123" s="42">
        <v>213976</v>
      </c>
      <c r="R123" s="42">
        <v>213975</v>
      </c>
      <c r="S123" s="42">
        <v>213975</v>
      </c>
      <c r="T123" s="42">
        <v>214038</v>
      </c>
      <c r="U123" s="42">
        <v>214038</v>
      </c>
      <c r="V123" s="42">
        <v>214038</v>
      </c>
      <c r="W123" s="57">
        <f>W122</f>
        <v>0.91799199999999992</v>
      </c>
      <c r="Y123">
        <v>4</v>
      </c>
      <c r="Z123" t="s">
        <v>164</v>
      </c>
      <c r="AA123">
        <v>14208</v>
      </c>
      <c r="AB123">
        <v>128</v>
      </c>
      <c r="AC123">
        <v>2</v>
      </c>
      <c r="AD123">
        <v>2</v>
      </c>
      <c r="AE123">
        <v>2403.4299999999998</v>
      </c>
      <c r="AF123" s="48">
        <v>0.79569000000000001</v>
      </c>
      <c r="AG123" s="46">
        <v>45472</v>
      </c>
      <c r="AH123" s="47">
        <v>0.27734953703703702</v>
      </c>
      <c r="AI123">
        <v>276497</v>
      </c>
      <c r="AJ123">
        <v>276496</v>
      </c>
      <c r="AK123">
        <v>276497</v>
      </c>
      <c r="AL123">
        <v>276543</v>
      </c>
      <c r="AM123">
        <v>276542</v>
      </c>
      <c r="AN123">
        <v>276542</v>
      </c>
      <c r="AO123">
        <v>276580</v>
      </c>
      <c r="AP123">
        <v>276581</v>
      </c>
      <c r="AQ123">
        <v>276580</v>
      </c>
      <c r="AR123">
        <v>276642</v>
      </c>
      <c r="AS123">
        <v>276642</v>
      </c>
      <c r="AT123">
        <v>276642</v>
      </c>
      <c r="AU123" s="57">
        <f t="shared" si="30"/>
        <v>0.78007599999999999</v>
      </c>
      <c r="AW123">
        <v>4</v>
      </c>
      <c r="AX123" t="s">
        <v>164</v>
      </c>
      <c r="AY123">
        <v>14208</v>
      </c>
      <c r="AZ123">
        <v>128</v>
      </c>
      <c r="BA123">
        <v>1</v>
      </c>
      <c r="BB123">
        <v>4</v>
      </c>
      <c r="BC123">
        <v>2012.17</v>
      </c>
      <c r="BD123" s="42">
        <v>0.95040999999999998</v>
      </c>
      <c r="BE123" s="57"/>
      <c r="BF123" s="45"/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  <c r="BQ123" s="45"/>
      <c r="BR123" s="45"/>
      <c r="BS123" s="57">
        <f>BS122</f>
        <v>0.88914799999999994</v>
      </c>
    </row>
    <row r="124" spans="1:71" x14ac:dyDescent="0.25">
      <c r="A124">
        <v>0</v>
      </c>
      <c r="B124" t="s">
        <v>164</v>
      </c>
      <c r="C124">
        <v>12640</v>
      </c>
      <c r="D124">
        <v>160</v>
      </c>
      <c r="E124">
        <v>1</v>
      </c>
      <c r="F124">
        <v>4</v>
      </c>
      <c r="G124">
        <v>1411.44</v>
      </c>
      <c r="H124" s="70">
        <v>0.95404</v>
      </c>
      <c r="I124" s="42">
        <v>45474</v>
      </c>
      <c r="J124" s="42">
        <v>0.67879629629629634</v>
      </c>
      <c r="K124" s="42">
        <v>148066</v>
      </c>
      <c r="L124" s="42">
        <v>148067</v>
      </c>
      <c r="M124" s="42">
        <v>148066</v>
      </c>
      <c r="N124" s="42">
        <v>148067</v>
      </c>
      <c r="O124" s="42">
        <v>148067</v>
      </c>
      <c r="P124" s="42">
        <v>148068</v>
      </c>
      <c r="Q124" s="42">
        <v>148071</v>
      </c>
      <c r="R124" s="42">
        <v>148070</v>
      </c>
      <c r="S124" s="42">
        <v>148070</v>
      </c>
      <c r="T124" s="42">
        <v>148071</v>
      </c>
      <c r="U124" s="42">
        <v>148071</v>
      </c>
      <c r="V124" s="42">
        <v>148072</v>
      </c>
      <c r="W124" s="57">
        <f>AVERAGE(H124:H128)</f>
        <v>0.95424000000000009</v>
      </c>
      <c r="Y124">
        <v>0</v>
      </c>
      <c r="Z124" t="s">
        <v>164</v>
      </c>
      <c r="AA124">
        <v>12640</v>
      </c>
      <c r="AB124">
        <v>160</v>
      </c>
      <c r="AC124">
        <v>1</v>
      </c>
      <c r="AD124">
        <v>4</v>
      </c>
      <c r="AE124">
        <v>1708.91</v>
      </c>
      <c r="AF124" s="48">
        <v>0.78795999999999999</v>
      </c>
      <c r="AG124" s="46">
        <v>45465</v>
      </c>
      <c r="AH124" s="47">
        <v>0.91920138888888892</v>
      </c>
      <c r="AI124">
        <v>198126</v>
      </c>
      <c r="AJ124">
        <v>198127</v>
      </c>
      <c r="AK124">
        <v>198126</v>
      </c>
      <c r="AL124">
        <v>198128</v>
      </c>
      <c r="AM124">
        <v>198128</v>
      </c>
      <c r="AN124">
        <v>198127</v>
      </c>
      <c r="AO124">
        <v>198128</v>
      </c>
      <c r="AP124">
        <v>198128</v>
      </c>
      <c r="AQ124">
        <v>198129</v>
      </c>
      <c r="AR124">
        <v>198129</v>
      </c>
      <c r="AS124">
        <v>198130</v>
      </c>
      <c r="AT124">
        <v>198130</v>
      </c>
      <c r="AU124" s="57">
        <f t="shared" ref="AU124" si="49">AVERAGE(AF124:AF128)</f>
        <v>0.7888940000000001</v>
      </c>
      <c r="AW124">
        <v>0</v>
      </c>
      <c r="AX124" t="s">
        <v>164</v>
      </c>
      <c r="AY124">
        <v>12672</v>
      </c>
      <c r="AZ124">
        <v>128</v>
      </c>
      <c r="BA124">
        <v>2</v>
      </c>
      <c r="BB124">
        <v>2</v>
      </c>
      <c r="BC124">
        <v>1362.38</v>
      </c>
      <c r="BD124" s="42">
        <v>0.99592000000000003</v>
      </c>
      <c r="BE124" s="57"/>
      <c r="BF124" s="45"/>
      <c r="BG124" s="45"/>
      <c r="BH124" s="45"/>
      <c r="BI124" s="45"/>
      <c r="BJ124" s="45"/>
      <c r="BK124" s="45"/>
      <c r="BL124" s="45"/>
      <c r="BM124" s="45"/>
      <c r="BN124" s="45"/>
      <c r="BO124" s="45"/>
      <c r="BP124" s="45"/>
      <c r="BQ124" s="45"/>
      <c r="BR124" s="45"/>
      <c r="BS124" s="57">
        <f>AVERAGE(BD124:BD128)</f>
        <v>0.99602800000000014</v>
      </c>
    </row>
    <row r="125" spans="1:71" x14ac:dyDescent="0.25">
      <c r="A125">
        <v>1</v>
      </c>
      <c r="B125" t="s">
        <v>164</v>
      </c>
      <c r="C125">
        <v>12640</v>
      </c>
      <c r="D125">
        <v>160</v>
      </c>
      <c r="E125">
        <v>1</v>
      </c>
      <c r="F125">
        <v>4</v>
      </c>
      <c r="G125">
        <v>1411.33</v>
      </c>
      <c r="H125" s="42">
        <v>0.95411000000000001</v>
      </c>
      <c r="I125" s="42">
        <v>45475</v>
      </c>
      <c r="J125" s="42">
        <v>0.67358796296296297</v>
      </c>
      <c r="K125" s="42">
        <v>148027</v>
      </c>
      <c r="L125" s="42">
        <v>148027</v>
      </c>
      <c r="M125" s="42">
        <v>148027</v>
      </c>
      <c r="N125" s="42">
        <v>148029</v>
      </c>
      <c r="O125" s="42">
        <v>148029</v>
      </c>
      <c r="P125" s="42">
        <v>148028</v>
      </c>
      <c r="Q125" s="42">
        <v>148031</v>
      </c>
      <c r="R125" s="42">
        <v>148031</v>
      </c>
      <c r="S125" s="42">
        <v>148031</v>
      </c>
      <c r="T125" s="42">
        <v>148032</v>
      </c>
      <c r="U125" s="42">
        <v>148032</v>
      </c>
      <c r="V125" s="42">
        <v>148032</v>
      </c>
      <c r="W125" s="57">
        <f>W124</f>
        <v>0.95424000000000009</v>
      </c>
      <c r="Y125">
        <v>1</v>
      </c>
      <c r="Z125" t="s">
        <v>164</v>
      </c>
      <c r="AA125">
        <v>12640</v>
      </c>
      <c r="AB125">
        <v>160</v>
      </c>
      <c r="AC125">
        <v>1</v>
      </c>
      <c r="AD125">
        <v>4</v>
      </c>
      <c r="AE125">
        <v>1711.97</v>
      </c>
      <c r="AF125" s="48">
        <v>0.78656000000000004</v>
      </c>
      <c r="AG125" s="46">
        <v>45467</v>
      </c>
      <c r="AH125" s="47">
        <v>0.31011574074074072</v>
      </c>
      <c r="AI125">
        <v>199152</v>
      </c>
      <c r="AJ125">
        <v>199151</v>
      </c>
      <c r="AK125">
        <v>199151</v>
      </c>
      <c r="AL125">
        <v>199160</v>
      </c>
      <c r="AM125">
        <v>199160</v>
      </c>
      <c r="AN125">
        <v>199159</v>
      </c>
      <c r="AO125">
        <v>199156</v>
      </c>
      <c r="AP125">
        <v>199156</v>
      </c>
      <c r="AQ125">
        <v>199157</v>
      </c>
      <c r="AR125">
        <v>199158</v>
      </c>
      <c r="AS125">
        <v>199158</v>
      </c>
      <c r="AT125">
        <v>199158</v>
      </c>
      <c r="AU125" s="57">
        <f t="shared" ref="AU125" si="50">AU124</f>
        <v>0.7888940000000001</v>
      </c>
      <c r="AW125">
        <v>1</v>
      </c>
      <c r="AX125" t="s">
        <v>164</v>
      </c>
      <c r="AY125">
        <v>12672</v>
      </c>
      <c r="AZ125">
        <v>128</v>
      </c>
      <c r="BA125">
        <v>2</v>
      </c>
      <c r="BB125">
        <v>2</v>
      </c>
      <c r="BC125">
        <v>1361.85</v>
      </c>
      <c r="BD125" s="42">
        <v>0.99631000000000003</v>
      </c>
      <c r="BE125" s="57"/>
      <c r="BF125" s="45"/>
      <c r="BG125" s="45"/>
      <c r="BH125" s="45"/>
      <c r="BI125" s="45"/>
      <c r="BJ125" s="45"/>
      <c r="BK125" s="45"/>
      <c r="BL125" s="45"/>
      <c r="BM125" s="45"/>
      <c r="BN125" s="45"/>
      <c r="BO125" s="45"/>
      <c r="BP125" s="45"/>
      <c r="BQ125" s="45"/>
      <c r="BR125" s="45"/>
      <c r="BS125" s="57">
        <f>BS124</f>
        <v>0.99602800000000014</v>
      </c>
    </row>
    <row r="126" spans="1:71" x14ac:dyDescent="0.25">
      <c r="A126">
        <v>2</v>
      </c>
      <c r="B126" t="s">
        <v>164</v>
      </c>
      <c r="C126">
        <v>12640</v>
      </c>
      <c r="D126">
        <v>160</v>
      </c>
      <c r="E126">
        <v>1</v>
      </c>
      <c r="F126">
        <v>4</v>
      </c>
      <c r="G126">
        <v>1410.22</v>
      </c>
      <c r="H126" s="42">
        <v>0.95486000000000004</v>
      </c>
      <c r="I126" s="42">
        <v>45476</v>
      </c>
      <c r="J126" s="42">
        <v>0.66572916666666671</v>
      </c>
      <c r="K126" s="42">
        <v>147908</v>
      </c>
      <c r="L126" s="42">
        <v>147909</v>
      </c>
      <c r="M126" s="42">
        <v>147908</v>
      </c>
      <c r="N126" s="42">
        <v>147916</v>
      </c>
      <c r="O126" s="42">
        <v>147917</v>
      </c>
      <c r="P126" s="42">
        <v>147917</v>
      </c>
      <c r="Q126" s="42">
        <v>147919</v>
      </c>
      <c r="R126" s="42">
        <v>147918</v>
      </c>
      <c r="S126" s="42">
        <v>147919</v>
      </c>
      <c r="T126" s="42">
        <v>147923</v>
      </c>
      <c r="U126" s="42">
        <v>147923</v>
      </c>
      <c r="V126" s="42">
        <v>147924</v>
      </c>
      <c r="W126" s="57">
        <f>W125</f>
        <v>0.95424000000000009</v>
      </c>
      <c r="Y126">
        <v>2</v>
      </c>
      <c r="Z126" t="s">
        <v>164</v>
      </c>
      <c r="AA126">
        <v>12640</v>
      </c>
      <c r="AB126">
        <v>160</v>
      </c>
      <c r="AC126">
        <v>1</v>
      </c>
      <c r="AD126">
        <v>4</v>
      </c>
      <c r="AE126">
        <v>1703.02</v>
      </c>
      <c r="AF126" s="48">
        <v>0.79069</v>
      </c>
      <c r="AG126" s="46">
        <v>45468</v>
      </c>
      <c r="AH126" s="47">
        <v>0.68398148148148152</v>
      </c>
      <c r="AI126">
        <v>197502</v>
      </c>
      <c r="AJ126">
        <v>197503</v>
      </c>
      <c r="AK126">
        <v>197502</v>
      </c>
      <c r="AL126">
        <v>197500</v>
      </c>
      <c r="AM126">
        <v>197501</v>
      </c>
      <c r="AN126">
        <v>197500</v>
      </c>
      <c r="AO126">
        <v>197501</v>
      </c>
      <c r="AP126">
        <v>197501</v>
      </c>
      <c r="AQ126">
        <v>197501</v>
      </c>
      <c r="AR126">
        <v>197503</v>
      </c>
      <c r="AS126">
        <v>197504</v>
      </c>
      <c r="AT126">
        <v>197504</v>
      </c>
      <c r="AU126" s="57">
        <f t="shared" si="30"/>
        <v>0.7888940000000001</v>
      </c>
      <c r="AW126">
        <v>2</v>
      </c>
      <c r="AX126" t="s">
        <v>164</v>
      </c>
      <c r="AY126">
        <v>12672</v>
      </c>
      <c r="AZ126">
        <v>128</v>
      </c>
      <c r="BA126">
        <v>2</v>
      </c>
      <c r="BB126">
        <v>2</v>
      </c>
      <c r="BC126">
        <v>1366.77</v>
      </c>
      <c r="BD126" s="42">
        <v>0.99272000000000005</v>
      </c>
      <c r="BE126" s="57"/>
      <c r="BF126" s="45"/>
      <c r="BG126" s="45"/>
      <c r="BH126" s="45"/>
      <c r="BI126" s="45"/>
      <c r="BJ126" s="45"/>
      <c r="BK126" s="45"/>
      <c r="BL126" s="45"/>
      <c r="BM126" s="45"/>
      <c r="BN126" s="45"/>
      <c r="BO126" s="45"/>
      <c r="BP126" s="45"/>
      <c r="BQ126" s="45"/>
      <c r="BR126" s="45"/>
      <c r="BS126" s="57">
        <f>BS125</f>
        <v>0.99602800000000014</v>
      </c>
    </row>
    <row r="127" spans="1:71" x14ac:dyDescent="0.25">
      <c r="A127">
        <v>3</v>
      </c>
      <c r="B127" t="s">
        <v>164</v>
      </c>
      <c r="C127">
        <v>12640</v>
      </c>
      <c r="D127">
        <v>160</v>
      </c>
      <c r="E127">
        <v>1</v>
      </c>
      <c r="F127">
        <v>4</v>
      </c>
      <c r="G127">
        <v>1411.77</v>
      </c>
      <c r="H127" s="42">
        <v>0.95381000000000005</v>
      </c>
      <c r="I127" s="42">
        <v>45477</v>
      </c>
      <c r="J127" s="42">
        <v>0.65384259259259259</v>
      </c>
      <c r="K127" s="42">
        <v>148081</v>
      </c>
      <c r="L127" s="42">
        <v>148082</v>
      </c>
      <c r="M127" s="42">
        <v>148082</v>
      </c>
      <c r="N127" s="42">
        <v>148083</v>
      </c>
      <c r="O127" s="42">
        <v>148082</v>
      </c>
      <c r="P127" s="42">
        <v>148083</v>
      </c>
      <c r="Q127" s="42">
        <v>148084</v>
      </c>
      <c r="R127" s="42">
        <v>148084</v>
      </c>
      <c r="S127" s="42">
        <v>148084</v>
      </c>
      <c r="T127" s="42">
        <v>148085</v>
      </c>
      <c r="U127" s="42">
        <v>148085</v>
      </c>
      <c r="V127" s="42">
        <v>148085</v>
      </c>
      <c r="W127" s="57">
        <f>W126</f>
        <v>0.95424000000000009</v>
      </c>
      <c r="Y127">
        <v>3</v>
      </c>
      <c r="Z127" t="s">
        <v>164</v>
      </c>
      <c r="AA127">
        <v>12640</v>
      </c>
      <c r="AB127">
        <v>160</v>
      </c>
      <c r="AC127">
        <v>1</v>
      </c>
      <c r="AD127">
        <v>4</v>
      </c>
      <c r="AE127">
        <v>1707.01</v>
      </c>
      <c r="AF127" s="48">
        <v>0.78883999999999999</v>
      </c>
      <c r="AG127" s="46">
        <v>45470</v>
      </c>
      <c r="AH127" s="47">
        <v>5.1631944444444446E-2</v>
      </c>
      <c r="AI127">
        <v>197895</v>
      </c>
      <c r="AJ127">
        <v>197896</v>
      </c>
      <c r="AK127">
        <v>197895</v>
      </c>
      <c r="AL127">
        <v>197895</v>
      </c>
      <c r="AM127">
        <v>197896</v>
      </c>
      <c r="AN127">
        <v>197895</v>
      </c>
      <c r="AO127">
        <v>197896</v>
      </c>
      <c r="AP127">
        <v>197897</v>
      </c>
      <c r="AQ127">
        <v>197897</v>
      </c>
      <c r="AR127">
        <v>197897</v>
      </c>
      <c r="AS127">
        <v>197898</v>
      </c>
      <c r="AT127">
        <v>197897</v>
      </c>
      <c r="AU127" s="57">
        <f t="shared" si="30"/>
        <v>0.7888940000000001</v>
      </c>
      <c r="AW127">
        <v>3</v>
      </c>
      <c r="AX127" t="s">
        <v>164</v>
      </c>
      <c r="AY127">
        <v>12672</v>
      </c>
      <c r="AZ127">
        <v>128</v>
      </c>
      <c r="BA127">
        <v>2</v>
      </c>
      <c r="BB127">
        <v>2</v>
      </c>
      <c r="BC127">
        <v>1360.29</v>
      </c>
      <c r="BD127" s="42">
        <v>0.99744999999999995</v>
      </c>
      <c r="BE127" s="57"/>
      <c r="BF127" s="45"/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  <c r="BQ127" s="45"/>
      <c r="BR127" s="45"/>
      <c r="BS127" s="57">
        <f>BS126</f>
        <v>0.99602800000000014</v>
      </c>
    </row>
    <row r="128" spans="1:71" x14ac:dyDescent="0.25">
      <c r="A128">
        <v>4</v>
      </c>
      <c r="B128" t="s">
        <v>164</v>
      </c>
      <c r="C128">
        <v>12640</v>
      </c>
      <c r="D128">
        <v>160</v>
      </c>
      <c r="E128">
        <v>1</v>
      </c>
      <c r="F128">
        <v>4</v>
      </c>
      <c r="G128">
        <v>1410.92</v>
      </c>
      <c r="H128" s="42">
        <v>0.95438000000000001</v>
      </c>
      <c r="I128" s="42">
        <v>45478</v>
      </c>
      <c r="J128" s="42">
        <v>0.63491898148148151</v>
      </c>
      <c r="K128" s="42">
        <v>147990</v>
      </c>
      <c r="L128" s="42">
        <v>147989</v>
      </c>
      <c r="M128" s="42">
        <v>147989</v>
      </c>
      <c r="N128" s="42">
        <v>147992</v>
      </c>
      <c r="O128" s="42">
        <v>147991</v>
      </c>
      <c r="P128" s="42">
        <v>147991</v>
      </c>
      <c r="Q128" s="42">
        <v>147993</v>
      </c>
      <c r="R128" s="42">
        <v>147993</v>
      </c>
      <c r="S128" s="42">
        <v>147992</v>
      </c>
      <c r="T128" s="42">
        <v>147994</v>
      </c>
      <c r="U128" s="42">
        <v>147994</v>
      </c>
      <c r="V128" s="42">
        <v>147993</v>
      </c>
      <c r="W128" s="57">
        <f>W127</f>
        <v>0.95424000000000009</v>
      </c>
      <c r="Y128">
        <v>4</v>
      </c>
      <c r="Z128" t="s">
        <v>164</v>
      </c>
      <c r="AA128">
        <v>12640</v>
      </c>
      <c r="AB128">
        <v>160</v>
      </c>
      <c r="AC128">
        <v>1</v>
      </c>
      <c r="AD128">
        <v>4</v>
      </c>
      <c r="AE128">
        <v>1703.6</v>
      </c>
      <c r="AF128" s="48">
        <v>0.79042000000000001</v>
      </c>
      <c r="AG128" s="46">
        <v>45471</v>
      </c>
      <c r="AH128" s="47">
        <v>0.40462962962962962</v>
      </c>
      <c r="AI128">
        <v>197523</v>
      </c>
      <c r="AJ128">
        <v>197523</v>
      </c>
      <c r="AK128">
        <v>197524</v>
      </c>
      <c r="AL128">
        <v>197526</v>
      </c>
      <c r="AM128">
        <v>197526</v>
      </c>
      <c r="AN128">
        <v>197525</v>
      </c>
      <c r="AO128">
        <v>197530</v>
      </c>
      <c r="AP128">
        <v>197531</v>
      </c>
      <c r="AQ128">
        <v>197531</v>
      </c>
      <c r="AR128">
        <v>197532</v>
      </c>
      <c r="AS128">
        <v>197532</v>
      </c>
      <c r="AT128">
        <v>197533</v>
      </c>
      <c r="AU128" s="57">
        <f t="shared" si="30"/>
        <v>0.7888940000000001</v>
      </c>
      <c r="AW128">
        <v>4</v>
      </c>
      <c r="AX128" t="s">
        <v>164</v>
      </c>
      <c r="AY128">
        <v>12672</v>
      </c>
      <c r="AZ128">
        <v>128</v>
      </c>
      <c r="BA128">
        <v>2</v>
      </c>
      <c r="BB128">
        <v>2</v>
      </c>
      <c r="BC128">
        <v>1359.88</v>
      </c>
      <c r="BD128" s="42">
        <v>0.99773999999999996</v>
      </c>
      <c r="BE128" s="57"/>
      <c r="BF128" s="45"/>
      <c r="BG128" s="45"/>
      <c r="BH128" s="45"/>
      <c r="BI128" s="45"/>
      <c r="BJ128" s="45"/>
      <c r="BK128" s="45"/>
      <c r="BL128" s="45"/>
      <c r="BM128" s="45"/>
      <c r="BN128" s="45"/>
      <c r="BO128" s="45"/>
      <c r="BP128" s="45"/>
      <c r="BQ128" s="45"/>
      <c r="BR128" s="45"/>
      <c r="BS128" s="57">
        <f>BS127</f>
        <v>0.99602800000000014</v>
      </c>
    </row>
    <row r="129" spans="1:71" x14ac:dyDescent="0.25">
      <c r="A129">
        <v>0</v>
      </c>
      <c r="B129" t="s">
        <v>164</v>
      </c>
      <c r="C129">
        <v>13440</v>
      </c>
      <c r="D129">
        <v>160</v>
      </c>
      <c r="E129">
        <v>1</v>
      </c>
      <c r="F129">
        <v>4</v>
      </c>
      <c r="G129">
        <v>1674.56</v>
      </c>
      <c r="H129" s="70">
        <v>0.96667000000000003</v>
      </c>
      <c r="I129" s="42">
        <v>45474</v>
      </c>
      <c r="J129" s="42">
        <v>0.97737268518518516</v>
      </c>
      <c r="K129" s="42">
        <v>175050</v>
      </c>
      <c r="L129" s="42">
        <v>175050</v>
      </c>
      <c r="M129" s="42">
        <v>175050</v>
      </c>
      <c r="N129" s="42">
        <v>175058</v>
      </c>
      <c r="O129" s="42">
        <v>175057</v>
      </c>
      <c r="P129" s="42">
        <v>175057</v>
      </c>
      <c r="Q129" s="42">
        <v>175072</v>
      </c>
      <c r="R129" s="42">
        <v>175071</v>
      </c>
      <c r="S129" s="42">
        <v>175071</v>
      </c>
      <c r="T129" s="42">
        <v>175084</v>
      </c>
      <c r="U129" s="42">
        <v>175083</v>
      </c>
      <c r="V129" s="42">
        <v>175084</v>
      </c>
      <c r="W129" s="57">
        <f>AVERAGE(H129:H133)</f>
        <v>0.96868599999999994</v>
      </c>
      <c r="Y129">
        <v>0</v>
      </c>
      <c r="Z129" t="s">
        <v>164</v>
      </c>
      <c r="AA129">
        <v>13440</v>
      </c>
      <c r="AB129">
        <v>160</v>
      </c>
      <c r="AC129">
        <v>1</v>
      </c>
      <c r="AD129">
        <v>4</v>
      </c>
      <c r="AE129">
        <v>2141.19</v>
      </c>
      <c r="AF129" s="48">
        <v>0.75600999999999996</v>
      </c>
      <c r="AG129" s="46">
        <v>45466</v>
      </c>
      <c r="AH129" s="47">
        <v>0.32944444444444443</v>
      </c>
      <c r="AI129">
        <v>244424</v>
      </c>
      <c r="AJ129">
        <v>244424</v>
      </c>
      <c r="AK129">
        <v>244424</v>
      </c>
      <c r="AL129">
        <v>244429</v>
      </c>
      <c r="AM129">
        <v>244428</v>
      </c>
      <c r="AN129">
        <v>244429</v>
      </c>
      <c r="AO129">
        <v>244431</v>
      </c>
      <c r="AP129">
        <v>244431</v>
      </c>
      <c r="AQ129">
        <v>244431</v>
      </c>
      <c r="AR129">
        <v>244437</v>
      </c>
      <c r="AS129">
        <v>244437</v>
      </c>
      <c r="AT129">
        <v>244438</v>
      </c>
      <c r="AU129" s="57">
        <f t="shared" ref="AU129" si="51">AVERAGE(AF129:AF133)</f>
        <v>0.78349999999999997</v>
      </c>
      <c r="AW129">
        <v>0</v>
      </c>
      <c r="AX129" t="s">
        <v>164</v>
      </c>
      <c r="AY129">
        <v>13440</v>
      </c>
      <c r="AZ129">
        <v>128</v>
      </c>
      <c r="BA129">
        <v>2</v>
      </c>
      <c r="BB129">
        <v>2</v>
      </c>
      <c r="BC129">
        <v>1691.55</v>
      </c>
      <c r="BD129" s="42">
        <v>0.95696000000000003</v>
      </c>
      <c r="BE129" s="57"/>
      <c r="BF129" s="45"/>
      <c r="BG129" s="45"/>
      <c r="BH129" s="45"/>
      <c r="BI129" s="45"/>
      <c r="BJ129" s="45"/>
      <c r="BK129" s="45"/>
      <c r="BL129" s="45"/>
      <c r="BM129" s="45"/>
      <c r="BN129" s="45"/>
      <c r="BO129" s="45"/>
      <c r="BP129" s="45"/>
      <c r="BQ129" s="45"/>
      <c r="BR129" s="45"/>
      <c r="BS129" s="57">
        <f>AVERAGE(BD129:BD133)</f>
        <v>0.95435200000000009</v>
      </c>
    </row>
    <row r="130" spans="1:71" x14ac:dyDescent="0.25">
      <c r="A130">
        <v>1</v>
      </c>
      <c r="B130" t="s">
        <v>164</v>
      </c>
      <c r="C130">
        <v>13440</v>
      </c>
      <c r="D130">
        <v>160</v>
      </c>
      <c r="E130">
        <v>1</v>
      </c>
      <c r="F130">
        <v>4</v>
      </c>
      <c r="G130">
        <v>1669.42</v>
      </c>
      <c r="H130" s="42">
        <v>0.96965000000000001</v>
      </c>
      <c r="I130" s="42">
        <v>45475</v>
      </c>
      <c r="J130" s="42">
        <v>0.97231481481481485</v>
      </c>
      <c r="K130" s="42">
        <v>174541</v>
      </c>
      <c r="L130" s="42">
        <v>174541</v>
      </c>
      <c r="M130" s="42">
        <v>174541</v>
      </c>
      <c r="N130" s="42">
        <v>174542</v>
      </c>
      <c r="O130" s="42">
        <v>174543</v>
      </c>
      <c r="P130" s="42">
        <v>174542</v>
      </c>
      <c r="Q130" s="42">
        <v>174562</v>
      </c>
      <c r="R130" s="42">
        <v>174562</v>
      </c>
      <c r="S130" s="42">
        <v>174562</v>
      </c>
      <c r="T130" s="42">
        <v>174586</v>
      </c>
      <c r="U130" s="42">
        <v>174586</v>
      </c>
      <c r="V130" s="42">
        <v>174587</v>
      </c>
      <c r="W130" s="57">
        <f>W129</f>
        <v>0.96868599999999994</v>
      </c>
      <c r="Y130">
        <v>1</v>
      </c>
      <c r="Z130" t="s">
        <v>164</v>
      </c>
      <c r="AA130">
        <v>13440</v>
      </c>
      <c r="AB130">
        <v>160</v>
      </c>
      <c r="AC130">
        <v>1</v>
      </c>
      <c r="AD130">
        <v>4</v>
      </c>
      <c r="AE130">
        <v>2070.7800000000002</v>
      </c>
      <c r="AF130" s="48">
        <v>0.78171000000000002</v>
      </c>
      <c r="AG130" s="46">
        <v>45467</v>
      </c>
      <c r="AH130" s="47">
        <v>0.72180555555555559</v>
      </c>
      <c r="AI130">
        <v>237392</v>
      </c>
      <c r="AJ130">
        <v>237391</v>
      </c>
      <c r="AK130">
        <v>237391</v>
      </c>
      <c r="AL130">
        <v>237394</v>
      </c>
      <c r="AM130">
        <v>237394</v>
      </c>
      <c r="AN130">
        <v>237393</v>
      </c>
      <c r="AO130">
        <v>237417</v>
      </c>
      <c r="AP130">
        <v>237417</v>
      </c>
      <c r="AQ130">
        <v>237418</v>
      </c>
      <c r="AR130">
        <v>237436</v>
      </c>
      <c r="AS130">
        <v>237436</v>
      </c>
      <c r="AT130">
        <v>237437</v>
      </c>
      <c r="AU130" s="57">
        <f t="shared" ref="AU130" si="52">AU129</f>
        <v>0.78349999999999997</v>
      </c>
      <c r="AW130">
        <v>1</v>
      </c>
      <c r="AX130" t="s">
        <v>164</v>
      </c>
      <c r="AY130">
        <v>13440</v>
      </c>
      <c r="AZ130">
        <v>128</v>
      </c>
      <c r="BA130">
        <v>2</v>
      </c>
      <c r="BB130">
        <v>2</v>
      </c>
      <c r="BC130">
        <v>1694.04</v>
      </c>
      <c r="BD130" s="42">
        <v>0.95555000000000001</v>
      </c>
      <c r="BE130" s="57"/>
      <c r="BF130" s="45"/>
      <c r="BG130" s="45"/>
      <c r="BH130" s="45"/>
      <c r="BI130" s="45"/>
      <c r="BJ130" s="45"/>
      <c r="BK130" s="45"/>
      <c r="BL130" s="45"/>
      <c r="BM130" s="45"/>
      <c r="BN130" s="45"/>
      <c r="BO130" s="45"/>
      <c r="BP130" s="45"/>
      <c r="BQ130" s="45"/>
      <c r="BR130" s="45"/>
      <c r="BS130" s="57">
        <f>BS129</f>
        <v>0.95435200000000009</v>
      </c>
    </row>
    <row r="131" spans="1:71" x14ac:dyDescent="0.25">
      <c r="A131">
        <v>2</v>
      </c>
      <c r="B131" t="s">
        <v>164</v>
      </c>
      <c r="C131">
        <v>13440</v>
      </c>
      <c r="D131">
        <v>160</v>
      </c>
      <c r="E131">
        <v>1</v>
      </c>
      <c r="F131">
        <v>4</v>
      </c>
      <c r="G131">
        <v>1670.86</v>
      </c>
      <c r="H131" s="42">
        <v>0.96880999999999995</v>
      </c>
      <c r="I131" s="42">
        <v>45476</v>
      </c>
      <c r="J131" s="42">
        <v>0.9644907407407407</v>
      </c>
      <c r="K131" s="42">
        <v>174730</v>
      </c>
      <c r="L131" s="42">
        <v>174730</v>
      </c>
      <c r="M131" s="42">
        <v>174731</v>
      </c>
      <c r="N131" s="42">
        <v>174730</v>
      </c>
      <c r="O131" s="42">
        <v>174730</v>
      </c>
      <c r="P131" s="42">
        <v>174730</v>
      </c>
      <c r="Q131" s="42">
        <v>174731</v>
      </c>
      <c r="R131" s="42">
        <v>174731</v>
      </c>
      <c r="S131" s="42">
        <v>174731</v>
      </c>
      <c r="T131" s="42">
        <v>174743</v>
      </c>
      <c r="U131" s="42">
        <v>174743</v>
      </c>
      <c r="V131" s="42">
        <v>174743</v>
      </c>
      <c r="W131" s="57">
        <f>W130</f>
        <v>0.96868599999999994</v>
      </c>
      <c r="Y131">
        <v>2</v>
      </c>
      <c r="Z131" t="s">
        <v>164</v>
      </c>
      <c r="AA131">
        <v>13440</v>
      </c>
      <c r="AB131">
        <v>160</v>
      </c>
      <c r="AC131">
        <v>1</v>
      </c>
      <c r="AD131">
        <v>4</v>
      </c>
      <c r="AE131">
        <v>2026.02</v>
      </c>
      <c r="AF131" s="48">
        <v>0.79898000000000002</v>
      </c>
      <c r="AG131" s="46">
        <v>45469</v>
      </c>
      <c r="AH131" s="47">
        <v>9.5335648148148142E-2</v>
      </c>
      <c r="AI131">
        <v>232904</v>
      </c>
      <c r="AJ131">
        <v>232905</v>
      </c>
      <c r="AK131">
        <v>232905</v>
      </c>
      <c r="AL131">
        <v>232911</v>
      </c>
      <c r="AM131">
        <v>232911</v>
      </c>
      <c r="AN131">
        <v>232911</v>
      </c>
      <c r="AO131">
        <v>232917</v>
      </c>
      <c r="AP131">
        <v>232917</v>
      </c>
      <c r="AQ131">
        <v>232918</v>
      </c>
      <c r="AR131">
        <v>232921</v>
      </c>
      <c r="AS131">
        <v>232922</v>
      </c>
      <c r="AT131">
        <v>232921</v>
      </c>
      <c r="AU131" s="57">
        <f t="shared" si="30"/>
        <v>0.78349999999999997</v>
      </c>
      <c r="AW131">
        <v>2</v>
      </c>
      <c r="AX131" t="s">
        <v>164</v>
      </c>
      <c r="AY131">
        <v>13440</v>
      </c>
      <c r="AZ131">
        <v>128</v>
      </c>
      <c r="BA131">
        <v>2</v>
      </c>
      <c r="BB131">
        <v>2</v>
      </c>
      <c r="BC131">
        <v>1695.99</v>
      </c>
      <c r="BD131" s="42">
        <v>0.95445999999999998</v>
      </c>
      <c r="BE131" s="57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  <c r="BQ131" s="45"/>
      <c r="BR131" s="45"/>
      <c r="BS131" s="57">
        <f>BS130</f>
        <v>0.95435200000000009</v>
      </c>
    </row>
    <row r="132" spans="1:71" x14ac:dyDescent="0.25">
      <c r="A132">
        <v>3</v>
      </c>
      <c r="B132" t="s">
        <v>164</v>
      </c>
      <c r="C132">
        <v>13440</v>
      </c>
      <c r="D132">
        <v>160</v>
      </c>
      <c r="E132">
        <v>1</v>
      </c>
      <c r="F132">
        <v>4</v>
      </c>
      <c r="G132">
        <v>1669.49</v>
      </c>
      <c r="H132" s="42">
        <v>0.96960000000000002</v>
      </c>
      <c r="I132" s="42">
        <v>45477</v>
      </c>
      <c r="J132" s="42">
        <v>0.95268518518518519</v>
      </c>
      <c r="K132" s="42">
        <v>174549</v>
      </c>
      <c r="L132" s="42">
        <v>174549</v>
      </c>
      <c r="M132" s="42">
        <v>174549</v>
      </c>
      <c r="N132" s="42">
        <v>174549</v>
      </c>
      <c r="O132" s="42">
        <v>174550</v>
      </c>
      <c r="P132" s="42">
        <v>174549</v>
      </c>
      <c r="Q132" s="42">
        <v>174547</v>
      </c>
      <c r="R132" s="42">
        <v>174547</v>
      </c>
      <c r="S132" s="42">
        <v>174547</v>
      </c>
      <c r="T132" s="42">
        <v>174552</v>
      </c>
      <c r="U132" s="42">
        <v>174552</v>
      </c>
      <c r="V132" s="42">
        <v>174553</v>
      </c>
      <c r="W132" s="57">
        <f>W131</f>
        <v>0.96868599999999994</v>
      </c>
      <c r="Y132">
        <v>3</v>
      </c>
      <c r="Z132" t="s">
        <v>164</v>
      </c>
      <c r="AA132">
        <v>13440</v>
      </c>
      <c r="AB132">
        <v>160</v>
      </c>
      <c r="AC132">
        <v>1</v>
      </c>
      <c r="AD132">
        <v>4</v>
      </c>
      <c r="AE132">
        <v>2057.4899999999998</v>
      </c>
      <c r="AF132" s="48">
        <v>0.78676000000000001</v>
      </c>
      <c r="AG132" s="46">
        <v>45470</v>
      </c>
      <c r="AH132" s="47">
        <v>0.45946759259259257</v>
      </c>
      <c r="AI132">
        <v>236052</v>
      </c>
      <c r="AJ132">
        <v>236052</v>
      </c>
      <c r="AK132">
        <v>236051</v>
      </c>
      <c r="AL132">
        <v>236077</v>
      </c>
      <c r="AM132">
        <v>236076</v>
      </c>
      <c r="AN132">
        <v>236076</v>
      </c>
      <c r="AO132">
        <v>236082</v>
      </c>
      <c r="AP132">
        <v>236082</v>
      </c>
      <c r="AQ132">
        <v>236082</v>
      </c>
      <c r="AR132">
        <v>236083</v>
      </c>
      <c r="AS132">
        <v>236084</v>
      </c>
      <c r="AT132">
        <v>236084</v>
      </c>
      <c r="AU132" s="57">
        <f t="shared" si="30"/>
        <v>0.78349999999999997</v>
      </c>
      <c r="AW132">
        <v>3</v>
      </c>
      <c r="AX132" t="s">
        <v>164</v>
      </c>
      <c r="AY132">
        <v>13440</v>
      </c>
      <c r="AZ132">
        <v>128</v>
      </c>
      <c r="BA132">
        <v>2</v>
      </c>
      <c r="BB132">
        <v>2</v>
      </c>
      <c r="BC132">
        <v>1690.41</v>
      </c>
      <c r="BD132" s="42">
        <v>0.95760999999999996</v>
      </c>
      <c r="BE132" s="57"/>
      <c r="BF132" s="45"/>
      <c r="BG132" s="45"/>
      <c r="BH132" s="45"/>
      <c r="BI132" s="45"/>
      <c r="BJ132" s="45"/>
      <c r="BK132" s="45"/>
      <c r="BL132" s="45"/>
      <c r="BM132" s="45"/>
      <c r="BN132" s="45"/>
      <c r="BO132" s="45"/>
      <c r="BP132" s="45"/>
      <c r="BQ132" s="45"/>
      <c r="BR132" s="45"/>
      <c r="BS132" s="57">
        <f>BS131</f>
        <v>0.95435200000000009</v>
      </c>
    </row>
    <row r="133" spans="1:71" x14ac:dyDescent="0.25">
      <c r="A133">
        <v>4</v>
      </c>
      <c r="B133" t="s">
        <v>164</v>
      </c>
      <c r="C133">
        <v>13440</v>
      </c>
      <c r="D133">
        <v>160</v>
      </c>
      <c r="E133">
        <v>1</v>
      </c>
      <c r="F133">
        <v>4</v>
      </c>
      <c r="G133">
        <v>1671.05</v>
      </c>
      <c r="H133" s="42">
        <v>0.96870000000000001</v>
      </c>
      <c r="I133" s="42">
        <v>45478</v>
      </c>
      <c r="J133" s="42">
        <v>0.93353009259259256</v>
      </c>
      <c r="K133" s="42">
        <v>174698</v>
      </c>
      <c r="L133" s="42">
        <v>174699</v>
      </c>
      <c r="M133" s="42">
        <v>174699</v>
      </c>
      <c r="N133" s="42">
        <v>174700</v>
      </c>
      <c r="O133" s="42">
        <v>174699</v>
      </c>
      <c r="P133" s="42">
        <v>174700</v>
      </c>
      <c r="Q133" s="42">
        <v>174707</v>
      </c>
      <c r="R133" s="42">
        <v>174707</v>
      </c>
      <c r="S133" s="42">
        <v>174707</v>
      </c>
      <c r="T133" s="42">
        <v>174708</v>
      </c>
      <c r="U133" s="42">
        <v>174708</v>
      </c>
      <c r="V133" s="42">
        <v>174708</v>
      </c>
      <c r="W133" s="57">
        <f>W132</f>
        <v>0.96868599999999994</v>
      </c>
      <c r="Y133">
        <v>4</v>
      </c>
      <c r="Z133" t="s">
        <v>164</v>
      </c>
      <c r="AA133">
        <v>13440</v>
      </c>
      <c r="AB133">
        <v>160</v>
      </c>
      <c r="AC133">
        <v>1</v>
      </c>
      <c r="AD133">
        <v>4</v>
      </c>
      <c r="AE133">
        <v>2038.62</v>
      </c>
      <c r="AF133" s="48">
        <v>0.79403999999999997</v>
      </c>
      <c r="AG133" s="46">
        <v>45471</v>
      </c>
      <c r="AH133" s="47">
        <v>0.81731481481481483</v>
      </c>
      <c r="AI133">
        <v>234381</v>
      </c>
      <c r="AJ133">
        <v>234381</v>
      </c>
      <c r="AK133">
        <v>234381</v>
      </c>
      <c r="AL133">
        <v>234378</v>
      </c>
      <c r="AM133">
        <v>234379</v>
      </c>
      <c r="AN133">
        <v>234378</v>
      </c>
      <c r="AO133">
        <v>234386</v>
      </c>
      <c r="AP133">
        <v>234387</v>
      </c>
      <c r="AQ133">
        <v>234386</v>
      </c>
      <c r="AR133">
        <v>234441</v>
      </c>
      <c r="AS133">
        <v>234441</v>
      </c>
      <c r="AT133">
        <v>234442</v>
      </c>
      <c r="AU133" s="57">
        <f t="shared" si="30"/>
        <v>0.78349999999999997</v>
      </c>
      <c r="AW133">
        <v>4</v>
      </c>
      <c r="AX133" t="s">
        <v>164</v>
      </c>
      <c r="AY133">
        <v>13440</v>
      </c>
      <c r="AZ133">
        <v>128</v>
      </c>
      <c r="BA133">
        <v>2</v>
      </c>
      <c r="BB133">
        <v>2</v>
      </c>
      <c r="BC133">
        <v>1709.02</v>
      </c>
      <c r="BD133" s="42">
        <v>0.94718000000000002</v>
      </c>
      <c r="BE133" s="57"/>
      <c r="BF133" s="45"/>
      <c r="BG133" s="45"/>
      <c r="BH133" s="45"/>
      <c r="BI133" s="45"/>
      <c r="BJ133" s="45"/>
      <c r="BK133" s="45"/>
      <c r="BL133" s="45"/>
      <c r="BM133" s="45"/>
      <c r="BN133" s="45"/>
      <c r="BO133" s="45"/>
      <c r="BP133" s="45"/>
      <c r="BQ133" s="45"/>
      <c r="BR133" s="45"/>
      <c r="BS133" s="57">
        <f>BS132</f>
        <v>0.95435200000000009</v>
      </c>
    </row>
    <row r="134" spans="1:71" x14ac:dyDescent="0.25">
      <c r="A134">
        <v>0</v>
      </c>
      <c r="B134" t="s">
        <v>164</v>
      </c>
      <c r="C134">
        <v>14080</v>
      </c>
      <c r="D134">
        <v>160</v>
      </c>
      <c r="E134">
        <v>1</v>
      </c>
      <c r="F134">
        <v>4</v>
      </c>
      <c r="G134">
        <v>1948.53</v>
      </c>
      <c r="H134" s="70">
        <v>0.95516000000000001</v>
      </c>
      <c r="I134" s="42">
        <v>45475</v>
      </c>
      <c r="J134" s="42">
        <v>0.33736111111111111</v>
      </c>
      <c r="K134" s="42">
        <v>203429</v>
      </c>
      <c r="L134" s="42">
        <v>203429</v>
      </c>
      <c r="M134" s="42">
        <v>203429</v>
      </c>
      <c r="N134" s="42">
        <v>203485</v>
      </c>
      <c r="O134" s="42">
        <v>203485</v>
      </c>
      <c r="P134" s="42">
        <v>203486</v>
      </c>
      <c r="Q134" s="42">
        <v>203537</v>
      </c>
      <c r="R134" s="42">
        <v>203537</v>
      </c>
      <c r="S134" s="42">
        <v>203538</v>
      </c>
      <c r="T134" s="42">
        <v>203608</v>
      </c>
      <c r="U134" s="42">
        <v>203608</v>
      </c>
      <c r="V134" s="42">
        <v>203607</v>
      </c>
      <c r="W134" s="57">
        <f>AVERAGE(H134:H138)</f>
        <v>0.94500200000000001</v>
      </c>
      <c r="Y134">
        <v>0</v>
      </c>
      <c r="Z134" t="s">
        <v>164</v>
      </c>
      <c r="AA134">
        <v>14080</v>
      </c>
      <c r="AB134">
        <v>160</v>
      </c>
      <c r="AC134">
        <v>1</v>
      </c>
      <c r="AD134">
        <v>4</v>
      </c>
      <c r="AE134">
        <v>2342.65</v>
      </c>
      <c r="AF134" s="48">
        <v>0.79447000000000001</v>
      </c>
      <c r="AG134" s="46">
        <v>45466</v>
      </c>
      <c r="AH134" s="47">
        <v>0.83527777777777779</v>
      </c>
      <c r="AI134">
        <v>267774</v>
      </c>
      <c r="AJ134">
        <v>267773</v>
      </c>
      <c r="AK134">
        <v>267773</v>
      </c>
      <c r="AL134">
        <v>267822</v>
      </c>
      <c r="AM134">
        <v>267821</v>
      </c>
      <c r="AN134">
        <v>267822</v>
      </c>
      <c r="AO134">
        <v>267876</v>
      </c>
      <c r="AP134">
        <v>267876</v>
      </c>
      <c r="AQ134">
        <v>267877</v>
      </c>
      <c r="AR134">
        <v>267940</v>
      </c>
      <c r="AS134">
        <v>267940</v>
      </c>
      <c r="AT134">
        <v>267939</v>
      </c>
      <c r="AU134" s="57">
        <f t="shared" ref="AU134" si="53">AVERAGE(AF134:AF138)</f>
        <v>0.77302400000000004</v>
      </c>
      <c r="AW134">
        <v>0</v>
      </c>
      <c r="AX134" t="s">
        <v>164</v>
      </c>
      <c r="AY134">
        <v>14208</v>
      </c>
      <c r="AZ134">
        <v>128</v>
      </c>
      <c r="BA134">
        <v>2</v>
      </c>
      <c r="BB134">
        <v>2</v>
      </c>
      <c r="BC134">
        <v>2065.27</v>
      </c>
      <c r="BD134" s="42">
        <v>0.92596999999999996</v>
      </c>
      <c r="BE134" s="57"/>
      <c r="BF134" s="45"/>
      <c r="BG134" s="45"/>
      <c r="BH134" s="45"/>
      <c r="BI134" s="45"/>
      <c r="BJ134" s="45"/>
      <c r="BK134" s="45"/>
      <c r="BL134" s="45"/>
      <c r="BM134" s="45"/>
      <c r="BN134" s="45"/>
      <c r="BO134" s="45"/>
      <c r="BP134" s="45"/>
      <c r="BQ134" s="45"/>
      <c r="BR134" s="45"/>
      <c r="BS134" s="57">
        <f>AVERAGE(BD134:BD138)</f>
        <v>0.928956</v>
      </c>
    </row>
    <row r="135" spans="1:71" x14ac:dyDescent="0.25">
      <c r="A135">
        <v>1</v>
      </c>
      <c r="B135" t="s">
        <v>164</v>
      </c>
      <c r="C135">
        <v>14080</v>
      </c>
      <c r="D135">
        <v>160</v>
      </c>
      <c r="E135">
        <v>1</v>
      </c>
      <c r="F135">
        <v>4</v>
      </c>
      <c r="G135">
        <v>1998.41</v>
      </c>
      <c r="H135" s="42">
        <v>0.93132000000000004</v>
      </c>
      <c r="I135" s="42">
        <v>45476</v>
      </c>
      <c r="J135" s="42">
        <v>0.33157407407407408</v>
      </c>
      <c r="K135" s="42">
        <v>208371</v>
      </c>
      <c r="L135" s="42">
        <v>208370</v>
      </c>
      <c r="M135" s="42">
        <v>208371</v>
      </c>
      <c r="N135" s="42">
        <v>208426</v>
      </c>
      <c r="O135" s="42">
        <v>208426</v>
      </c>
      <c r="P135" s="42">
        <v>208427</v>
      </c>
      <c r="Q135" s="42">
        <v>208491</v>
      </c>
      <c r="R135" s="42">
        <v>208490</v>
      </c>
      <c r="S135" s="42">
        <v>208490</v>
      </c>
      <c r="T135" s="42">
        <v>208562</v>
      </c>
      <c r="U135" s="42">
        <v>208562</v>
      </c>
      <c r="V135" s="42">
        <v>208561</v>
      </c>
      <c r="W135" s="57">
        <f>W134</f>
        <v>0.94500200000000001</v>
      </c>
      <c r="Y135">
        <v>1</v>
      </c>
      <c r="Z135" t="s">
        <v>164</v>
      </c>
      <c r="AA135">
        <v>14080</v>
      </c>
      <c r="AB135">
        <v>160</v>
      </c>
      <c r="AC135">
        <v>1</v>
      </c>
      <c r="AD135">
        <v>4</v>
      </c>
      <c r="AE135">
        <v>2375.83</v>
      </c>
      <c r="AF135" s="48">
        <v>0.78337999999999997</v>
      </c>
      <c r="AG135" s="46">
        <v>45468</v>
      </c>
      <c r="AH135" s="47">
        <v>0.21450231481481483</v>
      </c>
      <c r="AI135">
        <v>271119</v>
      </c>
      <c r="AJ135">
        <v>271119</v>
      </c>
      <c r="AK135">
        <v>271120</v>
      </c>
      <c r="AL135">
        <v>271176</v>
      </c>
      <c r="AM135">
        <v>271175</v>
      </c>
      <c r="AN135">
        <v>271175</v>
      </c>
      <c r="AO135">
        <v>271235</v>
      </c>
      <c r="AP135">
        <v>271235</v>
      </c>
      <c r="AQ135">
        <v>271236</v>
      </c>
      <c r="AR135">
        <v>271313</v>
      </c>
      <c r="AS135">
        <v>271312</v>
      </c>
      <c r="AT135">
        <v>271313</v>
      </c>
      <c r="AU135" s="57">
        <f t="shared" ref="AU135" si="54">AU134</f>
        <v>0.77302400000000004</v>
      </c>
      <c r="AW135">
        <v>1</v>
      </c>
      <c r="AX135" t="s">
        <v>164</v>
      </c>
      <c r="AY135">
        <v>14208</v>
      </c>
      <c r="AZ135">
        <v>128</v>
      </c>
      <c r="BA135">
        <v>2</v>
      </c>
      <c r="BB135">
        <v>2</v>
      </c>
      <c r="BC135">
        <v>2055.0100000000002</v>
      </c>
      <c r="BD135" s="42">
        <v>0.93059999999999998</v>
      </c>
      <c r="BE135" s="57"/>
      <c r="BF135" s="45"/>
      <c r="BG135" s="45"/>
      <c r="BH135" s="45"/>
      <c r="BI135" s="45"/>
      <c r="BJ135" s="45"/>
      <c r="BK135" s="45"/>
      <c r="BL135" s="45"/>
      <c r="BM135" s="45"/>
      <c r="BN135" s="45"/>
      <c r="BO135" s="45"/>
      <c r="BP135" s="45"/>
      <c r="BQ135" s="45"/>
      <c r="BR135" s="45"/>
      <c r="BS135" s="57">
        <f>BS134</f>
        <v>0.928956</v>
      </c>
    </row>
    <row r="136" spans="1:71" x14ac:dyDescent="0.25">
      <c r="A136">
        <v>2</v>
      </c>
      <c r="B136" t="s">
        <v>164</v>
      </c>
      <c r="C136">
        <v>14080</v>
      </c>
      <c r="D136">
        <v>160</v>
      </c>
      <c r="E136">
        <v>1</v>
      </c>
      <c r="F136">
        <v>4</v>
      </c>
      <c r="G136">
        <v>1963.49</v>
      </c>
      <c r="H136" s="42">
        <v>0.94789000000000001</v>
      </c>
      <c r="I136" s="42">
        <v>45477</v>
      </c>
      <c r="J136" s="42">
        <v>0.32140046296296299</v>
      </c>
      <c r="K136" s="42">
        <v>204941</v>
      </c>
      <c r="L136" s="42">
        <v>204940</v>
      </c>
      <c r="M136" s="42">
        <v>204941</v>
      </c>
      <c r="N136" s="42">
        <v>204976</v>
      </c>
      <c r="O136" s="42">
        <v>204976</v>
      </c>
      <c r="P136" s="42">
        <v>204977</v>
      </c>
      <c r="Q136" s="42">
        <v>205041</v>
      </c>
      <c r="R136" s="42">
        <v>205041</v>
      </c>
      <c r="S136" s="42">
        <v>205041</v>
      </c>
      <c r="T136" s="42">
        <v>205101</v>
      </c>
      <c r="U136" s="42">
        <v>205101</v>
      </c>
      <c r="V136" s="42">
        <v>205101</v>
      </c>
      <c r="W136" s="57">
        <f>W135</f>
        <v>0.94500200000000001</v>
      </c>
      <c r="Y136">
        <v>2</v>
      </c>
      <c r="Z136" t="s">
        <v>164</v>
      </c>
      <c r="AA136">
        <v>14080</v>
      </c>
      <c r="AB136">
        <v>160</v>
      </c>
      <c r="AC136">
        <v>1</v>
      </c>
      <c r="AD136">
        <v>4</v>
      </c>
      <c r="AE136">
        <v>2500.41</v>
      </c>
      <c r="AF136" s="48">
        <v>0.74434999999999996</v>
      </c>
      <c r="AG136" s="46">
        <v>45469</v>
      </c>
      <c r="AH136" s="47">
        <v>0.59072916666666664</v>
      </c>
      <c r="AI136">
        <v>283642</v>
      </c>
      <c r="AJ136">
        <v>283641</v>
      </c>
      <c r="AK136">
        <v>283641</v>
      </c>
      <c r="AL136">
        <v>283700</v>
      </c>
      <c r="AM136">
        <v>283700</v>
      </c>
      <c r="AN136">
        <v>283699</v>
      </c>
      <c r="AO136">
        <v>283761</v>
      </c>
      <c r="AP136">
        <v>283761</v>
      </c>
      <c r="AQ136">
        <v>283760</v>
      </c>
      <c r="AR136">
        <v>283828</v>
      </c>
      <c r="AS136">
        <v>283828</v>
      </c>
      <c r="AT136">
        <v>283829</v>
      </c>
      <c r="AU136" s="57">
        <f t="shared" si="30"/>
        <v>0.77302400000000004</v>
      </c>
      <c r="AW136">
        <v>2</v>
      </c>
      <c r="AX136" t="s">
        <v>164</v>
      </c>
      <c r="AY136">
        <v>14208</v>
      </c>
      <c r="AZ136">
        <v>128</v>
      </c>
      <c r="BA136">
        <v>2</v>
      </c>
      <c r="BB136">
        <v>2</v>
      </c>
      <c r="BC136">
        <v>2062.88</v>
      </c>
      <c r="BD136" s="42">
        <v>0.92705000000000004</v>
      </c>
      <c r="BE136" s="57"/>
      <c r="BF136" s="45"/>
      <c r="BG136" s="45"/>
      <c r="BH136" s="45"/>
      <c r="BI136" s="45"/>
      <c r="BJ136" s="45"/>
      <c r="BK136" s="45"/>
      <c r="BL136" s="45"/>
      <c r="BM136" s="45"/>
      <c r="BN136" s="45"/>
      <c r="BO136" s="45"/>
      <c r="BP136" s="45"/>
      <c r="BQ136" s="45"/>
      <c r="BR136" s="45"/>
      <c r="BS136" s="57">
        <f>BS135</f>
        <v>0.928956</v>
      </c>
    </row>
    <row r="137" spans="1:71" x14ac:dyDescent="0.25">
      <c r="A137">
        <v>3</v>
      </c>
      <c r="B137" t="s">
        <v>164</v>
      </c>
      <c r="C137">
        <v>14080</v>
      </c>
      <c r="D137">
        <v>160</v>
      </c>
      <c r="E137">
        <v>1</v>
      </c>
      <c r="F137">
        <v>4</v>
      </c>
      <c r="G137">
        <v>1954.06</v>
      </c>
      <c r="H137" s="42">
        <v>0.95247000000000004</v>
      </c>
      <c r="I137" s="42">
        <v>45478</v>
      </c>
      <c r="J137" s="42">
        <v>0.30857638888888889</v>
      </c>
      <c r="K137" s="42">
        <v>203955</v>
      </c>
      <c r="L137" s="42">
        <v>203955</v>
      </c>
      <c r="M137" s="42">
        <v>203954</v>
      </c>
      <c r="N137" s="42">
        <v>203990</v>
      </c>
      <c r="O137" s="42">
        <v>203990</v>
      </c>
      <c r="P137" s="42">
        <v>203990</v>
      </c>
      <c r="Q137" s="42">
        <v>204054</v>
      </c>
      <c r="R137" s="42">
        <v>204054</v>
      </c>
      <c r="S137" s="42">
        <v>204053</v>
      </c>
      <c r="T137" s="42">
        <v>204118</v>
      </c>
      <c r="U137" s="42">
        <v>204118</v>
      </c>
      <c r="V137" s="42">
        <v>204118</v>
      </c>
      <c r="W137" s="57">
        <f>W136</f>
        <v>0.94500200000000001</v>
      </c>
      <c r="Y137">
        <v>3</v>
      </c>
      <c r="Z137" t="s">
        <v>164</v>
      </c>
      <c r="AA137">
        <v>14080</v>
      </c>
      <c r="AB137">
        <v>160</v>
      </c>
      <c r="AC137">
        <v>1</v>
      </c>
      <c r="AD137">
        <v>4</v>
      </c>
      <c r="AE137">
        <v>2330.3000000000002</v>
      </c>
      <c r="AF137" s="48">
        <v>0.79867999999999995</v>
      </c>
      <c r="AG137" s="46">
        <v>45470</v>
      </c>
      <c r="AH137" s="47">
        <v>0.94908564814814811</v>
      </c>
      <c r="AI137">
        <v>266668</v>
      </c>
      <c r="AJ137">
        <v>266668</v>
      </c>
      <c r="AK137">
        <v>266668</v>
      </c>
      <c r="AL137">
        <v>266712</v>
      </c>
      <c r="AM137">
        <v>266711</v>
      </c>
      <c r="AN137">
        <v>266711</v>
      </c>
      <c r="AO137">
        <v>266758</v>
      </c>
      <c r="AP137">
        <v>266758</v>
      </c>
      <c r="AQ137">
        <v>266758</v>
      </c>
      <c r="AR137">
        <v>266822</v>
      </c>
      <c r="AS137">
        <v>266822</v>
      </c>
      <c r="AT137">
        <v>266822</v>
      </c>
      <c r="AU137" s="57">
        <f t="shared" si="30"/>
        <v>0.77302400000000004</v>
      </c>
      <c r="AW137">
        <v>3</v>
      </c>
      <c r="AX137" t="s">
        <v>164</v>
      </c>
      <c r="AY137">
        <v>14208</v>
      </c>
      <c r="AZ137">
        <v>128</v>
      </c>
      <c r="BA137">
        <v>2</v>
      </c>
      <c r="BB137">
        <v>2</v>
      </c>
      <c r="BC137">
        <v>2042.9</v>
      </c>
      <c r="BD137" s="42">
        <v>0.93611999999999995</v>
      </c>
      <c r="BE137" s="57"/>
      <c r="BF137" s="45"/>
      <c r="BG137" s="45"/>
      <c r="BH137" s="45"/>
      <c r="BI137" s="45"/>
      <c r="BJ137" s="45"/>
      <c r="BK137" s="45"/>
      <c r="BL137" s="45"/>
      <c r="BM137" s="45"/>
      <c r="BN137" s="45"/>
      <c r="BO137" s="45"/>
      <c r="BP137" s="45"/>
      <c r="BQ137" s="45"/>
      <c r="BR137" s="45"/>
      <c r="BS137" s="57">
        <f>BS136</f>
        <v>0.928956</v>
      </c>
    </row>
    <row r="138" spans="1:71" x14ac:dyDescent="0.25">
      <c r="A138">
        <v>4</v>
      </c>
      <c r="B138" t="s">
        <v>164</v>
      </c>
      <c r="C138">
        <v>14080</v>
      </c>
      <c r="D138">
        <v>160</v>
      </c>
      <c r="E138">
        <v>1</v>
      </c>
      <c r="F138">
        <v>4</v>
      </c>
      <c r="G138">
        <v>1983.83</v>
      </c>
      <c r="H138" s="42">
        <v>0.93816999999999995</v>
      </c>
      <c r="I138" s="42">
        <v>45479</v>
      </c>
      <c r="J138" s="42">
        <v>0.28896990740740741</v>
      </c>
      <c r="K138" s="42">
        <v>207170</v>
      </c>
      <c r="L138" s="42">
        <v>207171</v>
      </c>
      <c r="M138" s="42">
        <v>207170</v>
      </c>
      <c r="N138" s="42">
        <v>207216</v>
      </c>
      <c r="O138" s="42">
        <v>207216</v>
      </c>
      <c r="P138" s="42">
        <v>207216</v>
      </c>
      <c r="Q138" s="42">
        <v>207263</v>
      </c>
      <c r="R138" s="42">
        <v>207263</v>
      </c>
      <c r="S138" s="42">
        <v>207262</v>
      </c>
      <c r="T138" s="42">
        <v>207318</v>
      </c>
      <c r="U138" s="42">
        <v>207318</v>
      </c>
      <c r="V138" s="42">
        <v>207317</v>
      </c>
      <c r="W138" s="57">
        <f>W137</f>
        <v>0.94500200000000001</v>
      </c>
      <c r="Y138">
        <v>4</v>
      </c>
      <c r="Z138" t="s">
        <v>164</v>
      </c>
      <c r="AA138">
        <v>14080</v>
      </c>
      <c r="AB138">
        <v>160</v>
      </c>
      <c r="AC138">
        <v>1</v>
      </c>
      <c r="AD138">
        <v>4</v>
      </c>
      <c r="AE138">
        <v>2500.77</v>
      </c>
      <c r="AF138" s="48">
        <v>0.74424000000000001</v>
      </c>
      <c r="AG138" s="46">
        <v>45472</v>
      </c>
      <c r="AH138" s="47">
        <v>0.31027777777777776</v>
      </c>
      <c r="AI138">
        <v>283760</v>
      </c>
      <c r="AJ138">
        <v>283760</v>
      </c>
      <c r="AK138">
        <v>283759</v>
      </c>
      <c r="AL138">
        <v>283800</v>
      </c>
      <c r="AM138">
        <v>283799</v>
      </c>
      <c r="AN138">
        <v>283800</v>
      </c>
      <c r="AO138">
        <v>283855</v>
      </c>
      <c r="AP138">
        <v>283854</v>
      </c>
      <c r="AQ138">
        <v>283855</v>
      </c>
      <c r="AR138">
        <v>283907</v>
      </c>
      <c r="AS138">
        <v>283906</v>
      </c>
      <c r="AT138">
        <v>283907</v>
      </c>
      <c r="AU138" s="57">
        <f t="shared" si="30"/>
        <v>0.77302400000000004</v>
      </c>
      <c r="AW138">
        <v>4</v>
      </c>
      <c r="AX138" t="s">
        <v>164</v>
      </c>
      <c r="AY138">
        <v>14208</v>
      </c>
      <c r="AZ138">
        <v>128</v>
      </c>
      <c r="BA138">
        <v>2</v>
      </c>
      <c r="BB138">
        <v>2</v>
      </c>
      <c r="BC138">
        <v>2067.36</v>
      </c>
      <c r="BD138" s="42">
        <v>0.92503999999999997</v>
      </c>
      <c r="BE138" s="57"/>
      <c r="BF138" s="45"/>
      <c r="BG138" s="45"/>
      <c r="BH138" s="45"/>
      <c r="BI138" s="45"/>
      <c r="BJ138" s="45"/>
      <c r="BK138" s="45"/>
      <c r="BL138" s="45"/>
      <c r="BM138" s="45"/>
      <c r="BN138" s="45"/>
      <c r="BO138" s="45"/>
      <c r="BP138" s="45"/>
      <c r="BQ138" s="45"/>
      <c r="BR138" s="45"/>
      <c r="BS138" s="57">
        <f>BS137</f>
        <v>0.928956</v>
      </c>
    </row>
    <row r="139" spans="1:71" x14ac:dyDescent="0.25">
      <c r="A139">
        <v>0</v>
      </c>
      <c r="B139" t="s">
        <v>164</v>
      </c>
      <c r="C139">
        <v>12640</v>
      </c>
      <c r="D139">
        <v>160</v>
      </c>
      <c r="E139">
        <v>2</v>
      </c>
      <c r="F139">
        <v>2</v>
      </c>
      <c r="G139">
        <v>1379.58</v>
      </c>
      <c r="H139" s="70">
        <v>0.97606999999999999</v>
      </c>
      <c r="I139" s="42">
        <v>45474</v>
      </c>
      <c r="J139" s="42">
        <v>0.69562500000000005</v>
      </c>
      <c r="K139" s="42">
        <v>144826</v>
      </c>
      <c r="L139" s="42">
        <v>144826</v>
      </c>
      <c r="M139" s="42">
        <v>144825</v>
      </c>
      <c r="N139" s="42">
        <v>144829</v>
      </c>
      <c r="O139" s="42">
        <v>144829</v>
      </c>
      <c r="P139" s="42">
        <v>144830</v>
      </c>
      <c r="Q139" s="42">
        <v>144831</v>
      </c>
      <c r="R139" s="42">
        <v>144831</v>
      </c>
      <c r="S139" s="42">
        <v>144831</v>
      </c>
      <c r="T139" s="42">
        <v>144832</v>
      </c>
      <c r="U139" s="42">
        <v>144831</v>
      </c>
      <c r="V139" s="42">
        <v>144832</v>
      </c>
      <c r="W139" s="57">
        <f>AVERAGE(H139:H143)</f>
        <v>0.97763200000000006</v>
      </c>
      <c r="Y139">
        <v>0</v>
      </c>
      <c r="Z139" t="s">
        <v>164</v>
      </c>
      <c r="AA139">
        <v>12640</v>
      </c>
      <c r="AB139">
        <v>160</v>
      </c>
      <c r="AC139">
        <v>2</v>
      </c>
      <c r="AD139">
        <v>2</v>
      </c>
      <c r="AE139">
        <v>1726.76</v>
      </c>
      <c r="AF139" s="48">
        <v>0.77981999999999996</v>
      </c>
      <c r="AG139" s="46">
        <v>45465</v>
      </c>
      <c r="AH139" s="47">
        <v>0.94245370370370374</v>
      </c>
      <c r="AI139">
        <v>200241</v>
      </c>
      <c r="AJ139">
        <v>200241</v>
      </c>
      <c r="AK139">
        <v>200241</v>
      </c>
      <c r="AL139">
        <v>200242</v>
      </c>
      <c r="AM139">
        <v>200242</v>
      </c>
      <c r="AN139">
        <v>200241</v>
      </c>
      <c r="AO139">
        <v>200243</v>
      </c>
      <c r="AP139">
        <v>200244</v>
      </c>
      <c r="AQ139">
        <v>200244</v>
      </c>
      <c r="AR139">
        <v>200240</v>
      </c>
      <c r="AS139">
        <v>200240</v>
      </c>
      <c r="AT139">
        <v>200240</v>
      </c>
      <c r="AU139" s="57">
        <f t="shared" ref="AU139" si="55">AVERAGE(AF139:AF143)</f>
        <v>0.78856599999999999</v>
      </c>
      <c r="AW139">
        <v>0</v>
      </c>
      <c r="AX139" t="s">
        <v>164</v>
      </c>
      <c r="AY139">
        <v>12640</v>
      </c>
      <c r="AZ139">
        <v>160</v>
      </c>
      <c r="BA139">
        <v>1</v>
      </c>
      <c r="BB139">
        <v>4</v>
      </c>
      <c r="BC139">
        <v>1409.8</v>
      </c>
      <c r="BD139" s="42">
        <v>0.95515000000000005</v>
      </c>
      <c r="BE139" s="57"/>
      <c r="BF139" s="45"/>
      <c r="BG139" s="45"/>
      <c r="BH139" s="45"/>
      <c r="BI139" s="45"/>
      <c r="BJ139" s="45"/>
      <c r="BK139" s="45"/>
      <c r="BL139" s="45"/>
      <c r="BM139" s="45"/>
      <c r="BN139" s="45"/>
      <c r="BO139" s="45"/>
      <c r="BP139" s="45"/>
      <c r="BQ139" s="45"/>
      <c r="BR139" s="45"/>
      <c r="BS139" s="57">
        <f>AVERAGE(BD139:BD143)</f>
        <v>0.95519999999999994</v>
      </c>
    </row>
    <row r="140" spans="1:71" x14ac:dyDescent="0.25">
      <c r="A140">
        <v>1</v>
      </c>
      <c r="B140" t="s">
        <v>164</v>
      </c>
      <c r="C140">
        <v>12640</v>
      </c>
      <c r="D140">
        <v>160</v>
      </c>
      <c r="E140">
        <v>2</v>
      </c>
      <c r="F140">
        <v>2</v>
      </c>
      <c r="G140">
        <v>1382.21</v>
      </c>
      <c r="H140" s="42">
        <v>0.97421000000000002</v>
      </c>
      <c r="I140" s="42">
        <v>45475</v>
      </c>
      <c r="J140" s="42">
        <v>0.69043981481481487</v>
      </c>
      <c r="K140" s="42">
        <v>145060</v>
      </c>
      <c r="L140" s="42">
        <v>145061</v>
      </c>
      <c r="M140" s="42">
        <v>145060</v>
      </c>
      <c r="N140" s="42">
        <v>145063</v>
      </c>
      <c r="O140" s="42">
        <v>145063</v>
      </c>
      <c r="P140" s="42">
        <v>145063</v>
      </c>
      <c r="Q140" s="42">
        <v>145065</v>
      </c>
      <c r="R140" s="42">
        <v>145064</v>
      </c>
      <c r="S140" s="42">
        <v>145065</v>
      </c>
      <c r="T140" s="42">
        <v>145066</v>
      </c>
      <c r="U140" s="42">
        <v>145066</v>
      </c>
      <c r="V140" s="42">
        <v>145067</v>
      </c>
      <c r="W140" s="57">
        <f>W139</f>
        <v>0.97763200000000006</v>
      </c>
      <c r="Y140">
        <v>1</v>
      </c>
      <c r="Z140" t="s">
        <v>164</v>
      </c>
      <c r="AA140">
        <v>12640</v>
      </c>
      <c r="AB140">
        <v>160</v>
      </c>
      <c r="AC140">
        <v>2</v>
      </c>
      <c r="AD140">
        <v>2</v>
      </c>
      <c r="AE140">
        <v>1671.05</v>
      </c>
      <c r="AF140" s="48">
        <v>0.80581999999999998</v>
      </c>
      <c r="AG140" s="46">
        <v>45467</v>
      </c>
      <c r="AH140" s="47">
        <v>0.33271990740740742</v>
      </c>
      <c r="AI140">
        <v>194736</v>
      </c>
      <c r="AJ140">
        <v>194737</v>
      </c>
      <c r="AK140">
        <v>194736</v>
      </c>
      <c r="AL140">
        <v>194739</v>
      </c>
      <c r="AM140">
        <v>194738</v>
      </c>
      <c r="AN140">
        <v>194738</v>
      </c>
      <c r="AO140">
        <v>194735</v>
      </c>
      <c r="AP140">
        <v>194736</v>
      </c>
      <c r="AQ140">
        <v>194736</v>
      </c>
      <c r="AR140">
        <v>194737</v>
      </c>
      <c r="AS140">
        <v>194736</v>
      </c>
      <c r="AT140">
        <v>194737</v>
      </c>
      <c r="AU140" s="57">
        <f t="shared" ref="AU140:AU203" si="56">AU139</f>
        <v>0.78856599999999999</v>
      </c>
      <c r="AW140">
        <v>1</v>
      </c>
      <c r="AX140" t="s">
        <v>164</v>
      </c>
      <c r="AY140">
        <v>12640</v>
      </c>
      <c r="AZ140">
        <v>160</v>
      </c>
      <c r="BA140">
        <v>1</v>
      </c>
      <c r="BB140">
        <v>4</v>
      </c>
      <c r="BC140">
        <v>1409.86</v>
      </c>
      <c r="BD140" s="42">
        <v>0.95509999999999995</v>
      </c>
      <c r="BE140" s="57"/>
      <c r="BF140" s="45"/>
      <c r="BG140" s="45"/>
      <c r="BH140" s="45"/>
      <c r="BI140" s="45"/>
      <c r="BJ140" s="45"/>
      <c r="BK140" s="45"/>
      <c r="BL140" s="45"/>
      <c r="BM140" s="45"/>
      <c r="BN140" s="45"/>
      <c r="BO140" s="45"/>
      <c r="BP140" s="45"/>
      <c r="BQ140" s="45"/>
      <c r="BR140" s="45"/>
      <c r="BS140" s="57">
        <f>BS139</f>
        <v>0.95519999999999994</v>
      </c>
    </row>
    <row r="141" spans="1:71" x14ac:dyDescent="0.25">
      <c r="A141">
        <v>2</v>
      </c>
      <c r="B141" t="s">
        <v>164</v>
      </c>
      <c r="C141">
        <v>12640</v>
      </c>
      <c r="D141">
        <v>160</v>
      </c>
      <c r="E141">
        <v>2</v>
      </c>
      <c r="F141">
        <v>2</v>
      </c>
      <c r="G141">
        <v>1375.07</v>
      </c>
      <c r="H141" s="42">
        <v>0.97926999999999997</v>
      </c>
      <c r="I141" s="42">
        <v>45476</v>
      </c>
      <c r="J141" s="42">
        <v>0.6825</v>
      </c>
      <c r="K141" s="42">
        <v>144360</v>
      </c>
      <c r="L141" s="42">
        <v>144361</v>
      </c>
      <c r="M141" s="42">
        <v>144360</v>
      </c>
      <c r="N141" s="42">
        <v>144358</v>
      </c>
      <c r="O141" s="42">
        <v>144358</v>
      </c>
      <c r="P141" s="42">
        <v>144358</v>
      </c>
      <c r="Q141" s="42">
        <v>144357</v>
      </c>
      <c r="R141" s="42">
        <v>144356</v>
      </c>
      <c r="S141" s="42">
        <v>144357</v>
      </c>
      <c r="T141" s="42">
        <v>144357</v>
      </c>
      <c r="U141" s="42">
        <v>144358</v>
      </c>
      <c r="V141" s="42">
        <v>144358</v>
      </c>
      <c r="W141" s="57">
        <f>W140</f>
        <v>0.97763200000000006</v>
      </c>
      <c r="Y141">
        <v>2</v>
      </c>
      <c r="Z141" t="s">
        <v>164</v>
      </c>
      <c r="AA141">
        <v>12640</v>
      </c>
      <c r="AB141">
        <v>160</v>
      </c>
      <c r="AC141">
        <v>2</v>
      </c>
      <c r="AD141">
        <v>2</v>
      </c>
      <c r="AE141">
        <v>1716.92</v>
      </c>
      <c r="AF141" s="48">
        <v>0.78429000000000004</v>
      </c>
      <c r="AG141" s="46">
        <v>45468</v>
      </c>
      <c r="AH141" s="47">
        <v>0.70710648148148147</v>
      </c>
      <c r="AI141">
        <v>199256</v>
      </c>
      <c r="AJ141">
        <v>199257</v>
      </c>
      <c r="AK141">
        <v>199256</v>
      </c>
      <c r="AL141">
        <v>199258</v>
      </c>
      <c r="AM141">
        <v>199257</v>
      </c>
      <c r="AN141">
        <v>199257</v>
      </c>
      <c r="AO141">
        <v>199258</v>
      </c>
      <c r="AP141">
        <v>199259</v>
      </c>
      <c r="AQ141">
        <v>199259</v>
      </c>
      <c r="AR141">
        <v>199260</v>
      </c>
      <c r="AS141">
        <v>199261</v>
      </c>
      <c r="AT141">
        <v>199260</v>
      </c>
      <c r="AU141" s="57">
        <f t="shared" si="56"/>
        <v>0.78856599999999999</v>
      </c>
      <c r="AW141">
        <v>2</v>
      </c>
      <c r="AX141" t="s">
        <v>164</v>
      </c>
      <c r="AY141">
        <v>12640</v>
      </c>
      <c r="AZ141">
        <v>160</v>
      </c>
      <c r="BA141">
        <v>1</v>
      </c>
      <c r="BB141">
        <v>4</v>
      </c>
      <c r="BC141">
        <v>1410.13</v>
      </c>
      <c r="BD141" s="42">
        <v>0.95491999999999999</v>
      </c>
      <c r="BE141" s="57"/>
      <c r="BF141" s="45"/>
      <c r="BG141" s="45"/>
      <c r="BH141" s="45"/>
      <c r="BI141" s="45"/>
      <c r="BJ141" s="45"/>
      <c r="BK141" s="45"/>
      <c r="BL141" s="45"/>
      <c r="BM141" s="45"/>
      <c r="BN141" s="45"/>
      <c r="BO141" s="45"/>
      <c r="BP141" s="45"/>
      <c r="BQ141" s="45"/>
      <c r="BR141" s="45"/>
      <c r="BS141" s="57">
        <f>BS140</f>
        <v>0.95519999999999994</v>
      </c>
    </row>
    <row r="142" spans="1:71" x14ac:dyDescent="0.25">
      <c r="A142">
        <v>3</v>
      </c>
      <c r="B142" t="s">
        <v>164</v>
      </c>
      <c r="C142">
        <v>12640</v>
      </c>
      <c r="D142">
        <v>160</v>
      </c>
      <c r="E142">
        <v>2</v>
      </c>
      <c r="F142">
        <v>2</v>
      </c>
      <c r="G142">
        <v>1375.31</v>
      </c>
      <c r="H142" s="42">
        <v>0.97909999999999997</v>
      </c>
      <c r="I142" s="42">
        <v>45477</v>
      </c>
      <c r="J142" s="42">
        <v>0.67062500000000003</v>
      </c>
      <c r="K142" s="42">
        <v>144388</v>
      </c>
      <c r="L142" s="42">
        <v>144388</v>
      </c>
      <c r="M142" s="42">
        <v>144388</v>
      </c>
      <c r="N142" s="42">
        <v>144384</v>
      </c>
      <c r="O142" s="42">
        <v>144385</v>
      </c>
      <c r="P142" s="42">
        <v>144385</v>
      </c>
      <c r="Q142" s="42">
        <v>144394</v>
      </c>
      <c r="R142" s="42">
        <v>144394</v>
      </c>
      <c r="S142" s="42">
        <v>144395</v>
      </c>
      <c r="T142" s="42">
        <v>144396</v>
      </c>
      <c r="U142" s="42">
        <v>144395</v>
      </c>
      <c r="V142" s="42">
        <v>144396</v>
      </c>
      <c r="W142" s="57">
        <f>W141</f>
        <v>0.97763200000000006</v>
      </c>
      <c r="Y142">
        <v>3</v>
      </c>
      <c r="Z142" t="s">
        <v>164</v>
      </c>
      <c r="AA142">
        <v>12640</v>
      </c>
      <c r="AB142">
        <v>160</v>
      </c>
      <c r="AC142">
        <v>2</v>
      </c>
      <c r="AD142">
        <v>2</v>
      </c>
      <c r="AE142">
        <v>1755.9</v>
      </c>
      <c r="AF142" s="48">
        <v>0.76688000000000001</v>
      </c>
      <c r="AG142" s="46">
        <v>45470</v>
      </c>
      <c r="AH142" s="47">
        <v>7.5219907407407402E-2</v>
      </c>
      <c r="AI142">
        <v>203224</v>
      </c>
      <c r="AJ142">
        <v>203224</v>
      </c>
      <c r="AK142">
        <v>203224</v>
      </c>
      <c r="AL142">
        <v>203223</v>
      </c>
      <c r="AM142">
        <v>203222</v>
      </c>
      <c r="AN142">
        <v>203222</v>
      </c>
      <c r="AO142">
        <v>203228</v>
      </c>
      <c r="AP142">
        <v>203228</v>
      </c>
      <c r="AQ142">
        <v>203228</v>
      </c>
      <c r="AR142">
        <v>203230</v>
      </c>
      <c r="AS142">
        <v>203231</v>
      </c>
      <c r="AT142">
        <v>203231</v>
      </c>
      <c r="AU142" s="57">
        <f t="shared" si="56"/>
        <v>0.78856599999999999</v>
      </c>
      <c r="AW142">
        <v>3</v>
      </c>
      <c r="AX142" t="s">
        <v>164</v>
      </c>
      <c r="AY142">
        <v>12640</v>
      </c>
      <c r="AZ142">
        <v>160</v>
      </c>
      <c r="BA142">
        <v>1</v>
      </c>
      <c r="BB142">
        <v>4</v>
      </c>
      <c r="BC142">
        <v>1409.65</v>
      </c>
      <c r="BD142" s="42">
        <v>0.95525000000000004</v>
      </c>
      <c r="BE142" s="57"/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  <c r="BQ142" s="45"/>
      <c r="BR142" s="45"/>
      <c r="BS142" s="57">
        <f>BS141</f>
        <v>0.95519999999999994</v>
      </c>
    </row>
    <row r="143" spans="1:71" x14ac:dyDescent="0.25">
      <c r="A143">
        <v>4</v>
      </c>
      <c r="B143" t="s">
        <v>164</v>
      </c>
      <c r="C143">
        <v>12640</v>
      </c>
      <c r="D143">
        <v>160</v>
      </c>
      <c r="E143">
        <v>2</v>
      </c>
      <c r="F143">
        <v>2</v>
      </c>
      <c r="G143">
        <v>1374.74</v>
      </c>
      <c r="H143" s="42">
        <v>0.97950999999999999</v>
      </c>
      <c r="I143" s="42">
        <v>45478</v>
      </c>
      <c r="J143" s="42">
        <v>0.65168981481481481</v>
      </c>
      <c r="K143" s="42">
        <v>144376</v>
      </c>
      <c r="L143" s="42">
        <v>144377</v>
      </c>
      <c r="M143" s="42">
        <v>144376</v>
      </c>
      <c r="N143" s="42">
        <v>144379</v>
      </c>
      <c r="O143" s="42">
        <v>144379</v>
      </c>
      <c r="P143" s="42">
        <v>144378</v>
      </c>
      <c r="Q143" s="42">
        <v>144381</v>
      </c>
      <c r="R143" s="42">
        <v>144380</v>
      </c>
      <c r="S143" s="42">
        <v>144381</v>
      </c>
      <c r="T143" s="42">
        <v>144387</v>
      </c>
      <c r="U143" s="42">
        <v>144387</v>
      </c>
      <c r="V143" s="42">
        <v>144387</v>
      </c>
      <c r="W143" s="57">
        <f>W142</f>
        <v>0.97763200000000006</v>
      </c>
      <c r="Y143">
        <v>4</v>
      </c>
      <c r="Z143" t="s">
        <v>164</v>
      </c>
      <c r="AA143">
        <v>12640</v>
      </c>
      <c r="AB143">
        <v>160</v>
      </c>
      <c r="AC143">
        <v>2</v>
      </c>
      <c r="AD143">
        <v>2</v>
      </c>
      <c r="AE143">
        <v>1670.63</v>
      </c>
      <c r="AF143" s="48">
        <v>0.80601999999999996</v>
      </c>
      <c r="AG143" s="46">
        <v>45471</v>
      </c>
      <c r="AH143" s="47">
        <v>0.42722222222222223</v>
      </c>
      <c r="AI143">
        <v>194688</v>
      </c>
      <c r="AJ143">
        <v>194687</v>
      </c>
      <c r="AK143">
        <v>194687</v>
      </c>
      <c r="AL143">
        <v>194689</v>
      </c>
      <c r="AM143">
        <v>194689</v>
      </c>
      <c r="AN143">
        <v>194688</v>
      </c>
      <c r="AO143">
        <v>194695</v>
      </c>
      <c r="AP143">
        <v>194695</v>
      </c>
      <c r="AQ143">
        <v>194695</v>
      </c>
      <c r="AR143">
        <v>194691</v>
      </c>
      <c r="AS143">
        <v>194691</v>
      </c>
      <c r="AT143">
        <v>194691</v>
      </c>
      <c r="AU143" s="57">
        <f t="shared" si="56"/>
        <v>0.78856599999999999</v>
      </c>
      <c r="AW143">
        <v>4</v>
      </c>
      <c r="AX143" t="s">
        <v>164</v>
      </c>
      <c r="AY143">
        <v>12640</v>
      </c>
      <c r="AZ143">
        <v>160</v>
      </c>
      <c r="BA143">
        <v>1</v>
      </c>
      <c r="BB143">
        <v>4</v>
      </c>
      <c r="BC143">
        <v>1409.16</v>
      </c>
      <c r="BD143" s="42">
        <v>0.95557999999999998</v>
      </c>
      <c r="BE143" s="57"/>
      <c r="BF143" s="45"/>
      <c r="BG143" s="45"/>
      <c r="BH143" s="45"/>
      <c r="BI143" s="45"/>
      <c r="BJ143" s="45"/>
      <c r="BK143" s="45"/>
      <c r="BL143" s="45"/>
      <c r="BM143" s="45"/>
      <c r="BN143" s="45"/>
      <c r="BO143" s="45"/>
      <c r="BP143" s="45"/>
      <c r="BQ143" s="45"/>
      <c r="BR143" s="45"/>
      <c r="BS143" s="57">
        <f>BS142</f>
        <v>0.95519999999999994</v>
      </c>
    </row>
    <row r="144" spans="1:71" x14ac:dyDescent="0.25">
      <c r="A144">
        <v>0</v>
      </c>
      <c r="B144" t="s">
        <v>164</v>
      </c>
      <c r="C144">
        <v>13440</v>
      </c>
      <c r="D144">
        <v>160</v>
      </c>
      <c r="E144">
        <v>2</v>
      </c>
      <c r="F144">
        <v>2</v>
      </c>
      <c r="G144">
        <v>1618.86</v>
      </c>
      <c r="H144" s="70">
        <v>0.99992999999999999</v>
      </c>
      <c r="I144" s="42">
        <v>45474</v>
      </c>
      <c r="J144" s="42">
        <v>0.99704861111111109</v>
      </c>
      <c r="K144" s="42">
        <v>169408</v>
      </c>
      <c r="L144" s="42">
        <v>169409</v>
      </c>
      <c r="M144" s="42">
        <v>169409</v>
      </c>
      <c r="N144" s="42">
        <v>169410</v>
      </c>
      <c r="O144" s="42">
        <v>169411</v>
      </c>
      <c r="P144" s="42">
        <v>169411</v>
      </c>
      <c r="Q144" s="42">
        <v>169407</v>
      </c>
      <c r="R144" s="42">
        <v>169407</v>
      </c>
      <c r="S144" s="42">
        <v>169407</v>
      </c>
      <c r="T144" s="42">
        <v>169407</v>
      </c>
      <c r="U144" s="42">
        <v>169407</v>
      </c>
      <c r="V144" s="42">
        <v>169408</v>
      </c>
      <c r="W144" s="57">
        <f>AVERAGE(H144:H148)</f>
        <v>0.99820399999999998</v>
      </c>
      <c r="Y144">
        <v>0</v>
      </c>
      <c r="Z144" t="s">
        <v>164</v>
      </c>
      <c r="AA144">
        <v>13440</v>
      </c>
      <c r="AB144">
        <v>160</v>
      </c>
      <c r="AC144">
        <v>2</v>
      </c>
      <c r="AD144">
        <v>2</v>
      </c>
      <c r="AE144">
        <v>2006.68</v>
      </c>
      <c r="AF144" s="48">
        <v>0.80667999999999995</v>
      </c>
      <c r="AG144" s="46">
        <v>45466</v>
      </c>
      <c r="AH144" s="47">
        <v>0.35626157407407405</v>
      </c>
      <c r="AI144">
        <v>231068</v>
      </c>
      <c r="AJ144">
        <v>231067</v>
      </c>
      <c r="AK144">
        <v>231067</v>
      </c>
      <c r="AL144">
        <v>231071</v>
      </c>
      <c r="AM144">
        <v>231070</v>
      </c>
      <c r="AN144">
        <v>231070</v>
      </c>
      <c r="AO144">
        <v>231072</v>
      </c>
      <c r="AP144">
        <v>231072</v>
      </c>
      <c r="AQ144">
        <v>231072</v>
      </c>
      <c r="AR144">
        <v>231099</v>
      </c>
      <c r="AS144">
        <v>231099</v>
      </c>
      <c r="AT144">
        <v>231100</v>
      </c>
      <c r="AU144" s="57">
        <f t="shared" ref="AU144" si="57">AVERAGE(AF144:AF148)</f>
        <v>0.78439800000000004</v>
      </c>
      <c r="AW144">
        <v>0</v>
      </c>
      <c r="AX144" t="s">
        <v>164</v>
      </c>
      <c r="AY144">
        <v>13440</v>
      </c>
      <c r="AZ144">
        <v>160</v>
      </c>
      <c r="BA144">
        <v>1</v>
      </c>
      <c r="BB144">
        <v>4</v>
      </c>
      <c r="BC144">
        <v>1670.78</v>
      </c>
      <c r="BD144" s="42">
        <v>0.96886000000000005</v>
      </c>
      <c r="BE144" s="57"/>
      <c r="BF144" s="45"/>
      <c r="BG144" s="45"/>
      <c r="BH144" s="45"/>
      <c r="BI144" s="45"/>
      <c r="BJ144" s="45"/>
      <c r="BK144" s="45"/>
      <c r="BL144" s="45"/>
      <c r="BM144" s="45"/>
      <c r="BN144" s="45"/>
      <c r="BO144" s="45"/>
      <c r="BP144" s="45"/>
      <c r="BQ144" s="45"/>
      <c r="BR144" s="45"/>
      <c r="BS144" s="57">
        <f>AVERAGE(BD144:BD148)</f>
        <v>0.96972800000000015</v>
      </c>
    </row>
    <row r="145" spans="1:71" x14ac:dyDescent="0.25">
      <c r="A145">
        <v>1</v>
      </c>
      <c r="B145" t="s">
        <v>164</v>
      </c>
      <c r="C145">
        <v>13440</v>
      </c>
      <c r="D145">
        <v>160</v>
      </c>
      <c r="E145">
        <v>2</v>
      </c>
      <c r="F145">
        <v>2</v>
      </c>
      <c r="G145">
        <v>1621.93</v>
      </c>
      <c r="H145" s="42">
        <v>0.99804000000000004</v>
      </c>
      <c r="I145" s="42">
        <v>45475</v>
      </c>
      <c r="J145" s="42">
        <v>0.99202546296296301</v>
      </c>
      <c r="K145" s="42">
        <v>169724</v>
      </c>
      <c r="L145" s="42">
        <v>169725</v>
      </c>
      <c r="M145" s="42">
        <v>169725</v>
      </c>
      <c r="N145" s="42">
        <v>169726</v>
      </c>
      <c r="O145" s="42">
        <v>169727</v>
      </c>
      <c r="P145" s="42">
        <v>169727</v>
      </c>
      <c r="Q145" s="42">
        <v>169728</v>
      </c>
      <c r="R145" s="42">
        <v>169727</v>
      </c>
      <c r="S145" s="42">
        <v>169728</v>
      </c>
      <c r="T145" s="42">
        <v>169734</v>
      </c>
      <c r="U145" s="42">
        <v>169734</v>
      </c>
      <c r="V145" s="42">
        <v>169734</v>
      </c>
      <c r="W145" s="57">
        <f>W144</f>
        <v>0.99820399999999998</v>
      </c>
      <c r="Y145">
        <v>1</v>
      </c>
      <c r="Z145" t="s">
        <v>164</v>
      </c>
      <c r="AA145">
        <v>13440</v>
      </c>
      <c r="AB145">
        <v>160</v>
      </c>
      <c r="AC145">
        <v>2</v>
      </c>
      <c r="AD145">
        <v>2</v>
      </c>
      <c r="AE145">
        <v>2003.53</v>
      </c>
      <c r="AF145" s="48">
        <v>0.80794999999999995</v>
      </c>
      <c r="AG145" s="46">
        <v>45467</v>
      </c>
      <c r="AH145" s="47">
        <v>0.74857638888888889</v>
      </c>
      <c r="AI145">
        <v>230699</v>
      </c>
      <c r="AJ145">
        <v>230698</v>
      </c>
      <c r="AK145">
        <v>230698</v>
      </c>
      <c r="AL145">
        <v>230701</v>
      </c>
      <c r="AM145">
        <v>230701</v>
      </c>
      <c r="AN145">
        <v>230700</v>
      </c>
      <c r="AO145">
        <v>230702</v>
      </c>
      <c r="AP145">
        <v>230703</v>
      </c>
      <c r="AQ145">
        <v>230703</v>
      </c>
      <c r="AR145">
        <v>230704</v>
      </c>
      <c r="AS145">
        <v>230705</v>
      </c>
      <c r="AT145">
        <v>230705</v>
      </c>
      <c r="AU145" s="57">
        <f t="shared" ref="AU145" si="58">AU144</f>
        <v>0.78439800000000004</v>
      </c>
      <c r="AW145">
        <v>1</v>
      </c>
      <c r="AX145" t="s">
        <v>164</v>
      </c>
      <c r="AY145">
        <v>13440</v>
      </c>
      <c r="AZ145">
        <v>160</v>
      </c>
      <c r="BA145">
        <v>1</v>
      </c>
      <c r="BB145">
        <v>4</v>
      </c>
      <c r="BC145">
        <v>1669.73</v>
      </c>
      <c r="BD145" s="42">
        <v>0.96947000000000005</v>
      </c>
      <c r="BE145" s="57"/>
      <c r="BF145" s="45"/>
      <c r="BG145" s="45"/>
      <c r="BH145" s="45"/>
      <c r="BI145" s="45"/>
      <c r="BJ145" s="45"/>
      <c r="BK145" s="45"/>
      <c r="BL145" s="45"/>
      <c r="BM145" s="45"/>
      <c r="BN145" s="45"/>
      <c r="BO145" s="45"/>
      <c r="BP145" s="45"/>
      <c r="BQ145" s="45"/>
      <c r="BR145" s="45"/>
      <c r="BS145" s="57">
        <f>BS144</f>
        <v>0.96972800000000015</v>
      </c>
    </row>
    <row r="146" spans="1:71" x14ac:dyDescent="0.25">
      <c r="A146">
        <v>2</v>
      </c>
      <c r="B146" t="s">
        <v>164</v>
      </c>
      <c r="C146">
        <v>13440</v>
      </c>
      <c r="D146">
        <v>160</v>
      </c>
      <c r="E146">
        <v>2</v>
      </c>
      <c r="F146">
        <v>2</v>
      </c>
      <c r="G146">
        <v>1621.04</v>
      </c>
      <c r="H146" s="42">
        <v>0.99858000000000002</v>
      </c>
      <c r="I146" s="42">
        <v>45476</v>
      </c>
      <c r="J146" s="42">
        <v>0.98418981481481482</v>
      </c>
      <c r="K146" s="42">
        <v>169648</v>
      </c>
      <c r="L146" s="42">
        <v>169648</v>
      </c>
      <c r="M146" s="42">
        <v>169648</v>
      </c>
      <c r="N146" s="42">
        <v>169659</v>
      </c>
      <c r="O146" s="42">
        <v>169659</v>
      </c>
      <c r="P146" s="42">
        <v>169659</v>
      </c>
      <c r="Q146" s="42">
        <v>169662</v>
      </c>
      <c r="R146" s="42">
        <v>169661</v>
      </c>
      <c r="S146" s="42">
        <v>169662</v>
      </c>
      <c r="T146" s="42">
        <v>169667</v>
      </c>
      <c r="U146" s="42">
        <v>169668</v>
      </c>
      <c r="V146" s="42">
        <v>169667</v>
      </c>
      <c r="W146" s="57">
        <f>W145</f>
        <v>0.99820399999999998</v>
      </c>
      <c r="Y146">
        <v>2</v>
      </c>
      <c r="Z146" t="s">
        <v>164</v>
      </c>
      <c r="AA146">
        <v>13440</v>
      </c>
      <c r="AB146">
        <v>160</v>
      </c>
      <c r="AC146">
        <v>2</v>
      </c>
      <c r="AD146">
        <v>2</v>
      </c>
      <c r="AE146">
        <v>2013.3</v>
      </c>
      <c r="AF146" s="48">
        <v>0.80403000000000002</v>
      </c>
      <c r="AG146" s="46">
        <v>45469</v>
      </c>
      <c r="AH146" s="47">
        <v>0.12222222222222222</v>
      </c>
      <c r="AI146">
        <v>231699</v>
      </c>
      <c r="AJ146">
        <v>231699</v>
      </c>
      <c r="AK146">
        <v>231698</v>
      </c>
      <c r="AL146">
        <v>231706</v>
      </c>
      <c r="AM146">
        <v>231706</v>
      </c>
      <c r="AN146">
        <v>231706</v>
      </c>
      <c r="AO146">
        <v>231706</v>
      </c>
      <c r="AP146">
        <v>231707</v>
      </c>
      <c r="AQ146">
        <v>231707</v>
      </c>
      <c r="AR146">
        <v>231704</v>
      </c>
      <c r="AS146">
        <v>231704</v>
      </c>
      <c r="AT146">
        <v>231704</v>
      </c>
      <c r="AU146" s="57">
        <f t="shared" si="56"/>
        <v>0.78439800000000004</v>
      </c>
      <c r="AW146">
        <v>2</v>
      </c>
      <c r="AX146" t="s">
        <v>164</v>
      </c>
      <c r="AY146">
        <v>13440</v>
      </c>
      <c r="AZ146">
        <v>160</v>
      </c>
      <c r="BA146">
        <v>1</v>
      </c>
      <c r="BB146">
        <v>4</v>
      </c>
      <c r="BC146">
        <v>1668.83</v>
      </c>
      <c r="BD146" s="42">
        <v>0.96999000000000002</v>
      </c>
      <c r="BE146" s="57"/>
      <c r="BF146" s="45"/>
      <c r="BG146" s="45"/>
      <c r="BH146" s="45"/>
      <c r="BI146" s="45"/>
      <c r="BJ146" s="45"/>
      <c r="BK146" s="45"/>
      <c r="BL146" s="45"/>
      <c r="BM146" s="45"/>
      <c r="BN146" s="45"/>
      <c r="BO146" s="45"/>
      <c r="BP146" s="45"/>
      <c r="BQ146" s="45"/>
      <c r="BR146" s="45"/>
      <c r="BS146" s="57">
        <f>BS145</f>
        <v>0.96972800000000015</v>
      </c>
    </row>
    <row r="147" spans="1:71" x14ac:dyDescent="0.25">
      <c r="A147">
        <v>3</v>
      </c>
      <c r="B147" t="s">
        <v>164</v>
      </c>
      <c r="C147">
        <v>13440</v>
      </c>
      <c r="D147">
        <v>160</v>
      </c>
      <c r="E147">
        <v>2</v>
      </c>
      <c r="F147">
        <v>2</v>
      </c>
      <c r="G147">
        <v>1622.38</v>
      </c>
      <c r="H147" s="42">
        <v>0.99775999999999998</v>
      </c>
      <c r="I147" s="42">
        <v>45477</v>
      </c>
      <c r="J147" s="42">
        <v>0.97240740740740739</v>
      </c>
      <c r="K147" s="42">
        <v>169800</v>
      </c>
      <c r="L147" s="42">
        <v>169799</v>
      </c>
      <c r="M147" s="42">
        <v>169799</v>
      </c>
      <c r="N147" s="42">
        <v>169805</v>
      </c>
      <c r="O147" s="42">
        <v>169805</v>
      </c>
      <c r="P147" s="42">
        <v>169804</v>
      </c>
      <c r="Q147" s="42">
        <v>169806</v>
      </c>
      <c r="R147" s="42">
        <v>169806</v>
      </c>
      <c r="S147" s="42">
        <v>169805</v>
      </c>
      <c r="T147" s="42">
        <v>169808</v>
      </c>
      <c r="U147" s="42">
        <v>169807</v>
      </c>
      <c r="V147" s="42">
        <v>169808</v>
      </c>
      <c r="W147" s="57">
        <f>W146</f>
        <v>0.99820399999999998</v>
      </c>
      <c r="Y147">
        <v>3</v>
      </c>
      <c r="Z147" t="s">
        <v>164</v>
      </c>
      <c r="AA147">
        <v>13440</v>
      </c>
      <c r="AB147">
        <v>160</v>
      </c>
      <c r="AC147">
        <v>2</v>
      </c>
      <c r="AD147">
        <v>2</v>
      </c>
      <c r="AE147">
        <v>1995.48</v>
      </c>
      <c r="AF147" s="48">
        <v>0.81120999999999999</v>
      </c>
      <c r="AG147" s="46">
        <v>45470</v>
      </c>
      <c r="AH147" s="47">
        <v>0.48614583333333333</v>
      </c>
      <c r="AI147">
        <v>229923</v>
      </c>
      <c r="AJ147">
        <v>229923</v>
      </c>
      <c r="AK147">
        <v>229922</v>
      </c>
      <c r="AL147">
        <v>229930</v>
      </c>
      <c r="AM147">
        <v>229929</v>
      </c>
      <c r="AN147">
        <v>229930</v>
      </c>
      <c r="AO147">
        <v>229930</v>
      </c>
      <c r="AP147">
        <v>229931</v>
      </c>
      <c r="AQ147">
        <v>229930</v>
      </c>
      <c r="AR147">
        <v>229931</v>
      </c>
      <c r="AS147">
        <v>229932</v>
      </c>
      <c r="AT147">
        <v>229932</v>
      </c>
      <c r="AU147" s="57">
        <f t="shared" si="56"/>
        <v>0.78439800000000004</v>
      </c>
      <c r="AW147">
        <v>3</v>
      </c>
      <c r="AX147" t="s">
        <v>164</v>
      </c>
      <c r="AY147">
        <v>13440</v>
      </c>
      <c r="AZ147">
        <v>160</v>
      </c>
      <c r="BA147">
        <v>1</v>
      </c>
      <c r="BB147">
        <v>4</v>
      </c>
      <c r="BC147">
        <v>1667.95</v>
      </c>
      <c r="BD147" s="42">
        <v>0.97050000000000003</v>
      </c>
      <c r="BE147" s="57"/>
      <c r="BF147" s="45"/>
      <c r="BG147" s="45"/>
      <c r="BH147" s="45"/>
      <c r="BI147" s="45"/>
      <c r="BJ147" s="45"/>
      <c r="BK147" s="45"/>
      <c r="BL147" s="45"/>
      <c r="BM147" s="45"/>
      <c r="BN147" s="45"/>
      <c r="BO147" s="45"/>
      <c r="BP147" s="45"/>
      <c r="BQ147" s="45"/>
      <c r="BR147" s="45"/>
      <c r="BS147" s="57">
        <f>BS146</f>
        <v>0.96972800000000015</v>
      </c>
    </row>
    <row r="148" spans="1:71" x14ac:dyDescent="0.25">
      <c r="A148">
        <v>4</v>
      </c>
      <c r="B148" t="s">
        <v>164</v>
      </c>
      <c r="C148">
        <v>13440</v>
      </c>
      <c r="D148">
        <v>160</v>
      </c>
      <c r="E148">
        <v>2</v>
      </c>
      <c r="F148">
        <v>2</v>
      </c>
      <c r="G148">
        <v>1624.09</v>
      </c>
      <c r="H148" s="42">
        <v>0.99670999999999998</v>
      </c>
      <c r="I148" s="42">
        <v>45478</v>
      </c>
      <c r="J148" s="42">
        <v>0.95327546296296295</v>
      </c>
      <c r="K148" s="42">
        <v>170009</v>
      </c>
      <c r="L148" s="42">
        <v>170009</v>
      </c>
      <c r="M148" s="42">
        <v>170008</v>
      </c>
      <c r="N148" s="42">
        <v>170011</v>
      </c>
      <c r="O148" s="42">
        <v>170010</v>
      </c>
      <c r="P148" s="42">
        <v>170011</v>
      </c>
      <c r="Q148" s="42">
        <v>170008</v>
      </c>
      <c r="R148" s="42">
        <v>170008</v>
      </c>
      <c r="S148" s="42">
        <v>170007</v>
      </c>
      <c r="T148" s="42">
        <v>170033</v>
      </c>
      <c r="U148" s="42">
        <v>170033</v>
      </c>
      <c r="V148" s="42">
        <v>170033</v>
      </c>
      <c r="W148" s="57">
        <f>W147</f>
        <v>0.99820399999999998</v>
      </c>
      <c r="Y148">
        <v>4</v>
      </c>
      <c r="Z148" t="s">
        <v>164</v>
      </c>
      <c r="AA148">
        <v>13440</v>
      </c>
      <c r="AB148">
        <v>160</v>
      </c>
      <c r="AC148">
        <v>2</v>
      </c>
      <c r="AD148">
        <v>2</v>
      </c>
      <c r="AE148">
        <v>2338.84</v>
      </c>
      <c r="AF148" s="48">
        <v>0.69211999999999996</v>
      </c>
      <c r="AG148" s="46">
        <v>45471</v>
      </c>
      <c r="AH148" s="47">
        <v>0.84797453703703707</v>
      </c>
      <c r="AI148">
        <v>264262</v>
      </c>
      <c r="AJ148">
        <v>264262</v>
      </c>
      <c r="AK148">
        <v>264262</v>
      </c>
      <c r="AL148">
        <v>264269</v>
      </c>
      <c r="AM148">
        <v>264270</v>
      </c>
      <c r="AN148">
        <v>264269</v>
      </c>
      <c r="AO148">
        <v>264271</v>
      </c>
      <c r="AP148">
        <v>264271</v>
      </c>
      <c r="AQ148">
        <v>264271</v>
      </c>
      <c r="AR148">
        <v>264297</v>
      </c>
      <c r="AS148">
        <v>264296</v>
      </c>
      <c r="AT148">
        <v>264297</v>
      </c>
      <c r="AU148" s="57">
        <f t="shared" si="56"/>
        <v>0.78439800000000004</v>
      </c>
      <c r="AW148">
        <v>4</v>
      </c>
      <c r="AX148" t="s">
        <v>164</v>
      </c>
      <c r="AY148">
        <v>13440</v>
      </c>
      <c r="AZ148">
        <v>160</v>
      </c>
      <c r="BA148">
        <v>1</v>
      </c>
      <c r="BB148">
        <v>4</v>
      </c>
      <c r="BC148">
        <v>1669.12</v>
      </c>
      <c r="BD148" s="42">
        <v>0.96982000000000002</v>
      </c>
      <c r="BE148" s="57"/>
      <c r="BF148" s="45"/>
      <c r="BG148" s="45"/>
      <c r="BH148" s="45"/>
      <c r="BI148" s="45"/>
      <c r="BJ148" s="45"/>
      <c r="BK148" s="45"/>
      <c r="BL148" s="45"/>
      <c r="BM148" s="45"/>
      <c r="BN148" s="45"/>
      <c r="BO148" s="45"/>
      <c r="BP148" s="45"/>
      <c r="BQ148" s="45"/>
      <c r="BR148" s="45"/>
      <c r="BS148" s="57">
        <f>BS147</f>
        <v>0.96972800000000015</v>
      </c>
    </row>
    <row r="149" spans="1:71" x14ac:dyDescent="0.25">
      <c r="A149">
        <v>0</v>
      </c>
      <c r="B149" t="s">
        <v>164</v>
      </c>
      <c r="C149">
        <v>14080</v>
      </c>
      <c r="D149">
        <v>160</v>
      </c>
      <c r="E149">
        <v>2</v>
      </c>
      <c r="F149">
        <v>2</v>
      </c>
      <c r="G149">
        <v>1903.79</v>
      </c>
      <c r="H149" s="70">
        <v>0.97762000000000004</v>
      </c>
      <c r="I149" s="42">
        <v>45475</v>
      </c>
      <c r="J149" s="42">
        <v>0.36046296296296299</v>
      </c>
      <c r="K149" s="42">
        <v>198804</v>
      </c>
      <c r="L149" s="42">
        <v>198804</v>
      </c>
      <c r="M149" s="42">
        <v>198804</v>
      </c>
      <c r="N149" s="42">
        <v>198853</v>
      </c>
      <c r="O149" s="42">
        <v>198853</v>
      </c>
      <c r="P149" s="42">
        <v>198852</v>
      </c>
      <c r="Q149" s="42">
        <v>198906</v>
      </c>
      <c r="R149" s="42">
        <v>198905</v>
      </c>
      <c r="S149" s="42">
        <v>198906</v>
      </c>
      <c r="T149" s="42">
        <v>198974</v>
      </c>
      <c r="U149" s="42">
        <v>198974</v>
      </c>
      <c r="V149" s="42">
        <v>198973</v>
      </c>
      <c r="W149" s="57">
        <f>AVERAGE(H149:H153)</f>
        <v>0.97494800000000004</v>
      </c>
      <c r="Y149">
        <v>0</v>
      </c>
      <c r="Z149" t="s">
        <v>164</v>
      </c>
      <c r="AA149">
        <v>14080</v>
      </c>
      <c r="AB149">
        <v>160</v>
      </c>
      <c r="AC149">
        <v>2</v>
      </c>
      <c r="AD149">
        <v>2</v>
      </c>
      <c r="AE149">
        <v>2332.3000000000002</v>
      </c>
      <c r="AF149" s="48">
        <v>0.79800000000000004</v>
      </c>
      <c r="AG149" s="46">
        <v>45466</v>
      </c>
      <c r="AH149" s="47">
        <v>0.86630787037037038</v>
      </c>
      <c r="AI149">
        <v>267349</v>
      </c>
      <c r="AJ149">
        <v>267348</v>
      </c>
      <c r="AK149">
        <v>267348</v>
      </c>
      <c r="AL149">
        <v>267381</v>
      </c>
      <c r="AM149">
        <v>267381</v>
      </c>
      <c r="AN149">
        <v>267382</v>
      </c>
      <c r="AO149">
        <v>267435</v>
      </c>
      <c r="AP149">
        <v>267434</v>
      </c>
      <c r="AQ149">
        <v>267434</v>
      </c>
      <c r="AR149">
        <v>267488</v>
      </c>
      <c r="AS149">
        <v>267487</v>
      </c>
      <c r="AT149">
        <v>267488</v>
      </c>
      <c r="AU149" s="57">
        <f t="shared" ref="AU149" si="59">AVERAGE(AF149:AF153)</f>
        <v>0.76231000000000004</v>
      </c>
      <c r="AW149">
        <v>0</v>
      </c>
      <c r="AX149" t="s">
        <v>164</v>
      </c>
      <c r="AY149">
        <v>14080</v>
      </c>
      <c r="AZ149">
        <v>160</v>
      </c>
      <c r="BA149">
        <v>1</v>
      </c>
      <c r="BB149">
        <v>4</v>
      </c>
      <c r="BC149">
        <v>1953.28</v>
      </c>
      <c r="BD149" s="42">
        <v>0.95284999999999997</v>
      </c>
      <c r="BE149" s="57"/>
      <c r="BF149" s="45"/>
      <c r="BG149" s="45"/>
      <c r="BH149" s="45"/>
      <c r="BI149" s="45"/>
      <c r="BJ149" s="45"/>
      <c r="BK149" s="45"/>
      <c r="BL149" s="45"/>
      <c r="BM149" s="45"/>
      <c r="BN149" s="45"/>
      <c r="BO149" s="45"/>
      <c r="BP149" s="45"/>
      <c r="BQ149" s="45"/>
      <c r="BR149" s="45"/>
      <c r="BS149" s="57">
        <f>AVERAGE(BD149:BD153)</f>
        <v>0.94368999999999992</v>
      </c>
    </row>
    <row r="150" spans="1:71" x14ac:dyDescent="0.25">
      <c r="A150">
        <v>1</v>
      </c>
      <c r="B150" t="s">
        <v>164</v>
      </c>
      <c r="C150">
        <v>14080</v>
      </c>
      <c r="D150">
        <v>160</v>
      </c>
      <c r="E150">
        <v>2</v>
      </c>
      <c r="F150">
        <v>2</v>
      </c>
      <c r="G150">
        <v>1891.28</v>
      </c>
      <c r="H150" s="42">
        <v>0.98407999999999995</v>
      </c>
      <c r="I150" s="42">
        <v>45476</v>
      </c>
      <c r="J150" s="42">
        <v>0.35453703703703704</v>
      </c>
      <c r="K150" s="42">
        <v>197699</v>
      </c>
      <c r="L150" s="42">
        <v>197698</v>
      </c>
      <c r="M150" s="42">
        <v>197698</v>
      </c>
      <c r="N150" s="42">
        <v>197750</v>
      </c>
      <c r="O150" s="42">
        <v>197750</v>
      </c>
      <c r="P150" s="42">
        <v>197751</v>
      </c>
      <c r="Q150" s="42">
        <v>197802</v>
      </c>
      <c r="R150" s="42">
        <v>197801</v>
      </c>
      <c r="S150" s="42">
        <v>197802</v>
      </c>
      <c r="T150" s="42">
        <v>197865</v>
      </c>
      <c r="U150" s="42">
        <v>197865</v>
      </c>
      <c r="V150" s="42">
        <v>197866</v>
      </c>
      <c r="W150" s="57">
        <f>W149</f>
        <v>0.97494800000000004</v>
      </c>
      <c r="Y150">
        <v>1</v>
      </c>
      <c r="Z150" t="s">
        <v>164</v>
      </c>
      <c r="AA150">
        <v>14080</v>
      </c>
      <c r="AB150">
        <v>160</v>
      </c>
      <c r="AC150">
        <v>2</v>
      </c>
      <c r="AD150">
        <v>2</v>
      </c>
      <c r="AE150">
        <v>2490.67</v>
      </c>
      <c r="AF150" s="48">
        <v>0.74726000000000004</v>
      </c>
      <c r="AG150" s="46">
        <v>45468</v>
      </c>
      <c r="AH150" s="47">
        <v>0.24737268518518518</v>
      </c>
      <c r="AI150">
        <v>283145</v>
      </c>
      <c r="AJ150">
        <v>283145</v>
      </c>
      <c r="AK150">
        <v>283145</v>
      </c>
      <c r="AL150">
        <v>283194</v>
      </c>
      <c r="AM150">
        <v>283193</v>
      </c>
      <c r="AN150">
        <v>283193</v>
      </c>
      <c r="AO150">
        <v>283249</v>
      </c>
      <c r="AP150">
        <v>283249</v>
      </c>
      <c r="AQ150">
        <v>283248</v>
      </c>
      <c r="AR150">
        <v>283325</v>
      </c>
      <c r="AS150">
        <v>283325</v>
      </c>
      <c r="AT150">
        <v>283325</v>
      </c>
      <c r="AU150" s="57">
        <f t="shared" ref="AU150" si="60">AU149</f>
        <v>0.76231000000000004</v>
      </c>
      <c r="AW150">
        <v>1</v>
      </c>
      <c r="AX150" t="s">
        <v>164</v>
      </c>
      <c r="AY150">
        <v>14080</v>
      </c>
      <c r="AZ150">
        <v>160</v>
      </c>
      <c r="BA150">
        <v>1</v>
      </c>
      <c r="BB150">
        <v>4</v>
      </c>
      <c r="BC150">
        <v>1956.53</v>
      </c>
      <c r="BD150" s="42">
        <v>0.95125999999999999</v>
      </c>
      <c r="BE150" s="57"/>
      <c r="BF150" s="45"/>
      <c r="BG150" s="45"/>
      <c r="BH150" s="45"/>
      <c r="BI150" s="45"/>
      <c r="BJ150" s="45"/>
      <c r="BK150" s="45"/>
      <c r="BL150" s="45"/>
      <c r="BM150" s="45"/>
      <c r="BN150" s="45"/>
      <c r="BO150" s="45"/>
      <c r="BP150" s="45"/>
      <c r="BQ150" s="45"/>
      <c r="BR150" s="45"/>
      <c r="BS150" s="57">
        <f>BS149</f>
        <v>0.94368999999999992</v>
      </c>
    </row>
    <row r="151" spans="1:71" x14ac:dyDescent="0.25">
      <c r="A151">
        <v>2</v>
      </c>
      <c r="B151" t="s">
        <v>164</v>
      </c>
      <c r="C151">
        <v>14080</v>
      </c>
      <c r="D151">
        <v>160</v>
      </c>
      <c r="E151">
        <v>2</v>
      </c>
      <c r="F151">
        <v>2</v>
      </c>
      <c r="G151">
        <v>1949.25</v>
      </c>
      <c r="H151" s="42">
        <v>0.95481000000000005</v>
      </c>
      <c r="I151" s="42">
        <v>45477</v>
      </c>
      <c r="J151" s="42">
        <v>0.3450347222222222</v>
      </c>
      <c r="K151" s="42">
        <v>203413</v>
      </c>
      <c r="L151" s="42">
        <v>203413</v>
      </c>
      <c r="M151" s="42">
        <v>203414</v>
      </c>
      <c r="N151" s="42">
        <v>203472</v>
      </c>
      <c r="O151" s="42">
        <v>203472</v>
      </c>
      <c r="P151" s="42">
        <v>203472</v>
      </c>
      <c r="Q151" s="42">
        <v>203527</v>
      </c>
      <c r="R151" s="42">
        <v>203527</v>
      </c>
      <c r="S151" s="42">
        <v>203526</v>
      </c>
      <c r="T151" s="42">
        <v>203588</v>
      </c>
      <c r="U151" s="42">
        <v>203589</v>
      </c>
      <c r="V151" s="42">
        <v>203588</v>
      </c>
      <c r="W151" s="57">
        <f>W150</f>
        <v>0.97494800000000004</v>
      </c>
      <c r="Y151">
        <v>2</v>
      </c>
      <c r="Z151" t="s">
        <v>164</v>
      </c>
      <c r="AA151">
        <v>14080</v>
      </c>
      <c r="AB151">
        <v>160</v>
      </c>
      <c r="AC151">
        <v>2</v>
      </c>
      <c r="AD151">
        <v>2</v>
      </c>
      <c r="AE151">
        <v>2464.04</v>
      </c>
      <c r="AF151" s="48">
        <v>0.75532999999999995</v>
      </c>
      <c r="AG151" s="46">
        <v>45469</v>
      </c>
      <c r="AH151" s="47">
        <v>0.62321759259259257</v>
      </c>
      <c r="AI151">
        <v>279942</v>
      </c>
      <c r="AJ151">
        <v>279941</v>
      </c>
      <c r="AK151">
        <v>279942</v>
      </c>
      <c r="AL151">
        <v>279998</v>
      </c>
      <c r="AM151">
        <v>279998</v>
      </c>
      <c r="AN151">
        <v>279998</v>
      </c>
      <c r="AO151">
        <v>280059</v>
      </c>
      <c r="AP151">
        <v>280058</v>
      </c>
      <c r="AQ151">
        <v>280058</v>
      </c>
      <c r="AR151">
        <v>280129</v>
      </c>
      <c r="AS151">
        <v>280129</v>
      </c>
      <c r="AT151">
        <v>280128</v>
      </c>
      <c r="AU151" s="57">
        <f t="shared" si="56"/>
        <v>0.76231000000000004</v>
      </c>
      <c r="AW151">
        <v>2</v>
      </c>
      <c r="AX151" t="s">
        <v>164</v>
      </c>
      <c r="AY151">
        <v>14080</v>
      </c>
      <c r="AZ151">
        <v>160</v>
      </c>
      <c r="BA151">
        <v>1</v>
      </c>
      <c r="BB151">
        <v>4</v>
      </c>
      <c r="BC151">
        <v>1949.97</v>
      </c>
      <c r="BD151" s="42">
        <v>0.95445999999999998</v>
      </c>
      <c r="BE151" s="57"/>
      <c r="BF151" s="45"/>
      <c r="BG151" s="45"/>
      <c r="BH151" s="45"/>
      <c r="BI151" s="45"/>
      <c r="BJ151" s="45"/>
      <c r="BK151" s="45"/>
      <c r="BL151" s="45"/>
      <c r="BM151" s="45"/>
      <c r="BN151" s="45"/>
      <c r="BO151" s="45"/>
      <c r="BP151" s="45"/>
      <c r="BQ151" s="45"/>
      <c r="BR151" s="45"/>
      <c r="BS151" s="57">
        <f>BS150</f>
        <v>0.94368999999999992</v>
      </c>
    </row>
    <row r="152" spans="1:71" x14ac:dyDescent="0.25">
      <c r="A152">
        <v>3</v>
      </c>
      <c r="B152" t="s">
        <v>164</v>
      </c>
      <c r="C152">
        <v>14080</v>
      </c>
      <c r="D152">
        <v>160</v>
      </c>
      <c r="E152">
        <v>2</v>
      </c>
      <c r="F152">
        <v>2</v>
      </c>
      <c r="G152">
        <v>1887.4</v>
      </c>
      <c r="H152" s="42">
        <v>0.98609999999999998</v>
      </c>
      <c r="I152" s="42">
        <v>45478</v>
      </c>
      <c r="J152" s="42">
        <v>0.33150462962962962</v>
      </c>
      <c r="K152" s="42">
        <v>197349</v>
      </c>
      <c r="L152" s="42">
        <v>197349</v>
      </c>
      <c r="M152" s="42">
        <v>197348</v>
      </c>
      <c r="N152" s="42">
        <v>197408</v>
      </c>
      <c r="O152" s="42">
        <v>197408</v>
      </c>
      <c r="P152" s="42">
        <v>197407</v>
      </c>
      <c r="Q152" s="42">
        <v>197472</v>
      </c>
      <c r="R152" s="42">
        <v>197472</v>
      </c>
      <c r="S152" s="42">
        <v>197471</v>
      </c>
      <c r="T152" s="42">
        <v>197547</v>
      </c>
      <c r="U152" s="42">
        <v>197547</v>
      </c>
      <c r="V152" s="42">
        <v>197547</v>
      </c>
      <c r="W152" s="57">
        <f>W151</f>
        <v>0.97494800000000004</v>
      </c>
      <c r="Y152">
        <v>3</v>
      </c>
      <c r="Z152" t="s">
        <v>164</v>
      </c>
      <c r="AA152">
        <v>14080</v>
      </c>
      <c r="AB152">
        <v>160</v>
      </c>
      <c r="AC152">
        <v>2</v>
      </c>
      <c r="AD152">
        <v>2</v>
      </c>
      <c r="AE152">
        <v>2480.89</v>
      </c>
      <c r="AF152" s="48">
        <v>0.75019999999999998</v>
      </c>
      <c r="AG152" s="46">
        <v>45470</v>
      </c>
      <c r="AH152" s="47">
        <v>0.98179398148148145</v>
      </c>
      <c r="AI152">
        <v>281817</v>
      </c>
      <c r="AJ152">
        <v>281816</v>
      </c>
      <c r="AK152">
        <v>281817</v>
      </c>
      <c r="AL152">
        <v>281861</v>
      </c>
      <c r="AM152">
        <v>281860</v>
      </c>
      <c r="AN152">
        <v>281861</v>
      </c>
      <c r="AO152">
        <v>281917</v>
      </c>
      <c r="AP152">
        <v>281916</v>
      </c>
      <c r="AQ152">
        <v>281917</v>
      </c>
      <c r="AR152">
        <v>281975</v>
      </c>
      <c r="AS152">
        <v>281975</v>
      </c>
      <c r="AT152">
        <v>281976</v>
      </c>
      <c r="AU152" s="57">
        <f t="shared" si="56"/>
        <v>0.76231000000000004</v>
      </c>
      <c r="AW152">
        <v>3</v>
      </c>
      <c r="AX152" t="s">
        <v>164</v>
      </c>
      <c r="AY152">
        <v>14080</v>
      </c>
      <c r="AZ152">
        <v>160</v>
      </c>
      <c r="BA152">
        <v>1</v>
      </c>
      <c r="BB152">
        <v>4</v>
      </c>
      <c r="BC152">
        <v>2044.3</v>
      </c>
      <c r="BD152" s="42">
        <v>0.91042000000000001</v>
      </c>
      <c r="BE152" s="57"/>
      <c r="BF152" s="45"/>
      <c r="BG152" s="45"/>
      <c r="BH152" s="45"/>
      <c r="BI152" s="45"/>
      <c r="BJ152" s="45"/>
      <c r="BK152" s="45"/>
      <c r="BL152" s="45"/>
      <c r="BM152" s="45"/>
      <c r="BN152" s="45"/>
      <c r="BO152" s="45"/>
      <c r="BP152" s="45"/>
      <c r="BQ152" s="45"/>
      <c r="BR152" s="45"/>
      <c r="BS152" s="57">
        <f>BS151</f>
        <v>0.94368999999999992</v>
      </c>
    </row>
    <row r="153" spans="1:71" x14ac:dyDescent="0.25">
      <c r="A153">
        <v>4</v>
      </c>
      <c r="B153" t="s">
        <v>164</v>
      </c>
      <c r="C153">
        <v>14080</v>
      </c>
      <c r="D153">
        <v>160</v>
      </c>
      <c r="E153">
        <v>2</v>
      </c>
      <c r="F153">
        <v>2</v>
      </c>
      <c r="G153">
        <v>1914.53</v>
      </c>
      <c r="H153" s="42">
        <v>0.97213000000000005</v>
      </c>
      <c r="I153" s="42">
        <v>45479</v>
      </c>
      <c r="J153" s="42">
        <v>0.31221064814814814</v>
      </c>
      <c r="K153" s="42">
        <v>200048</v>
      </c>
      <c r="L153" s="42">
        <v>200048</v>
      </c>
      <c r="M153" s="42">
        <v>200048</v>
      </c>
      <c r="N153" s="42">
        <v>200098</v>
      </c>
      <c r="O153" s="42">
        <v>200098</v>
      </c>
      <c r="P153" s="42">
        <v>200097</v>
      </c>
      <c r="Q153" s="42">
        <v>200137</v>
      </c>
      <c r="R153" s="42">
        <v>200137</v>
      </c>
      <c r="S153" s="42">
        <v>200137</v>
      </c>
      <c r="T153" s="42">
        <v>200196</v>
      </c>
      <c r="U153" s="42">
        <v>200196</v>
      </c>
      <c r="V153" s="42">
        <v>200196</v>
      </c>
      <c r="W153" s="57">
        <f>W152</f>
        <v>0.97494800000000004</v>
      </c>
      <c r="Y153">
        <v>4</v>
      </c>
      <c r="Z153" t="s">
        <v>164</v>
      </c>
      <c r="AA153">
        <v>14080</v>
      </c>
      <c r="AB153">
        <v>160</v>
      </c>
      <c r="AC153">
        <v>2</v>
      </c>
      <c r="AD153">
        <v>2</v>
      </c>
      <c r="AE153">
        <v>2446.4699999999998</v>
      </c>
      <c r="AF153" s="48">
        <v>0.76075999999999999</v>
      </c>
      <c r="AG153" s="46">
        <v>45472</v>
      </c>
      <c r="AH153" s="47">
        <v>0.34258101851851852</v>
      </c>
      <c r="AI153">
        <v>278330</v>
      </c>
      <c r="AJ153">
        <v>278329</v>
      </c>
      <c r="AK153">
        <v>278330</v>
      </c>
      <c r="AL153">
        <v>278352</v>
      </c>
      <c r="AM153">
        <v>278352</v>
      </c>
      <c r="AN153">
        <v>278351</v>
      </c>
      <c r="AO153">
        <v>278377</v>
      </c>
      <c r="AP153">
        <v>278377</v>
      </c>
      <c r="AQ153">
        <v>278377</v>
      </c>
      <c r="AR153">
        <v>278413</v>
      </c>
      <c r="AS153">
        <v>278413</v>
      </c>
      <c r="AT153">
        <v>278413</v>
      </c>
      <c r="AU153" s="57">
        <f t="shared" si="56"/>
        <v>0.76231000000000004</v>
      </c>
      <c r="AW153">
        <v>4</v>
      </c>
      <c r="AX153" t="s">
        <v>164</v>
      </c>
      <c r="AY153">
        <v>14080</v>
      </c>
      <c r="AZ153">
        <v>160</v>
      </c>
      <c r="BA153">
        <v>1</v>
      </c>
      <c r="BB153">
        <v>4</v>
      </c>
      <c r="BC153">
        <v>1960.24</v>
      </c>
      <c r="BD153" s="42">
        <v>0.94945999999999997</v>
      </c>
      <c r="BE153" s="57"/>
      <c r="BF153" s="45"/>
      <c r="BG153" s="45"/>
      <c r="BH153" s="45"/>
      <c r="BI153" s="45"/>
      <c r="BJ153" s="45"/>
      <c r="BK153" s="45"/>
      <c r="BL153" s="45"/>
      <c r="BM153" s="45"/>
      <c r="BN153" s="45"/>
      <c r="BO153" s="45"/>
      <c r="BP153" s="45"/>
      <c r="BQ153" s="45"/>
      <c r="BR153" s="45"/>
      <c r="BS153" s="57">
        <f>BS152</f>
        <v>0.94368999999999992</v>
      </c>
    </row>
    <row r="154" spans="1:71" x14ac:dyDescent="0.25">
      <c r="A154">
        <v>0</v>
      </c>
      <c r="B154" t="s">
        <v>164</v>
      </c>
      <c r="C154">
        <v>12672</v>
      </c>
      <c r="D154">
        <v>192</v>
      </c>
      <c r="E154">
        <v>1</v>
      </c>
      <c r="F154">
        <v>4</v>
      </c>
      <c r="G154">
        <v>1413.48</v>
      </c>
      <c r="H154" s="70">
        <v>0.95992</v>
      </c>
      <c r="I154" s="42">
        <v>45474</v>
      </c>
      <c r="J154" s="42">
        <v>0.71287037037037038</v>
      </c>
      <c r="K154" s="42">
        <v>148381</v>
      </c>
      <c r="L154" s="42">
        <v>148382</v>
      </c>
      <c r="M154" s="42">
        <v>148381</v>
      </c>
      <c r="N154" s="42">
        <v>148403</v>
      </c>
      <c r="O154" s="42">
        <v>148403</v>
      </c>
      <c r="P154" s="42">
        <v>148403</v>
      </c>
      <c r="Q154" s="42">
        <v>148405</v>
      </c>
      <c r="R154" s="42">
        <v>148405</v>
      </c>
      <c r="S154" s="42">
        <v>148404</v>
      </c>
      <c r="T154" s="42">
        <v>148407</v>
      </c>
      <c r="U154" s="42">
        <v>148407</v>
      </c>
      <c r="V154" s="42">
        <v>148408</v>
      </c>
      <c r="W154" s="57">
        <f>AVERAGE(H154:H158)</f>
        <v>0.96097199999999994</v>
      </c>
      <c r="Y154">
        <v>0</v>
      </c>
      <c r="Z154" t="s">
        <v>164</v>
      </c>
      <c r="AA154">
        <v>12672</v>
      </c>
      <c r="AB154">
        <v>192</v>
      </c>
      <c r="AC154">
        <v>1</v>
      </c>
      <c r="AD154">
        <v>4</v>
      </c>
      <c r="AE154">
        <v>1825.53</v>
      </c>
      <c r="AF154" s="48">
        <v>0.74324000000000001</v>
      </c>
      <c r="AG154" s="46">
        <v>45465</v>
      </c>
      <c r="AH154" s="47">
        <v>0.96686342592592589</v>
      </c>
      <c r="AI154">
        <v>210295</v>
      </c>
      <c r="AJ154">
        <v>210295</v>
      </c>
      <c r="AK154">
        <v>210295</v>
      </c>
      <c r="AL154">
        <v>210296</v>
      </c>
      <c r="AM154">
        <v>210296</v>
      </c>
      <c r="AN154">
        <v>210295</v>
      </c>
      <c r="AO154">
        <v>210297</v>
      </c>
      <c r="AP154">
        <v>210298</v>
      </c>
      <c r="AQ154">
        <v>210297</v>
      </c>
      <c r="AR154">
        <v>210298</v>
      </c>
      <c r="AS154">
        <v>210299</v>
      </c>
      <c r="AT154">
        <v>210299</v>
      </c>
      <c r="AU154" s="57">
        <f t="shared" ref="AU154" si="61">AVERAGE(AF154:AF158)</f>
        <v>0.7455179999999999</v>
      </c>
      <c r="AW154">
        <v>0</v>
      </c>
      <c r="AX154" t="s">
        <v>164</v>
      </c>
      <c r="AY154">
        <v>12640</v>
      </c>
      <c r="AZ154">
        <v>160</v>
      </c>
      <c r="BA154">
        <v>2</v>
      </c>
      <c r="BB154">
        <v>2</v>
      </c>
      <c r="BC154">
        <v>1371.94</v>
      </c>
      <c r="BD154" s="42">
        <v>0.98150999999999999</v>
      </c>
      <c r="BE154" s="57"/>
      <c r="BF154" s="45"/>
      <c r="BG154" s="45"/>
      <c r="BH154" s="45"/>
      <c r="BI154" s="45"/>
      <c r="BJ154" s="45"/>
      <c r="BK154" s="45"/>
      <c r="BL154" s="45"/>
      <c r="BM154" s="45"/>
      <c r="BN154" s="45"/>
      <c r="BO154" s="45"/>
      <c r="BP154" s="45"/>
      <c r="BQ154" s="45"/>
      <c r="BR154" s="45"/>
      <c r="BS154" s="57">
        <f>AVERAGE(BD154:BD158)</f>
        <v>0.98106000000000004</v>
      </c>
    </row>
    <row r="155" spans="1:71" x14ac:dyDescent="0.25">
      <c r="A155">
        <v>1</v>
      </c>
      <c r="B155" t="s">
        <v>164</v>
      </c>
      <c r="C155">
        <v>12672</v>
      </c>
      <c r="D155">
        <v>192</v>
      </c>
      <c r="E155">
        <v>1</v>
      </c>
      <c r="F155">
        <v>4</v>
      </c>
      <c r="G155">
        <v>1411.31</v>
      </c>
      <c r="H155" s="42">
        <v>0.96138999999999997</v>
      </c>
      <c r="I155" s="42">
        <v>45475</v>
      </c>
      <c r="J155" s="42">
        <v>0.70766203703703701</v>
      </c>
      <c r="K155" s="42">
        <v>148156</v>
      </c>
      <c r="L155" s="42">
        <v>148157</v>
      </c>
      <c r="M155" s="42">
        <v>148156</v>
      </c>
      <c r="N155" s="42">
        <v>148162</v>
      </c>
      <c r="O155" s="42">
        <v>148162</v>
      </c>
      <c r="P155" s="42">
        <v>148162</v>
      </c>
      <c r="Q155" s="42">
        <v>148164</v>
      </c>
      <c r="R155" s="42">
        <v>148163</v>
      </c>
      <c r="S155" s="42">
        <v>148164</v>
      </c>
      <c r="T155" s="42">
        <v>148164</v>
      </c>
      <c r="U155" s="42">
        <v>148164</v>
      </c>
      <c r="V155" s="42">
        <v>148165</v>
      </c>
      <c r="W155" s="57">
        <f>W154</f>
        <v>0.96097199999999994</v>
      </c>
      <c r="Y155">
        <v>1</v>
      </c>
      <c r="Z155" t="s">
        <v>164</v>
      </c>
      <c r="AA155">
        <v>12672</v>
      </c>
      <c r="AB155">
        <v>192</v>
      </c>
      <c r="AC155">
        <v>1</v>
      </c>
      <c r="AD155">
        <v>4</v>
      </c>
      <c r="AE155">
        <v>1753.31</v>
      </c>
      <c r="AF155" s="48">
        <v>0.77385999999999999</v>
      </c>
      <c r="AG155" s="46">
        <v>45467</v>
      </c>
      <c r="AH155" s="47">
        <v>0.35628472222222224</v>
      </c>
      <c r="AI155">
        <v>203075</v>
      </c>
      <c r="AJ155">
        <v>203076</v>
      </c>
      <c r="AK155">
        <v>203075</v>
      </c>
      <c r="AL155">
        <v>203092</v>
      </c>
      <c r="AM155">
        <v>203091</v>
      </c>
      <c r="AN155">
        <v>203091</v>
      </c>
      <c r="AO155">
        <v>203092</v>
      </c>
      <c r="AP155">
        <v>203093</v>
      </c>
      <c r="AQ155">
        <v>203093</v>
      </c>
      <c r="AR155">
        <v>203094</v>
      </c>
      <c r="AS155">
        <v>203094</v>
      </c>
      <c r="AT155">
        <v>203093</v>
      </c>
      <c r="AU155" s="57">
        <f t="shared" ref="AU155" si="62">AU154</f>
        <v>0.7455179999999999</v>
      </c>
      <c r="AW155">
        <v>1</v>
      </c>
      <c r="AX155" t="s">
        <v>164</v>
      </c>
      <c r="AY155">
        <v>12640</v>
      </c>
      <c r="AZ155">
        <v>160</v>
      </c>
      <c r="BA155">
        <v>2</v>
      </c>
      <c r="BB155">
        <v>2</v>
      </c>
      <c r="BC155">
        <v>1373.56</v>
      </c>
      <c r="BD155" s="42">
        <v>0.98033999999999999</v>
      </c>
      <c r="BE155" s="57"/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5"/>
      <c r="BQ155" s="45"/>
      <c r="BR155" s="45"/>
      <c r="BS155" s="57">
        <f>BS154</f>
        <v>0.98106000000000004</v>
      </c>
    </row>
    <row r="156" spans="1:71" x14ac:dyDescent="0.25">
      <c r="A156">
        <v>2</v>
      </c>
      <c r="B156" t="s">
        <v>164</v>
      </c>
      <c r="C156">
        <v>12672</v>
      </c>
      <c r="D156">
        <v>192</v>
      </c>
      <c r="E156">
        <v>1</v>
      </c>
      <c r="F156">
        <v>4</v>
      </c>
      <c r="G156">
        <v>1411.81</v>
      </c>
      <c r="H156" s="42">
        <v>0.96104999999999996</v>
      </c>
      <c r="I156" s="42">
        <v>45476</v>
      </c>
      <c r="J156" s="42">
        <v>0.69972222222222225</v>
      </c>
      <c r="K156" s="42">
        <v>148192</v>
      </c>
      <c r="L156" s="42">
        <v>148192</v>
      </c>
      <c r="M156" s="42">
        <v>148191</v>
      </c>
      <c r="N156" s="42">
        <v>148200</v>
      </c>
      <c r="O156" s="42">
        <v>148199</v>
      </c>
      <c r="P156" s="42">
        <v>148199</v>
      </c>
      <c r="Q156" s="42">
        <v>148201</v>
      </c>
      <c r="R156" s="42">
        <v>148200</v>
      </c>
      <c r="S156" s="42">
        <v>148201</v>
      </c>
      <c r="T156" s="42">
        <v>148201</v>
      </c>
      <c r="U156" s="42">
        <v>148202</v>
      </c>
      <c r="V156" s="42">
        <v>148202</v>
      </c>
      <c r="W156" s="57">
        <f>W155</f>
        <v>0.96097199999999994</v>
      </c>
      <c r="Y156">
        <v>2</v>
      </c>
      <c r="Z156" t="s">
        <v>164</v>
      </c>
      <c r="AA156">
        <v>12672</v>
      </c>
      <c r="AB156">
        <v>192</v>
      </c>
      <c r="AC156">
        <v>1</v>
      </c>
      <c r="AD156">
        <v>4</v>
      </c>
      <c r="AE156">
        <v>1886.37</v>
      </c>
      <c r="AF156" s="48">
        <v>0.71926999999999996</v>
      </c>
      <c r="AG156" s="46">
        <v>45468</v>
      </c>
      <c r="AH156" s="47">
        <v>0.73222222222222222</v>
      </c>
      <c r="AI156">
        <v>216415</v>
      </c>
      <c r="AJ156">
        <v>216415</v>
      </c>
      <c r="AK156">
        <v>216414</v>
      </c>
      <c r="AL156">
        <v>216412</v>
      </c>
      <c r="AM156">
        <v>216413</v>
      </c>
      <c r="AN156">
        <v>216412</v>
      </c>
      <c r="AO156">
        <v>216410</v>
      </c>
      <c r="AP156">
        <v>216410</v>
      </c>
      <c r="AQ156">
        <v>216410</v>
      </c>
      <c r="AR156">
        <v>216413</v>
      </c>
      <c r="AS156">
        <v>216413</v>
      </c>
      <c r="AT156">
        <v>216414</v>
      </c>
      <c r="AU156" s="57">
        <f t="shared" si="56"/>
        <v>0.7455179999999999</v>
      </c>
      <c r="AW156">
        <v>2</v>
      </c>
      <c r="AX156" t="s">
        <v>164</v>
      </c>
      <c r="AY156">
        <v>12640</v>
      </c>
      <c r="AZ156">
        <v>160</v>
      </c>
      <c r="BA156">
        <v>2</v>
      </c>
      <c r="BB156">
        <v>2</v>
      </c>
      <c r="BC156">
        <v>1371.91</v>
      </c>
      <c r="BD156" s="42">
        <v>0.98153000000000001</v>
      </c>
      <c r="BE156" s="57"/>
      <c r="BF156" s="45"/>
      <c r="BG156" s="45"/>
      <c r="BH156" s="45"/>
      <c r="BI156" s="45"/>
      <c r="BJ156" s="45"/>
      <c r="BK156" s="45"/>
      <c r="BL156" s="45"/>
      <c r="BM156" s="45"/>
      <c r="BN156" s="45"/>
      <c r="BO156" s="45"/>
      <c r="BP156" s="45"/>
      <c r="BQ156" s="45"/>
      <c r="BR156" s="45"/>
      <c r="BS156" s="57">
        <f>BS155</f>
        <v>0.98106000000000004</v>
      </c>
    </row>
    <row r="157" spans="1:71" x14ac:dyDescent="0.25">
      <c r="A157">
        <v>3</v>
      </c>
      <c r="B157" t="s">
        <v>164</v>
      </c>
      <c r="C157">
        <v>12672</v>
      </c>
      <c r="D157">
        <v>192</v>
      </c>
      <c r="E157">
        <v>1</v>
      </c>
      <c r="F157">
        <v>4</v>
      </c>
      <c r="G157">
        <v>1411.46</v>
      </c>
      <c r="H157" s="42">
        <v>0.96128000000000002</v>
      </c>
      <c r="I157" s="42">
        <v>45477</v>
      </c>
      <c r="J157" s="42">
        <v>0.68783564814814813</v>
      </c>
      <c r="K157" s="42">
        <v>148169</v>
      </c>
      <c r="L157" s="42">
        <v>148170</v>
      </c>
      <c r="M157" s="42">
        <v>148170</v>
      </c>
      <c r="N157" s="42">
        <v>148171</v>
      </c>
      <c r="O157" s="42">
        <v>148170</v>
      </c>
      <c r="P157" s="42">
        <v>148171</v>
      </c>
      <c r="Q157" s="42">
        <v>148173</v>
      </c>
      <c r="R157" s="42">
        <v>148172</v>
      </c>
      <c r="S157" s="42">
        <v>148172</v>
      </c>
      <c r="T157" s="42">
        <v>148170</v>
      </c>
      <c r="U157" s="42">
        <v>148171</v>
      </c>
      <c r="V157" s="42">
        <v>148171</v>
      </c>
      <c r="W157" s="57">
        <f>W156</f>
        <v>0.96097199999999994</v>
      </c>
      <c r="Y157">
        <v>3</v>
      </c>
      <c r="Z157" t="s">
        <v>164</v>
      </c>
      <c r="AA157">
        <v>12672</v>
      </c>
      <c r="AB157">
        <v>192</v>
      </c>
      <c r="AC157">
        <v>1</v>
      </c>
      <c r="AD157">
        <v>4</v>
      </c>
      <c r="AE157">
        <v>1755.19</v>
      </c>
      <c r="AF157" s="48">
        <v>0.77302999999999999</v>
      </c>
      <c r="AG157" s="46">
        <v>45470</v>
      </c>
      <c r="AH157" s="47">
        <v>9.8819444444444446E-2</v>
      </c>
      <c r="AI157">
        <v>203282</v>
      </c>
      <c r="AJ157">
        <v>203282</v>
      </c>
      <c r="AK157">
        <v>203282</v>
      </c>
      <c r="AL157">
        <v>203285</v>
      </c>
      <c r="AM157">
        <v>203284</v>
      </c>
      <c r="AN157">
        <v>203285</v>
      </c>
      <c r="AO157">
        <v>203285</v>
      </c>
      <c r="AP157">
        <v>203286</v>
      </c>
      <c r="AQ157">
        <v>203285</v>
      </c>
      <c r="AR157">
        <v>203286</v>
      </c>
      <c r="AS157">
        <v>203287</v>
      </c>
      <c r="AT157">
        <v>203287</v>
      </c>
      <c r="AU157" s="57">
        <f t="shared" si="56"/>
        <v>0.7455179999999999</v>
      </c>
      <c r="AW157">
        <v>3</v>
      </c>
      <c r="AX157" t="s">
        <v>164</v>
      </c>
      <c r="AY157">
        <v>12640</v>
      </c>
      <c r="AZ157">
        <v>160</v>
      </c>
      <c r="BA157">
        <v>2</v>
      </c>
      <c r="BB157">
        <v>2</v>
      </c>
      <c r="BC157">
        <v>1376.72</v>
      </c>
      <c r="BD157" s="42">
        <v>0.97809000000000001</v>
      </c>
      <c r="BE157" s="57"/>
      <c r="BF157" s="45"/>
      <c r="BG157" s="45"/>
      <c r="BH157" s="45"/>
      <c r="BI157" s="45"/>
      <c r="BJ157" s="45"/>
      <c r="BK157" s="45"/>
      <c r="BL157" s="45"/>
      <c r="BM157" s="45"/>
      <c r="BN157" s="45"/>
      <c r="BO157" s="45"/>
      <c r="BP157" s="45"/>
      <c r="BQ157" s="45"/>
      <c r="BR157" s="45"/>
      <c r="BS157" s="57">
        <f>BS156</f>
        <v>0.98106000000000004</v>
      </c>
    </row>
    <row r="158" spans="1:71" x14ac:dyDescent="0.25">
      <c r="A158">
        <v>4</v>
      </c>
      <c r="B158" t="s">
        <v>164</v>
      </c>
      <c r="C158">
        <v>12672</v>
      </c>
      <c r="D158">
        <v>192</v>
      </c>
      <c r="E158">
        <v>1</v>
      </c>
      <c r="F158">
        <v>4</v>
      </c>
      <c r="G158">
        <v>1411.56</v>
      </c>
      <c r="H158" s="42">
        <v>0.96121999999999996</v>
      </c>
      <c r="I158" s="42">
        <v>45478</v>
      </c>
      <c r="J158" s="42">
        <v>0.66891203703703705</v>
      </c>
      <c r="K158" s="42">
        <v>148179</v>
      </c>
      <c r="L158" s="42">
        <v>148180</v>
      </c>
      <c r="M158" s="42">
        <v>148179</v>
      </c>
      <c r="N158" s="42">
        <v>148182</v>
      </c>
      <c r="O158" s="42">
        <v>148182</v>
      </c>
      <c r="P158" s="42">
        <v>148181</v>
      </c>
      <c r="Q158" s="42">
        <v>148193</v>
      </c>
      <c r="R158" s="42">
        <v>148192</v>
      </c>
      <c r="S158" s="42">
        <v>148192</v>
      </c>
      <c r="T158" s="42">
        <v>148193</v>
      </c>
      <c r="U158" s="42">
        <v>148193</v>
      </c>
      <c r="V158" s="42">
        <v>148194</v>
      </c>
      <c r="W158" s="57">
        <f>W157</f>
        <v>0.96097199999999994</v>
      </c>
      <c r="Y158">
        <v>4</v>
      </c>
      <c r="Z158" t="s">
        <v>164</v>
      </c>
      <c r="AA158">
        <v>12672</v>
      </c>
      <c r="AB158">
        <v>192</v>
      </c>
      <c r="AC158">
        <v>1</v>
      </c>
      <c r="AD158">
        <v>4</v>
      </c>
      <c r="AE158">
        <v>1889.22</v>
      </c>
      <c r="AF158" s="48">
        <v>0.71819</v>
      </c>
      <c r="AG158" s="46">
        <v>45471</v>
      </c>
      <c r="AH158" s="47">
        <v>0.4523726851851852</v>
      </c>
      <c r="AI158">
        <v>216681</v>
      </c>
      <c r="AJ158">
        <v>216680</v>
      </c>
      <c r="AK158">
        <v>216680</v>
      </c>
      <c r="AL158">
        <v>216709</v>
      </c>
      <c r="AM158">
        <v>216709</v>
      </c>
      <c r="AN158">
        <v>216708</v>
      </c>
      <c r="AO158">
        <v>216711</v>
      </c>
      <c r="AP158">
        <v>216710</v>
      </c>
      <c r="AQ158">
        <v>216711</v>
      </c>
      <c r="AR158">
        <v>216712</v>
      </c>
      <c r="AS158">
        <v>216712</v>
      </c>
      <c r="AT158">
        <v>216713</v>
      </c>
      <c r="AU158" s="57">
        <f t="shared" si="56"/>
        <v>0.7455179999999999</v>
      </c>
      <c r="AW158">
        <v>4</v>
      </c>
      <c r="AX158" t="s">
        <v>164</v>
      </c>
      <c r="AY158">
        <v>12640</v>
      </c>
      <c r="AZ158">
        <v>160</v>
      </c>
      <c r="BA158">
        <v>2</v>
      </c>
      <c r="BB158">
        <v>2</v>
      </c>
      <c r="BC158">
        <v>1368.7</v>
      </c>
      <c r="BD158" s="42">
        <v>0.98382999999999998</v>
      </c>
      <c r="BE158" s="57"/>
      <c r="BF158" s="45"/>
      <c r="BG158" s="45"/>
      <c r="BH158" s="45"/>
      <c r="BI158" s="45"/>
      <c r="BJ158" s="45"/>
      <c r="BK158" s="45"/>
      <c r="BL158" s="45"/>
      <c r="BM158" s="45"/>
      <c r="BN158" s="45"/>
      <c r="BO158" s="45"/>
      <c r="BP158" s="45"/>
      <c r="BQ158" s="45"/>
      <c r="BR158" s="45"/>
      <c r="BS158" s="57">
        <f>BS157</f>
        <v>0.98106000000000004</v>
      </c>
    </row>
    <row r="159" spans="1:71" x14ac:dyDescent="0.25">
      <c r="A159">
        <v>0</v>
      </c>
      <c r="B159" t="s">
        <v>164</v>
      </c>
      <c r="C159">
        <v>13440</v>
      </c>
      <c r="D159">
        <v>192</v>
      </c>
      <c r="E159">
        <v>1</v>
      </c>
      <c r="F159">
        <v>4</v>
      </c>
      <c r="G159">
        <v>1680.8</v>
      </c>
      <c r="H159" s="70">
        <v>0.96308000000000005</v>
      </c>
      <c r="I159" s="42">
        <v>45475</v>
      </c>
      <c r="J159" s="42">
        <v>1.7500000000000002E-2</v>
      </c>
      <c r="K159" s="42">
        <v>176078</v>
      </c>
      <c r="L159" s="42">
        <v>176078</v>
      </c>
      <c r="M159" s="42">
        <v>176077</v>
      </c>
      <c r="N159" s="42">
        <v>176126</v>
      </c>
      <c r="O159" s="42">
        <v>176126</v>
      </c>
      <c r="P159" s="42">
        <v>176125</v>
      </c>
      <c r="Q159" s="42">
        <v>176156</v>
      </c>
      <c r="R159" s="42">
        <v>176155</v>
      </c>
      <c r="S159" s="42">
        <v>176156</v>
      </c>
      <c r="T159" s="42">
        <v>176165</v>
      </c>
      <c r="U159" s="42">
        <v>176165</v>
      </c>
      <c r="V159" s="42">
        <v>176165</v>
      </c>
      <c r="W159" s="57">
        <f>AVERAGE(H159:H163)</f>
        <v>0.96771799999999997</v>
      </c>
      <c r="Y159">
        <v>0</v>
      </c>
      <c r="Z159" t="s">
        <v>164</v>
      </c>
      <c r="AA159">
        <v>13440</v>
      </c>
      <c r="AB159">
        <v>192</v>
      </c>
      <c r="AC159">
        <v>1</v>
      </c>
      <c r="AD159">
        <v>4</v>
      </c>
      <c r="AE159">
        <v>2072.35</v>
      </c>
      <c r="AF159" s="48">
        <v>0.78112000000000004</v>
      </c>
      <c r="AG159" s="46">
        <v>45466</v>
      </c>
      <c r="AH159" s="47">
        <v>0.38392361111111112</v>
      </c>
      <c r="AI159">
        <v>238392</v>
      </c>
      <c r="AJ159">
        <v>238391</v>
      </c>
      <c r="AK159">
        <v>238392</v>
      </c>
      <c r="AL159">
        <v>238436</v>
      </c>
      <c r="AM159">
        <v>238435</v>
      </c>
      <c r="AN159">
        <v>238436</v>
      </c>
      <c r="AO159">
        <v>238437</v>
      </c>
      <c r="AP159">
        <v>238437</v>
      </c>
      <c r="AQ159">
        <v>238438</v>
      </c>
      <c r="AR159">
        <v>238439</v>
      </c>
      <c r="AS159">
        <v>238438</v>
      </c>
      <c r="AT159">
        <v>238439</v>
      </c>
      <c r="AU159" s="57">
        <f t="shared" ref="AU159" si="63">AVERAGE(AF159:AF163)</f>
        <v>0.75047799999999998</v>
      </c>
      <c r="AW159">
        <v>0</v>
      </c>
      <c r="AX159" t="s">
        <v>164</v>
      </c>
      <c r="AY159">
        <v>13440</v>
      </c>
      <c r="AZ159">
        <v>160</v>
      </c>
      <c r="BA159">
        <v>2</v>
      </c>
      <c r="BB159">
        <v>2</v>
      </c>
      <c r="BC159">
        <v>1621.04</v>
      </c>
      <c r="BD159" s="42">
        <v>0.99858999999999998</v>
      </c>
      <c r="BE159" s="57"/>
      <c r="BF159" s="45"/>
      <c r="BG159" s="45"/>
      <c r="BH159" s="45"/>
      <c r="BI159" s="45"/>
      <c r="BJ159" s="45"/>
      <c r="BK159" s="45"/>
      <c r="BL159" s="45"/>
      <c r="BM159" s="45"/>
      <c r="BN159" s="45"/>
      <c r="BO159" s="45"/>
      <c r="BP159" s="45"/>
      <c r="BQ159" s="45"/>
      <c r="BR159" s="45"/>
      <c r="BS159" s="57">
        <f>AVERAGE(BD159:BD163)</f>
        <v>0.99982799999999994</v>
      </c>
    </row>
    <row r="160" spans="1:71" x14ac:dyDescent="0.25">
      <c r="A160">
        <v>1</v>
      </c>
      <c r="B160" t="s">
        <v>164</v>
      </c>
      <c r="C160">
        <v>13440</v>
      </c>
      <c r="D160">
        <v>192</v>
      </c>
      <c r="E160">
        <v>1</v>
      </c>
      <c r="F160">
        <v>4</v>
      </c>
      <c r="G160">
        <v>1677.48</v>
      </c>
      <c r="H160" s="42">
        <v>0.96499000000000001</v>
      </c>
      <c r="I160" s="42">
        <v>45476</v>
      </c>
      <c r="J160" s="42">
        <v>1.2442129629629629E-2</v>
      </c>
      <c r="K160" s="42">
        <v>175766</v>
      </c>
      <c r="L160" s="42">
        <v>175766</v>
      </c>
      <c r="M160" s="42">
        <v>175766</v>
      </c>
      <c r="N160" s="42">
        <v>175802</v>
      </c>
      <c r="O160" s="42">
        <v>175803</v>
      </c>
      <c r="P160" s="42">
        <v>175803</v>
      </c>
      <c r="Q160" s="42">
        <v>175822</v>
      </c>
      <c r="R160" s="42">
        <v>175821</v>
      </c>
      <c r="S160" s="42">
        <v>175821</v>
      </c>
      <c r="T160" s="42">
        <v>175849</v>
      </c>
      <c r="U160" s="42">
        <v>175848</v>
      </c>
      <c r="V160" s="42">
        <v>175849</v>
      </c>
      <c r="W160" s="57">
        <f>W159</f>
        <v>0.96771799999999997</v>
      </c>
      <c r="Y160">
        <v>1</v>
      </c>
      <c r="Z160" t="s">
        <v>164</v>
      </c>
      <c r="AA160">
        <v>13440</v>
      </c>
      <c r="AB160">
        <v>192</v>
      </c>
      <c r="AC160">
        <v>1</v>
      </c>
      <c r="AD160">
        <v>4</v>
      </c>
      <c r="AE160">
        <v>2305.38</v>
      </c>
      <c r="AF160" s="48">
        <v>0.70216000000000001</v>
      </c>
      <c r="AG160" s="46">
        <v>45467</v>
      </c>
      <c r="AH160" s="47">
        <v>0.77895833333333331</v>
      </c>
      <c r="AI160">
        <v>261776</v>
      </c>
      <c r="AJ160">
        <v>261775</v>
      </c>
      <c r="AK160">
        <v>261776</v>
      </c>
      <c r="AL160">
        <v>261806</v>
      </c>
      <c r="AM160">
        <v>261806</v>
      </c>
      <c r="AN160">
        <v>261806</v>
      </c>
      <c r="AO160">
        <v>261807</v>
      </c>
      <c r="AP160">
        <v>261807</v>
      </c>
      <c r="AQ160">
        <v>261808</v>
      </c>
      <c r="AR160">
        <v>261809</v>
      </c>
      <c r="AS160">
        <v>261810</v>
      </c>
      <c r="AT160">
        <v>261810</v>
      </c>
      <c r="AU160" s="57">
        <f t="shared" ref="AU160" si="64">AU159</f>
        <v>0.75047799999999998</v>
      </c>
      <c r="AW160">
        <v>1</v>
      </c>
      <c r="AX160" t="s">
        <v>164</v>
      </c>
      <c r="AY160">
        <v>13440</v>
      </c>
      <c r="AZ160">
        <v>160</v>
      </c>
      <c r="BA160">
        <v>2</v>
      </c>
      <c r="BB160">
        <v>2</v>
      </c>
      <c r="BC160">
        <v>1619.8</v>
      </c>
      <c r="BD160" s="42">
        <v>0.99934999999999996</v>
      </c>
      <c r="BE160" s="57"/>
      <c r="BF160" s="45"/>
      <c r="BG160" s="45"/>
      <c r="BH160" s="45"/>
      <c r="BI160" s="45"/>
      <c r="BJ160" s="45"/>
      <c r="BK160" s="45"/>
      <c r="BL160" s="45"/>
      <c r="BM160" s="45"/>
      <c r="BN160" s="45"/>
      <c r="BO160" s="45"/>
      <c r="BP160" s="45"/>
      <c r="BQ160" s="45"/>
      <c r="BR160" s="45"/>
      <c r="BS160" s="57">
        <f>BS159</f>
        <v>0.99982799999999994</v>
      </c>
    </row>
    <row r="161" spans="1:71" x14ac:dyDescent="0.25">
      <c r="A161">
        <v>2</v>
      </c>
      <c r="B161" t="s">
        <v>164</v>
      </c>
      <c r="C161">
        <v>13440</v>
      </c>
      <c r="D161">
        <v>192</v>
      </c>
      <c r="E161">
        <v>1</v>
      </c>
      <c r="F161">
        <v>4</v>
      </c>
      <c r="G161">
        <v>1676.84</v>
      </c>
      <c r="H161" s="42">
        <v>0.96536</v>
      </c>
      <c r="I161" s="42">
        <v>45477</v>
      </c>
      <c r="J161" s="42">
        <v>4.5949074074074078E-3</v>
      </c>
      <c r="K161" s="42">
        <v>175620</v>
      </c>
      <c r="L161" s="42">
        <v>175619</v>
      </c>
      <c r="M161" s="42">
        <v>175620</v>
      </c>
      <c r="N161" s="42">
        <v>175665</v>
      </c>
      <c r="O161" s="42">
        <v>175666</v>
      </c>
      <c r="P161" s="42">
        <v>175666</v>
      </c>
      <c r="Q161" s="42">
        <v>175692</v>
      </c>
      <c r="R161" s="42">
        <v>175691</v>
      </c>
      <c r="S161" s="42">
        <v>175692</v>
      </c>
      <c r="T161" s="42">
        <v>175699</v>
      </c>
      <c r="U161" s="42">
        <v>175699</v>
      </c>
      <c r="V161" s="42">
        <v>175699</v>
      </c>
      <c r="W161" s="57">
        <f>W160</f>
        <v>0.96771799999999997</v>
      </c>
      <c r="Y161">
        <v>2</v>
      </c>
      <c r="Z161" t="s">
        <v>164</v>
      </c>
      <c r="AA161">
        <v>13440</v>
      </c>
      <c r="AB161">
        <v>192</v>
      </c>
      <c r="AC161">
        <v>1</v>
      </c>
      <c r="AD161">
        <v>4</v>
      </c>
      <c r="AE161">
        <v>2076.86</v>
      </c>
      <c r="AF161" s="48">
        <v>0.77942</v>
      </c>
      <c r="AG161" s="46">
        <v>45469</v>
      </c>
      <c r="AH161" s="47">
        <v>0.14993055555555557</v>
      </c>
      <c r="AI161">
        <v>238808</v>
      </c>
      <c r="AJ161">
        <v>238807</v>
      </c>
      <c r="AK161">
        <v>238807</v>
      </c>
      <c r="AL161">
        <v>238844</v>
      </c>
      <c r="AM161">
        <v>238844</v>
      </c>
      <c r="AN161">
        <v>238843</v>
      </c>
      <c r="AO161">
        <v>238846</v>
      </c>
      <c r="AP161">
        <v>238845</v>
      </c>
      <c r="AQ161">
        <v>238846</v>
      </c>
      <c r="AR161">
        <v>238846</v>
      </c>
      <c r="AS161">
        <v>238847</v>
      </c>
      <c r="AT161">
        <v>238846</v>
      </c>
      <c r="AU161" s="57">
        <f t="shared" si="56"/>
        <v>0.75047799999999998</v>
      </c>
      <c r="AW161">
        <v>2</v>
      </c>
      <c r="AX161" t="s">
        <v>164</v>
      </c>
      <c r="AY161">
        <v>13440</v>
      </c>
      <c r="AZ161">
        <v>160</v>
      </c>
      <c r="BA161">
        <v>2</v>
      </c>
      <c r="BB161">
        <v>2</v>
      </c>
      <c r="BC161">
        <v>1618.05</v>
      </c>
      <c r="BD161" s="42">
        <v>1.0004</v>
      </c>
      <c r="BE161" s="57"/>
      <c r="BF161" s="45"/>
      <c r="BG161" s="45"/>
      <c r="BH161" s="45"/>
      <c r="BI161" s="45"/>
      <c r="BJ161" s="45"/>
      <c r="BK161" s="45"/>
      <c r="BL161" s="45"/>
      <c r="BM161" s="45"/>
      <c r="BN161" s="45"/>
      <c r="BO161" s="45"/>
      <c r="BP161" s="45"/>
      <c r="BQ161" s="45"/>
      <c r="BR161" s="45"/>
      <c r="BS161" s="57">
        <f>BS160</f>
        <v>0.99982799999999994</v>
      </c>
    </row>
    <row r="162" spans="1:71" x14ac:dyDescent="0.25">
      <c r="A162">
        <v>3</v>
      </c>
      <c r="B162" t="s">
        <v>164</v>
      </c>
      <c r="C162">
        <v>13440</v>
      </c>
      <c r="D162">
        <v>192</v>
      </c>
      <c r="E162">
        <v>1</v>
      </c>
      <c r="F162">
        <v>4</v>
      </c>
      <c r="G162">
        <v>1663.77</v>
      </c>
      <c r="H162" s="42">
        <v>0.97294000000000003</v>
      </c>
      <c r="I162" s="42">
        <v>45477</v>
      </c>
      <c r="J162" s="42">
        <v>0.99263888888888885</v>
      </c>
      <c r="K162" s="42">
        <v>174216</v>
      </c>
      <c r="L162" s="42">
        <v>174216</v>
      </c>
      <c r="M162" s="42">
        <v>174216</v>
      </c>
      <c r="N162" s="42">
        <v>174234</v>
      </c>
      <c r="O162" s="42">
        <v>174233</v>
      </c>
      <c r="P162" s="42">
        <v>174234</v>
      </c>
      <c r="Q162" s="42">
        <v>174236</v>
      </c>
      <c r="R162" s="42">
        <v>174236</v>
      </c>
      <c r="S162" s="42">
        <v>174235</v>
      </c>
      <c r="T162" s="42">
        <v>174242</v>
      </c>
      <c r="U162" s="42">
        <v>174242</v>
      </c>
      <c r="V162" s="42">
        <v>174242</v>
      </c>
      <c r="W162" s="57">
        <f>W161</f>
        <v>0.96771799999999997</v>
      </c>
      <c r="Y162">
        <v>3</v>
      </c>
      <c r="Z162" t="s">
        <v>164</v>
      </c>
      <c r="AA162">
        <v>13440</v>
      </c>
      <c r="AB162">
        <v>192</v>
      </c>
      <c r="AC162">
        <v>1</v>
      </c>
      <c r="AD162">
        <v>4</v>
      </c>
      <c r="AE162">
        <v>2086.94</v>
      </c>
      <c r="AF162" s="48">
        <v>0.77566000000000002</v>
      </c>
      <c r="AG162" s="46">
        <v>45470</v>
      </c>
      <c r="AH162" s="47">
        <v>0.51398148148148148</v>
      </c>
      <c r="AI162">
        <v>239923</v>
      </c>
      <c r="AJ162">
        <v>239922</v>
      </c>
      <c r="AK162">
        <v>239922</v>
      </c>
      <c r="AL162">
        <v>239942</v>
      </c>
      <c r="AM162">
        <v>239941</v>
      </c>
      <c r="AN162">
        <v>239941</v>
      </c>
      <c r="AO162">
        <v>239942</v>
      </c>
      <c r="AP162">
        <v>239943</v>
      </c>
      <c r="AQ162">
        <v>239943</v>
      </c>
      <c r="AR162">
        <v>239944</v>
      </c>
      <c r="AS162">
        <v>239945</v>
      </c>
      <c r="AT162">
        <v>239945</v>
      </c>
      <c r="AU162" s="57">
        <f t="shared" si="56"/>
        <v>0.75047799999999998</v>
      </c>
      <c r="AW162">
        <v>3</v>
      </c>
      <c r="AX162" t="s">
        <v>164</v>
      </c>
      <c r="AY162">
        <v>13440</v>
      </c>
      <c r="AZ162">
        <v>160</v>
      </c>
      <c r="BA162">
        <v>2</v>
      </c>
      <c r="BB162">
        <v>2</v>
      </c>
      <c r="BC162">
        <v>1617.95</v>
      </c>
      <c r="BD162" s="42">
        <v>1.0004999999999999</v>
      </c>
      <c r="BE162" s="57"/>
      <c r="BF162" s="45"/>
      <c r="BG162" s="45"/>
      <c r="BH162" s="45"/>
      <c r="BI162" s="45"/>
      <c r="BJ162" s="45"/>
      <c r="BK162" s="45"/>
      <c r="BL162" s="45"/>
      <c r="BM162" s="45"/>
      <c r="BN162" s="45"/>
      <c r="BO162" s="45"/>
      <c r="BP162" s="45"/>
      <c r="BQ162" s="45"/>
      <c r="BR162" s="45"/>
      <c r="BS162" s="57">
        <f>BS161</f>
        <v>0.99982799999999994</v>
      </c>
    </row>
    <row r="163" spans="1:71" x14ac:dyDescent="0.25">
      <c r="A163">
        <v>4</v>
      </c>
      <c r="B163" t="s">
        <v>164</v>
      </c>
      <c r="C163">
        <v>13440</v>
      </c>
      <c r="D163">
        <v>192</v>
      </c>
      <c r="E163">
        <v>1</v>
      </c>
      <c r="F163">
        <v>4</v>
      </c>
      <c r="G163">
        <v>1665</v>
      </c>
      <c r="H163" s="42">
        <v>0.97221999999999997</v>
      </c>
      <c r="I163" s="42">
        <v>45478</v>
      </c>
      <c r="J163" s="42">
        <v>0.97351851851851856</v>
      </c>
      <c r="K163" s="42">
        <v>174308</v>
      </c>
      <c r="L163" s="42">
        <v>174307</v>
      </c>
      <c r="M163" s="42">
        <v>174308</v>
      </c>
      <c r="N163" s="42">
        <v>174339</v>
      </c>
      <c r="O163" s="42">
        <v>174338</v>
      </c>
      <c r="P163" s="42">
        <v>174338</v>
      </c>
      <c r="Q163" s="42">
        <v>174340</v>
      </c>
      <c r="R163" s="42">
        <v>174340</v>
      </c>
      <c r="S163" s="42">
        <v>174340</v>
      </c>
      <c r="T163" s="42">
        <v>174375</v>
      </c>
      <c r="U163" s="42">
        <v>174375</v>
      </c>
      <c r="V163" s="42">
        <v>174374</v>
      </c>
      <c r="W163" s="57">
        <f>W162</f>
        <v>0.96771799999999997</v>
      </c>
      <c r="Y163">
        <v>4</v>
      </c>
      <c r="Z163" t="s">
        <v>164</v>
      </c>
      <c r="AA163">
        <v>13440</v>
      </c>
      <c r="AB163">
        <v>192</v>
      </c>
      <c r="AC163">
        <v>1</v>
      </c>
      <c r="AD163">
        <v>4</v>
      </c>
      <c r="AE163">
        <v>2267.0500000000002</v>
      </c>
      <c r="AF163" s="48">
        <v>0.71403000000000005</v>
      </c>
      <c r="AG163" s="46">
        <v>45471</v>
      </c>
      <c r="AH163" s="47">
        <v>0.87791666666666668</v>
      </c>
      <c r="AI163">
        <v>258047</v>
      </c>
      <c r="AJ163">
        <v>258047</v>
      </c>
      <c r="AK163">
        <v>258048</v>
      </c>
      <c r="AL163">
        <v>258102</v>
      </c>
      <c r="AM163">
        <v>258103</v>
      </c>
      <c r="AN163">
        <v>258102</v>
      </c>
      <c r="AO163">
        <v>258103</v>
      </c>
      <c r="AP163">
        <v>258103</v>
      </c>
      <c r="AQ163">
        <v>258103</v>
      </c>
      <c r="AR163">
        <v>258103</v>
      </c>
      <c r="AS163">
        <v>258103</v>
      </c>
      <c r="AT163">
        <v>258103</v>
      </c>
      <c r="AU163" s="57">
        <f t="shared" si="56"/>
        <v>0.75047799999999998</v>
      </c>
      <c r="AW163">
        <v>4</v>
      </c>
      <c r="AX163" t="s">
        <v>164</v>
      </c>
      <c r="AY163">
        <v>13440</v>
      </c>
      <c r="AZ163">
        <v>160</v>
      </c>
      <c r="BA163">
        <v>2</v>
      </c>
      <c r="BB163">
        <v>2</v>
      </c>
      <c r="BC163">
        <v>1618.32</v>
      </c>
      <c r="BD163" s="42">
        <v>1.0003</v>
      </c>
      <c r="BE163" s="57"/>
      <c r="BF163" s="45"/>
      <c r="BG163" s="45"/>
      <c r="BH163" s="45"/>
      <c r="BI163" s="45"/>
      <c r="BJ163" s="45"/>
      <c r="BK163" s="45"/>
      <c r="BL163" s="45"/>
      <c r="BM163" s="45"/>
      <c r="BN163" s="45"/>
      <c r="BO163" s="45"/>
      <c r="BP163" s="45"/>
      <c r="BQ163" s="45"/>
      <c r="BR163" s="45"/>
      <c r="BS163" s="57">
        <f>BS162</f>
        <v>0.99982799999999994</v>
      </c>
    </row>
    <row r="164" spans="1:71" x14ac:dyDescent="0.25">
      <c r="A164">
        <v>0</v>
      </c>
      <c r="B164" t="s">
        <v>164</v>
      </c>
      <c r="C164">
        <v>14208</v>
      </c>
      <c r="D164">
        <v>192</v>
      </c>
      <c r="E164">
        <v>1</v>
      </c>
      <c r="F164">
        <v>4</v>
      </c>
      <c r="G164">
        <v>2363.8200000000002</v>
      </c>
      <c r="H164" s="70">
        <v>0.80903000000000003</v>
      </c>
      <c r="I164" s="42">
        <v>45475</v>
      </c>
      <c r="J164" s="42">
        <v>0.38915509259259257</v>
      </c>
      <c r="K164" s="42">
        <v>247174</v>
      </c>
      <c r="L164" s="42">
        <v>247174</v>
      </c>
      <c r="M164" s="42">
        <v>247175</v>
      </c>
      <c r="N164" s="42">
        <v>247238</v>
      </c>
      <c r="O164" s="42">
        <v>247238</v>
      </c>
      <c r="P164" s="42">
        <v>247238</v>
      </c>
      <c r="Q164" s="42">
        <v>247278</v>
      </c>
      <c r="R164" s="42">
        <v>247278</v>
      </c>
      <c r="S164" s="42">
        <v>247278</v>
      </c>
      <c r="T164" s="42">
        <v>247339</v>
      </c>
      <c r="U164" s="42">
        <v>247339</v>
      </c>
      <c r="V164" s="42">
        <v>247340</v>
      </c>
      <c r="W164" s="57">
        <f>AVERAGE(H164:H168)</f>
        <v>0.84265600000000007</v>
      </c>
      <c r="Y164">
        <v>0</v>
      </c>
      <c r="Z164" t="s">
        <v>164</v>
      </c>
      <c r="AA164">
        <v>14208</v>
      </c>
      <c r="AB164">
        <v>192</v>
      </c>
      <c r="AC164">
        <v>1</v>
      </c>
      <c r="AD164">
        <v>4</v>
      </c>
      <c r="AE164">
        <v>3231.66</v>
      </c>
      <c r="AF164" s="48">
        <v>0.59177000000000002</v>
      </c>
      <c r="AG164" s="46">
        <v>45466</v>
      </c>
      <c r="AH164" s="47">
        <v>0.90785879629629629</v>
      </c>
      <c r="AI164">
        <v>358279</v>
      </c>
      <c r="AJ164">
        <v>358278</v>
      </c>
      <c r="AK164">
        <v>358278</v>
      </c>
      <c r="AL164">
        <v>358327</v>
      </c>
      <c r="AM164">
        <v>358326</v>
      </c>
      <c r="AN164">
        <v>358326</v>
      </c>
      <c r="AO164">
        <v>358380</v>
      </c>
      <c r="AP164">
        <v>358380</v>
      </c>
      <c r="AQ164">
        <v>358379</v>
      </c>
      <c r="AR164">
        <v>358443</v>
      </c>
      <c r="AS164">
        <v>358443</v>
      </c>
      <c r="AT164">
        <v>358443</v>
      </c>
      <c r="AU164" s="57">
        <f t="shared" ref="AU164" si="65">AVERAGE(AF164:AF168)</f>
        <v>0.60215799999999997</v>
      </c>
      <c r="AW164">
        <v>0</v>
      </c>
      <c r="AX164" t="s">
        <v>164</v>
      </c>
      <c r="AY164">
        <v>14080</v>
      </c>
      <c r="AZ164">
        <v>160</v>
      </c>
      <c r="BA164">
        <v>2</v>
      </c>
      <c r="BB164">
        <v>2</v>
      </c>
      <c r="BC164">
        <v>1883.22</v>
      </c>
      <c r="BD164" s="42">
        <v>0.98829</v>
      </c>
      <c r="BE164" s="57"/>
      <c r="BF164" s="45"/>
      <c r="BG164" s="45"/>
      <c r="BH164" s="45"/>
      <c r="BI164" s="45"/>
      <c r="BJ164" s="45"/>
      <c r="BK164" s="45"/>
      <c r="BL164" s="45"/>
      <c r="BM164" s="45"/>
      <c r="BN164" s="45"/>
      <c r="BO164" s="45"/>
      <c r="BP164" s="45"/>
      <c r="BQ164" s="45"/>
      <c r="BR164" s="45"/>
      <c r="BS164" s="57">
        <f>AVERAGE(BD164:BD168)</f>
        <v>0.98947800000000008</v>
      </c>
    </row>
    <row r="165" spans="1:71" x14ac:dyDescent="0.25">
      <c r="A165">
        <v>1</v>
      </c>
      <c r="B165" t="s">
        <v>164</v>
      </c>
      <c r="C165">
        <v>14208</v>
      </c>
      <c r="D165">
        <v>192</v>
      </c>
      <c r="E165">
        <v>1</v>
      </c>
      <c r="F165">
        <v>4</v>
      </c>
      <c r="G165">
        <v>2316.8000000000002</v>
      </c>
      <c r="H165" s="42">
        <v>0.82543999999999995</v>
      </c>
      <c r="I165" s="42">
        <v>45476</v>
      </c>
      <c r="J165" s="42">
        <v>0.3825925925925926</v>
      </c>
      <c r="K165" s="42">
        <v>241554</v>
      </c>
      <c r="L165" s="42">
        <v>241554</v>
      </c>
      <c r="M165" s="42">
        <v>241553</v>
      </c>
      <c r="N165" s="42">
        <v>241612</v>
      </c>
      <c r="O165" s="42">
        <v>241612</v>
      </c>
      <c r="P165" s="42">
        <v>241612</v>
      </c>
      <c r="Q165" s="42">
        <v>241670</v>
      </c>
      <c r="R165" s="42">
        <v>241670</v>
      </c>
      <c r="S165" s="42">
        <v>241670</v>
      </c>
      <c r="T165" s="42">
        <v>241744</v>
      </c>
      <c r="U165" s="42">
        <v>241744</v>
      </c>
      <c r="V165" s="42">
        <v>241744</v>
      </c>
      <c r="W165" s="57">
        <f>W164</f>
        <v>0.84265600000000007</v>
      </c>
      <c r="Y165">
        <v>1</v>
      </c>
      <c r="Z165" t="s">
        <v>164</v>
      </c>
      <c r="AA165">
        <v>14208</v>
      </c>
      <c r="AB165">
        <v>192</v>
      </c>
      <c r="AC165">
        <v>1</v>
      </c>
      <c r="AD165">
        <v>4</v>
      </c>
      <c r="AE165">
        <v>3471.57</v>
      </c>
      <c r="AF165" s="48">
        <v>0.55086999999999997</v>
      </c>
      <c r="AG165" s="46">
        <v>45468</v>
      </c>
      <c r="AH165" s="47">
        <v>0.29174768518518518</v>
      </c>
      <c r="AI165">
        <v>382657</v>
      </c>
      <c r="AJ165">
        <v>382657</v>
      </c>
      <c r="AK165">
        <v>382657</v>
      </c>
      <c r="AL165">
        <v>382701</v>
      </c>
      <c r="AM165">
        <v>382700</v>
      </c>
      <c r="AN165">
        <v>382701</v>
      </c>
      <c r="AO165">
        <v>382741</v>
      </c>
      <c r="AP165">
        <v>382742</v>
      </c>
      <c r="AQ165">
        <v>382741</v>
      </c>
      <c r="AR165">
        <v>382796</v>
      </c>
      <c r="AS165">
        <v>382797</v>
      </c>
      <c r="AT165">
        <v>382796</v>
      </c>
      <c r="AU165" s="57">
        <f t="shared" ref="AU165" si="66">AU164</f>
        <v>0.60215799999999997</v>
      </c>
      <c r="AW165">
        <v>1</v>
      </c>
      <c r="AX165" t="s">
        <v>164</v>
      </c>
      <c r="AY165">
        <v>14080</v>
      </c>
      <c r="AZ165">
        <v>160</v>
      </c>
      <c r="BA165">
        <v>2</v>
      </c>
      <c r="BB165">
        <v>2</v>
      </c>
      <c r="BC165">
        <v>1881.63</v>
      </c>
      <c r="BD165" s="42">
        <v>0.98912999999999995</v>
      </c>
      <c r="BE165" s="57"/>
      <c r="BF165" s="45"/>
      <c r="BG165" s="45"/>
      <c r="BH165" s="45"/>
      <c r="BI165" s="45"/>
      <c r="BJ165" s="45"/>
      <c r="BK165" s="45"/>
      <c r="BL165" s="45"/>
      <c r="BM165" s="45"/>
      <c r="BN165" s="45"/>
      <c r="BO165" s="45"/>
      <c r="BP165" s="45"/>
      <c r="BQ165" s="45"/>
      <c r="BR165" s="45"/>
      <c r="BS165" s="57">
        <f>BS164</f>
        <v>0.98947800000000008</v>
      </c>
    </row>
    <row r="166" spans="1:71" x14ac:dyDescent="0.25">
      <c r="A166">
        <v>2</v>
      </c>
      <c r="B166" t="s">
        <v>164</v>
      </c>
      <c r="C166">
        <v>14208</v>
      </c>
      <c r="D166">
        <v>192</v>
      </c>
      <c r="E166">
        <v>1</v>
      </c>
      <c r="F166">
        <v>4</v>
      </c>
      <c r="G166">
        <v>2248.25</v>
      </c>
      <c r="H166" s="42">
        <v>0.85060999999999998</v>
      </c>
      <c r="I166" s="42">
        <v>45477</v>
      </c>
      <c r="J166" s="42">
        <v>0.37231481481481482</v>
      </c>
      <c r="K166" s="42">
        <v>234853</v>
      </c>
      <c r="L166" s="42">
        <v>234853</v>
      </c>
      <c r="M166" s="42">
        <v>234854</v>
      </c>
      <c r="N166" s="42">
        <v>234914</v>
      </c>
      <c r="O166" s="42">
        <v>234914</v>
      </c>
      <c r="P166" s="42">
        <v>234913</v>
      </c>
      <c r="Q166" s="42">
        <v>234976</v>
      </c>
      <c r="R166" s="42">
        <v>234976</v>
      </c>
      <c r="S166" s="42">
        <v>234976</v>
      </c>
      <c r="T166" s="42">
        <v>235054</v>
      </c>
      <c r="U166" s="42">
        <v>235054</v>
      </c>
      <c r="V166" s="42">
        <v>235054</v>
      </c>
      <c r="W166" s="57">
        <f>W165</f>
        <v>0.84265600000000007</v>
      </c>
      <c r="Y166">
        <v>2</v>
      </c>
      <c r="Z166" t="s">
        <v>164</v>
      </c>
      <c r="AA166">
        <v>14208</v>
      </c>
      <c r="AB166">
        <v>192</v>
      </c>
      <c r="AC166">
        <v>1</v>
      </c>
      <c r="AD166">
        <v>4</v>
      </c>
      <c r="AE166">
        <v>3274.1</v>
      </c>
      <c r="AF166" s="48">
        <v>0.58409999999999995</v>
      </c>
      <c r="AG166" s="46">
        <v>45469</v>
      </c>
      <c r="AH166" s="47">
        <v>0.66530092592592593</v>
      </c>
      <c r="AI166">
        <v>362849</v>
      </c>
      <c r="AJ166">
        <v>362849</v>
      </c>
      <c r="AK166">
        <v>362848</v>
      </c>
      <c r="AL166">
        <v>362895</v>
      </c>
      <c r="AM166">
        <v>362895</v>
      </c>
      <c r="AN166">
        <v>362896</v>
      </c>
      <c r="AO166">
        <v>362946</v>
      </c>
      <c r="AP166">
        <v>362945</v>
      </c>
      <c r="AQ166">
        <v>362945</v>
      </c>
      <c r="AR166">
        <v>363022</v>
      </c>
      <c r="AS166">
        <v>363022</v>
      </c>
      <c r="AT166">
        <v>363023</v>
      </c>
      <c r="AU166" s="57">
        <f t="shared" si="56"/>
        <v>0.60215799999999997</v>
      </c>
      <c r="AW166">
        <v>2</v>
      </c>
      <c r="AX166" t="s">
        <v>164</v>
      </c>
      <c r="AY166">
        <v>14080</v>
      </c>
      <c r="AZ166">
        <v>160</v>
      </c>
      <c r="BA166">
        <v>2</v>
      </c>
      <c r="BB166">
        <v>2</v>
      </c>
      <c r="BC166">
        <v>1879.76</v>
      </c>
      <c r="BD166" s="42">
        <v>0.99011000000000005</v>
      </c>
      <c r="BE166" s="57"/>
      <c r="BF166" s="45"/>
      <c r="BG166" s="45"/>
      <c r="BH166" s="45"/>
      <c r="BI166" s="45"/>
      <c r="BJ166" s="45"/>
      <c r="BK166" s="45"/>
      <c r="BL166" s="45"/>
      <c r="BM166" s="45"/>
      <c r="BN166" s="45"/>
      <c r="BO166" s="45"/>
      <c r="BP166" s="45"/>
      <c r="BQ166" s="45"/>
      <c r="BR166" s="45"/>
      <c r="BS166" s="57">
        <f>BS165</f>
        <v>0.98947800000000008</v>
      </c>
    </row>
    <row r="167" spans="1:71" x14ac:dyDescent="0.25">
      <c r="A167">
        <v>3</v>
      </c>
      <c r="B167" t="s">
        <v>164</v>
      </c>
      <c r="C167">
        <v>14208</v>
      </c>
      <c r="D167">
        <v>192</v>
      </c>
      <c r="E167">
        <v>1</v>
      </c>
      <c r="F167">
        <v>4</v>
      </c>
      <c r="G167">
        <v>2314.2600000000002</v>
      </c>
      <c r="H167" s="42">
        <v>0.82635000000000003</v>
      </c>
      <c r="I167" s="42">
        <v>45478</v>
      </c>
      <c r="J167" s="42">
        <v>0.35944444444444446</v>
      </c>
      <c r="K167" s="42">
        <v>240533</v>
      </c>
      <c r="L167" s="42">
        <v>240532</v>
      </c>
      <c r="M167" s="42">
        <v>240533</v>
      </c>
      <c r="N167" s="42">
        <v>240583</v>
      </c>
      <c r="O167" s="42">
        <v>240583</v>
      </c>
      <c r="P167" s="42">
        <v>240583</v>
      </c>
      <c r="Q167" s="42">
        <v>240637</v>
      </c>
      <c r="R167" s="42">
        <v>240637</v>
      </c>
      <c r="S167" s="42">
        <v>240636</v>
      </c>
      <c r="T167" s="42">
        <v>240702</v>
      </c>
      <c r="U167" s="42">
        <v>240702</v>
      </c>
      <c r="V167" s="42">
        <v>240703</v>
      </c>
      <c r="W167" s="57">
        <f>W166</f>
        <v>0.84265600000000007</v>
      </c>
      <c r="Y167">
        <v>3</v>
      </c>
      <c r="Z167" t="s">
        <v>164</v>
      </c>
      <c r="AA167">
        <v>14208</v>
      </c>
      <c r="AB167">
        <v>192</v>
      </c>
      <c r="AC167">
        <v>1</v>
      </c>
      <c r="AD167">
        <v>4</v>
      </c>
      <c r="AE167">
        <v>2802.28</v>
      </c>
      <c r="AF167" s="48">
        <v>0.68244000000000005</v>
      </c>
      <c r="AG167" s="46">
        <v>45471</v>
      </c>
      <c r="AH167" s="47">
        <v>1.8541666666666668E-2</v>
      </c>
      <c r="AI167">
        <v>316787</v>
      </c>
      <c r="AJ167">
        <v>316787</v>
      </c>
      <c r="AK167">
        <v>316787</v>
      </c>
      <c r="AL167">
        <v>316834</v>
      </c>
      <c r="AM167">
        <v>316834</v>
      </c>
      <c r="AN167">
        <v>316834</v>
      </c>
      <c r="AO167">
        <v>316881</v>
      </c>
      <c r="AP167">
        <v>316880</v>
      </c>
      <c r="AQ167">
        <v>316881</v>
      </c>
      <c r="AR167">
        <v>316957</v>
      </c>
      <c r="AS167">
        <v>316957</v>
      </c>
      <c r="AT167">
        <v>316957</v>
      </c>
      <c r="AU167" s="57">
        <f t="shared" si="56"/>
        <v>0.60215799999999997</v>
      </c>
      <c r="AW167">
        <v>3</v>
      </c>
      <c r="AX167" t="s">
        <v>164</v>
      </c>
      <c r="AY167">
        <v>14080</v>
      </c>
      <c r="AZ167">
        <v>160</v>
      </c>
      <c r="BA167">
        <v>2</v>
      </c>
      <c r="BB167">
        <v>2</v>
      </c>
      <c r="BC167">
        <v>1881.43</v>
      </c>
      <c r="BD167" s="42">
        <v>0.98923000000000005</v>
      </c>
      <c r="BE167" s="57"/>
      <c r="BF167" s="45"/>
      <c r="BG167" s="45"/>
      <c r="BH167" s="45"/>
      <c r="BI167" s="45"/>
      <c r="BJ167" s="45"/>
      <c r="BK167" s="45"/>
      <c r="BL167" s="45"/>
      <c r="BM167" s="45"/>
      <c r="BN167" s="45"/>
      <c r="BO167" s="45"/>
      <c r="BP167" s="45"/>
      <c r="BQ167" s="45"/>
      <c r="BR167" s="45"/>
      <c r="BS167" s="57">
        <f>BS166</f>
        <v>0.98947800000000008</v>
      </c>
    </row>
    <row r="168" spans="1:71" x14ac:dyDescent="0.25">
      <c r="A168">
        <v>4</v>
      </c>
      <c r="B168" t="s">
        <v>164</v>
      </c>
      <c r="C168">
        <v>14208</v>
      </c>
      <c r="D168">
        <v>192</v>
      </c>
      <c r="E168">
        <v>1</v>
      </c>
      <c r="F168">
        <v>4</v>
      </c>
      <c r="G168">
        <v>2120.52</v>
      </c>
      <c r="H168" s="42">
        <v>0.90185000000000004</v>
      </c>
      <c r="I168" s="42">
        <v>45479</v>
      </c>
      <c r="J168" s="42">
        <v>0.33803240740740742</v>
      </c>
      <c r="K168" s="42">
        <v>222291</v>
      </c>
      <c r="L168" s="42">
        <v>222291</v>
      </c>
      <c r="M168" s="42">
        <v>222291</v>
      </c>
      <c r="N168" s="42">
        <v>222350</v>
      </c>
      <c r="O168" s="42">
        <v>222350</v>
      </c>
      <c r="P168" s="42">
        <v>222350</v>
      </c>
      <c r="Q168" s="42">
        <v>222403</v>
      </c>
      <c r="R168" s="42">
        <v>222403</v>
      </c>
      <c r="S168" s="42">
        <v>222403</v>
      </c>
      <c r="T168" s="42">
        <v>222466</v>
      </c>
      <c r="U168" s="42">
        <v>222466</v>
      </c>
      <c r="V168" s="42">
        <v>222466</v>
      </c>
      <c r="W168" s="57">
        <f>W167</f>
        <v>0.84265600000000007</v>
      </c>
      <c r="Y168">
        <v>4</v>
      </c>
      <c r="Z168" t="s">
        <v>164</v>
      </c>
      <c r="AA168">
        <v>14208</v>
      </c>
      <c r="AB168">
        <v>192</v>
      </c>
      <c r="AC168">
        <v>1</v>
      </c>
      <c r="AD168">
        <v>4</v>
      </c>
      <c r="AE168">
        <v>3178.76</v>
      </c>
      <c r="AF168" s="48">
        <v>0.60160999999999998</v>
      </c>
      <c r="AG168" s="46">
        <v>45472</v>
      </c>
      <c r="AH168" s="47">
        <v>0.38361111111111112</v>
      </c>
      <c r="AI168">
        <v>353778</v>
      </c>
      <c r="AJ168">
        <v>353778</v>
      </c>
      <c r="AK168">
        <v>353778</v>
      </c>
      <c r="AL168">
        <v>353841</v>
      </c>
      <c r="AM168">
        <v>353841</v>
      </c>
      <c r="AN168">
        <v>353842</v>
      </c>
      <c r="AO168">
        <v>353896</v>
      </c>
      <c r="AP168">
        <v>353895</v>
      </c>
      <c r="AQ168">
        <v>353895</v>
      </c>
      <c r="AR168">
        <v>353973</v>
      </c>
      <c r="AS168">
        <v>353973</v>
      </c>
      <c r="AT168">
        <v>353972</v>
      </c>
      <c r="AU168" s="57">
        <f t="shared" si="56"/>
        <v>0.60215799999999997</v>
      </c>
      <c r="AW168">
        <v>4</v>
      </c>
      <c r="AX168" t="s">
        <v>164</v>
      </c>
      <c r="AY168">
        <v>14080</v>
      </c>
      <c r="AZ168">
        <v>160</v>
      </c>
      <c r="BA168">
        <v>2</v>
      </c>
      <c r="BB168">
        <v>2</v>
      </c>
      <c r="BC168">
        <v>1878.78</v>
      </c>
      <c r="BD168" s="42">
        <v>0.99063000000000001</v>
      </c>
      <c r="BE168" s="57"/>
      <c r="BF168" s="45"/>
      <c r="BG168" s="45"/>
      <c r="BH168" s="45"/>
      <c r="BI168" s="45"/>
      <c r="BJ168" s="45"/>
      <c r="BK168" s="45"/>
      <c r="BL168" s="45"/>
      <c r="BM168" s="45"/>
      <c r="BN168" s="45"/>
      <c r="BO168" s="45"/>
      <c r="BP168" s="45"/>
      <c r="BQ168" s="45"/>
      <c r="BR168" s="45"/>
      <c r="BS168" s="57">
        <f>BS167</f>
        <v>0.98947800000000008</v>
      </c>
    </row>
    <row r="169" spans="1:71" x14ac:dyDescent="0.25">
      <c r="A169">
        <v>0</v>
      </c>
      <c r="B169" t="s">
        <v>164</v>
      </c>
      <c r="C169">
        <v>12672</v>
      </c>
      <c r="D169">
        <v>192</v>
      </c>
      <c r="E169">
        <v>2</v>
      </c>
      <c r="F169">
        <v>2</v>
      </c>
      <c r="G169">
        <v>1373.27</v>
      </c>
      <c r="H169" s="70">
        <v>0.98802000000000001</v>
      </c>
      <c r="I169" s="42">
        <v>45474</v>
      </c>
      <c r="J169" s="42">
        <v>0.72961805555555559</v>
      </c>
      <c r="K169" s="42">
        <v>144080</v>
      </c>
      <c r="L169" s="42">
        <v>144080</v>
      </c>
      <c r="M169" s="42">
        <v>144080</v>
      </c>
      <c r="N169" s="42">
        <v>144081</v>
      </c>
      <c r="O169" s="42">
        <v>144082</v>
      </c>
      <c r="P169" s="42">
        <v>144082</v>
      </c>
      <c r="Q169" s="42">
        <v>144088</v>
      </c>
      <c r="R169" s="42">
        <v>144087</v>
      </c>
      <c r="S169" s="42">
        <v>144087</v>
      </c>
      <c r="T169" s="42">
        <v>144089</v>
      </c>
      <c r="U169" s="42">
        <v>144089</v>
      </c>
      <c r="V169" s="42">
        <v>144090</v>
      </c>
      <c r="W169" s="57">
        <f>AVERAGE(H169:H173)</f>
        <v>0.98912000000000011</v>
      </c>
      <c r="Y169">
        <v>0</v>
      </c>
      <c r="Z169" t="s">
        <v>164</v>
      </c>
      <c r="AA169">
        <v>12672</v>
      </c>
      <c r="AB169">
        <v>192</v>
      </c>
      <c r="AC169">
        <v>2</v>
      </c>
      <c r="AD169">
        <v>2</v>
      </c>
      <c r="AE169">
        <v>1710.16</v>
      </c>
      <c r="AF169" s="48">
        <v>0.79339000000000004</v>
      </c>
      <c r="AG169" s="46">
        <v>45465</v>
      </c>
      <c r="AH169" s="47">
        <v>0.98984953703703704</v>
      </c>
      <c r="AI169">
        <v>198047</v>
      </c>
      <c r="AJ169">
        <v>198048</v>
      </c>
      <c r="AK169">
        <v>198048</v>
      </c>
      <c r="AL169">
        <v>198049</v>
      </c>
      <c r="AM169">
        <v>198049</v>
      </c>
      <c r="AN169">
        <v>198048</v>
      </c>
      <c r="AO169">
        <v>198047</v>
      </c>
      <c r="AP169">
        <v>198046</v>
      </c>
      <c r="AQ169">
        <v>198046</v>
      </c>
      <c r="AR169">
        <v>198047</v>
      </c>
      <c r="AS169">
        <v>198048</v>
      </c>
      <c r="AT169">
        <v>198048</v>
      </c>
      <c r="AU169" s="57">
        <f t="shared" ref="AU169" si="67">AVERAGE(AF169:AF173)</f>
        <v>0.76050400000000007</v>
      </c>
    </row>
    <row r="170" spans="1:71" x14ac:dyDescent="0.25">
      <c r="A170">
        <v>1</v>
      </c>
      <c r="B170" t="s">
        <v>164</v>
      </c>
      <c r="C170">
        <v>12672</v>
      </c>
      <c r="D170">
        <v>192</v>
      </c>
      <c r="E170">
        <v>2</v>
      </c>
      <c r="F170">
        <v>2</v>
      </c>
      <c r="G170">
        <v>1371.31</v>
      </c>
      <c r="H170" s="42">
        <v>0.98943000000000003</v>
      </c>
      <c r="I170" s="42">
        <v>45475</v>
      </c>
      <c r="J170" s="42">
        <v>0.72438657407407403</v>
      </c>
      <c r="K170" s="42">
        <v>143911</v>
      </c>
      <c r="L170" s="42">
        <v>143912</v>
      </c>
      <c r="M170" s="42">
        <v>143911</v>
      </c>
      <c r="N170" s="42">
        <v>143913</v>
      </c>
      <c r="O170" s="42">
        <v>143913</v>
      </c>
      <c r="P170" s="42">
        <v>143912</v>
      </c>
      <c r="Q170" s="42">
        <v>143919</v>
      </c>
      <c r="R170" s="42">
        <v>143918</v>
      </c>
      <c r="S170" s="42">
        <v>143918</v>
      </c>
      <c r="T170" s="42">
        <v>143915</v>
      </c>
      <c r="U170" s="42">
        <v>143915</v>
      </c>
      <c r="V170" s="42">
        <v>143914</v>
      </c>
      <c r="W170" s="57">
        <f>W169</f>
        <v>0.98912000000000011</v>
      </c>
      <c r="Y170">
        <v>1</v>
      </c>
      <c r="Z170" t="s">
        <v>164</v>
      </c>
      <c r="AA170">
        <v>12672</v>
      </c>
      <c r="AB170">
        <v>192</v>
      </c>
      <c r="AC170">
        <v>2</v>
      </c>
      <c r="AD170">
        <v>2</v>
      </c>
      <c r="AE170">
        <v>1776.91</v>
      </c>
      <c r="AF170" s="48">
        <v>0.76358000000000004</v>
      </c>
      <c r="AG170" s="46">
        <v>45467</v>
      </c>
      <c r="AH170" s="47">
        <v>0.38005787037037037</v>
      </c>
      <c r="AI170">
        <v>204732</v>
      </c>
      <c r="AJ170">
        <v>204732</v>
      </c>
      <c r="AK170">
        <v>204732</v>
      </c>
      <c r="AL170">
        <v>204734</v>
      </c>
      <c r="AM170">
        <v>204734</v>
      </c>
      <c r="AN170">
        <v>204734</v>
      </c>
      <c r="AO170">
        <v>204735</v>
      </c>
      <c r="AP170">
        <v>204736</v>
      </c>
      <c r="AQ170">
        <v>204736</v>
      </c>
      <c r="AR170">
        <v>204761</v>
      </c>
      <c r="AS170">
        <v>204761</v>
      </c>
      <c r="AT170">
        <v>204762</v>
      </c>
      <c r="AU170" s="57">
        <f t="shared" ref="AU170" si="68">AU169</f>
        <v>0.76050400000000007</v>
      </c>
    </row>
    <row r="171" spans="1:71" x14ac:dyDescent="0.25">
      <c r="A171">
        <v>2</v>
      </c>
      <c r="B171" t="s">
        <v>164</v>
      </c>
      <c r="C171">
        <v>12672</v>
      </c>
      <c r="D171">
        <v>192</v>
      </c>
      <c r="E171">
        <v>2</v>
      </c>
      <c r="F171">
        <v>2</v>
      </c>
      <c r="G171">
        <v>1372.06</v>
      </c>
      <c r="H171" s="42">
        <v>0.98889000000000005</v>
      </c>
      <c r="I171" s="42">
        <v>45476</v>
      </c>
      <c r="J171" s="42">
        <v>0.71645833333333331</v>
      </c>
      <c r="K171" s="42">
        <v>143984</v>
      </c>
      <c r="L171" s="42">
        <v>143984</v>
      </c>
      <c r="M171" s="42">
        <v>143984</v>
      </c>
      <c r="N171" s="42">
        <v>143986</v>
      </c>
      <c r="O171" s="42">
        <v>143986</v>
      </c>
      <c r="P171" s="42">
        <v>143986</v>
      </c>
      <c r="Q171" s="42">
        <v>143996</v>
      </c>
      <c r="R171" s="42">
        <v>143995</v>
      </c>
      <c r="S171" s="42">
        <v>143996</v>
      </c>
      <c r="T171" s="42">
        <v>143999</v>
      </c>
      <c r="U171" s="42">
        <v>143999</v>
      </c>
      <c r="V171" s="42">
        <v>144000</v>
      </c>
      <c r="W171" s="57">
        <f>W170</f>
        <v>0.98912000000000011</v>
      </c>
      <c r="Y171">
        <v>2</v>
      </c>
      <c r="Z171" t="s">
        <v>164</v>
      </c>
      <c r="AA171">
        <v>12672</v>
      </c>
      <c r="AB171">
        <v>192</v>
      </c>
      <c r="AC171">
        <v>2</v>
      </c>
      <c r="AD171">
        <v>2</v>
      </c>
      <c r="AE171">
        <v>1803.36</v>
      </c>
      <c r="AF171" s="48">
        <v>0.75238000000000005</v>
      </c>
      <c r="AG171" s="46">
        <v>45468</v>
      </c>
      <c r="AH171" s="47">
        <v>0.75629629629629624</v>
      </c>
      <c r="AI171">
        <v>207380</v>
      </c>
      <c r="AJ171">
        <v>207380</v>
      </c>
      <c r="AK171">
        <v>207380</v>
      </c>
      <c r="AL171">
        <v>207386</v>
      </c>
      <c r="AM171">
        <v>207386</v>
      </c>
      <c r="AN171">
        <v>207387</v>
      </c>
      <c r="AO171">
        <v>207387</v>
      </c>
      <c r="AP171">
        <v>207388</v>
      </c>
      <c r="AQ171">
        <v>207388</v>
      </c>
      <c r="AR171">
        <v>207393</v>
      </c>
      <c r="AS171">
        <v>207393</v>
      </c>
      <c r="AT171">
        <v>207392</v>
      </c>
      <c r="AU171" s="57">
        <f t="shared" si="56"/>
        <v>0.76050400000000007</v>
      </c>
    </row>
    <row r="172" spans="1:71" x14ac:dyDescent="0.25">
      <c r="A172">
        <v>3</v>
      </c>
      <c r="B172" t="s">
        <v>164</v>
      </c>
      <c r="C172">
        <v>12672</v>
      </c>
      <c r="D172">
        <v>192</v>
      </c>
      <c r="E172">
        <v>2</v>
      </c>
      <c r="F172">
        <v>2</v>
      </c>
      <c r="G172">
        <v>1372.52</v>
      </c>
      <c r="H172" s="42">
        <v>0.98855999999999999</v>
      </c>
      <c r="I172" s="42">
        <v>45477</v>
      </c>
      <c r="J172" s="42">
        <v>0.70458333333333334</v>
      </c>
      <c r="K172" s="42">
        <v>144110</v>
      </c>
      <c r="L172" s="42">
        <v>144109</v>
      </c>
      <c r="M172" s="42">
        <v>144109</v>
      </c>
      <c r="N172" s="42">
        <v>144111</v>
      </c>
      <c r="O172" s="42">
        <v>144110</v>
      </c>
      <c r="P172" s="42">
        <v>144111</v>
      </c>
      <c r="Q172" s="42">
        <v>144119</v>
      </c>
      <c r="R172" s="42">
        <v>144120</v>
      </c>
      <c r="S172" s="42">
        <v>144119</v>
      </c>
      <c r="T172" s="42">
        <v>144131</v>
      </c>
      <c r="U172" s="42">
        <v>144131</v>
      </c>
      <c r="V172" s="42">
        <v>144131</v>
      </c>
      <c r="W172" s="57">
        <f>W171</f>
        <v>0.98912000000000011</v>
      </c>
      <c r="Y172">
        <v>3</v>
      </c>
      <c r="Z172" t="s">
        <v>164</v>
      </c>
      <c r="AA172">
        <v>12672</v>
      </c>
      <c r="AB172">
        <v>192</v>
      </c>
      <c r="AC172">
        <v>2</v>
      </c>
      <c r="AD172">
        <v>2</v>
      </c>
      <c r="AE172">
        <v>1761.47</v>
      </c>
      <c r="AF172" s="48">
        <v>0.77027999999999996</v>
      </c>
      <c r="AG172" s="46">
        <v>45470</v>
      </c>
      <c r="AH172" s="47">
        <v>0.12239583333333333</v>
      </c>
      <c r="AI172">
        <v>203184</v>
      </c>
      <c r="AJ172">
        <v>203184</v>
      </c>
      <c r="AK172">
        <v>203183</v>
      </c>
      <c r="AL172">
        <v>203181</v>
      </c>
      <c r="AM172">
        <v>203180</v>
      </c>
      <c r="AN172">
        <v>203181</v>
      </c>
      <c r="AO172">
        <v>203182</v>
      </c>
      <c r="AP172">
        <v>203183</v>
      </c>
      <c r="AQ172">
        <v>203183</v>
      </c>
      <c r="AR172">
        <v>203184</v>
      </c>
      <c r="AS172">
        <v>203185</v>
      </c>
      <c r="AT172">
        <v>203185</v>
      </c>
      <c r="AU172" s="57">
        <f t="shared" si="56"/>
        <v>0.76050400000000007</v>
      </c>
    </row>
    <row r="173" spans="1:71" x14ac:dyDescent="0.25">
      <c r="A173">
        <v>4</v>
      </c>
      <c r="B173" t="s">
        <v>164</v>
      </c>
      <c r="C173">
        <v>12672</v>
      </c>
      <c r="D173">
        <v>192</v>
      </c>
      <c r="E173">
        <v>2</v>
      </c>
      <c r="F173">
        <v>2</v>
      </c>
      <c r="G173">
        <v>1369.55</v>
      </c>
      <c r="H173" s="42">
        <v>0.99070000000000003</v>
      </c>
      <c r="I173" s="42">
        <v>45478</v>
      </c>
      <c r="J173" s="42">
        <v>0.68561342592592589</v>
      </c>
      <c r="K173" s="42">
        <v>143749</v>
      </c>
      <c r="L173" s="42">
        <v>143749</v>
      </c>
      <c r="M173" s="42">
        <v>143748</v>
      </c>
      <c r="N173" s="42">
        <v>143746</v>
      </c>
      <c r="O173" s="42">
        <v>143746</v>
      </c>
      <c r="P173" s="42">
        <v>143746</v>
      </c>
      <c r="Q173" s="42">
        <v>143749</v>
      </c>
      <c r="R173" s="42">
        <v>143748</v>
      </c>
      <c r="S173" s="42">
        <v>143748</v>
      </c>
      <c r="T173" s="42">
        <v>143751</v>
      </c>
      <c r="U173" s="42">
        <v>143751</v>
      </c>
      <c r="V173" s="42">
        <v>143751</v>
      </c>
      <c r="W173" s="57">
        <f>W172</f>
        <v>0.98912000000000011</v>
      </c>
      <c r="Y173">
        <v>4</v>
      </c>
      <c r="Z173" t="s">
        <v>164</v>
      </c>
      <c r="AA173">
        <v>12672</v>
      </c>
      <c r="AB173">
        <v>192</v>
      </c>
      <c r="AC173">
        <v>2</v>
      </c>
      <c r="AD173">
        <v>2</v>
      </c>
      <c r="AE173">
        <v>1876.93</v>
      </c>
      <c r="AF173" s="48">
        <v>0.72289000000000003</v>
      </c>
      <c r="AG173" s="46">
        <v>45471</v>
      </c>
      <c r="AH173" s="47">
        <v>0.47729166666666667</v>
      </c>
      <c r="AI173">
        <v>214719</v>
      </c>
      <c r="AJ173">
        <v>214719</v>
      </c>
      <c r="AK173">
        <v>214719</v>
      </c>
      <c r="AL173">
        <v>214724</v>
      </c>
      <c r="AM173">
        <v>214724</v>
      </c>
      <c r="AN173">
        <v>214724</v>
      </c>
      <c r="AO173">
        <v>214725</v>
      </c>
      <c r="AP173">
        <v>214725</v>
      </c>
      <c r="AQ173">
        <v>214725</v>
      </c>
      <c r="AR173">
        <v>214734</v>
      </c>
      <c r="AS173">
        <v>214735</v>
      </c>
      <c r="AT173">
        <v>214735</v>
      </c>
      <c r="AU173" s="57">
        <f t="shared" si="56"/>
        <v>0.76050400000000007</v>
      </c>
    </row>
    <row r="174" spans="1:71" x14ac:dyDescent="0.25">
      <c r="A174">
        <v>0</v>
      </c>
      <c r="B174" t="s">
        <v>164</v>
      </c>
      <c r="C174">
        <v>13440</v>
      </c>
      <c r="D174">
        <v>192</v>
      </c>
      <c r="E174">
        <v>2</v>
      </c>
      <c r="F174">
        <v>2</v>
      </c>
      <c r="G174">
        <v>1621.84</v>
      </c>
      <c r="H174" s="70">
        <v>0.99809000000000003</v>
      </c>
      <c r="I174" s="42">
        <v>45475</v>
      </c>
      <c r="J174" s="42">
        <v>3.7210648148148145E-2</v>
      </c>
      <c r="K174" s="42">
        <v>169719</v>
      </c>
      <c r="L174" s="42">
        <v>169719</v>
      </c>
      <c r="M174" s="42">
        <v>169719</v>
      </c>
      <c r="N174" s="42">
        <v>169724</v>
      </c>
      <c r="O174" s="42">
        <v>169724</v>
      </c>
      <c r="P174" s="42">
        <v>169724</v>
      </c>
      <c r="Q174" s="42">
        <v>169726</v>
      </c>
      <c r="R174" s="42">
        <v>169726</v>
      </c>
      <c r="S174" s="42">
        <v>169727</v>
      </c>
      <c r="T174" s="42">
        <v>169750</v>
      </c>
      <c r="U174" s="42">
        <v>169750</v>
      </c>
      <c r="V174" s="42">
        <v>169750</v>
      </c>
      <c r="W174" s="57">
        <f>AVERAGE(H174:H178)</f>
        <v>0.99756</v>
      </c>
      <c r="Y174">
        <v>0</v>
      </c>
      <c r="Z174" t="s">
        <v>164</v>
      </c>
      <c r="AA174">
        <v>13440</v>
      </c>
      <c r="AB174">
        <v>192</v>
      </c>
      <c r="AC174">
        <v>2</v>
      </c>
      <c r="AD174">
        <v>2</v>
      </c>
      <c r="AE174">
        <v>2044.11</v>
      </c>
      <c r="AF174" s="48">
        <v>0.79191</v>
      </c>
      <c r="AG174" s="46">
        <v>45466</v>
      </c>
      <c r="AH174" s="47">
        <v>0.41119212962962964</v>
      </c>
      <c r="AI174">
        <v>234869</v>
      </c>
      <c r="AJ174">
        <v>234869</v>
      </c>
      <c r="AK174">
        <v>234868</v>
      </c>
      <c r="AL174">
        <v>234888</v>
      </c>
      <c r="AM174">
        <v>234887</v>
      </c>
      <c r="AN174">
        <v>234887</v>
      </c>
      <c r="AO174">
        <v>234911</v>
      </c>
      <c r="AP174">
        <v>234910</v>
      </c>
      <c r="AQ174">
        <v>234911</v>
      </c>
      <c r="AR174">
        <v>234956</v>
      </c>
      <c r="AS174">
        <v>234956</v>
      </c>
      <c r="AT174">
        <v>234956</v>
      </c>
      <c r="AU174" s="57">
        <f t="shared" ref="AU174" si="69">AVERAGE(AF174:AF178)</f>
        <v>0.77928200000000003</v>
      </c>
    </row>
    <row r="175" spans="1:71" x14ac:dyDescent="0.25">
      <c r="A175">
        <v>1</v>
      </c>
      <c r="B175" t="s">
        <v>164</v>
      </c>
      <c r="C175">
        <v>13440</v>
      </c>
      <c r="D175">
        <v>192</v>
      </c>
      <c r="E175">
        <v>2</v>
      </c>
      <c r="F175">
        <v>2</v>
      </c>
      <c r="G175">
        <v>1619.5</v>
      </c>
      <c r="H175" s="42">
        <v>0.99953000000000003</v>
      </c>
      <c r="I175" s="42">
        <v>45476</v>
      </c>
      <c r="J175" s="42">
        <v>3.2129629629629633E-2</v>
      </c>
      <c r="K175" s="42">
        <v>169490</v>
      </c>
      <c r="L175" s="42">
        <v>169490</v>
      </c>
      <c r="M175" s="42">
        <v>169491</v>
      </c>
      <c r="N175" s="42">
        <v>169515</v>
      </c>
      <c r="O175" s="42">
        <v>169515</v>
      </c>
      <c r="P175" s="42">
        <v>169515</v>
      </c>
      <c r="Q175" s="42">
        <v>169526</v>
      </c>
      <c r="R175" s="42">
        <v>169525</v>
      </c>
      <c r="S175" s="42">
        <v>169526</v>
      </c>
      <c r="T175" s="42">
        <v>169536</v>
      </c>
      <c r="U175" s="42">
        <v>169536</v>
      </c>
      <c r="V175" s="42">
        <v>169537</v>
      </c>
      <c r="W175" s="57">
        <f>W174</f>
        <v>0.99756</v>
      </c>
      <c r="Y175">
        <v>1</v>
      </c>
      <c r="Z175" t="s">
        <v>164</v>
      </c>
      <c r="AA175">
        <v>13440</v>
      </c>
      <c r="AB175">
        <v>192</v>
      </c>
      <c r="AC175">
        <v>2</v>
      </c>
      <c r="AD175">
        <v>2</v>
      </c>
      <c r="AE175">
        <v>2045.71</v>
      </c>
      <c r="AF175" s="48">
        <v>0.79129000000000005</v>
      </c>
      <c r="AG175" s="46">
        <v>45467</v>
      </c>
      <c r="AH175" s="47">
        <v>0.80623842592592587</v>
      </c>
      <c r="AI175">
        <v>235041</v>
      </c>
      <c r="AJ175">
        <v>235041</v>
      </c>
      <c r="AK175">
        <v>235040</v>
      </c>
      <c r="AL175">
        <v>235056</v>
      </c>
      <c r="AM175">
        <v>235056</v>
      </c>
      <c r="AN175">
        <v>235057</v>
      </c>
      <c r="AO175">
        <v>235098</v>
      </c>
      <c r="AP175">
        <v>235099</v>
      </c>
      <c r="AQ175">
        <v>235099</v>
      </c>
      <c r="AR175">
        <v>235113</v>
      </c>
      <c r="AS175">
        <v>235113</v>
      </c>
      <c r="AT175">
        <v>235114</v>
      </c>
      <c r="AU175" s="57">
        <f t="shared" ref="AU175" si="70">AU174</f>
        <v>0.77928200000000003</v>
      </c>
    </row>
    <row r="176" spans="1:71" x14ac:dyDescent="0.25">
      <c r="A176">
        <v>2</v>
      </c>
      <c r="B176" t="s">
        <v>164</v>
      </c>
      <c r="C176">
        <v>13440</v>
      </c>
      <c r="D176">
        <v>192</v>
      </c>
      <c r="E176">
        <v>2</v>
      </c>
      <c r="F176">
        <v>2</v>
      </c>
      <c r="G176">
        <v>1621.09</v>
      </c>
      <c r="H176" s="42">
        <v>0.99856</v>
      </c>
      <c r="I176" s="42">
        <v>45477</v>
      </c>
      <c r="J176" s="42">
        <v>2.4305555555555556E-2</v>
      </c>
      <c r="K176" s="42">
        <v>169672</v>
      </c>
      <c r="L176" s="42">
        <v>169672</v>
      </c>
      <c r="M176" s="42">
        <v>169672</v>
      </c>
      <c r="N176" s="42">
        <v>169682</v>
      </c>
      <c r="O176" s="42">
        <v>169681</v>
      </c>
      <c r="P176" s="42">
        <v>169682</v>
      </c>
      <c r="Q176" s="42">
        <v>169702</v>
      </c>
      <c r="R176" s="42">
        <v>169701</v>
      </c>
      <c r="S176" s="42">
        <v>169701</v>
      </c>
      <c r="T176" s="42">
        <v>169735</v>
      </c>
      <c r="U176" s="42">
        <v>169735</v>
      </c>
      <c r="V176" s="42">
        <v>169736</v>
      </c>
      <c r="W176" s="57">
        <f>W175</f>
        <v>0.99756</v>
      </c>
      <c r="Y176">
        <v>2</v>
      </c>
      <c r="Z176" t="s">
        <v>164</v>
      </c>
      <c r="AA176">
        <v>13440</v>
      </c>
      <c r="AB176">
        <v>192</v>
      </c>
      <c r="AC176">
        <v>2</v>
      </c>
      <c r="AD176">
        <v>2</v>
      </c>
      <c r="AE176">
        <v>2119.5300000000002</v>
      </c>
      <c r="AF176" s="48">
        <v>0.76373000000000002</v>
      </c>
      <c r="AG176" s="46">
        <v>45469</v>
      </c>
      <c r="AH176" s="47">
        <v>0.17805555555555555</v>
      </c>
      <c r="AI176">
        <v>242273</v>
      </c>
      <c r="AJ176">
        <v>242273</v>
      </c>
      <c r="AK176">
        <v>242274</v>
      </c>
      <c r="AL176">
        <v>242284</v>
      </c>
      <c r="AM176">
        <v>242284</v>
      </c>
      <c r="AN176">
        <v>242283</v>
      </c>
      <c r="AO176">
        <v>242311</v>
      </c>
      <c r="AP176">
        <v>242311</v>
      </c>
      <c r="AQ176">
        <v>242311</v>
      </c>
      <c r="AR176">
        <v>242339</v>
      </c>
      <c r="AS176">
        <v>242339</v>
      </c>
      <c r="AT176">
        <v>242339</v>
      </c>
      <c r="AU176" s="57">
        <f t="shared" si="56"/>
        <v>0.77928200000000003</v>
      </c>
    </row>
    <row r="177" spans="1:47" x14ac:dyDescent="0.25">
      <c r="A177">
        <v>3</v>
      </c>
      <c r="B177" t="s">
        <v>164</v>
      </c>
      <c r="C177">
        <v>13440</v>
      </c>
      <c r="D177">
        <v>192</v>
      </c>
      <c r="E177">
        <v>2</v>
      </c>
      <c r="F177">
        <v>2</v>
      </c>
      <c r="G177">
        <v>1633.42</v>
      </c>
      <c r="H177" s="42">
        <v>0.99102000000000001</v>
      </c>
      <c r="I177" s="42">
        <v>45478</v>
      </c>
      <c r="J177" s="42">
        <v>1.2523148148148148E-2</v>
      </c>
      <c r="K177" s="42">
        <v>171109</v>
      </c>
      <c r="L177" s="42">
        <v>171109</v>
      </c>
      <c r="M177" s="42">
        <v>171108</v>
      </c>
      <c r="N177" s="42">
        <v>171137</v>
      </c>
      <c r="O177" s="42">
        <v>171137</v>
      </c>
      <c r="P177" s="42">
        <v>171137</v>
      </c>
      <c r="Q177" s="42">
        <v>171167</v>
      </c>
      <c r="R177" s="42">
        <v>171167</v>
      </c>
      <c r="S177" s="42">
        <v>171167</v>
      </c>
      <c r="T177" s="42">
        <v>171203</v>
      </c>
      <c r="U177" s="42">
        <v>171202</v>
      </c>
      <c r="V177" s="42">
        <v>171203</v>
      </c>
      <c r="W177" s="57">
        <f>W176</f>
        <v>0.99756</v>
      </c>
      <c r="Y177">
        <v>3</v>
      </c>
      <c r="Z177" t="s">
        <v>164</v>
      </c>
      <c r="AA177">
        <v>13440</v>
      </c>
      <c r="AB177">
        <v>192</v>
      </c>
      <c r="AC177">
        <v>2</v>
      </c>
      <c r="AD177">
        <v>2</v>
      </c>
      <c r="AE177">
        <v>2083.94</v>
      </c>
      <c r="AF177" s="48">
        <v>0.77676999999999996</v>
      </c>
      <c r="AG177" s="46">
        <v>45470</v>
      </c>
      <c r="AH177" s="47">
        <v>0.54168981481481482</v>
      </c>
      <c r="AI177">
        <v>238772</v>
      </c>
      <c r="AJ177">
        <v>238772</v>
      </c>
      <c r="AK177">
        <v>238771</v>
      </c>
      <c r="AL177">
        <v>238775</v>
      </c>
      <c r="AM177">
        <v>238775</v>
      </c>
      <c r="AN177">
        <v>238775</v>
      </c>
      <c r="AO177">
        <v>238802</v>
      </c>
      <c r="AP177">
        <v>238802</v>
      </c>
      <c r="AQ177">
        <v>238801</v>
      </c>
      <c r="AR177">
        <v>238838</v>
      </c>
      <c r="AS177">
        <v>238838</v>
      </c>
      <c r="AT177">
        <v>238837</v>
      </c>
      <c r="AU177" s="57">
        <f t="shared" si="56"/>
        <v>0.77928200000000003</v>
      </c>
    </row>
    <row r="178" spans="1:47" x14ac:dyDescent="0.25">
      <c r="A178">
        <v>4</v>
      </c>
      <c r="B178" t="s">
        <v>164</v>
      </c>
      <c r="C178">
        <v>13440</v>
      </c>
      <c r="D178">
        <v>192</v>
      </c>
      <c r="E178">
        <v>2</v>
      </c>
      <c r="F178">
        <v>2</v>
      </c>
      <c r="G178">
        <v>1617.83</v>
      </c>
      <c r="H178" s="42">
        <v>1.0005999999999999</v>
      </c>
      <c r="I178" s="42">
        <v>45478</v>
      </c>
      <c r="J178" s="42">
        <v>0.99319444444444449</v>
      </c>
      <c r="K178" s="42">
        <v>169327</v>
      </c>
      <c r="L178" s="42">
        <v>169328</v>
      </c>
      <c r="M178" s="42">
        <v>169327</v>
      </c>
      <c r="N178" s="42">
        <v>169330</v>
      </c>
      <c r="O178" s="42">
        <v>169329</v>
      </c>
      <c r="P178" s="42">
        <v>169330</v>
      </c>
      <c r="Q178" s="42">
        <v>169339</v>
      </c>
      <c r="R178" s="42">
        <v>169339</v>
      </c>
      <c r="S178" s="42">
        <v>169339</v>
      </c>
      <c r="T178" s="42">
        <v>169341</v>
      </c>
      <c r="U178" s="42">
        <v>169340</v>
      </c>
      <c r="V178" s="42">
        <v>169340</v>
      </c>
      <c r="W178" s="57">
        <f>W177</f>
        <v>0.99756</v>
      </c>
      <c r="Y178">
        <v>4</v>
      </c>
      <c r="Z178" t="s">
        <v>164</v>
      </c>
      <c r="AA178">
        <v>13440</v>
      </c>
      <c r="AB178">
        <v>192</v>
      </c>
      <c r="AC178">
        <v>2</v>
      </c>
      <c r="AD178">
        <v>2</v>
      </c>
      <c r="AE178">
        <v>2094.9</v>
      </c>
      <c r="AF178" s="48">
        <v>0.77271000000000001</v>
      </c>
      <c r="AG178" s="46">
        <v>45471</v>
      </c>
      <c r="AH178" s="47">
        <v>0.90577546296296296</v>
      </c>
      <c r="AI178">
        <v>240090</v>
      </c>
      <c r="AJ178">
        <v>240090</v>
      </c>
      <c r="AK178">
        <v>240090</v>
      </c>
      <c r="AL178">
        <v>240116</v>
      </c>
      <c r="AM178">
        <v>240115</v>
      </c>
      <c r="AN178">
        <v>240116</v>
      </c>
      <c r="AO178">
        <v>240155</v>
      </c>
      <c r="AP178">
        <v>240155</v>
      </c>
      <c r="AQ178">
        <v>240154</v>
      </c>
      <c r="AR178">
        <v>240181</v>
      </c>
      <c r="AS178">
        <v>240181</v>
      </c>
      <c r="AT178">
        <v>240181</v>
      </c>
      <c r="AU178" s="57">
        <f t="shared" si="56"/>
        <v>0.77928200000000003</v>
      </c>
    </row>
    <row r="179" spans="1:47" x14ac:dyDescent="0.25">
      <c r="A179">
        <v>0</v>
      </c>
      <c r="B179" t="s">
        <v>164</v>
      </c>
      <c r="C179">
        <v>14208</v>
      </c>
      <c r="D179">
        <v>192</v>
      </c>
      <c r="E179">
        <v>2</v>
      </c>
      <c r="F179">
        <v>2</v>
      </c>
      <c r="G179">
        <v>1963.37</v>
      </c>
      <c r="H179" s="42">
        <v>0.97402999999999995</v>
      </c>
      <c r="I179" s="42">
        <v>45475</v>
      </c>
      <c r="J179" s="42">
        <v>0.41311342592592593</v>
      </c>
      <c r="K179" s="42">
        <v>206162</v>
      </c>
      <c r="L179" s="42">
        <v>206162</v>
      </c>
      <c r="M179" s="42">
        <v>206162</v>
      </c>
      <c r="N179" s="42">
        <v>206222</v>
      </c>
      <c r="O179" s="42">
        <v>206222</v>
      </c>
      <c r="P179" s="42">
        <v>206221</v>
      </c>
      <c r="Q179" s="42">
        <v>206282</v>
      </c>
      <c r="R179" s="42">
        <v>206282</v>
      </c>
      <c r="S179" s="42">
        <v>206281</v>
      </c>
      <c r="T179" s="42">
        <v>206366</v>
      </c>
      <c r="U179" s="42">
        <v>206366</v>
      </c>
      <c r="V179" s="42">
        <v>206365</v>
      </c>
      <c r="W179" s="57">
        <f>AVERAGE(H179:H183)</f>
        <v>0.9868300000000001</v>
      </c>
      <c r="Y179">
        <v>0</v>
      </c>
      <c r="Z179" t="s">
        <v>164</v>
      </c>
      <c r="AA179">
        <v>14208</v>
      </c>
      <c r="AB179">
        <v>192</v>
      </c>
      <c r="AC179">
        <v>2</v>
      </c>
      <c r="AD179">
        <v>2</v>
      </c>
      <c r="AE179">
        <v>2951.98</v>
      </c>
      <c r="AF179" s="48">
        <v>0.64783000000000002</v>
      </c>
      <c r="AG179" s="46">
        <v>45466</v>
      </c>
      <c r="AH179" s="47">
        <v>0.9460763888888889</v>
      </c>
      <c r="AI179">
        <v>329399</v>
      </c>
      <c r="AJ179">
        <v>329398</v>
      </c>
      <c r="AK179">
        <v>329398</v>
      </c>
      <c r="AL179">
        <v>329451</v>
      </c>
      <c r="AM179">
        <v>329450</v>
      </c>
      <c r="AN179">
        <v>329451</v>
      </c>
      <c r="AO179">
        <v>329504</v>
      </c>
      <c r="AP179">
        <v>329504</v>
      </c>
      <c r="AQ179">
        <v>329504</v>
      </c>
      <c r="AR179">
        <v>329573</v>
      </c>
      <c r="AS179">
        <v>329574</v>
      </c>
      <c r="AT179">
        <v>329574</v>
      </c>
      <c r="AU179" s="57">
        <f t="shared" ref="AU179" si="71">AVERAGE(AF179:AF183)</f>
        <v>0.68303000000000014</v>
      </c>
    </row>
    <row r="180" spans="1:47" x14ac:dyDescent="0.25">
      <c r="A180">
        <v>1</v>
      </c>
      <c r="B180" t="s">
        <v>164</v>
      </c>
      <c r="C180">
        <v>14208</v>
      </c>
      <c r="D180">
        <v>192</v>
      </c>
      <c r="E180">
        <v>2</v>
      </c>
      <c r="F180">
        <v>2</v>
      </c>
      <c r="G180">
        <v>1942.44</v>
      </c>
      <c r="H180" s="42">
        <v>0.98453000000000002</v>
      </c>
      <c r="I180" s="42">
        <v>45476</v>
      </c>
      <c r="J180" s="42">
        <v>0.40622685185185187</v>
      </c>
      <c r="K180" s="42">
        <v>203424</v>
      </c>
      <c r="L180" s="42">
        <v>203424</v>
      </c>
      <c r="M180" s="42">
        <v>203424</v>
      </c>
      <c r="N180" s="42">
        <v>203477</v>
      </c>
      <c r="O180" s="42">
        <v>203476</v>
      </c>
      <c r="P180" s="42">
        <v>203476</v>
      </c>
      <c r="Q180" s="42">
        <v>203528</v>
      </c>
      <c r="R180" s="42">
        <v>203528</v>
      </c>
      <c r="S180" s="42">
        <v>203528</v>
      </c>
      <c r="T180" s="42">
        <v>203601</v>
      </c>
      <c r="U180" s="42">
        <v>203600</v>
      </c>
      <c r="V180" s="42">
        <v>203601</v>
      </c>
      <c r="W180" s="57">
        <f>W179</f>
        <v>0.9868300000000001</v>
      </c>
      <c r="Y180">
        <v>1</v>
      </c>
      <c r="Z180" t="s">
        <v>164</v>
      </c>
      <c r="AA180">
        <v>14208</v>
      </c>
      <c r="AB180">
        <v>192</v>
      </c>
      <c r="AC180">
        <v>2</v>
      </c>
      <c r="AD180">
        <v>2</v>
      </c>
      <c r="AE180">
        <v>3063.24</v>
      </c>
      <c r="AF180" s="48">
        <v>0.62429999999999997</v>
      </c>
      <c r="AG180" s="46">
        <v>45468</v>
      </c>
      <c r="AH180" s="47">
        <v>0.33130787037037035</v>
      </c>
      <c r="AI180">
        <v>341075</v>
      </c>
      <c r="AJ180">
        <v>341074</v>
      </c>
      <c r="AK180">
        <v>341075</v>
      </c>
      <c r="AL180">
        <v>341122</v>
      </c>
      <c r="AM180">
        <v>341122</v>
      </c>
      <c r="AN180">
        <v>341123</v>
      </c>
      <c r="AO180">
        <v>341178</v>
      </c>
      <c r="AP180">
        <v>341177</v>
      </c>
      <c r="AQ180">
        <v>341177</v>
      </c>
      <c r="AR180">
        <v>341244</v>
      </c>
      <c r="AS180">
        <v>341244</v>
      </c>
      <c r="AT180">
        <v>341244</v>
      </c>
      <c r="AU180" s="57">
        <f t="shared" ref="AU180" si="72">AU179</f>
        <v>0.68303000000000014</v>
      </c>
    </row>
    <row r="181" spans="1:47" x14ac:dyDescent="0.25">
      <c r="A181">
        <v>2</v>
      </c>
      <c r="B181" t="s">
        <v>164</v>
      </c>
      <c r="C181">
        <v>14208</v>
      </c>
      <c r="D181">
        <v>192</v>
      </c>
      <c r="E181">
        <v>2</v>
      </c>
      <c r="F181">
        <v>2</v>
      </c>
      <c r="G181">
        <v>1951.07</v>
      </c>
      <c r="H181" s="42">
        <v>0.98018000000000005</v>
      </c>
      <c r="I181" s="42">
        <v>45477</v>
      </c>
      <c r="J181" s="42">
        <v>0.39599537037037036</v>
      </c>
      <c r="K181" s="42">
        <v>203858</v>
      </c>
      <c r="L181" s="42">
        <v>203858</v>
      </c>
      <c r="M181" s="42">
        <v>203857</v>
      </c>
      <c r="N181" s="42">
        <v>203906</v>
      </c>
      <c r="O181" s="42">
        <v>203906</v>
      </c>
      <c r="P181" s="42">
        <v>203905</v>
      </c>
      <c r="Q181" s="42">
        <v>203958</v>
      </c>
      <c r="R181" s="42">
        <v>203958</v>
      </c>
      <c r="S181" s="42">
        <v>203957</v>
      </c>
      <c r="T181" s="42">
        <v>204023</v>
      </c>
      <c r="U181" s="42">
        <v>204023</v>
      </c>
      <c r="V181" s="42">
        <v>204023</v>
      </c>
      <c r="W181" s="57">
        <f>W180</f>
        <v>0.9868300000000001</v>
      </c>
      <c r="Y181">
        <v>2</v>
      </c>
      <c r="Z181" t="s">
        <v>164</v>
      </c>
      <c r="AA181">
        <v>14208</v>
      </c>
      <c r="AB181">
        <v>192</v>
      </c>
      <c r="AC181">
        <v>2</v>
      </c>
      <c r="AD181">
        <v>2</v>
      </c>
      <c r="AE181">
        <v>2720.58</v>
      </c>
      <c r="AF181" s="48">
        <v>0.70293000000000005</v>
      </c>
      <c r="AG181" s="46">
        <v>45469</v>
      </c>
      <c r="AH181" s="47">
        <v>0.70084490740740746</v>
      </c>
      <c r="AI181">
        <v>306260</v>
      </c>
      <c r="AJ181">
        <v>306260</v>
      </c>
      <c r="AK181">
        <v>306260</v>
      </c>
      <c r="AL181">
        <v>306306</v>
      </c>
      <c r="AM181">
        <v>306306</v>
      </c>
      <c r="AN181">
        <v>306306</v>
      </c>
      <c r="AO181">
        <v>306356</v>
      </c>
      <c r="AP181">
        <v>306356</v>
      </c>
      <c r="AQ181">
        <v>306355</v>
      </c>
      <c r="AR181">
        <v>306438</v>
      </c>
      <c r="AS181">
        <v>306437</v>
      </c>
      <c r="AT181">
        <v>306438</v>
      </c>
      <c r="AU181" s="57">
        <f t="shared" si="56"/>
        <v>0.68303000000000014</v>
      </c>
    </row>
    <row r="182" spans="1:47" x14ac:dyDescent="0.25">
      <c r="A182">
        <v>3</v>
      </c>
      <c r="B182" t="s">
        <v>164</v>
      </c>
      <c r="C182">
        <v>14208</v>
      </c>
      <c r="D182">
        <v>192</v>
      </c>
      <c r="E182">
        <v>2</v>
      </c>
      <c r="F182">
        <v>2</v>
      </c>
      <c r="G182">
        <v>1909.05</v>
      </c>
      <c r="H182" s="42">
        <v>1.0018</v>
      </c>
      <c r="I182" s="42">
        <v>45478</v>
      </c>
      <c r="J182" s="42">
        <v>0.38269675925925928</v>
      </c>
      <c r="K182" s="42">
        <v>200153</v>
      </c>
      <c r="L182" s="42">
        <v>200153</v>
      </c>
      <c r="M182" s="42">
        <v>200152</v>
      </c>
      <c r="N182" s="42">
        <v>200209</v>
      </c>
      <c r="O182" s="42">
        <v>200209</v>
      </c>
      <c r="P182" s="42">
        <v>200210</v>
      </c>
      <c r="Q182" s="42">
        <v>200259</v>
      </c>
      <c r="R182" s="42">
        <v>200259</v>
      </c>
      <c r="S182" s="42">
        <v>200259</v>
      </c>
      <c r="T182" s="42">
        <v>200328</v>
      </c>
      <c r="U182" s="42">
        <v>200328</v>
      </c>
      <c r="V182" s="42">
        <v>200328</v>
      </c>
      <c r="W182" s="57">
        <f>W181</f>
        <v>0.9868300000000001</v>
      </c>
      <c r="Y182">
        <v>3</v>
      </c>
      <c r="Z182" t="s">
        <v>164</v>
      </c>
      <c r="AA182">
        <v>14208</v>
      </c>
      <c r="AB182">
        <v>192</v>
      </c>
      <c r="AC182">
        <v>2</v>
      </c>
      <c r="AD182">
        <v>2</v>
      </c>
      <c r="AE182">
        <v>2676.48</v>
      </c>
      <c r="AF182" s="48">
        <v>0.71452000000000004</v>
      </c>
      <c r="AG182" s="46">
        <v>45471</v>
      </c>
      <c r="AH182" s="47">
        <v>5.3657407407407411E-2</v>
      </c>
      <c r="AI182">
        <v>302556</v>
      </c>
      <c r="AJ182">
        <v>302556</v>
      </c>
      <c r="AK182">
        <v>302555</v>
      </c>
      <c r="AL182">
        <v>302602</v>
      </c>
      <c r="AM182">
        <v>302601</v>
      </c>
      <c r="AN182">
        <v>302601</v>
      </c>
      <c r="AO182">
        <v>302657</v>
      </c>
      <c r="AP182">
        <v>302657</v>
      </c>
      <c r="AQ182">
        <v>302656</v>
      </c>
      <c r="AR182">
        <v>302720</v>
      </c>
      <c r="AS182">
        <v>302719</v>
      </c>
      <c r="AT182">
        <v>302719</v>
      </c>
      <c r="AU182" s="57">
        <f t="shared" si="56"/>
        <v>0.68303000000000014</v>
      </c>
    </row>
    <row r="183" spans="1:47" x14ac:dyDescent="0.25">
      <c r="A183">
        <v>4</v>
      </c>
      <c r="B183" t="s">
        <v>164</v>
      </c>
      <c r="C183">
        <v>14208</v>
      </c>
      <c r="D183">
        <v>192</v>
      </c>
      <c r="E183">
        <v>2</v>
      </c>
      <c r="F183">
        <v>2</v>
      </c>
      <c r="G183">
        <v>1924.69</v>
      </c>
      <c r="H183" s="42">
        <v>0.99360999999999999</v>
      </c>
      <c r="I183" s="42">
        <v>45479</v>
      </c>
      <c r="J183" s="42">
        <v>0.36141203703703706</v>
      </c>
      <c r="K183" s="42">
        <v>201226</v>
      </c>
      <c r="L183" s="42">
        <v>201226</v>
      </c>
      <c r="M183" s="42">
        <v>201225</v>
      </c>
      <c r="N183" s="42">
        <v>201271</v>
      </c>
      <c r="O183" s="42">
        <v>201271</v>
      </c>
      <c r="P183" s="42">
        <v>201270</v>
      </c>
      <c r="Q183" s="42">
        <v>201322</v>
      </c>
      <c r="R183" s="42">
        <v>201322</v>
      </c>
      <c r="S183" s="42">
        <v>201321</v>
      </c>
      <c r="T183" s="42">
        <v>201391</v>
      </c>
      <c r="U183" s="42">
        <v>201391</v>
      </c>
      <c r="V183" s="42">
        <v>201391</v>
      </c>
      <c r="W183" s="57">
        <f>W182</f>
        <v>0.9868300000000001</v>
      </c>
      <c r="Y183">
        <v>4</v>
      </c>
      <c r="Z183" t="s">
        <v>164</v>
      </c>
      <c r="AA183">
        <v>14208</v>
      </c>
      <c r="AB183">
        <v>192</v>
      </c>
      <c r="AC183">
        <v>2</v>
      </c>
      <c r="AD183">
        <v>2</v>
      </c>
      <c r="AE183">
        <v>2635.7</v>
      </c>
      <c r="AF183" s="48">
        <v>0.72557000000000005</v>
      </c>
      <c r="AG183" s="46">
        <v>45472</v>
      </c>
      <c r="AH183" s="47">
        <v>0.41835648148148147</v>
      </c>
      <c r="AI183">
        <v>299297</v>
      </c>
      <c r="AJ183">
        <v>299297</v>
      </c>
      <c r="AK183">
        <v>299296</v>
      </c>
      <c r="AL183">
        <v>299358</v>
      </c>
      <c r="AM183">
        <v>299358</v>
      </c>
      <c r="AN183">
        <v>299357</v>
      </c>
      <c r="AO183">
        <v>299420</v>
      </c>
      <c r="AP183">
        <v>299420</v>
      </c>
      <c r="AQ183">
        <v>299420</v>
      </c>
      <c r="AR183">
        <v>299505</v>
      </c>
      <c r="AS183">
        <v>299505</v>
      </c>
      <c r="AT183">
        <v>299505</v>
      </c>
      <c r="AU183" s="57">
        <f t="shared" si="56"/>
        <v>0.68303000000000014</v>
      </c>
    </row>
    <row r="184" spans="1:47" x14ac:dyDescent="0.25">
      <c r="A184">
        <v>0</v>
      </c>
      <c r="B184" t="s">
        <v>164</v>
      </c>
      <c r="C184">
        <v>12544</v>
      </c>
      <c r="D184">
        <v>224</v>
      </c>
      <c r="E184">
        <v>1</v>
      </c>
      <c r="F184">
        <v>4</v>
      </c>
      <c r="G184">
        <v>1418.76</v>
      </c>
      <c r="H184" s="70">
        <v>0.92764999999999997</v>
      </c>
      <c r="I184" s="42">
        <v>45474</v>
      </c>
      <c r="J184" s="42">
        <v>0.74687499999999996</v>
      </c>
      <c r="K184" s="42">
        <v>148582</v>
      </c>
      <c r="L184" s="42">
        <v>148583</v>
      </c>
      <c r="M184" s="42">
        <v>148583</v>
      </c>
      <c r="N184" s="42">
        <v>148584</v>
      </c>
      <c r="O184" s="42">
        <v>148585</v>
      </c>
      <c r="P184" s="42">
        <v>148585</v>
      </c>
      <c r="Q184" s="42">
        <v>148588</v>
      </c>
      <c r="R184" s="42">
        <v>148588</v>
      </c>
      <c r="S184" s="42">
        <v>148588</v>
      </c>
      <c r="T184" s="42">
        <v>148589</v>
      </c>
      <c r="U184" s="42">
        <v>148589</v>
      </c>
      <c r="V184" s="42">
        <v>148590</v>
      </c>
      <c r="W184" s="57">
        <f>AVERAGE(H184:H188)</f>
        <v>0.92740200000000006</v>
      </c>
      <c r="Y184">
        <v>0</v>
      </c>
      <c r="Z184" t="s">
        <v>164</v>
      </c>
      <c r="AA184">
        <v>12544</v>
      </c>
      <c r="AB184">
        <v>224</v>
      </c>
      <c r="AC184">
        <v>1</v>
      </c>
      <c r="AD184">
        <v>4</v>
      </c>
      <c r="AE184">
        <v>1859.84</v>
      </c>
      <c r="AF184" s="48">
        <v>0.70765</v>
      </c>
      <c r="AG184" s="46">
        <v>45466</v>
      </c>
      <c r="AH184" s="47">
        <v>1.4513888888888889E-2</v>
      </c>
      <c r="AI184">
        <v>212475</v>
      </c>
      <c r="AJ184">
        <v>212475</v>
      </c>
      <c r="AK184">
        <v>212474</v>
      </c>
      <c r="AL184">
        <v>212484</v>
      </c>
      <c r="AM184">
        <v>212484</v>
      </c>
      <c r="AN184">
        <v>212483</v>
      </c>
      <c r="AO184">
        <v>212495</v>
      </c>
      <c r="AP184">
        <v>212496</v>
      </c>
      <c r="AQ184">
        <v>212496</v>
      </c>
      <c r="AR184">
        <v>212498</v>
      </c>
      <c r="AS184">
        <v>212498</v>
      </c>
      <c r="AT184">
        <v>212498</v>
      </c>
      <c r="AU184" s="57">
        <f t="shared" ref="AU184" si="73">AVERAGE(AF184:AF188)</f>
        <v>0.73309599999999997</v>
      </c>
    </row>
    <row r="185" spans="1:47" x14ac:dyDescent="0.25">
      <c r="A185">
        <v>1</v>
      </c>
      <c r="B185" t="s">
        <v>164</v>
      </c>
      <c r="C185">
        <v>12544</v>
      </c>
      <c r="D185">
        <v>224</v>
      </c>
      <c r="E185">
        <v>1</v>
      </c>
      <c r="F185">
        <v>4</v>
      </c>
      <c r="G185">
        <v>1419.59</v>
      </c>
      <c r="H185" s="42">
        <v>0.92710999999999999</v>
      </c>
      <c r="I185" s="42">
        <v>45475</v>
      </c>
      <c r="J185" s="42">
        <v>0.74165509259259255</v>
      </c>
      <c r="K185" s="42">
        <v>148715</v>
      </c>
      <c r="L185" s="42">
        <v>148716</v>
      </c>
      <c r="M185" s="42">
        <v>148715</v>
      </c>
      <c r="N185" s="42">
        <v>148712</v>
      </c>
      <c r="O185" s="42">
        <v>148712</v>
      </c>
      <c r="P185" s="42">
        <v>148712</v>
      </c>
      <c r="Q185" s="42">
        <v>148714</v>
      </c>
      <c r="R185" s="42">
        <v>148713</v>
      </c>
      <c r="S185" s="42">
        <v>148713</v>
      </c>
      <c r="T185" s="42">
        <v>148705</v>
      </c>
      <c r="U185" s="42">
        <v>148706</v>
      </c>
      <c r="V185" s="42">
        <v>148706</v>
      </c>
      <c r="W185" s="57">
        <f>W184</f>
        <v>0.92740200000000006</v>
      </c>
      <c r="Y185">
        <v>1</v>
      </c>
      <c r="Z185" t="s">
        <v>164</v>
      </c>
      <c r="AA185">
        <v>12544</v>
      </c>
      <c r="AB185">
        <v>224</v>
      </c>
      <c r="AC185">
        <v>1</v>
      </c>
      <c r="AD185">
        <v>4</v>
      </c>
      <c r="AE185">
        <v>1779.04</v>
      </c>
      <c r="AF185" s="48">
        <v>0.73978999999999995</v>
      </c>
      <c r="AG185" s="46">
        <v>45467</v>
      </c>
      <c r="AH185" s="47">
        <v>0.40378472222222223</v>
      </c>
      <c r="AI185">
        <v>204411</v>
      </c>
      <c r="AJ185">
        <v>204410</v>
      </c>
      <c r="AK185">
        <v>204411</v>
      </c>
      <c r="AL185">
        <v>204413</v>
      </c>
      <c r="AM185">
        <v>204413</v>
      </c>
      <c r="AN185">
        <v>204412</v>
      </c>
      <c r="AO185">
        <v>204409</v>
      </c>
      <c r="AP185">
        <v>204409</v>
      </c>
      <c r="AQ185">
        <v>204410</v>
      </c>
      <c r="AR185">
        <v>204406</v>
      </c>
      <c r="AS185">
        <v>204406</v>
      </c>
      <c r="AT185">
        <v>204407</v>
      </c>
      <c r="AU185" s="57">
        <f t="shared" ref="AU185" si="74">AU184</f>
        <v>0.73309599999999997</v>
      </c>
    </row>
    <row r="186" spans="1:47" x14ac:dyDescent="0.25">
      <c r="A186">
        <v>2</v>
      </c>
      <c r="B186" t="s">
        <v>164</v>
      </c>
      <c r="C186">
        <v>12544</v>
      </c>
      <c r="D186">
        <v>224</v>
      </c>
      <c r="E186">
        <v>1</v>
      </c>
      <c r="F186">
        <v>4</v>
      </c>
      <c r="G186">
        <v>1419.24</v>
      </c>
      <c r="H186" s="42">
        <v>0.92734000000000005</v>
      </c>
      <c r="I186" s="42">
        <v>45476</v>
      </c>
      <c r="J186" s="42">
        <v>0.73372685185185182</v>
      </c>
      <c r="K186" s="42">
        <v>148650</v>
      </c>
      <c r="L186" s="42">
        <v>148651</v>
      </c>
      <c r="M186" s="42">
        <v>148650</v>
      </c>
      <c r="N186" s="42">
        <v>148656</v>
      </c>
      <c r="O186" s="42">
        <v>148656</v>
      </c>
      <c r="P186" s="42">
        <v>148656</v>
      </c>
      <c r="Q186" s="42">
        <v>148657</v>
      </c>
      <c r="R186" s="42">
        <v>148656</v>
      </c>
      <c r="S186" s="42">
        <v>148657</v>
      </c>
      <c r="T186" s="42">
        <v>148657</v>
      </c>
      <c r="U186" s="42">
        <v>148658</v>
      </c>
      <c r="V186" s="42">
        <v>148658</v>
      </c>
      <c r="W186" s="57">
        <f>W185</f>
        <v>0.92740200000000006</v>
      </c>
      <c r="Y186">
        <v>2</v>
      </c>
      <c r="Z186" t="s">
        <v>164</v>
      </c>
      <c r="AA186">
        <v>12544</v>
      </c>
      <c r="AB186">
        <v>224</v>
      </c>
      <c r="AC186">
        <v>1</v>
      </c>
      <c r="AD186">
        <v>4</v>
      </c>
      <c r="AE186">
        <v>1773.65</v>
      </c>
      <c r="AF186" s="48">
        <v>0.74204000000000003</v>
      </c>
      <c r="AG186" s="46">
        <v>45468</v>
      </c>
      <c r="AH186" s="47">
        <v>0.77995370370370365</v>
      </c>
      <c r="AI186">
        <v>203838</v>
      </c>
      <c r="AJ186">
        <v>203838</v>
      </c>
      <c r="AK186">
        <v>203838</v>
      </c>
      <c r="AL186">
        <v>203840</v>
      </c>
      <c r="AM186">
        <v>203840</v>
      </c>
      <c r="AN186">
        <v>203840</v>
      </c>
      <c r="AO186">
        <v>203841</v>
      </c>
      <c r="AP186">
        <v>203841</v>
      </c>
      <c r="AQ186">
        <v>203842</v>
      </c>
      <c r="AR186">
        <v>203838</v>
      </c>
      <c r="AS186">
        <v>203838</v>
      </c>
      <c r="AT186">
        <v>203839</v>
      </c>
      <c r="AU186" s="57">
        <f t="shared" si="56"/>
        <v>0.73309599999999997</v>
      </c>
    </row>
    <row r="187" spans="1:47" x14ac:dyDescent="0.25">
      <c r="A187">
        <v>3</v>
      </c>
      <c r="B187" t="s">
        <v>164</v>
      </c>
      <c r="C187">
        <v>12544</v>
      </c>
      <c r="D187">
        <v>224</v>
      </c>
      <c r="E187">
        <v>1</v>
      </c>
      <c r="F187">
        <v>4</v>
      </c>
      <c r="G187">
        <v>1418.59</v>
      </c>
      <c r="H187" s="42">
        <v>0.92776000000000003</v>
      </c>
      <c r="I187" s="42">
        <v>45477</v>
      </c>
      <c r="J187" s="42">
        <v>0.72185185185185186</v>
      </c>
      <c r="K187" s="42">
        <v>148606</v>
      </c>
      <c r="L187" s="42">
        <v>148606</v>
      </c>
      <c r="M187" s="42">
        <v>148606</v>
      </c>
      <c r="N187" s="42">
        <v>148612</v>
      </c>
      <c r="O187" s="42">
        <v>148612</v>
      </c>
      <c r="P187" s="42">
        <v>148612</v>
      </c>
      <c r="Q187" s="42">
        <v>148620</v>
      </c>
      <c r="R187" s="42">
        <v>148619</v>
      </c>
      <c r="S187" s="42">
        <v>148620</v>
      </c>
      <c r="T187" s="42">
        <v>148627</v>
      </c>
      <c r="U187" s="42">
        <v>148626</v>
      </c>
      <c r="V187" s="42">
        <v>148626</v>
      </c>
      <c r="W187" s="57">
        <f>W186</f>
        <v>0.92740200000000006</v>
      </c>
      <c r="Y187">
        <v>3</v>
      </c>
      <c r="Z187" t="s">
        <v>164</v>
      </c>
      <c r="AA187">
        <v>12544</v>
      </c>
      <c r="AB187">
        <v>224</v>
      </c>
      <c r="AC187">
        <v>1</v>
      </c>
      <c r="AD187">
        <v>4</v>
      </c>
      <c r="AE187">
        <v>1775.67</v>
      </c>
      <c r="AF187" s="48">
        <v>0.74119000000000002</v>
      </c>
      <c r="AG187" s="46">
        <v>45470</v>
      </c>
      <c r="AH187" s="47">
        <v>0.14608796296296298</v>
      </c>
      <c r="AI187">
        <v>204060</v>
      </c>
      <c r="AJ187">
        <v>204060</v>
      </c>
      <c r="AK187">
        <v>204060</v>
      </c>
      <c r="AL187">
        <v>204061</v>
      </c>
      <c r="AM187">
        <v>204060</v>
      </c>
      <c r="AN187">
        <v>204060</v>
      </c>
      <c r="AO187">
        <v>204062</v>
      </c>
      <c r="AP187">
        <v>204062</v>
      </c>
      <c r="AQ187">
        <v>204062</v>
      </c>
      <c r="AR187">
        <v>204062</v>
      </c>
      <c r="AS187">
        <v>204063</v>
      </c>
      <c r="AT187">
        <v>204063</v>
      </c>
      <c r="AU187" s="57">
        <f t="shared" si="56"/>
        <v>0.73309599999999997</v>
      </c>
    </row>
    <row r="188" spans="1:47" x14ac:dyDescent="0.25">
      <c r="A188">
        <v>4</v>
      </c>
      <c r="B188" t="s">
        <v>164</v>
      </c>
      <c r="C188">
        <v>12544</v>
      </c>
      <c r="D188">
        <v>224</v>
      </c>
      <c r="E188">
        <v>1</v>
      </c>
      <c r="F188">
        <v>4</v>
      </c>
      <c r="G188">
        <v>1419.53</v>
      </c>
      <c r="H188" s="42">
        <v>0.92715000000000003</v>
      </c>
      <c r="I188" s="42">
        <v>45478</v>
      </c>
      <c r="J188" s="42">
        <v>0.70288194444444441</v>
      </c>
      <c r="K188" s="42">
        <v>148679</v>
      </c>
      <c r="L188" s="42">
        <v>148679</v>
      </c>
      <c r="M188" s="42">
        <v>148678</v>
      </c>
      <c r="N188" s="42">
        <v>148681</v>
      </c>
      <c r="O188" s="42">
        <v>148681</v>
      </c>
      <c r="P188" s="42">
        <v>148680</v>
      </c>
      <c r="Q188" s="42">
        <v>148682</v>
      </c>
      <c r="R188" s="42">
        <v>148681</v>
      </c>
      <c r="S188" s="42">
        <v>148681</v>
      </c>
      <c r="T188" s="42">
        <v>148683</v>
      </c>
      <c r="U188" s="42">
        <v>148683</v>
      </c>
      <c r="V188" s="42">
        <v>148684</v>
      </c>
      <c r="W188" s="57">
        <f>W187</f>
        <v>0.92740200000000006</v>
      </c>
      <c r="Y188">
        <v>4</v>
      </c>
      <c r="Z188" t="s">
        <v>164</v>
      </c>
      <c r="AA188">
        <v>12544</v>
      </c>
      <c r="AB188">
        <v>224</v>
      </c>
      <c r="AC188">
        <v>1</v>
      </c>
      <c r="AD188">
        <v>4</v>
      </c>
      <c r="AE188">
        <v>1791.09</v>
      </c>
      <c r="AF188" s="48">
        <v>0.73480999999999996</v>
      </c>
      <c r="AG188" s="46">
        <v>45471</v>
      </c>
      <c r="AH188" s="47">
        <v>0.50115740740740744</v>
      </c>
      <c r="AI188">
        <v>205616</v>
      </c>
      <c r="AJ188">
        <v>205616</v>
      </c>
      <c r="AK188">
        <v>205615</v>
      </c>
      <c r="AL188">
        <v>205617</v>
      </c>
      <c r="AM188">
        <v>205617</v>
      </c>
      <c r="AN188">
        <v>205616</v>
      </c>
      <c r="AO188">
        <v>205618</v>
      </c>
      <c r="AP188">
        <v>205619</v>
      </c>
      <c r="AQ188">
        <v>205619</v>
      </c>
      <c r="AR188">
        <v>205617</v>
      </c>
      <c r="AS188">
        <v>205617</v>
      </c>
      <c r="AT188">
        <v>205617</v>
      </c>
      <c r="AU188" s="57">
        <f t="shared" si="56"/>
        <v>0.73309599999999997</v>
      </c>
    </row>
    <row r="189" spans="1:47" x14ac:dyDescent="0.25">
      <c r="A189">
        <v>0</v>
      </c>
      <c r="B189" t="s">
        <v>164</v>
      </c>
      <c r="C189">
        <v>13440</v>
      </c>
      <c r="D189">
        <v>224</v>
      </c>
      <c r="E189">
        <v>1</v>
      </c>
      <c r="F189">
        <v>4</v>
      </c>
      <c r="G189">
        <v>1716.35</v>
      </c>
      <c r="H189" s="70">
        <v>0.94313000000000002</v>
      </c>
      <c r="I189" s="42">
        <v>45475</v>
      </c>
      <c r="J189" s="42">
        <v>5.8055555555555555E-2</v>
      </c>
      <c r="K189" s="42">
        <v>179381</v>
      </c>
      <c r="L189" s="42">
        <v>179381</v>
      </c>
      <c r="M189" s="42">
        <v>179381</v>
      </c>
      <c r="N189" s="42">
        <v>179383</v>
      </c>
      <c r="O189" s="42">
        <v>179384</v>
      </c>
      <c r="P189" s="42">
        <v>179384</v>
      </c>
      <c r="Q189" s="42">
        <v>179398</v>
      </c>
      <c r="R189" s="42">
        <v>179399</v>
      </c>
      <c r="S189" s="42">
        <v>179398</v>
      </c>
      <c r="T189" s="42">
        <v>179433</v>
      </c>
      <c r="U189" s="42">
        <v>179433</v>
      </c>
      <c r="V189" s="42">
        <v>179432</v>
      </c>
      <c r="W189" s="57">
        <f>AVERAGE(H189:H193)</f>
        <v>0.94657599999999997</v>
      </c>
      <c r="Y189">
        <v>0</v>
      </c>
      <c r="Z189" t="s">
        <v>164</v>
      </c>
      <c r="AA189">
        <v>13440</v>
      </c>
      <c r="AB189">
        <v>224</v>
      </c>
      <c r="AC189">
        <v>1</v>
      </c>
      <c r="AD189">
        <v>4</v>
      </c>
      <c r="AE189">
        <v>2382.87</v>
      </c>
      <c r="AF189" s="48">
        <v>0.67932999999999999</v>
      </c>
      <c r="AG189" s="46">
        <v>45466</v>
      </c>
      <c r="AH189" s="47">
        <v>0.44234953703703705</v>
      </c>
      <c r="AI189">
        <v>268596</v>
      </c>
      <c r="AJ189">
        <v>268596</v>
      </c>
      <c r="AK189">
        <v>268597</v>
      </c>
      <c r="AL189">
        <v>268606</v>
      </c>
      <c r="AM189">
        <v>268607</v>
      </c>
      <c r="AN189">
        <v>268606</v>
      </c>
      <c r="AO189">
        <v>268621</v>
      </c>
      <c r="AP189">
        <v>268621</v>
      </c>
      <c r="AQ189">
        <v>268621</v>
      </c>
      <c r="AR189">
        <v>268651</v>
      </c>
      <c r="AS189">
        <v>268651</v>
      </c>
      <c r="AT189">
        <v>268651</v>
      </c>
      <c r="AU189" s="57">
        <f t="shared" ref="AU189" si="75">AVERAGE(AF189:AF193)</f>
        <v>0.71267400000000003</v>
      </c>
    </row>
    <row r="190" spans="1:47" x14ac:dyDescent="0.25">
      <c r="A190">
        <v>1</v>
      </c>
      <c r="B190" t="s">
        <v>164</v>
      </c>
      <c r="C190">
        <v>13440</v>
      </c>
      <c r="D190">
        <v>224</v>
      </c>
      <c r="E190">
        <v>1</v>
      </c>
      <c r="F190">
        <v>4</v>
      </c>
      <c r="G190">
        <v>1710.92</v>
      </c>
      <c r="H190" s="42">
        <v>0.94613000000000003</v>
      </c>
      <c r="I190" s="42">
        <v>45476</v>
      </c>
      <c r="J190" s="42">
        <v>5.289351851851852E-2</v>
      </c>
      <c r="K190" s="42">
        <v>178756</v>
      </c>
      <c r="L190" s="42">
        <v>178756</v>
      </c>
      <c r="M190" s="42">
        <v>178756</v>
      </c>
      <c r="N190" s="42">
        <v>178758</v>
      </c>
      <c r="O190" s="42">
        <v>178759</v>
      </c>
      <c r="P190" s="42">
        <v>178758</v>
      </c>
      <c r="Q190" s="42">
        <v>178762</v>
      </c>
      <c r="R190" s="42">
        <v>178761</v>
      </c>
      <c r="S190" s="42">
        <v>178762</v>
      </c>
      <c r="T190" s="42">
        <v>178817</v>
      </c>
      <c r="U190" s="42">
        <v>178816</v>
      </c>
      <c r="V190" s="42">
        <v>178817</v>
      </c>
      <c r="W190" s="57">
        <f>W189</f>
        <v>0.94657599999999997</v>
      </c>
      <c r="Y190">
        <v>1</v>
      </c>
      <c r="Z190" t="s">
        <v>164</v>
      </c>
      <c r="AA190">
        <v>13440</v>
      </c>
      <c r="AB190">
        <v>224</v>
      </c>
      <c r="AC190">
        <v>1</v>
      </c>
      <c r="AD190">
        <v>4</v>
      </c>
      <c r="AE190">
        <v>2157.92</v>
      </c>
      <c r="AF190" s="48">
        <v>0.75014000000000003</v>
      </c>
      <c r="AG190" s="46">
        <v>45467</v>
      </c>
      <c r="AH190" s="47">
        <v>0.83478009259259256</v>
      </c>
      <c r="AI190">
        <v>246052</v>
      </c>
      <c r="AJ190">
        <v>246052</v>
      </c>
      <c r="AK190">
        <v>246052</v>
      </c>
      <c r="AL190">
        <v>246062</v>
      </c>
      <c r="AM190">
        <v>246062</v>
      </c>
      <c r="AN190">
        <v>246061</v>
      </c>
      <c r="AO190">
        <v>246063</v>
      </c>
      <c r="AP190">
        <v>246064</v>
      </c>
      <c r="AQ190">
        <v>246063</v>
      </c>
      <c r="AR190">
        <v>246070</v>
      </c>
      <c r="AS190">
        <v>246070</v>
      </c>
      <c r="AT190">
        <v>246070</v>
      </c>
      <c r="AU190" s="57">
        <f t="shared" ref="AU190" si="76">AU189</f>
        <v>0.71267400000000003</v>
      </c>
    </row>
    <row r="191" spans="1:47" x14ac:dyDescent="0.25">
      <c r="A191">
        <v>2</v>
      </c>
      <c r="B191" t="s">
        <v>164</v>
      </c>
      <c r="C191">
        <v>13440</v>
      </c>
      <c r="D191">
        <v>224</v>
      </c>
      <c r="E191">
        <v>1</v>
      </c>
      <c r="F191">
        <v>4</v>
      </c>
      <c r="G191">
        <v>1708.15</v>
      </c>
      <c r="H191" s="42">
        <v>0.94765999999999995</v>
      </c>
      <c r="I191" s="42">
        <v>45477</v>
      </c>
      <c r="J191" s="42">
        <v>4.5057870370370373E-2</v>
      </c>
      <c r="K191" s="42">
        <v>178651</v>
      </c>
      <c r="L191" s="42">
        <v>178651</v>
      </c>
      <c r="M191" s="42">
        <v>178651</v>
      </c>
      <c r="N191" s="42">
        <v>178683</v>
      </c>
      <c r="O191" s="42">
        <v>178684</v>
      </c>
      <c r="P191" s="42">
        <v>178683</v>
      </c>
      <c r="Q191" s="42">
        <v>178688</v>
      </c>
      <c r="R191" s="42">
        <v>178687</v>
      </c>
      <c r="S191" s="42">
        <v>178687</v>
      </c>
      <c r="T191" s="42">
        <v>178705</v>
      </c>
      <c r="U191" s="42">
        <v>178705</v>
      </c>
      <c r="V191" s="42">
        <v>178705</v>
      </c>
      <c r="W191" s="57">
        <f>W190</f>
        <v>0.94657599999999997</v>
      </c>
      <c r="Y191">
        <v>2</v>
      </c>
      <c r="Z191" t="s">
        <v>164</v>
      </c>
      <c r="AA191">
        <v>13440</v>
      </c>
      <c r="AB191">
        <v>224</v>
      </c>
      <c r="AC191">
        <v>1</v>
      </c>
      <c r="AD191">
        <v>4</v>
      </c>
      <c r="AE191">
        <v>2228.5100000000002</v>
      </c>
      <c r="AF191" s="48">
        <v>0.72638000000000003</v>
      </c>
      <c r="AG191" s="46">
        <v>45469</v>
      </c>
      <c r="AH191" s="47">
        <v>0.20741898148148147</v>
      </c>
      <c r="AI191">
        <v>253108</v>
      </c>
      <c r="AJ191">
        <v>253107</v>
      </c>
      <c r="AK191">
        <v>253108</v>
      </c>
      <c r="AL191">
        <v>253109</v>
      </c>
      <c r="AM191">
        <v>253109</v>
      </c>
      <c r="AN191">
        <v>253108</v>
      </c>
      <c r="AO191">
        <v>253138</v>
      </c>
      <c r="AP191">
        <v>253138</v>
      </c>
      <c r="AQ191">
        <v>253139</v>
      </c>
      <c r="AR191">
        <v>253126</v>
      </c>
      <c r="AS191">
        <v>253126</v>
      </c>
      <c r="AT191">
        <v>253126</v>
      </c>
      <c r="AU191" s="57">
        <f t="shared" si="56"/>
        <v>0.71267400000000003</v>
      </c>
    </row>
    <row r="192" spans="1:47" x14ac:dyDescent="0.25">
      <c r="A192">
        <v>3</v>
      </c>
      <c r="B192" t="s">
        <v>164</v>
      </c>
      <c r="C192">
        <v>13440</v>
      </c>
      <c r="D192">
        <v>224</v>
      </c>
      <c r="E192">
        <v>1</v>
      </c>
      <c r="F192">
        <v>4</v>
      </c>
      <c r="G192">
        <v>1703.43</v>
      </c>
      <c r="H192" s="42">
        <v>0.95028999999999997</v>
      </c>
      <c r="I192" s="42">
        <v>45478</v>
      </c>
      <c r="J192" s="42">
        <v>3.3194444444444443E-2</v>
      </c>
      <c r="K192" s="42">
        <v>177967</v>
      </c>
      <c r="L192" s="42">
        <v>177966</v>
      </c>
      <c r="M192" s="42">
        <v>177967</v>
      </c>
      <c r="N192" s="42">
        <v>177989</v>
      </c>
      <c r="O192" s="42">
        <v>177989</v>
      </c>
      <c r="P192" s="42">
        <v>177989</v>
      </c>
      <c r="Q192" s="42">
        <v>177998</v>
      </c>
      <c r="R192" s="42">
        <v>177997</v>
      </c>
      <c r="S192" s="42">
        <v>177997</v>
      </c>
      <c r="T192" s="42">
        <v>178017</v>
      </c>
      <c r="U192" s="42">
        <v>178018</v>
      </c>
      <c r="V192" s="42">
        <v>178018</v>
      </c>
      <c r="W192" s="57">
        <f>W191</f>
        <v>0.94657599999999997</v>
      </c>
      <c r="Y192">
        <v>3</v>
      </c>
      <c r="Z192" t="s">
        <v>164</v>
      </c>
      <c r="AA192">
        <v>13440</v>
      </c>
      <c r="AB192">
        <v>224</v>
      </c>
      <c r="AC192">
        <v>1</v>
      </c>
      <c r="AD192">
        <v>4</v>
      </c>
      <c r="AE192">
        <v>2213.52</v>
      </c>
      <c r="AF192" s="48">
        <v>0.73129999999999995</v>
      </c>
      <c r="AG192" s="46">
        <v>45470</v>
      </c>
      <c r="AH192" s="47">
        <v>0.57087962962962968</v>
      </c>
      <c r="AI192">
        <v>251598</v>
      </c>
      <c r="AJ192">
        <v>251598</v>
      </c>
      <c r="AK192">
        <v>251598</v>
      </c>
      <c r="AL192">
        <v>251600</v>
      </c>
      <c r="AM192">
        <v>251599</v>
      </c>
      <c r="AN192">
        <v>251599</v>
      </c>
      <c r="AO192">
        <v>251597</v>
      </c>
      <c r="AP192">
        <v>251597</v>
      </c>
      <c r="AQ192">
        <v>251597</v>
      </c>
      <c r="AR192">
        <v>251607</v>
      </c>
      <c r="AS192">
        <v>251607</v>
      </c>
      <c r="AT192">
        <v>251608</v>
      </c>
      <c r="AU192" s="57">
        <f t="shared" si="56"/>
        <v>0.71267400000000003</v>
      </c>
    </row>
    <row r="193" spans="1:47" x14ac:dyDescent="0.25">
      <c r="A193">
        <v>4</v>
      </c>
      <c r="B193" t="s">
        <v>164</v>
      </c>
      <c r="C193">
        <v>13440</v>
      </c>
      <c r="D193">
        <v>224</v>
      </c>
      <c r="E193">
        <v>1</v>
      </c>
      <c r="F193">
        <v>4</v>
      </c>
      <c r="G193">
        <v>1711.75</v>
      </c>
      <c r="H193" s="42">
        <v>0.94567000000000001</v>
      </c>
      <c r="I193" s="42">
        <v>45479</v>
      </c>
      <c r="J193" s="42">
        <v>1.3993055555555555E-2</v>
      </c>
      <c r="K193" s="42">
        <v>179021</v>
      </c>
      <c r="L193" s="42">
        <v>179021</v>
      </c>
      <c r="M193" s="42">
        <v>179020</v>
      </c>
      <c r="N193" s="42">
        <v>179056</v>
      </c>
      <c r="O193" s="42">
        <v>179056</v>
      </c>
      <c r="P193" s="42">
        <v>179057</v>
      </c>
      <c r="Q193" s="42">
        <v>179091</v>
      </c>
      <c r="R193" s="42">
        <v>179090</v>
      </c>
      <c r="S193" s="42">
        <v>179091</v>
      </c>
      <c r="T193" s="42">
        <v>179120</v>
      </c>
      <c r="U193" s="42">
        <v>179119</v>
      </c>
      <c r="V193" s="42">
        <v>179119</v>
      </c>
      <c r="W193" s="57">
        <f>W192</f>
        <v>0.94657599999999997</v>
      </c>
      <c r="Y193">
        <v>4</v>
      </c>
      <c r="Z193" t="s">
        <v>164</v>
      </c>
      <c r="AA193">
        <v>13440</v>
      </c>
      <c r="AB193">
        <v>224</v>
      </c>
      <c r="AC193">
        <v>1</v>
      </c>
      <c r="AD193">
        <v>4</v>
      </c>
      <c r="AE193">
        <v>2393.8000000000002</v>
      </c>
      <c r="AF193" s="48">
        <v>0.67622000000000004</v>
      </c>
      <c r="AG193" s="46">
        <v>45471</v>
      </c>
      <c r="AH193" s="47">
        <v>0.93707175925925923</v>
      </c>
      <c r="AI193">
        <v>269725</v>
      </c>
      <c r="AJ193">
        <v>269725</v>
      </c>
      <c r="AK193">
        <v>269724</v>
      </c>
      <c r="AL193">
        <v>269729</v>
      </c>
      <c r="AM193">
        <v>269730</v>
      </c>
      <c r="AN193">
        <v>269729</v>
      </c>
      <c r="AO193">
        <v>269742</v>
      </c>
      <c r="AP193">
        <v>269742</v>
      </c>
      <c r="AQ193">
        <v>269743</v>
      </c>
      <c r="AR193">
        <v>269734</v>
      </c>
      <c r="AS193">
        <v>269735</v>
      </c>
      <c r="AT193">
        <v>269734</v>
      </c>
      <c r="AU193" s="57">
        <f t="shared" si="56"/>
        <v>0.71267400000000003</v>
      </c>
    </row>
    <row r="194" spans="1:47" x14ac:dyDescent="0.25">
      <c r="A194">
        <v>0</v>
      </c>
      <c r="B194" t="s">
        <v>164</v>
      </c>
      <c r="C194">
        <v>14112</v>
      </c>
      <c r="D194">
        <v>224</v>
      </c>
      <c r="E194">
        <v>1</v>
      </c>
      <c r="F194">
        <v>4</v>
      </c>
      <c r="G194">
        <v>2323.3200000000002</v>
      </c>
      <c r="H194" s="42">
        <v>0.80656000000000005</v>
      </c>
      <c r="I194" s="42">
        <v>45475</v>
      </c>
      <c r="J194" s="42">
        <v>0.44114583333333335</v>
      </c>
      <c r="K194" s="42">
        <v>241404</v>
      </c>
      <c r="L194" s="42">
        <v>241405</v>
      </c>
      <c r="M194" s="42">
        <v>241405</v>
      </c>
      <c r="N194" s="42">
        <v>241454</v>
      </c>
      <c r="O194" s="42">
        <v>241454</v>
      </c>
      <c r="P194" s="42">
        <v>241453</v>
      </c>
      <c r="Q194" s="42">
        <v>241505</v>
      </c>
      <c r="R194" s="42">
        <v>241505</v>
      </c>
      <c r="S194" s="42">
        <v>241506</v>
      </c>
      <c r="T194" s="42">
        <v>241571</v>
      </c>
      <c r="U194" s="42">
        <v>241570</v>
      </c>
      <c r="V194" s="42">
        <v>241571</v>
      </c>
      <c r="W194" s="57">
        <f>AVERAGE(H194:H198)</f>
        <v>0.84982599999999997</v>
      </c>
      <c r="Y194">
        <v>0</v>
      </c>
      <c r="Z194" t="s">
        <v>164</v>
      </c>
      <c r="AA194">
        <v>14112</v>
      </c>
      <c r="AB194">
        <v>224</v>
      </c>
      <c r="AC194">
        <v>1</v>
      </c>
      <c r="AD194">
        <v>4</v>
      </c>
      <c r="AE194">
        <v>3375.55</v>
      </c>
      <c r="AF194" s="48">
        <v>0.55513999999999997</v>
      </c>
      <c r="AG194" s="46">
        <v>45466</v>
      </c>
      <c r="AH194" s="47">
        <v>0.98925925925925928</v>
      </c>
      <c r="AI194">
        <v>372347</v>
      </c>
      <c r="AJ194">
        <v>372347</v>
      </c>
      <c r="AK194">
        <v>372346</v>
      </c>
      <c r="AL194">
        <v>372399</v>
      </c>
      <c r="AM194">
        <v>372399</v>
      </c>
      <c r="AN194">
        <v>372398</v>
      </c>
      <c r="AO194">
        <v>372446</v>
      </c>
      <c r="AP194">
        <v>372446</v>
      </c>
      <c r="AQ194">
        <v>372445</v>
      </c>
      <c r="AR194">
        <v>372491</v>
      </c>
      <c r="AS194">
        <v>372491</v>
      </c>
      <c r="AT194">
        <v>372490</v>
      </c>
      <c r="AU194" s="57">
        <f t="shared" ref="AU194" si="77">AVERAGE(AF194:AF198)</f>
        <v>0.63895999999999997</v>
      </c>
    </row>
    <row r="195" spans="1:47" x14ac:dyDescent="0.25">
      <c r="A195">
        <v>1</v>
      </c>
      <c r="B195" t="s">
        <v>164</v>
      </c>
      <c r="C195">
        <v>14112</v>
      </c>
      <c r="D195">
        <v>224</v>
      </c>
      <c r="E195">
        <v>1</v>
      </c>
      <c r="F195">
        <v>4</v>
      </c>
      <c r="G195">
        <v>2299.64</v>
      </c>
      <c r="H195" s="42">
        <v>0.81486000000000003</v>
      </c>
      <c r="I195" s="42">
        <v>45476</v>
      </c>
      <c r="J195" s="42">
        <v>0.43396990740740743</v>
      </c>
      <c r="K195" s="42">
        <v>239014</v>
      </c>
      <c r="L195" s="42">
        <v>239014</v>
      </c>
      <c r="M195" s="42">
        <v>239014</v>
      </c>
      <c r="N195" s="42">
        <v>239065</v>
      </c>
      <c r="O195" s="42">
        <v>239065</v>
      </c>
      <c r="P195" s="42">
        <v>239064</v>
      </c>
      <c r="Q195" s="42">
        <v>239117</v>
      </c>
      <c r="R195" s="42">
        <v>239117</v>
      </c>
      <c r="S195" s="42">
        <v>239118</v>
      </c>
      <c r="T195" s="42">
        <v>239161</v>
      </c>
      <c r="U195" s="42">
        <v>239161</v>
      </c>
      <c r="V195" s="42">
        <v>239160</v>
      </c>
      <c r="W195" s="57">
        <f>W194</f>
        <v>0.84982599999999997</v>
      </c>
      <c r="Y195">
        <v>1</v>
      </c>
      <c r="Z195" t="s">
        <v>164</v>
      </c>
      <c r="AA195">
        <v>14112</v>
      </c>
      <c r="AB195">
        <v>224</v>
      </c>
      <c r="AC195">
        <v>1</v>
      </c>
      <c r="AD195">
        <v>4</v>
      </c>
      <c r="AE195">
        <v>3005.72</v>
      </c>
      <c r="AF195" s="48">
        <v>0.62343999999999999</v>
      </c>
      <c r="AG195" s="46">
        <v>45468</v>
      </c>
      <c r="AH195" s="47">
        <v>0.37016203703703704</v>
      </c>
      <c r="AI195">
        <v>334876</v>
      </c>
      <c r="AJ195">
        <v>334875</v>
      </c>
      <c r="AK195">
        <v>334876</v>
      </c>
      <c r="AL195">
        <v>334929</v>
      </c>
      <c r="AM195">
        <v>334929</v>
      </c>
      <c r="AN195">
        <v>334930</v>
      </c>
      <c r="AO195">
        <v>334994</v>
      </c>
      <c r="AP195">
        <v>334994</v>
      </c>
      <c r="AQ195">
        <v>334994</v>
      </c>
      <c r="AR195">
        <v>335057</v>
      </c>
      <c r="AS195">
        <v>335057</v>
      </c>
      <c r="AT195">
        <v>335057</v>
      </c>
      <c r="AU195" s="57">
        <f t="shared" ref="AU195" si="78">AU194</f>
        <v>0.63895999999999997</v>
      </c>
    </row>
    <row r="196" spans="1:47" x14ac:dyDescent="0.25">
      <c r="A196">
        <v>2</v>
      </c>
      <c r="B196" t="s">
        <v>164</v>
      </c>
      <c r="C196">
        <v>14112</v>
      </c>
      <c r="D196">
        <v>224</v>
      </c>
      <c r="E196">
        <v>1</v>
      </c>
      <c r="F196">
        <v>4</v>
      </c>
      <c r="G196">
        <v>2290.4299999999998</v>
      </c>
      <c r="H196" s="42">
        <v>0.81813999999999998</v>
      </c>
      <c r="I196" s="42">
        <v>45477</v>
      </c>
      <c r="J196" s="42">
        <v>0.42363425925925924</v>
      </c>
      <c r="K196" s="42">
        <v>238047</v>
      </c>
      <c r="L196" s="42">
        <v>238047</v>
      </c>
      <c r="M196" s="42">
        <v>238046</v>
      </c>
      <c r="N196" s="42">
        <v>238104</v>
      </c>
      <c r="O196" s="42">
        <v>238103</v>
      </c>
      <c r="P196" s="42">
        <v>238103</v>
      </c>
      <c r="Q196" s="42">
        <v>238164</v>
      </c>
      <c r="R196" s="42">
        <v>238164</v>
      </c>
      <c r="S196" s="42">
        <v>238164</v>
      </c>
      <c r="T196" s="42">
        <v>238226</v>
      </c>
      <c r="U196" s="42">
        <v>238226</v>
      </c>
      <c r="V196" s="42">
        <v>238225</v>
      </c>
      <c r="W196" s="57">
        <f>W195</f>
        <v>0.84982599999999997</v>
      </c>
      <c r="Y196">
        <v>2</v>
      </c>
      <c r="Z196" t="s">
        <v>164</v>
      </c>
      <c r="AA196">
        <v>14112</v>
      </c>
      <c r="AB196">
        <v>224</v>
      </c>
      <c r="AC196">
        <v>1</v>
      </c>
      <c r="AD196">
        <v>4</v>
      </c>
      <c r="AE196">
        <v>2769.51</v>
      </c>
      <c r="AF196" s="48">
        <v>0.67661000000000004</v>
      </c>
      <c r="AG196" s="46">
        <v>45469</v>
      </c>
      <c r="AH196" s="47">
        <v>0.73697916666666663</v>
      </c>
      <c r="AI196">
        <v>311423</v>
      </c>
      <c r="AJ196">
        <v>311423</v>
      </c>
      <c r="AK196">
        <v>311423</v>
      </c>
      <c r="AL196">
        <v>311476</v>
      </c>
      <c r="AM196">
        <v>311475</v>
      </c>
      <c r="AN196">
        <v>311475</v>
      </c>
      <c r="AO196">
        <v>311528</v>
      </c>
      <c r="AP196">
        <v>311528</v>
      </c>
      <c r="AQ196">
        <v>311528</v>
      </c>
      <c r="AR196">
        <v>311581</v>
      </c>
      <c r="AS196">
        <v>311581</v>
      </c>
      <c r="AT196">
        <v>311580</v>
      </c>
      <c r="AU196" s="57">
        <f t="shared" si="56"/>
        <v>0.63895999999999997</v>
      </c>
    </row>
    <row r="197" spans="1:47" x14ac:dyDescent="0.25">
      <c r="A197">
        <v>3</v>
      </c>
      <c r="B197" t="s">
        <v>164</v>
      </c>
      <c r="C197">
        <v>14112</v>
      </c>
      <c r="D197">
        <v>224</v>
      </c>
      <c r="E197">
        <v>1</v>
      </c>
      <c r="F197">
        <v>4</v>
      </c>
      <c r="G197">
        <v>2076.08</v>
      </c>
      <c r="H197" s="42">
        <v>0.90261000000000002</v>
      </c>
      <c r="I197" s="42">
        <v>45478</v>
      </c>
      <c r="J197" s="42">
        <v>0.40785879629629629</v>
      </c>
      <c r="K197" s="42">
        <v>216766</v>
      </c>
      <c r="L197" s="42">
        <v>216767</v>
      </c>
      <c r="M197" s="42">
        <v>216766</v>
      </c>
      <c r="N197" s="42">
        <v>216791</v>
      </c>
      <c r="O197" s="42">
        <v>216791</v>
      </c>
      <c r="P197" s="42">
        <v>216791</v>
      </c>
      <c r="Q197" s="42">
        <v>216807</v>
      </c>
      <c r="R197" s="42">
        <v>216807</v>
      </c>
      <c r="S197" s="42">
        <v>216808</v>
      </c>
      <c r="T197" s="42">
        <v>216818</v>
      </c>
      <c r="U197" s="42">
        <v>216819</v>
      </c>
      <c r="V197" s="42">
        <v>216819</v>
      </c>
      <c r="W197" s="57">
        <f>W196</f>
        <v>0.84982599999999997</v>
      </c>
      <c r="Y197">
        <v>3</v>
      </c>
      <c r="Z197" t="s">
        <v>164</v>
      </c>
      <c r="AA197">
        <v>14112</v>
      </c>
      <c r="AB197">
        <v>224</v>
      </c>
      <c r="AC197">
        <v>1</v>
      </c>
      <c r="AD197">
        <v>4</v>
      </c>
      <c r="AE197">
        <v>2746.41</v>
      </c>
      <c r="AF197" s="48">
        <v>0.68230999999999997</v>
      </c>
      <c r="AG197" s="46">
        <v>45471</v>
      </c>
      <c r="AH197" s="47">
        <v>8.9571759259259254E-2</v>
      </c>
      <c r="AI197">
        <v>309512</v>
      </c>
      <c r="AJ197">
        <v>309512</v>
      </c>
      <c r="AK197">
        <v>309512</v>
      </c>
      <c r="AL197">
        <v>309569</v>
      </c>
      <c r="AM197">
        <v>309569</v>
      </c>
      <c r="AN197">
        <v>309570</v>
      </c>
      <c r="AO197">
        <v>309627</v>
      </c>
      <c r="AP197">
        <v>309627</v>
      </c>
      <c r="AQ197">
        <v>309627</v>
      </c>
      <c r="AR197">
        <v>309704</v>
      </c>
      <c r="AS197">
        <v>309704</v>
      </c>
      <c r="AT197">
        <v>309704</v>
      </c>
      <c r="AU197" s="57">
        <f t="shared" si="56"/>
        <v>0.63895999999999997</v>
      </c>
    </row>
    <row r="198" spans="1:47" x14ac:dyDescent="0.25">
      <c r="A198">
        <v>4</v>
      </c>
      <c r="B198" t="s">
        <v>164</v>
      </c>
      <c r="C198">
        <v>14112</v>
      </c>
      <c r="D198">
        <v>224</v>
      </c>
      <c r="E198">
        <v>1</v>
      </c>
      <c r="F198">
        <v>4</v>
      </c>
      <c r="G198">
        <v>2066.13</v>
      </c>
      <c r="H198" s="42">
        <v>0.90695999999999999</v>
      </c>
      <c r="I198" s="42">
        <v>45479</v>
      </c>
      <c r="J198" s="42">
        <v>0.38653935185185184</v>
      </c>
      <c r="K198" s="42">
        <v>216343</v>
      </c>
      <c r="L198" s="42">
        <v>216343</v>
      </c>
      <c r="M198" s="42">
        <v>216343</v>
      </c>
      <c r="N198" s="42">
        <v>216397</v>
      </c>
      <c r="O198" s="42">
        <v>216397</v>
      </c>
      <c r="P198" s="42">
        <v>216397</v>
      </c>
      <c r="Q198" s="42">
        <v>216455</v>
      </c>
      <c r="R198" s="42">
        <v>216455</v>
      </c>
      <c r="S198" s="42">
        <v>216454</v>
      </c>
      <c r="T198" s="42">
        <v>216517</v>
      </c>
      <c r="U198" s="42">
        <v>216516</v>
      </c>
      <c r="V198" s="42">
        <v>216516</v>
      </c>
      <c r="W198" s="57">
        <f>W197</f>
        <v>0.84982599999999997</v>
      </c>
      <c r="Y198">
        <v>4</v>
      </c>
      <c r="Z198" t="s">
        <v>164</v>
      </c>
      <c r="AA198">
        <v>14112</v>
      </c>
      <c r="AB198">
        <v>224</v>
      </c>
      <c r="AC198">
        <v>1</v>
      </c>
      <c r="AD198">
        <v>4</v>
      </c>
      <c r="AE198">
        <v>2850.88</v>
      </c>
      <c r="AF198" s="48">
        <v>0.6573</v>
      </c>
      <c r="AG198" s="46">
        <v>45472</v>
      </c>
      <c r="AH198" s="47">
        <v>0.45553240740740741</v>
      </c>
      <c r="AI198">
        <v>320429</v>
      </c>
      <c r="AJ198">
        <v>320429</v>
      </c>
      <c r="AK198">
        <v>320428</v>
      </c>
      <c r="AL198">
        <v>320478</v>
      </c>
      <c r="AM198">
        <v>320478</v>
      </c>
      <c r="AN198">
        <v>320478</v>
      </c>
      <c r="AO198">
        <v>320537</v>
      </c>
      <c r="AP198">
        <v>320537</v>
      </c>
      <c r="AQ198">
        <v>320536</v>
      </c>
      <c r="AR198">
        <v>320612</v>
      </c>
      <c r="AS198">
        <v>320612</v>
      </c>
      <c r="AT198">
        <v>320612</v>
      </c>
      <c r="AU198" s="57">
        <f t="shared" si="56"/>
        <v>0.63895999999999997</v>
      </c>
    </row>
    <row r="199" spans="1:47" x14ac:dyDescent="0.25">
      <c r="A199">
        <v>0</v>
      </c>
      <c r="B199" t="s">
        <v>164</v>
      </c>
      <c r="C199">
        <v>12544</v>
      </c>
      <c r="D199">
        <v>224</v>
      </c>
      <c r="E199">
        <v>2</v>
      </c>
      <c r="F199">
        <v>2</v>
      </c>
      <c r="G199">
        <v>1359.81</v>
      </c>
      <c r="H199" s="70">
        <v>0.96787000000000001</v>
      </c>
      <c r="I199" s="42">
        <v>45474</v>
      </c>
      <c r="J199" s="42">
        <v>0.76344907407407403</v>
      </c>
      <c r="K199" s="42">
        <v>142609</v>
      </c>
      <c r="L199" s="42">
        <v>142610</v>
      </c>
      <c r="M199" s="42">
        <v>142609</v>
      </c>
      <c r="N199" s="42">
        <v>142610</v>
      </c>
      <c r="O199" s="42">
        <v>142611</v>
      </c>
      <c r="P199" s="42">
        <v>142611</v>
      </c>
      <c r="Q199" s="42">
        <v>142613</v>
      </c>
      <c r="R199" s="42">
        <v>142612</v>
      </c>
      <c r="S199" s="42">
        <v>142612</v>
      </c>
      <c r="T199" s="42">
        <v>142610</v>
      </c>
      <c r="U199" s="42">
        <v>142609</v>
      </c>
      <c r="V199" s="42">
        <v>142609</v>
      </c>
      <c r="W199" s="57">
        <f>AVERAGE(H199:H203)</f>
        <v>0.9683679999999999</v>
      </c>
      <c r="Y199">
        <v>0</v>
      </c>
      <c r="Z199" t="s">
        <v>164</v>
      </c>
      <c r="AA199">
        <v>12544</v>
      </c>
      <c r="AB199">
        <v>224</v>
      </c>
      <c r="AC199">
        <v>2</v>
      </c>
      <c r="AD199">
        <v>2</v>
      </c>
      <c r="AE199">
        <v>1802.86</v>
      </c>
      <c r="AF199" s="48">
        <v>0.73002</v>
      </c>
      <c r="AG199" s="46">
        <v>45466</v>
      </c>
      <c r="AH199" s="47">
        <v>3.8506944444444448E-2</v>
      </c>
      <c r="AI199">
        <v>206737</v>
      </c>
      <c r="AJ199">
        <v>206738</v>
      </c>
      <c r="AK199">
        <v>206738</v>
      </c>
      <c r="AL199">
        <v>206752</v>
      </c>
      <c r="AM199">
        <v>206751</v>
      </c>
      <c r="AN199">
        <v>206751</v>
      </c>
      <c r="AO199">
        <v>206753</v>
      </c>
      <c r="AP199">
        <v>206754</v>
      </c>
      <c r="AQ199">
        <v>206754</v>
      </c>
      <c r="AR199">
        <v>206755</v>
      </c>
      <c r="AS199">
        <v>206757</v>
      </c>
      <c r="AT199">
        <v>206756</v>
      </c>
      <c r="AU199" s="57">
        <f t="shared" ref="AU199" si="79">AVERAGE(AF199:AF203)</f>
        <v>0.72420600000000002</v>
      </c>
    </row>
    <row r="200" spans="1:47" x14ac:dyDescent="0.25">
      <c r="A200">
        <v>1</v>
      </c>
      <c r="B200" t="s">
        <v>164</v>
      </c>
      <c r="C200">
        <v>12544</v>
      </c>
      <c r="D200">
        <v>224</v>
      </c>
      <c r="E200">
        <v>2</v>
      </c>
      <c r="F200">
        <v>2</v>
      </c>
      <c r="G200">
        <v>1360.16</v>
      </c>
      <c r="H200" s="42">
        <v>0.96762000000000004</v>
      </c>
      <c r="I200" s="42">
        <v>45475</v>
      </c>
      <c r="J200" s="42">
        <v>0.75824074074074077</v>
      </c>
      <c r="K200" s="42">
        <v>142715</v>
      </c>
      <c r="L200" s="42">
        <v>142716</v>
      </c>
      <c r="M200" s="42">
        <v>142715</v>
      </c>
      <c r="N200" s="42">
        <v>142718</v>
      </c>
      <c r="O200" s="42">
        <v>142718</v>
      </c>
      <c r="P200" s="42">
        <v>142717</v>
      </c>
      <c r="Q200" s="42">
        <v>142721</v>
      </c>
      <c r="R200" s="42">
        <v>142720</v>
      </c>
      <c r="S200" s="42">
        <v>142721</v>
      </c>
      <c r="T200" s="42">
        <v>142721</v>
      </c>
      <c r="U200" s="42">
        <v>142722</v>
      </c>
      <c r="V200" s="42">
        <v>142722</v>
      </c>
      <c r="W200" s="57">
        <f>W199</f>
        <v>0.9683679999999999</v>
      </c>
      <c r="Y200">
        <v>1</v>
      </c>
      <c r="Z200" t="s">
        <v>164</v>
      </c>
      <c r="AA200">
        <v>12544</v>
      </c>
      <c r="AB200">
        <v>224</v>
      </c>
      <c r="AC200">
        <v>2</v>
      </c>
      <c r="AD200">
        <v>2</v>
      </c>
      <c r="AE200">
        <v>1920.62</v>
      </c>
      <c r="AF200" s="48">
        <v>0.68525999999999998</v>
      </c>
      <c r="AG200" s="46">
        <v>45467</v>
      </c>
      <c r="AH200" s="47">
        <v>0.42914351851851851</v>
      </c>
      <c r="AI200">
        <v>218544</v>
      </c>
      <c r="AJ200">
        <v>218544</v>
      </c>
      <c r="AK200">
        <v>218544</v>
      </c>
      <c r="AL200">
        <v>218550</v>
      </c>
      <c r="AM200">
        <v>218550</v>
      </c>
      <c r="AN200">
        <v>218550</v>
      </c>
      <c r="AO200">
        <v>218551</v>
      </c>
      <c r="AP200">
        <v>218552</v>
      </c>
      <c r="AQ200">
        <v>218551</v>
      </c>
      <c r="AR200">
        <v>218552</v>
      </c>
      <c r="AS200">
        <v>218553</v>
      </c>
      <c r="AT200">
        <v>218553</v>
      </c>
      <c r="AU200" s="57">
        <f t="shared" ref="AU200" si="80">AU199</f>
        <v>0.72420600000000002</v>
      </c>
    </row>
    <row r="201" spans="1:47" x14ac:dyDescent="0.25">
      <c r="A201">
        <v>2</v>
      </c>
      <c r="B201" t="s">
        <v>164</v>
      </c>
      <c r="C201">
        <v>12544</v>
      </c>
      <c r="D201">
        <v>224</v>
      </c>
      <c r="E201">
        <v>2</v>
      </c>
      <c r="F201">
        <v>2</v>
      </c>
      <c r="G201">
        <v>1358.76</v>
      </c>
      <c r="H201" s="42">
        <v>0.96862000000000004</v>
      </c>
      <c r="I201" s="42">
        <v>45476</v>
      </c>
      <c r="J201" s="42">
        <v>0.75028935185185186</v>
      </c>
      <c r="K201" s="42">
        <v>142520</v>
      </c>
      <c r="L201" s="42">
        <v>142521</v>
      </c>
      <c r="M201" s="42">
        <v>142520</v>
      </c>
      <c r="N201" s="42">
        <v>142521</v>
      </c>
      <c r="O201" s="42">
        <v>142522</v>
      </c>
      <c r="P201" s="42">
        <v>142522</v>
      </c>
      <c r="Q201" s="42">
        <v>142524</v>
      </c>
      <c r="R201" s="42">
        <v>142523</v>
      </c>
      <c r="S201" s="42">
        <v>142524</v>
      </c>
      <c r="T201" s="42">
        <v>142524</v>
      </c>
      <c r="U201" s="42">
        <v>142525</v>
      </c>
      <c r="V201" s="42">
        <v>142524</v>
      </c>
      <c r="W201" s="57">
        <f>W200</f>
        <v>0.9683679999999999</v>
      </c>
      <c r="Y201">
        <v>2</v>
      </c>
      <c r="Z201" t="s">
        <v>164</v>
      </c>
      <c r="AA201">
        <v>12544</v>
      </c>
      <c r="AB201">
        <v>224</v>
      </c>
      <c r="AC201">
        <v>2</v>
      </c>
      <c r="AD201">
        <v>2</v>
      </c>
      <c r="AE201">
        <v>1742.36</v>
      </c>
      <c r="AF201" s="48">
        <v>0.75536999999999999</v>
      </c>
      <c r="AG201" s="46">
        <v>45468</v>
      </c>
      <c r="AH201" s="47">
        <v>0.80325231481481485</v>
      </c>
      <c r="AI201">
        <v>200749</v>
      </c>
      <c r="AJ201">
        <v>200749</v>
      </c>
      <c r="AK201">
        <v>200749</v>
      </c>
      <c r="AL201">
        <v>200751</v>
      </c>
      <c r="AM201">
        <v>200750</v>
      </c>
      <c r="AN201">
        <v>200750</v>
      </c>
      <c r="AO201">
        <v>200752</v>
      </c>
      <c r="AP201">
        <v>200753</v>
      </c>
      <c r="AQ201">
        <v>200753</v>
      </c>
      <c r="AR201">
        <v>200754</v>
      </c>
      <c r="AS201">
        <v>200755</v>
      </c>
      <c r="AT201">
        <v>200755</v>
      </c>
      <c r="AU201" s="57">
        <f t="shared" si="56"/>
        <v>0.72420600000000002</v>
      </c>
    </row>
    <row r="202" spans="1:47" x14ac:dyDescent="0.25">
      <c r="A202">
        <v>3</v>
      </c>
      <c r="B202" t="s">
        <v>164</v>
      </c>
      <c r="C202">
        <v>12544</v>
      </c>
      <c r="D202">
        <v>224</v>
      </c>
      <c r="E202">
        <v>2</v>
      </c>
      <c r="F202">
        <v>2</v>
      </c>
      <c r="G202">
        <v>1356.83</v>
      </c>
      <c r="H202" s="42">
        <v>0.97</v>
      </c>
      <c r="I202" s="42">
        <v>45477</v>
      </c>
      <c r="J202" s="42">
        <v>0.73837962962962966</v>
      </c>
      <c r="K202" s="42">
        <v>142293</v>
      </c>
      <c r="L202" s="42">
        <v>142294</v>
      </c>
      <c r="M202" s="42">
        <v>142293</v>
      </c>
      <c r="N202" s="42">
        <v>142295</v>
      </c>
      <c r="O202" s="42">
        <v>142294</v>
      </c>
      <c r="P202" s="42">
        <v>142295</v>
      </c>
      <c r="Q202" s="42">
        <v>142297</v>
      </c>
      <c r="R202" s="42">
        <v>142297</v>
      </c>
      <c r="S202" s="42">
        <v>142297</v>
      </c>
      <c r="T202" s="42">
        <v>142299</v>
      </c>
      <c r="U202" s="42">
        <v>142299</v>
      </c>
      <c r="V202" s="42">
        <v>142299</v>
      </c>
      <c r="W202" s="57">
        <f>W201</f>
        <v>0.9683679999999999</v>
      </c>
      <c r="Y202">
        <v>3</v>
      </c>
      <c r="Z202" t="s">
        <v>164</v>
      </c>
      <c r="AA202">
        <v>12544</v>
      </c>
      <c r="AB202">
        <v>224</v>
      </c>
      <c r="AC202">
        <v>2</v>
      </c>
      <c r="AD202">
        <v>2</v>
      </c>
      <c r="AE202">
        <v>1794.45</v>
      </c>
      <c r="AF202" s="48">
        <v>0.73343999999999998</v>
      </c>
      <c r="AG202" s="46">
        <v>45470</v>
      </c>
      <c r="AH202" s="47">
        <v>0.16998842592592592</v>
      </c>
      <c r="AI202">
        <v>205908</v>
      </c>
      <c r="AJ202">
        <v>205908</v>
      </c>
      <c r="AK202">
        <v>205909</v>
      </c>
      <c r="AL202">
        <v>205906</v>
      </c>
      <c r="AM202">
        <v>205905</v>
      </c>
      <c r="AN202">
        <v>205905</v>
      </c>
      <c r="AO202">
        <v>205907</v>
      </c>
      <c r="AP202">
        <v>205908</v>
      </c>
      <c r="AQ202">
        <v>205907</v>
      </c>
      <c r="AR202">
        <v>205908</v>
      </c>
      <c r="AS202">
        <v>205909</v>
      </c>
      <c r="AT202">
        <v>205908</v>
      </c>
      <c r="AU202" s="57">
        <f t="shared" si="56"/>
        <v>0.72420600000000002</v>
      </c>
    </row>
    <row r="203" spans="1:47" x14ac:dyDescent="0.25">
      <c r="A203">
        <v>4</v>
      </c>
      <c r="B203" t="s">
        <v>164</v>
      </c>
      <c r="C203">
        <v>12544</v>
      </c>
      <c r="D203">
        <v>224</v>
      </c>
      <c r="E203">
        <v>2</v>
      </c>
      <c r="F203">
        <v>2</v>
      </c>
      <c r="G203">
        <v>1360</v>
      </c>
      <c r="H203" s="42">
        <v>0.96772999999999998</v>
      </c>
      <c r="I203" s="42">
        <v>45478</v>
      </c>
      <c r="J203" s="42">
        <v>0.71945601851851848</v>
      </c>
      <c r="K203" s="42">
        <v>142618</v>
      </c>
      <c r="L203" s="42">
        <v>142618</v>
      </c>
      <c r="M203" s="42">
        <v>142618</v>
      </c>
      <c r="N203" s="42">
        <v>142624</v>
      </c>
      <c r="O203" s="42">
        <v>142624</v>
      </c>
      <c r="P203" s="42">
        <v>142623</v>
      </c>
      <c r="Q203" s="42">
        <v>142625</v>
      </c>
      <c r="R203" s="42">
        <v>142625</v>
      </c>
      <c r="S203" s="42">
        <v>142624</v>
      </c>
      <c r="T203" s="42">
        <v>142622</v>
      </c>
      <c r="U203" s="42">
        <v>142621</v>
      </c>
      <c r="V203" s="42">
        <v>142622</v>
      </c>
      <c r="W203" s="57">
        <f>W202</f>
        <v>0.9683679999999999</v>
      </c>
      <c r="Y203">
        <v>4</v>
      </c>
      <c r="Z203" t="s">
        <v>164</v>
      </c>
      <c r="AA203">
        <v>12544</v>
      </c>
      <c r="AB203">
        <v>224</v>
      </c>
      <c r="AC203">
        <v>2</v>
      </c>
      <c r="AD203">
        <v>2</v>
      </c>
      <c r="AE203">
        <v>1835.74</v>
      </c>
      <c r="AF203" s="48">
        <v>0.71694000000000002</v>
      </c>
      <c r="AG203" s="46">
        <v>45471</v>
      </c>
      <c r="AH203" s="47">
        <v>0.52553240740740736</v>
      </c>
      <c r="AI203">
        <v>210046</v>
      </c>
      <c r="AJ203">
        <v>210046</v>
      </c>
      <c r="AK203">
        <v>210046</v>
      </c>
      <c r="AL203">
        <v>210049</v>
      </c>
      <c r="AM203">
        <v>210049</v>
      </c>
      <c r="AN203">
        <v>210048</v>
      </c>
      <c r="AO203">
        <v>210049</v>
      </c>
      <c r="AP203">
        <v>210050</v>
      </c>
      <c r="AQ203">
        <v>210050</v>
      </c>
      <c r="AR203">
        <v>210055</v>
      </c>
      <c r="AS203">
        <v>210056</v>
      </c>
      <c r="AT203">
        <v>210055</v>
      </c>
      <c r="AU203" s="57">
        <f t="shared" si="56"/>
        <v>0.72420600000000002</v>
      </c>
    </row>
    <row r="204" spans="1:47" x14ac:dyDescent="0.25">
      <c r="A204">
        <v>0</v>
      </c>
      <c r="B204" t="s">
        <v>164</v>
      </c>
      <c r="C204">
        <v>13440</v>
      </c>
      <c r="D204">
        <v>224</v>
      </c>
      <c r="E204">
        <v>2</v>
      </c>
      <c r="F204">
        <v>2</v>
      </c>
      <c r="G204">
        <v>1653.51</v>
      </c>
      <c r="H204" s="70">
        <v>0.97897000000000001</v>
      </c>
      <c r="I204" s="42">
        <v>45475</v>
      </c>
      <c r="J204" s="42">
        <v>7.8148148148148147E-2</v>
      </c>
      <c r="K204" s="42">
        <v>172980</v>
      </c>
      <c r="L204" s="42">
        <v>172979</v>
      </c>
      <c r="M204" s="42">
        <v>172980</v>
      </c>
      <c r="N204" s="42">
        <v>173018</v>
      </c>
      <c r="O204" s="42">
        <v>173019</v>
      </c>
      <c r="P204" s="42">
        <v>173018</v>
      </c>
      <c r="Q204" s="42">
        <v>173020</v>
      </c>
      <c r="R204" s="42">
        <v>173019</v>
      </c>
      <c r="S204" s="42">
        <v>173019</v>
      </c>
      <c r="T204" s="42">
        <v>173021</v>
      </c>
      <c r="U204" s="42">
        <v>173021</v>
      </c>
      <c r="V204" s="42">
        <v>173021</v>
      </c>
      <c r="W204" s="57">
        <f>AVERAGE(H204:H208)</f>
        <v>0.98169200000000001</v>
      </c>
      <c r="Y204">
        <v>0</v>
      </c>
      <c r="Z204" t="s">
        <v>164</v>
      </c>
      <c r="AA204">
        <v>13440</v>
      </c>
      <c r="AB204">
        <v>224</v>
      </c>
      <c r="AC204">
        <v>2</v>
      </c>
      <c r="AD204">
        <v>2</v>
      </c>
      <c r="AE204">
        <v>2462.35</v>
      </c>
      <c r="AF204" s="48">
        <v>0.65739999999999998</v>
      </c>
      <c r="AG204" s="46">
        <v>45466</v>
      </c>
      <c r="AH204" s="47">
        <v>0.47446759259259258</v>
      </c>
      <c r="AI204">
        <v>276871</v>
      </c>
      <c r="AJ204">
        <v>276871</v>
      </c>
      <c r="AK204">
        <v>276871</v>
      </c>
      <c r="AL204">
        <v>276878</v>
      </c>
      <c r="AM204">
        <v>276878</v>
      </c>
      <c r="AN204">
        <v>276878</v>
      </c>
      <c r="AO204">
        <v>276901</v>
      </c>
      <c r="AP204">
        <v>276901</v>
      </c>
      <c r="AQ204">
        <v>276902</v>
      </c>
      <c r="AR204">
        <v>276924</v>
      </c>
      <c r="AS204">
        <v>276924</v>
      </c>
      <c r="AT204">
        <v>276925</v>
      </c>
      <c r="AU204" s="57">
        <f t="shared" ref="AU204" si="81">AVERAGE(AF204:AF208)</f>
        <v>0.71328999999999998</v>
      </c>
    </row>
    <row r="205" spans="1:47" x14ac:dyDescent="0.25">
      <c r="A205">
        <v>1</v>
      </c>
      <c r="B205" t="s">
        <v>164</v>
      </c>
      <c r="C205">
        <v>13440</v>
      </c>
      <c r="D205">
        <v>224</v>
      </c>
      <c r="E205">
        <v>2</v>
      </c>
      <c r="F205">
        <v>2</v>
      </c>
      <c r="G205">
        <v>1647.24</v>
      </c>
      <c r="H205" s="42">
        <v>0.98270000000000002</v>
      </c>
      <c r="I205" s="42">
        <v>45476</v>
      </c>
      <c r="J205" s="42">
        <v>7.2905092592592591E-2</v>
      </c>
      <c r="K205" s="42">
        <v>172282</v>
      </c>
      <c r="L205" s="42">
        <v>172282</v>
      </c>
      <c r="M205" s="42">
        <v>172282</v>
      </c>
      <c r="N205" s="42">
        <v>172280</v>
      </c>
      <c r="O205" s="42">
        <v>172280</v>
      </c>
      <c r="P205" s="42">
        <v>172279</v>
      </c>
      <c r="Q205" s="42">
        <v>172282</v>
      </c>
      <c r="R205" s="42">
        <v>172282</v>
      </c>
      <c r="S205" s="42">
        <v>172282</v>
      </c>
      <c r="T205" s="42">
        <v>172284</v>
      </c>
      <c r="U205" s="42">
        <v>172284</v>
      </c>
      <c r="V205" s="42">
        <v>172283</v>
      </c>
      <c r="W205" s="57">
        <f>W204</f>
        <v>0.98169200000000001</v>
      </c>
      <c r="Y205">
        <v>1</v>
      </c>
      <c r="Z205" t="s">
        <v>164</v>
      </c>
      <c r="AA205">
        <v>13440</v>
      </c>
      <c r="AB205">
        <v>224</v>
      </c>
      <c r="AC205">
        <v>2</v>
      </c>
      <c r="AD205">
        <v>2</v>
      </c>
      <c r="AE205">
        <v>2250.61</v>
      </c>
      <c r="AF205" s="48">
        <v>0.71924999999999994</v>
      </c>
      <c r="AG205" s="46">
        <v>45467</v>
      </c>
      <c r="AH205" s="47">
        <v>0.86442129629629627</v>
      </c>
      <c r="AI205">
        <v>255454</v>
      </c>
      <c r="AJ205">
        <v>255454</v>
      </c>
      <c r="AK205">
        <v>255453</v>
      </c>
      <c r="AL205">
        <v>255455</v>
      </c>
      <c r="AM205">
        <v>255455</v>
      </c>
      <c r="AN205">
        <v>255454</v>
      </c>
      <c r="AO205">
        <v>255477</v>
      </c>
      <c r="AP205">
        <v>255477</v>
      </c>
      <c r="AQ205">
        <v>255478</v>
      </c>
      <c r="AR205">
        <v>255485</v>
      </c>
      <c r="AS205">
        <v>255486</v>
      </c>
      <c r="AT205">
        <v>255485</v>
      </c>
      <c r="AU205" s="57">
        <f t="shared" ref="AU205:AU243" si="82">AU204</f>
        <v>0.71328999999999998</v>
      </c>
    </row>
    <row r="206" spans="1:47" x14ac:dyDescent="0.25">
      <c r="A206">
        <v>2</v>
      </c>
      <c r="B206" t="s">
        <v>164</v>
      </c>
      <c r="C206">
        <v>13440</v>
      </c>
      <c r="D206">
        <v>224</v>
      </c>
      <c r="E206">
        <v>2</v>
      </c>
      <c r="F206">
        <v>2</v>
      </c>
      <c r="G206">
        <v>1644.46</v>
      </c>
      <c r="H206" s="42">
        <v>0.98436000000000001</v>
      </c>
      <c r="I206" s="42">
        <v>45477</v>
      </c>
      <c r="J206" s="42">
        <v>6.5046296296296297E-2</v>
      </c>
      <c r="K206" s="42">
        <v>172032</v>
      </c>
      <c r="L206" s="42">
        <v>172033</v>
      </c>
      <c r="M206" s="42">
        <v>172033</v>
      </c>
      <c r="N206" s="42">
        <v>172055</v>
      </c>
      <c r="O206" s="42">
        <v>172055</v>
      </c>
      <c r="P206" s="42">
        <v>172054</v>
      </c>
      <c r="Q206" s="42">
        <v>172056</v>
      </c>
      <c r="R206" s="42">
        <v>172057</v>
      </c>
      <c r="S206" s="42">
        <v>172056</v>
      </c>
      <c r="T206" s="42">
        <v>172059</v>
      </c>
      <c r="U206" s="42">
        <v>172059</v>
      </c>
      <c r="V206" s="42">
        <v>172058</v>
      </c>
      <c r="W206" s="57">
        <f>W205</f>
        <v>0.98169200000000001</v>
      </c>
      <c r="Y206">
        <v>2</v>
      </c>
      <c r="Z206" t="s">
        <v>164</v>
      </c>
      <c r="AA206">
        <v>13440</v>
      </c>
      <c r="AB206">
        <v>224</v>
      </c>
      <c r="AC206">
        <v>2</v>
      </c>
      <c r="AD206">
        <v>2</v>
      </c>
      <c r="AE206">
        <v>2271.1999999999998</v>
      </c>
      <c r="AF206" s="48">
        <v>0.71272999999999997</v>
      </c>
      <c r="AG206" s="46">
        <v>45469</v>
      </c>
      <c r="AH206" s="47">
        <v>0.23730324074074075</v>
      </c>
      <c r="AI206">
        <v>257530</v>
      </c>
      <c r="AJ206">
        <v>257530</v>
      </c>
      <c r="AK206">
        <v>257529</v>
      </c>
      <c r="AL206">
        <v>257562</v>
      </c>
      <c r="AM206">
        <v>257562</v>
      </c>
      <c r="AN206">
        <v>257562</v>
      </c>
      <c r="AO206">
        <v>257568</v>
      </c>
      <c r="AP206">
        <v>257568</v>
      </c>
      <c r="AQ206">
        <v>257568</v>
      </c>
      <c r="AR206">
        <v>257604</v>
      </c>
      <c r="AS206">
        <v>257604</v>
      </c>
      <c r="AT206">
        <v>257605</v>
      </c>
      <c r="AU206" s="57">
        <f t="shared" si="82"/>
        <v>0.71328999999999998</v>
      </c>
    </row>
    <row r="207" spans="1:47" x14ac:dyDescent="0.25">
      <c r="A207">
        <v>3</v>
      </c>
      <c r="B207" t="s">
        <v>164</v>
      </c>
      <c r="C207">
        <v>13440</v>
      </c>
      <c r="D207">
        <v>224</v>
      </c>
      <c r="E207">
        <v>2</v>
      </c>
      <c r="F207">
        <v>2</v>
      </c>
      <c r="G207">
        <v>1650.64</v>
      </c>
      <c r="H207" s="42">
        <v>0.98068</v>
      </c>
      <c r="I207" s="42">
        <v>45478</v>
      </c>
      <c r="J207" s="42">
        <v>5.3252314814814815E-2</v>
      </c>
      <c r="K207" s="42">
        <v>172589</v>
      </c>
      <c r="L207" s="42">
        <v>172589</v>
      </c>
      <c r="M207" s="42">
        <v>172588</v>
      </c>
      <c r="N207" s="42">
        <v>172623</v>
      </c>
      <c r="O207" s="42">
        <v>172622</v>
      </c>
      <c r="P207" s="42">
        <v>172623</v>
      </c>
      <c r="Q207" s="42">
        <v>172629</v>
      </c>
      <c r="R207" s="42">
        <v>172629</v>
      </c>
      <c r="S207" s="42">
        <v>172630</v>
      </c>
      <c r="T207" s="42">
        <v>172667</v>
      </c>
      <c r="U207" s="42">
        <v>172667</v>
      </c>
      <c r="V207" s="42">
        <v>172668</v>
      </c>
      <c r="W207" s="57">
        <f>W206</f>
        <v>0.98169200000000001</v>
      </c>
      <c r="Y207">
        <v>3</v>
      </c>
      <c r="Z207" t="s">
        <v>164</v>
      </c>
      <c r="AA207">
        <v>13440</v>
      </c>
      <c r="AB207">
        <v>224</v>
      </c>
      <c r="AC207">
        <v>2</v>
      </c>
      <c r="AD207">
        <v>2</v>
      </c>
      <c r="AE207">
        <v>2268.5</v>
      </c>
      <c r="AF207" s="48">
        <v>0.71357999999999999</v>
      </c>
      <c r="AG207" s="46">
        <v>45470</v>
      </c>
      <c r="AH207" s="47">
        <v>0.60074074074074069</v>
      </c>
      <c r="AI207">
        <v>257359</v>
      </c>
      <c r="AJ207">
        <v>257358</v>
      </c>
      <c r="AK207">
        <v>257358</v>
      </c>
      <c r="AL207">
        <v>257381</v>
      </c>
      <c r="AM207">
        <v>257380</v>
      </c>
      <c r="AN207">
        <v>257381</v>
      </c>
      <c r="AO207">
        <v>257398</v>
      </c>
      <c r="AP207">
        <v>257398</v>
      </c>
      <c r="AQ207">
        <v>257398</v>
      </c>
      <c r="AR207">
        <v>257428</v>
      </c>
      <c r="AS207">
        <v>257429</v>
      </c>
      <c r="AT207">
        <v>257428</v>
      </c>
      <c r="AU207" s="57">
        <f t="shared" si="82"/>
        <v>0.71328999999999998</v>
      </c>
    </row>
    <row r="208" spans="1:47" x14ac:dyDescent="0.25">
      <c r="A208">
        <v>4</v>
      </c>
      <c r="B208" t="s">
        <v>164</v>
      </c>
      <c r="C208">
        <v>13440</v>
      </c>
      <c r="D208">
        <v>224</v>
      </c>
      <c r="E208">
        <v>2</v>
      </c>
      <c r="F208">
        <v>2</v>
      </c>
      <c r="G208">
        <v>1648.83</v>
      </c>
      <c r="H208" s="42">
        <v>0.98175000000000001</v>
      </c>
      <c r="I208" s="42">
        <v>45479</v>
      </c>
      <c r="J208" s="42">
        <v>3.4027777777777775E-2</v>
      </c>
      <c r="K208" s="42">
        <v>172469</v>
      </c>
      <c r="L208" s="42">
        <v>172469</v>
      </c>
      <c r="M208" s="42">
        <v>172469</v>
      </c>
      <c r="N208" s="42">
        <v>172489</v>
      </c>
      <c r="O208" s="42">
        <v>172489</v>
      </c>
      <c r="P208" s="42">
        <v>172489</v>
      </c>
      <c r="Q208" s="42">
        <v>172499</v>
      </c>
      <c r="R208" s="42">
        <v>172499</v>
      </c>
      <c r="S208" s="42">
        <v>172499</v>
      </c>
      <c r="T208" s="42">
        <v>172507</v>
      </c>
      <c r="U208" s="42">
        <v>172507</v>
      </c>
      <c r="V208" s="42">
        <v>172507</v>
      </c>
      <c r="W208" s="57">
        <f>W207</f>
        <v>0.98169200000000001</v>
      </c>
      <c r="Y208">
        <v>4</v>
      </c>
      <c r="Z208" t="s">
        <v>164</v>
      </c>
      <c r="AA208">
        <v>13440</v>
      </c>
      <c r="AB208">
        <v>224</v>
      </c>
      <c r="AC208">
        <v>2</v>
      </c>
      <c r="AD208">
        <v>2</v>
      </c>
      <c r="AE208">
        <v>2120.19</v>
      </c>
      <c r="AF208" s="48">
        <v>0.76349</v>
      </c>
      <c r="AG208" s="46">
        <v>45471</v>
      </c>
      <c r="AH208" s="47">
        <v>0.96521990740740737</v>
      </c>
      <c r="AI208">
        <v>242489</v>
      </c>
      <c r="AJ208">
        <v>242487</v>
      </c>
      <c r="AK208">
        <v>242481</v>
      </c>
      <c r="AL208">
        <v>242515</v>
      </c>
      <c r="AM208">
        <v>242515</v>
      </c>
      <c r="AN208">
        <v>242514</v>
      </c>
      <c r="AO208">
        <v>242544</v>
      </c>
      <c r="AP208">
        <v>242544</v>
      </c>
      <c r="AQ208">
        <v>242544</v>
      </c>
      <c r="AR208">
        <v>242576</v>
      </c>
      <c r="AS208">
        <v>242576</v>
      </c>
      <c r="AT208">
        <v>242575</v>
      </c>
      <c r="AU208" s="57">
        <f t="shared" si="82"/>
        <v>0.71328999999999998</v>
      </c>
    </row>
    <row r="209" spans="1:47" x14ac:dyDescent="0.25">
      <c r="A209">
        <v>0</v>
      </c>
      <c r="B209" t="s">
        <v>164</v>
      </c>
      <c r="C209">
        <v>14112</v>
      </c>
      <c r="D209">
        <v>224</v>
      </c>
      <c r="E209">
        <v>2</v>
      </c>
      <c r="F209">
        <v>2</v>
      </c>
      <c r="G209">
        <v>2088.0700000000002</v>
      </c>
      <c r="H209" s="42">
        <v>0.89742999999999995</v>
      </c>
      <c r="I209" s="42">
        <v>45475</v>
      </c>
      <c r="J209" s="42">
        <v>0.46642361111111114</v>
      </c>
      <c r="K209" s="42">
        <v>217659</v>
      </c>
      <c r="L209" s="42">
        <v>217658</v>
      </c>
      <c r="M209" s="42">
        <v>217658</v>
      </c>
      <c r="N209" s="42">
        <v>217715</v>
      </c>
      <c r="O209" s="42">
        <v>217714</v>
      </c>
      <c r="P209" s="42">
        <v>217715</v>
      </c>
      <c r="Q209" s="42">
        <v>217777</v>
      </c>
      <c r="R209" s="42">
        <v>217776</v>
      </c>
      <c r="S209" s="42">
        <v>217776</v>
      </c>
      <c r="T209" s="42">
        <v>217830</v>
      </c>
      <c r="U209" s="42">
        <v>217829</v>
      </c>
      <c r="V209" s="42">
        <v>217830</v>
      </c>
      <c r="W209" s="57">
        <f>AVERAGE(H209:H213)</f>
        <v>0.89617599999999997</v>
      </c>
      <c r="Y209">
        <v>0</v>
      </c>
      <c r="Z209" t="s">
        <v>164</v>
      </c>
      <c r="AA209">
        <v>14112</v>
      </c>
      <c r="AB209">
        <v>224</v>
      </c>
      <c r="AC209">
        <v>2</v>
      </c>
      <c r="AD209">
        <v>2</v>
      </c>
      <c r="AE209">
        <v>2830.61</v>
      </c>
      <c r="AF209" s="48">
        <v>0.66200999999999999</v>
      </c>
      <c r="AG209" s="46">
        <v>45467</v>
      </c>
      <c r="AH209" s="47">
        <v>2.6157407407407407E-2</v>
      </c>
      <c r="AI209">
        <v>318074</v>
      </c>
      <c r="AJ209">
        <v>318073</v>
      </c>
      <c r="AK209">
        <v>318074</v>
      </c>
      <c r="AL209">
        <v>318127</v>
      </c>
      <c r="AM209">
        <v>318127</v>
      </c>
      <c r="AN209">
        <v>318126</v>
      </c>
      <c r="AO209">
        <v>318183</v>
      </c>
      <c r="AP209">
        <v>318183</v>
      </c>
      <c r="AQ209">
        <v>318184</v>
      </c>
      <c r="AR209">
        <v>318247</v>
      </c>
      <c r="AS209">
        <v>318247</v>
      </c>
      <c r="AT209">
        <v>318247</v>
      </c>
      <c r="AU209" s="57">
        <f t="shared" ref="AU209" si="83">AVERAGE(AF209:AF213)</f>
        <v>0.67122199999999999</v>
      </c>
    </row>
    <row r="210" spans="1:47" x14ac:dyDescent="0.25">
      <c r="A210">
        <v>1</v>
      </c>
      <c r="B210" t="s">
        <v>164</v>
      </c>
      <c r="C210">
        <v>14112</v>
      </c>
      <c r="D210">
        <v>224</v>
      </c>
      <c r="E210">
        <v>2</v>
      </c>
      <c r="F210">
        <v>2</v>
      </c>
      <c r="G210">
        <v>2162.4899999999998</v>
      </c>
      <c r="H210" s="42">
        <v>0.86653999999999998</v>
      </c>
      <c r="I210" s="42">
        <v>45476</v>
      </c>
      <c r="J210" s="42">
        <v>0.46024305555555556</v>
      </c>
      <c r="K210" s="42">
        <v>226159</v>
      </c>
      <c r="L210" s="42">
        <v>226159</v>
      </c>
      <c r="M210" s="42">
        <v>226158</v>
      </c>
      <c r="N210" s="42">
        <v>226215</v>
      </c>
      <c r="O210" s="42">
        <v>226215</v>
      </c>
      <c r="P210" s="42">
        <v>226216</v>
      </c>
      <c r="Q210" s="42">
        <v>226278</v>
      </c>
      <c r="R210" s="42">
        <v>226278</v>
      </c>
      <c r="S210" s="42">
        <v>226278</v>
      </c>
      <c r="T210" s="42">
        <v>226349</v>
      </c>
      <c r="U210" s="42">
        <v>226349</v>
      </c>
      <c r="V210" s="42">
        <v>226348</v>
      </c>
      <c r="W210" s="57">
        <f>W209</f>
        <v>0.89617599999999997</v>
      </c>
      <c r="Y210">
        <v>1</v>
      </c>
      <c r="Z210" t="s">
        <v>164</v>
      </c>
      <c r="AA210">
        <v>14112</v>
      </c>
      <c r="AB210">
        <v>224</v>
      </c>
      <c r="AC210">
        <v>2</v>
      </c>
      <c r="AD210">
        <v>2</v>
      </c>
      <c r="AE210">
        <v>2638.25</v>
      </c>
      <c r="AF210" s="48">
        <v>0.71028000000000002</v>
      </c>
      <c r="AG210" s="46">
        <v>45468</v>
      </c>
      <c r="AH210" s="47">
        <v>0.40483796296296298</v>
      </c>
      <c r="AI210">
        <v>298857</v>
      </c>
      <c r="AJ210">
        <v>298857</v>
      </c>
      <c r="AK210">
        <v>298857</v>
      </c>
      <c r="AL210">
        <v>298906</v>
      </c>
      <c r="AM210">
        <v>298906</v>
      </c>
      <c r="AN210">
        <v>298906</v>
      </c>
      <c r="AO210">
        <v>298959</v>
      </c>
      <c r="AP210">
        <v>298958</v>
      </c>
      <c r="AQ210">
        <v>298958</v>
      </c>
      <c r="AR210">
        <v>299025</v>
      </c>
      <c r="AS210">
        <v>299025</v>
      </c>
      <c r="AT210">
        <v>299024</v>
      </c>
      <c r="AU210" s="57">
        <f t="shared" ref="AU210" si="84">AU209</f>
        <v>0.67122199999999999</v>
      </c>
    </row>
    <row r="211" spans="1:47" x14ac:dyDescent="0.25">
      <c r="A211">
        <v>2</v>
      </c>
      <c r="B211" t="s">
        <v>164</v>
      </c>
      <c r="C211">
        <v>14112</v>
      </c>
      <c r="D211">
        <v>224</v>
      </c>
      <c r="E211">
        <v>2</v>
      </c>
      <c r="F211">
        <v>2</v>
      </c>
      <c r="G211">
        <v>2067.25</v>
      </c>
      <c r="H211" s="42">
        <v>0.90646000000000004</v>
      </c>
      <c r="I211" s="42">
        <v>45477</v>
      </c>
      <c r="J211" s="42">
        <v>0.44868055555555558</v>
      </c>
      <c r="K211" s="42">
        <v>215619</v>
      </c>
      <c r="L211" s="42">
        <v>215619</v>
      </c>
      <c r="M211" s="42">
        <v>215619</v>
      </c>
      <c r="N211" s="42">
        <v>215672</v>
      </c>
      <c r="O211" s="42">
        <v>215672</v>
      </c>
      <c r="P211" s="42">
        <v>215672</v>
      </c>
      <c r="Q211" s="42">
        <v>215723</v>
      </c>
      <c r="R211" s="42">
        <v>215724</v>
      </c>
      <c r="S211" s="42">
        <v>215723</v>
      </c>
      <c r="T211" s="42">
        <v>215785</v>
      </c>
      <c r="U211" s="42">
        <v>215784</v>
      </c>
      <c r="V211" s="42">
        <v>215784</v>
      </c>
      <c r="W211" s="57">
        <f>W210</f>
        <v>0.89617599999999997</v>
      </c>
      <c r="Y211">
        <v>2</v>
      </c>
      <c r="Z211" t="s">
        <v>164</v>
      </c>
      <c r="AA211">
        <v>14112</v>
      </c>
      <c r="AB211">
        <v>224</v>
      </c>
      <c r="AC211">
        <v>2</v>
      </c>
      <c r="AD211">
        <v>2</v>
      </c>
      <c r="AE211">
        <v>2849.91</v>
      </c>
      <c r="AF211" s="48">
        <v>0.65752999999999995</v>
      </c>
      <c r="AG211" s="46">
        <v>45469</v>
      </c>
      <c r="AH211" s="47">
        <v>0.77409722222222221</v>
      </c>
      <c r="AI211">
        <v>319975</v>
      </c>
      <c r="AJ211">
        <v>319975</v>
      </c>
      <c r="AK211">
        <v>319975</v>
      </c>
      <c r="AL211">
        <v>320019</v>
      </c>
      <c r="AM211">
        <v>320019</v>
      </c>
      <c r="AN211">
        <v>320019</v>
      </c>
      <c r="AO211">
        <v>320070</v>
      </c>
      <c r="AP211">
        <v>320071</v>
      </c>
      <c r="AQ211">
        <v>320071</v>
      </c>
      <c r="AR211">
        <v>320140</v>
      </c>
      <c r="AS211">
        <v>320139</v>
      </c>
      <c r="AT211">
        <v>320139</v>
      </c>
      <c r="AU211" s="57">
        <f t="shared" si="82"/>
        <v>0.67122199999999999</v>
      </c>
    </row>
    <row r="212" spans="1:47" x14ac:dyDescent="0.25">
      <c r="A212">
        <v>3</v>
      </c>
      <c r="B212" t="s">
        <v>164</v>
      </c>
      <c r="C212">
        <v>14112</v>
      </c>
      <c r="D212">
        <v>224</v>
      </c>
      <c r="E212">
        <v>2</v>
      </c>
      <c r="F212">
        <v>2</v>
      </c>
      <c r="G212">
        <v>2061.84</v>
      </c>
      <c r="H212" s="42">
        <v>0.90883999999999998</v>
      </c>
      <c r="I212" s="42">
        <v>45478</v>
      </c>
      <c r="J212" s="42">
        <v>0.43292824074074077</v>
      </c>
      <c r="K212" s="42">
        <v>215861</v>
      </c>
      <c r="L212" s="42">
        <v>215861</v>
      </c>
      <c r="M212" s="42">
        <v>215861</v>
      </c>
      <c r="N212" s="42">
        <v>215912</v>
      </c>
      <c r="O212" s="42">
        <v>215912</v>
      </c>
      <c r="P212" s="42">
        <v>215912</v>
      </c>
      <c r="Q212" s="42">
        <v>215962</v>
      </c>
      <c r="R212" s="42">
        <v>215962</v>
      </c>
      <c r="S212" s="42">
        <v>215963</v>
      </c>
      <c r="T212" s="42">
        <v>216026</v>
      </c>
      <c r="U212" s="42">
        <v>216026</v>
      </c>
      <c r="V212" s="42">
        <v>216025</v>
      </c>
      <c r="W212" s="57">
        <f>W211</f>
        <v>0.89617599999999997</v>
      </c>
      <c r="Y212">
        <v>3</v>
      </c>
      <c r="Z212" t="s">
        <v>164</v>
      </c>
      <c r="AA212">
        <v>14112</v>
      </c>
      <c r="AB212">
        <v>224</v>
      </c>
      <c r="AC212">
        <v>2</v>
      </c>
      <c r="AD212">
        <v>2</v>
      </c>
      <c r="AE212">
        <v>2926.59</v>
      </c>
      <c r="AF212" s="48">
        <v>0.64029999999999998</v>
      </c>
      <c r="AG212" s="46">
        <v>45471</v>
      </c>
      <c r="AH212" s="47">
        <v>0.12765046296296295</v>
      </c>
      <c r="AI212">
        <v>328248</v>
      </c>
      <c r="AJ212">
        <v>328248</v>
      </c>
      <c r="AK212">
        <v>328247</v>
      </c>
      <c r="AL212">
        <v>328306</v>
      </c>
      <c r="AM212">
        <v>328306</v>
      </c>
      <c r="AN212">
        <v>328306</v>
      </c>
      <c r="AO212">
        <v>328372</v>
      </c>
      <c r="AP212">
        <v>328371</v>
      </c>
      <c r="AQ212">
        <v>328371</v>
      </c>
      <c r="AR212">
        <v>328439</v>
      </c>
      <c r="AS212">
        <v>328438</v>
      </c>
      <c r="AT212">
        <v>328439</v>
      </c>
      <c r="AU212" s="57">
        <f t="shared" si="82"/>
        <v>0.67122199999999999</v>
      </c>
    </row>
    <row r="213" spans="1:47" x14ac:dyDescent="0.25">
      <c r="A213">
        <v>4</v>
      </c>
      <c r="B213" t="s">
        <v>164</v>
      </c>
      <c r="C213">
        <v>14112</v>
      </c>
      <c r="D213">
        <v>224</v>
      </c>
      <c r="E213">
        <v>2</v>
      </c>
      <c r="F213">
        <v>2</v>
      </c>
      <c r="G213">
        <v>2078.39</v>
      </c>
      <c r="H213" s="42">
        <v>0.90161000000000002</v>
      </c>
      <c r="I213" s="42">
        <v>45479</v>
      </c>
      <c r="J213" s="42">
        <v>0.41189814814814812</v>
      </c>
      <c r="K213" s="42">
        <v>218362</v>
      </c>
      <c r="L213" s="42">
        <v>218362</v>
      </c>
      <c r="M213" s="42">
        <v>218362</v>
      </c>
      <c r="N213" s="42">
        <v>218414</v>
      </c>
      <c r="O213" s="42">
        <v>218414</v>
      </c>
      <c r="P213" s="42">
        <v>218414</v>
      </c>
      <c r="Q213" s="42">
        <v>218466</v>
      </c>
      <c r="R213" s="42">
        <v>218466</v>
      </c>
      <c r="S213" s="42">
        <v>218467</v>
      </c>
      <c r="T213" s="42">
        <v>218528</v>
      </c>
      <c r="U213" s="42">
        <v>218528</v>
      </c>
      <c r="V213" s="42">
        <v>218528</v>
      </c>
      <c r="W213" s="57">
        <f>W212</f>
        <v>0.89617599999999997</v>
      </c>
      <c r="Y213">
        <v>4</v>
      </c>
      <c r="Z213" t="s">
        <v>164</v>
      </c>
      <c r="AA213">
        <v>14112</v>
      </c>
      <c r="AB213">
        <v>224</v>
      </c>
      <c r="AC213">
        <v>2</v>
      </c>
      <c r="AD213">
        <v>2</v>
      </c>
      <c r="AE213">
        <v>2731.66</v>
      </c>
      <c r="AF213" s="48">
        <v>0.68598999999999999</v>
      </c>
      <c r="AG213" s="46">
        <v>45472</v>
      </c>
      <c r="AH213" s="47">
        <v>0.49135416666666665</v>
      </c>
      <c r="AI213">
        <v>308714</v>
      </c>
      <c r="AJ213">
        <v>308715</v>
      </c>
      <c r="AK213">
        <v>308714</v>
      </c>
      <c r="AL213">
        <v>308772</v>
      </c>
      <c r="AM213">
        <v>308771</v>
      </c>
      <c r="AN213">
        <v>308772</v>
      </c>
      <c r="AO213">
        <v>308823</v>
      </c>
      <c r="AP213">
        <v>308823</v>
      </c>
      <c r="AQ213">
        <v>308822</v>
      </c>
      <c r="AR213">
        <v>308896</v>
      </c>
      <c r="AS213">
        <v>308895</v>
      </c>
      <c r="AT213">
        <v>308895</v>
      </c>
      <c r="AU213" s="57">
        <f t="shared" si="82"/>
        <v>0.67122199999999999</v>
      </c>
    </row>
    <row r="214" spans="1:47" x14ac:dyDescent="0.25">
      <c r="A214">
        <v>0</v>
      </c>
      <c r="B214" t="s">
        <v>164</v>
      </c>
      <c r="C214">
        <v>12544</v>
      </c>
      <c r="D214">
        <v>256</v>
      </c>
      <c r="E214">
        <v>1</v>
      </c>
      <c r="F214">
        <v>4</v>
      </c>
      <c r="G214">
        <v>1418.03</v>
      </c>
      <c r="H214" s="70">
        <v>0.92813000000000001</v>
      </c>
      <c r="I214" s="42">
        <v>45474</v>
      </c>
      <c r="J214" s="42">
        <v>0.78074074074074074</v>
      </c>
      <c r="K214" s="42">
        <v>148874</v>
      </c>
      <c r="L214" s="42">
        <v>148874</v>
      </c>
      <c r="M214" s="42">
        <v>148873</v>
      </c>
      <c r="N214" s="42">
        <v>148871</v>
      </c>
      <c r="O214" s="42">
        <v>148872</v>
      </c>
      <c r="P214" s="42">
        <v>148872</v>
      </c>
      <c r="Q214" s="42">
        <v>148874</v>
      </c>
      <c r="R214" s="42">
        <v>148874</v>
      </c>
      <c r="S214" s="42">
        <v>148874</v>
      </c>
      <c r="T214" s="42">
        <v>148880</v>
      </c>
      <c r="U214" s="42">
        <v>148880</v>
      </c>
      <c r="V214" s="42">
        <v>148880</v>
      </c>
      <c r="W214" s="57">
        <f>AVERAGE(H214:H218)</f>
        <v>0.92783800000000005</v>
      </c>
      <c r="Y214">
        <v>0</v>
      </c>
      <c r="Z214" t="s">
        <v>164</v>
      </c>
      <c r="AA214">
        <v>12544</v>
      </c>
      <c r="AB214">
        <v>256</v>
      </c>
      <c r="AC214">
        <v>1</v>
      </c>
      <c r="AD214">
        <v>4</v>
      </c>
      <c r="AE214">
        <v>1800.76</v>
      </c>
      <c r="AF214" s="48">
        <v>0.73087000000000002</v>
      </c>
      <c r="AG214" s="46">
        <v>45466</v>
      </c>
      <c r="AH214" s="47">
        <v>6.2662037037037044E-2</v>
      </c>
      <c r="AI214">
        <v>208135</v>
      </c>
      <c r="AJ214">
        <v>208135</v>
      </c>
      <c r="AK214">
        <v>208134</v>
      </c>
      <c r="AL214">
        <v>208138</v>
      </c>
      <c r="AM214">
        <v>208138</v>
      </c>
      <c r="AN214">
        <v>208137</v>
      </c>
      <c r="AO214">
        <v>208139</v>
      </c>
      <c r="AP214">
        <v>208139</v>
      </c>
      <c r="AQ214">
        <v>208140</v>
      </c>
      <c r="AR214">
        <v>208142</v>
      </c>
      <c r="AS214">
        <v>208142</v>
      </c>
      <c r="AT214">
        <v>208142</v>
      </c>
      <c r="AU214" s="57">
        <f t="shared" ref="AU214" si="85">AVERAGE(AF214:AF218)</f>
        <v>0.72612200000000005</v>
      </c>
    </row>
    <row r="215" spans="1:47" x14ac:dyDescent="0.25">
      <c r="A215">
        <v>1</v>
      </c>
      <c r="B215" t="s">
        <v>164</v>
      </c>
      <c r="C215">
        <v>12544</v>
      </c>
      <c r="D215">
        <v>256</v>
      </c>
      <c r="E215">
        <v>1</v>
      </c>
      <c r="F215">
        <v>4</v>
      </c>
      <c r="G215">
        <v>1417.63</v>
      </c>
      <c r="H215" s="42">
        <v>0.92839000000000005</v>
      </c>
      <c r="I215" s="42">
        <v>45475</v>
      </c>
      <c r="J215" s="42">
        <v>0.77553240740740736</v>
      </c>
      <c r="K215" s="42">
        <v>148849</v>
      </c>
      <c r="L215" s="42">
        <v>148849</v>
      </c>
      <c r="M215" s="42">
        <v>148849</v>
      </c>
      <c r="N215" s="42">
        <v>148850</v>
      </c>
      <c r="O215" s="42">
        <v>148851</v>
      </c>
      <c r="P215" s="42">
        <v>148850</v>
      </c>
      <c r="Q215" s="42">
        <v>148848</v>
      </c>
      <c r="R215" s="42">
        <v>148848</v>
      </c>
      <c r="S215" s="42">
        <v>148848</v>
      </c>
      <c r="T215" s="42">
        <v>148850</v>
      </c>
      <c r="U215" s="42">
        <v>148850</v>
      </c>
      <c r="V215" s="42">
        <v>148849</v>
      </c>
      <c r="W215" s="57">
        <f>W214</f>
        <v>0.92783800000000005</v>
      </c>
      <c r="Y215">
        <v>1</v>
      </c>
      <c r="Z215" t="s">
        <v>164</v>
      </c>
      <c r="AA215">
        <v>12544</v>
      </c>
      <c r="AB215">
        <v>256</v>
      </c>
      <c r="AC215">
        <v>1</v>
      </c>
      <c r="AD215">
        <v>4</v>
      </c>
      <c r="AE215">
        <v>1774.19</v>
      </c>
      <c r="AF215" s="48">
        <v>0.74180999999999997</v>
      </c>
      <c r="AG215" s="46">
        <v>45467</v>
      </c>
      <c r="AH215" s="47">
        <v>0.45298611111111109</v>
      </c>
      <c r="AI215">
        <v>205446</v>
      </c>
      <c r="AJ215">
        <v>205447</v>
      </c>
      <c r="AK215">
        <v>205446</v>
      </c>
      <c r="AL215">
        <v>205444</v>
      </c>
      <c r="AM215">
        <v>205444</v>
      </c>
      <c r="AN215">
        <v>205443</v>
      </c>
      <c r="AO215">
        <v>205444</v>
      </c>
      <c r="AP215">
        <v>205445</v>
      </c>
      <c r="AQ215">
        <v>205445</v>
      </c>
      <c r="AR215">
        <v>205446</v>
      </c>
      <c r="AS215">
        <v>205447</v>
      </c>
      <c r="AT215">
        <v>205447</v>
      </c>
      <c r="AU215" s="57">
        <f t="shared" ref="AU215" si="86">AU214</f>
        <v>0.72612200000000005</v>
      </c>
    </row>
    <row r="216" spans="1:47" x14ac:dyDescent="0.25">
      <c r="A216">
        <v>2</v>
      </c>
      <c r="B216" t="s">
        <v>164</v>
      </c>
      <c r="C216">
        <v>12544</v>
      </c>
      <c r="D216">
        <v>256</v>
      </c>
      <c r="E216">
        <v>1</v>
      </c>
      <c r="F216">
        <v>4</v>
      </c>
      <c r="G216">
        <v>1420.04</v>
      </c>
      <c r="H216" s="42">
        <v>0.92681999999999998</v>
      </c>
      <c r="I216" s="42">
        <v>45476</v>
      </c>
      <c r="J216" s="42">
        <v>0.76760416666666664</v>
      </c>
      <c r="K216" s="42">
        <v>149081</v>
      </c>
      <c r="L216" s="42">
        <v>149081</v>
      </c>
      <c r="M216" s="42">
        <v>149081</v>
      </c>
      <c r="N216" s="42">
        <v>149082</v>
      </c>
      <c r="O216" s="42">
        <v>149083</v>
      </c>
      <c r="P216" s="42">
        <v>149082</v>
      </c>
      <c r="Q216" s="42">
        <v>149084</v>
      </c>
      <c r="R216" s="42">
        <v>149083</v>
      </c>
      <c r="S216" s="42">
        <v>149083</v>
      </c>
      <c r="T216" s="42">
        <v>149085</v>
      </c>
      <c r="U216" s="42">
        <v>149086</v>
      </c>
      <c r="V216" s="42">
        <v>149086</v>
      </c>
      <c r="W216" s="57">
        <f>W215</f>
        <v>0.92783800000000005</v>
      </c>
      <c r="Y216">
        <v>2</v>
      </c>
      <c r="Z216" t="s">
        <v>164</v>
      </c>
      <c r="AA216">
        <v>12544</v>
      </c>
      <c r="AB216">
        <v>256</v>
      </c>
      <c r="AC216">
        <v>1</v>
      </c>
      <c r="AD216">
        <v>4</v>
      </c>
      <c r="AE216">
        <v>1833.81</v>
      </c>
      <c r="AF216" s="48">
        <v>0.71769000000000005</v>
      </c>
      <c r="AG216" s="46">
        <v>45468</v>
      </c>
      <c r="AH216" s="47">
        <v>0.82778935185185187</v>
      </c>
      <c r="AI216">
        <v>211444</v>
      </c>
      <c r="AJ216">
        <v>211443</v>
      </c>
      <c r="AK216">
        <v>211444</v>
      </c>
      <c r="AL216">
        <v>211446</v>
      </c>
      <c r="AM216">
        <v>211445</v>
      </c>
      <c r="AN216">
        <v>211446</v>
      </c>
      <c r="AO216">
        <v>211445</v>
      </c>
      <c r="AP216">
        <v>211445</v>
      </c>
      <c r="AQ216">
        <v>211446</v>
      </c>
      <c r="AR216">
        <v>211446</v>
      </c>
      <c r="AS216">
        <v>211447</v>
      </c>
      <c r="AT216">
        <v>211447</v>
      </c>
      <c r="AU216" s="57">
        <f t="shared" si="82"/>
        <v>0.72612200000000005</v>
      </c>
    </row>
    <row r="217" spans="1:47" x14ac:dyDescent="0.25">
      <c r="A217">
        <v>3</v>
      </c>
      <c r="B217" t="s">
        <v>164</v>
      </c>
      <c r="C217">
        <v>12544</v>
      </c>
      <c r="D217">
        <v>256</v>
      </c>
      <c r="E217">
        <v>1</v>
      </c>
      <c r="F217">
        <v>4</v>
      </c>
      <c r="G217">
        <v>1417.62</v>
      </c>
      <c r="H217" s="42">
        <v>0.9284</v>
      </c>
      <c r="I217" s="42">
        <v>45477</v>
      </c>
      <c r="J217" s="42">
        <v>0.75567129629629626</v>
      </c>
      <c r="K217" s="42">
        <v>148831</v>
      </c>
      <c r="L217" s="42">
        <v>148832</v>
      </c>
      <c r="M217" s="42">
        <v>148832</v>
      </c>
      <c r="N217" s="42">
        <v>148833</v>
      </c>
      <c r="O217" s="42">
        <v>148832</v>
      </c>
      <c r="P217" s="42">
        <v>148832</v>
      </c>
      <c r="Q217" s="42">
        <v>148834</v>
      </c>
      <c r="R217" s="42">
        <v>148833</v>
      </c>
      <c r="S217" s="42">
        <v>148834</v>
      </c>
      <c r="T217" s="42">
        <v>148840</v>
      </c>
      <c r="U217" s="42">
        <v>148840</v>
      </c>
      <c r="V217" s="42">
        <v>148840</v>
      </c>
      <c r="W217" s="57">
        <f>W216</f>
        <v>0.92783800000000005</v>
      </c>
      <c r="Y217">
        <v>3</v>
      </c>
      <c r="Z217" t="s">
        <v>164</v>
      </c>
      <c r="AA217">
        <v>12544</v>
      </c>
      <c r="AB217">
        <v>256</v>
      </c>
      <c r="AC217">
        <v>1</v>
      </c>
      <c r="AD217">
        <v>4</v>
      </c>
      <c r="AE217">
        <v>1794.21</v>
      </c>
      <c r="AF217" s="48">
        <v>0.73353999999999997</v>
      </c>
      <c r="AG217" s="46">
        <v>45470</v>
      </c>
      <c r="AH217" s="47">
        <v>0.1940625</v>
      </c>
      <c r="AI217">
        <v>207453</v>
      </c>
      <c r="AJ217">
        <v>207453</v>
      </c>
      <c r="AK217">
        <v>207454</v>
      </c>
      <c r="AL217">
        <v>207460</v>
      </c>
      <c r="AM217">
        <v>207460</v>
      </c>
      <c r="AN217">
        <v>207459</v>
      </c>
      <c r="AO217">
        <v>207461</v>
      </c>
      <c r="AP217">
        <v>207462</v>
      </c>
      <c r="AQ217">
        <v>207462</v>
      </c>
      <c r="AR217">
        <v>207462</v>
      </c>
      <c r="AS217">
        <v>207463</v>
      </c>
      <c r="AT217">
        <v>207463</v>
      </c>
      <c r="AU217" s="57">
        <f t="shared" si="82"/>
        <v>0.72612200000000005</v>
      </c>
    </row>
    <row r="218" spans="1:47" x14ac:dyDescent="0.25">
      <c r="A218">
        <v>4</v>
      </c>
      <c r="B218" t="s">
        <v>164</v>
      </c>
      <c r="C218">
        <v>12544</v>
      </c>
      <c r="D218">
        <v>256</v>
      </c>
      <c r="E218">
        <v>1</v>
      </c>
      <c r="F218">
        <v>4</v>
      </c>
      <c r="G218">
        <v>1419.06</v>
      </c>
      <c r="H218" s="42">
        <v>0.92745</v>
      </c>
      <c r="I218" s="42">
        <v>45478</v>
      </c>
      <c r="J218" s="42">
        <v>0.73677083333333337</v>
      </c>
      <c r="K218" s="42">
        <v>148972</v>
      </c>
      <c r="L218" s="42">
        <v>148972</v>
      </c>
      <c r="M218" s="42">
        <v>148971</v>
      </c>
      <c r="N218" s="42">
        <v>148974</v>
      </c>
      <c r="O218" s="42">
        <v>148974</v>
      </c>
      <c r="P218" s="42">
        <v>148973</v>
      </c>
      <c r="Q218" s="42">
        <v>148975</v>
      </c>
      <c r="R218" s="42">
        <v>148974</v>
      </c>
      <c r="S218" s="42">
        <v>148975</v>
      </c>
      <c r="T218" s="42">
        <v>148975</v>
      </c>
      <c r="U218" s="42">
        <v>148976</v>
      </c>
      <c r="V218" s="42">
        <v>148976</v>
      </c>
      <c r="W218" s="57">
        <f>W217</f>
        <v>0.92783800000000005</v>
      </c>
      <c r="Y218">
        <v>4</v>
      </c>
      <c r="Z218" t="s">
        <v>164</v>
      </c>
      <c r="AA218">
        <v>12544</v>
      </c>
      <c r="AB218">
        <v>256</v>
      </c>
      <c r="AC218">
        <v>1</v>
      </c>
      <c r="AD218">
        <v>4</v>
      </c>
      <c r="AE218">
        <v>1862.33</v>
      </c>
      <c r="AF218" s="48">
        <v>0.70669999999999999</v>
      </c>
      <c r="AG218" s="46">
        <v>45471</v>
      </c>
      <c r="AH218" s="47">
        <v>0.55039351851851848</v>
      </c>
      <c r="AI218">
        <v>214249</v>
      </c>
      <c r="AJ218">
        <v>214249</v>
      </c>
      <c r="AK218">
        <v>214250</v>
      </c>
      <c r="AL218">
        <v>214251</v>
      </c>
      <c r="AM218">
        <v>214251</v>
      </c>
      <c r="AN218">
        <v>214250</v>
      </c>
      <c r="AO218">
        <v>214251</v>
      </c>
      <c r="AP218">
        <v>214252</v>
      </c>
      <c r="AQ218">
        <v>214251</v>
      </c>
      <c r="AR218">
        <v>214252</v>
      </c>
      <c r="AS218">
        <v>214253</v>
      </c>
      <c r="AT218">
        <v>214252</v>
      </c>
      <c r="AU218" s="57">
        <f t="shared" si="82"/>
        <v>0.72612200000000005</v>
      </c>
    </row>
    <row r="219" spans="1:47" x14ac:dyDescent="0.25">
      <c r="A219">
        <v>0</v>
      </c>
      <c r="B219" t="s">
        <v>164</v>
      </c>
      <c r="C219">
        <v>13312</v>
      </c>
      <c r="D219">
        <v>256</v>
      </c>
      <c r="E219">
        <v>1</v>
      </c>
      <c r="F219">
        <v>4</v>
      </c>
      <c r="G219">
        <v>1796.23</v>
      </c>
      <c r="H219" s="70">
        <v>0.87568999999999997</v>
      </c>
      <c r="I219" s="42">
        <v>45475</v>
      </c>
      <c r="J219" s="42">
        <v>9.9872685185185189E-2</v>
      </c>
      <c r="K219" s="42">
        <v>187120</v>
      </c>
      <c r="L219" s="42">
        <v>187120</v>
      </c>
      <c r="M219" s="42">
        <v>187120</v>
      </c>
      <c r="N219" s="42">
        <v>187124</v>
      </c>
      <c r="O219" s="42">
        <v>187124</v>
      </c>
      <c r="P219" s="42">
        <v>187124</v>
      </c>
      <c r="Q219" s="42">
        <v>187125</v>
      </c>
      <c r="R219" s="42">
        <v>187125</v>
      </c>
      <c r="S219" s="42">
        <v>187124</v>
      </c>
      <c r="T219" s="42">
        <v>187126</v>
      </c>
      <c r="U219" s="42">
        <v>187127</v>
      </c>
      <c r="V219" s="42">
        <v>187126</v>
      </c>
      <c r="W219" s="57">
        <f>AVERAGE(H219:H223)</f>
        <v>0.87403799999999987</v>
      </c>
      <c r="Y219">
        <v>0</v>
      </c>
      <c r="Z219" t="s">
        <v>164</v>
      </c>
      <c r="AA219">
        <v>13312</v>
      </c>
      <c r="AB219">
        <v>256</v>
      </c>
      <c r="AC219">
        <v>1</v>
      </c>
      <c r="AD219">
        <v>4</v>
      </c>
      <c r="AE219">
        <v>2230.36</v>
      </c>
      <c r="AF219" s="48">
        <v>0.70523999999999998</v>
      </c>
      <c r="AG219" s="46">
        <v>45466</v>
      </c>
      <c r="AH219" s="47">
        <v>0.50380787037037034</v>
      </c>
      <c r="AI219">
        <v>252876</v>
      </c>
      <c r="AJ219">
        <v>252876</v>
      </c>
      <c r="AK219">
        <v>252877</v>
      </c>
      <c r="AL219">
        <v>252879</v>
      </c>
      <c r="AM219">
        <v>252878</v>
      </c>
      <c r="AN219">
        <v>252879</v>
      </c>
      <c r="AO219">
        <v>252906</v>
      </c>
      <c r="AP219">
        <v>252906</v>
      </c>
      <c r="AQ219">
        <v>252906</v>
      </c>
      <c r="AR219">
        <v>252913</v>
      </c>
      <c r="AS219">
        <v>252912</v>
      </c>
      <c r="AT219">
        <v>252912</v>
      </c>
      <c r="AU219" s="57">
        <f t="shared" ref="AU219" si="87">AVERAGE(AF219:AF223)</f>
        <v>0.71140599999999998</v>
      </c>
    </row>
    <row r="220" spans="1:47" x14ac:dyDescent="0.25">
      <c r="A220">
        <v>1</v>
      </c>
      <c r="B220" t="s">
        <v>164</v>
      </c>
      <c r="C220">
        <v>13312</v>
      </c>
      <c r="D220">
        <v>256</v>
      </c>
      <c r="E220">
        <v>1</v>
      </c>
      <c r="F220">
        <v>4</v>
      </c>
      <c r="G220">
        <v>1796.33</v>
      </c>
      <c r="H220" s="42">
        <v>0.87563999999999997</v>
      </c>
      <c r="I220" s="42">
        <v>45476</v>
      </c>
      <c r="J220" s="42">
        <v>9.4629629629629633E-2</v>
      </c>
      <c r="K220" s="42">
        <v>187105</v>
      </c>
      <c r="L220" s="42">
        <v>187104</v>
      </c>
      <c r="M220" s="42">
        <v>187105</v>
      </c>
      <c r="N220" s="42">
        <v>187105</v>
      </c>
      <c r="O220" s="42">
        <v>187106</v>
      </c>
      <c r="P220" s="42">
        <v>187105</v>
      </c>
      <c r="Q220" s="42">
        <v>187106</v>
      </c>
      <c r="R220" s="42">
        <v>187106</v>
      </c>
      <c r="S220" s="42">
        <v>187107</v>
      </c>
      <c r="T220" s="42">
        <v>187108</v>
      </c>
      <c r="U220" s="42">
        <v>187108</v>
      </c>
      <c r="V220" s="42">
        <v>187107</v>
      </c>
      <c r="W220" s="57">
        <f>W219</f>
        <v>0.87403799999999987</v>
      </c>
      <c r="Y220">
        <v>1</v>
      </c>
      <c r="Z220" t="s">
        <v>164</v>
      </c>
      <c r="AA220">
        <v>13312</v>
      </c>
      <c r="AB220">
        <v>256</v>
      </c>
      <c r="AC220">
        <v>1</v>
      </c>
      <c r="AD220">
        <v>4</v>
      </c>
      <c r="AE220">
        <v>2170.83</v>
      </c>
      <c r="AF220" s="48">
        <v>0.72458</v>
      </c>
      <c r="AG220" s="46">
        <v>45467</v>
      </c>
      <c r="AH220" s="47">
        <v>0.89306712962962964</v>
      </c>
      <c r="AI220">
        <v>246921</v>
      </c>
      <c r="AJ220">
        <v>246921</v>
      </c>
      <c r="AK220">
        <v>246921</v>
      </c>
      <c r="AL220">
        <v>246924</v>
      </c>
      <c r="AM220">
        <v>246924</v>
      </c>
      <c r="AN220">
        <v>246923</v>
      </c>
      <c r="AO220">
        <v>246925</v>
      </c>
      <c r="AP220">
        <v>246926</v>
      </c>
      <c r="AQ220">
        <v>246925</v>
      </c>
      <c r="AR220">
        <v>246926</v>
      </c>
      <c r="AS220">
        <v>246927</v>
      </c>
      <c r="AT220">
        <v>246927</v>
      </c>
      <c r="AU220" s="57">
        <f t="shared" ref="AU220" si="88">AU219</f>
        <v>0.71140599999999998</v>
      </c>
    </row>
    <row r="221" spans="1:47" x14ac:dyDescent="0.25">
      <c r="A221">
        <v>2</v>
      </c>
      <c r="B221" t="s">
        <v>164</v>
      </c>
      <c r="C221">
        <v>13312</v>
      </c>
      <c r="D221">
        <v>256</v>
      </c>
      <c r="E221">
        <v>1</v>
      </c>
      <c r="F221">
        <v>4</v>
      </c>
      <c r="G221">
        <v>1812.44</v>
      </c>
      <c r="H221" s="42">
        <v>0.86785999999999996</v>
      </c>
      <c r="I221" s="42">
        <v>45477</v>
      </c>
      <c r="J221" s="42">
        <v>8.6967592592592596E-2</v>
      </c>
      <c r="K221" s="42">
        <v>188899</v>
      </c>
      <c r="L221" s="42">
        <v>188900</v>
      </c>
      <c r="M221" s="42">
        <v>188899</v>
      </c>
      <c r="N221" s="42">
        <v>188902</v>
      </c>
      <c r="O221" s="42">
        <v>188902</v>
      </c>
      <c r="P221" s="42">
        <v>188902</v>
      </c>
      <c r="Q221" s="42">
        <v>188904</v>
      </c>
      <c r="R221" s="42">
        <v>188904</v>
      </c>
      <c r="S221" s="42">
        <v>188905</v>
      </c>
      <c r="T221" s="42">
        <v>188907</v>
      </c>
      <c r="U221" s="42">
        <v>188907</v>
      </c>
      <c r="V221" s="42">
        <v>188906</v>
      </c>
      <c r="W221" s="57">
        <f>W220</f>
        <v>0.87403799999999987</v>
      </c>
      <c r="Y221">
        <v>2</v>
      </c>
      <c r="Z221" t="s">
        <v>164</v>
      </c>
      <c r="AA221">
        <v>13312</v>
      </c>
      <c r="AB221">
        <v>256</v>
      </c>
      <c r="AC221">
        <v>1</v>
      </c>
      <c r="AD221">
        <v>4</v>
      </c>
      <c r="AE221">
        <v>2233.14</v>
      </c>
      <c r="AF221" s="48">
        <v>0.70435999999999999</v>
      </c>
      <c r="AG221" s="46">
        <v>45469</v>
      </c>
      <c r="AH221" s="47">
        <v>0.26677083333333335</v>
      </c>
      <c r="AI221">
        <v>253993</v>
      </c>
      <c r="AJ221">
        <v>253993</v>
      </c>
      <c r="AK221">
        <v>253993</v>
      </c>
      <c r="AL221">
        <v>253996</v>
      </c>
      <c r="AM221">
        <v>253995</v>
      </c>
      <c r="AN221">
        <v>253995</v>
      </c>
      <c r="AO221">
        <v>253997</v>
      </c>
      <c r="AP221">
        <v>253997</v>
      </c>
      <c r="AQ221">
        <v>253998</v>
      </c>
      <c r="AR221">
        <v>254011</v>
      </c>
      <c r="AS221">
        <v>254011</v>
      </c>
      <c r="AT221">
        <v>254010</v>
      </c>
      <c r="AU221" s="57">
        <f t="shared" si="82"/>
        <v>0.71140599999999998</v>
      </c>
    </row>
    <row r="222" spans="1:47" x14ac:dyDescent="0.25">
      <c r="A222">
        <v>3</v>
      </c>
      <c r="B222" t="s">
        <v>164</v>
      </c>
      <c r="C222">
        <v>13312</v>
      </c>
      <c r="D222">
        <v>256</v>
      </c>
      <c r="E222">
        <v>1</v>
      </c>
      <c r="F222">
        <v>4</v>
      </c>
      <c r="G222">
        <v>1796.33</v>
      </c>
      <c r="H222" s="42">
        <v>0.87563999999999997</v>
      </c>
      <c r="I222" s="42">
        <v>45478</v>
      </c>
      <c r="J222" s="42">
        <v>7.4965277777777783E-2</v>
      </c>
      <c r="K222" s="42">
        <v>187108</v>
      </c>
      <c r="L222" s="42">
        <v>187107</v>
      </c>
      <c r="M222" s="42">
        <v>187107</v>
      </c>
      <c r="N222" s="42">
        <v>187108</v>
      </c>
      <c r="O222" s="42">
        <v>187108</v>
      </c>
      <c r="P222" s="42">
        <v>187109</v>
      </c>
      <c r="Q222" s="42">
        <v>187106</v>
      </c>
      <c r="R222" s="42">
        <v>187106</v>
      </c>
      <c r="S222" s="42">
        <v>187106</v>
      </c>
      <c r="T222" s="42">
        <v>187103</v>
      </c>
      <c r="U222" s="42">
        <v>187104</v>
      </c>
      <c r="V222" s="42">
        <v>187104</v>
      </c>
      <c r="W222" s="57">
        <f>W221</f>
        <v>0.87403799999999987</v>
      </c>
      <c r="Y222">
        <v>3</v>
      </c>
      <c r="Z222" t="s">
        <v>164</v>
      </c>
      <c r="AA222">
        <v>13312</v>
      </c>
      <c r="AB222">
        <v>256</v>
      </c>
      <c r="AC222">
        <v>1</v>
      </c>
      <c r="AD222">
        <v>4</v>
      </c>
      <c r="AE222">
        <v>2261.14</v>
      </c>
      <c r="AF222" s="48">
        <v>0.69564000000000004</v>
      </c>
      <c r="AG222" s="46">
        <v>45470</v>
      </c>
      <c r="AH222" s="47">
        <v>0.630462962962963</v>
      </c>
      <c r="AI222">
        <v>256073</v>
      </c>
      <c r="AJ222">
        <v>256073</v>
      </c>
      <c r="AK222">
        <v>256072</v>
      </c>
      <c r="AL222">
        <v>256087</v>
      </c>
      <c r="AM222">
        <v>256086</v>
      </c>
      <c r="AN222">
        <v>256087</v>
      </c>
      <c r="AO222">
        <v>256088</v>
      </c>
      <c r="AP222">
        <v>256089</v>
      </c>
      <c r="AQ222">
        <v>256088</v>
      </c>
      <c r="AR222">
        <v>256122</v>
      </c>
      <c r="AS222">
        <v>256122</v>
      </c>
      <c r="AT222">
        <v>256122</v>
      </c>
      <c r="AU222" s="57">
        <f t="shared" si="82"/>
        <v>0.71140599999999998</v>
      </c>
    </row>
    <row r="223" spans="1:47" x14ac:dyDescent="0.25">
      <c r="A223">
        <v>4</v>
      </c>
      <c r="B223" t="s">
        <v>164</v>
      </c>
      <c r="C223">
        <v>13312</v>
      </c>
      <c r="D223">
        <v>256</v>
      </c>
      <c r="E223">
        <v>1</v>
      </c>
      <c r="F223">
        <v>4</v>
      </c>
      <c r="G223">
        <v>1796.9</v>
      </c>
      <c r="H223" s="42">
        <v>0.87536000000000003</v>
      </c>
      <c r="I223" s="42">
        <v>45479</v>
      </c>
      <c r="J223" s="42">
        <v>5.5752314814814817E-2</v>
      </c>
      <c r="K223" s="42">
        <v>187178</v>
      </c>
      <c r="L223" s="42">
        <v>187179</v>
      </c>
      <c r="M223" s="42">
        <v>187178</v>
      </c>
      <c r="N223" s="42">
        <v>187181</v>
      </c>
      <c r="O223" s="42">
        <v>187180</v>
      </c>
      <c r="P223" s="42">
        <v>187180</v>
      </c>
      <c r="Q223" s="42">
        <v>187186</v>
      </c>
      <c r="R223" s="42">
        <v>187186</v>
      </c>
      <c r="S223" s="42">
        <v>187186</v>
      </c>
      <c r="T223" s="42">
        <v>187191</v>
      </c>
      <c r="U223" s="42">
        <v>187192</v>
      </c>
      <c r="V223" s="42">
        <v>187192</v>
      </c>
      <c r="W223" s="57">
        <f>W222</f>
        <v>0.87403799999999987</v>
      </c>
      <c r="Y223">
        <v>4</v>
      </c>
      <c r="Z223" t="s">
        <v>164</v>
      </c>
      <c r="AA223">
        <v>13312</v>
      </c>
      <c r="AB223">
        <v>256</v>
      </c>
      <c r="AC223">
        <v>1</v>
      </c>
      <c r="AD223">
        <v>4</v>
      </c>
      <c r="AE223">
        <v>2162.98</v>
      </c>
      <c r="AF223" s="48">
        <v>0.72721000000000002</v>
      </c>
      <c r="AG223" s="46">
        <v>45471</v>
      </c>
      <c r="AH223" s="47">
        <v>0.9937731481481481</v>
      </c>
      <c r="AI223">
        <v>246142</v>
      </c>
      <c r="AJ223">
        <v>246143</v>
      </c>
      <c r="AK223">
        <v>246142</v>
      </c>
      <c r="AL223">
        <v>246156</v>
      </c>
      <c r="AM223">
        <v>246156</v>
      </c>
      <c r="AN223">
        <v>246156</v>
      </c>
      <c r="AO223">
        <v>246153</v>
      </c>
      <c r="AP223">
        <v>246154</v>
      </c>
      <c r="AQ223">
        <v>246154</v>
      </c>
      <c r="AR223">
        <v>246155</v>
      </c>
      <c r="AS223">
        <v>246156</v>
      </c>
      <c r="AT223">
        <v>246155</v>
      </c>
      <c r="AU223" s="57">
        <f t="shared" si="82"/>
        <v>0.71140599999999998</v>
      </c>
    </row>
    <row r="224" spans="1:47" x14ac:dyDescent="0.25">
      <c r="A224">
        <v>0</v>
      </c>
      <c r="B224" t="s">
        <v>164</v>
      </c>
      <c r="C224">
        <v>14080</v>
      </c>
      <c r="D224">
        <v>256</v>
      </c>
      <c r="E224">
        <v>1</v>
      </c>
      <c r="F224">
        <v>4</v>
      </c>
      <c r="G224">
        <v>2437.7600000000002</v>
      </c>
      <c r="H224" s="42">
        <v>0.76348000000000005</v>
      </c>
      <c r="I224" s="42">
        <v>45475</v>
      </c>
      <c r="J224" s="42">
        <v>0.49584490740740739</v>
      </c>
      <c r="K224" s="42">
        <v>253492</v>
      </c>
      <c r="L224" s="42">
        <v>253491</v>
      </c>
      <c r="M224" s="42">
        <v>253491</v>
      </c>
      <c r="N224" s="42">
        <v>253536</v>
      </c>
      <c r="O224" s="42">
        <v>253537</v>
      </c>
      <c r="P224" s="42">
        <v>253537</v>
      </c>
      <c r="Q224" s="42">
        <v>253595</v>
      </c>
      <c r="R224" s="42">
        <v>253594</v>
      </c>
      <c r="S224" s="42">
        <v>253595</v>
      </c>
      <c r="T224" s="42">
        <v>253639</v>
      </c>
      <c r="U224" s="42">
        <v>253639</v>
      </c>
      <c r="V224" s="42">
        <v>253640</v>
      </c>
      <c r="W224" s="57">
        <f>AVERAGE(H224:H228)</f>
        <v>0.816554</v>
      </c>
      <c r="Y224">
        <v>0</v>
      </c>
      <c r="Z224" t="s">
        <v>164</v>
      </c>
      <c r="AA224">
        <v>14080</v>
      </c>
      <c r="AB224">
        <v>256</v>
      </c>
      <c r="AC224">
        <v>1</v>
      </c>
      <c r="AD224">
        <v>4</v>
      </c>
      <c r="AE224">
        <v>3242.59</v>
      </c>
      <c r="AF224" s="48">
        <v>0.57398000000000005</v>
      </c>
      <c r="AG224" s="46">
        <v>45467</v>
      </c>
      <c r="AH224" s="47">
        <v>6.7777777777777784E-2</v>
      </c>
      <c r="AI224">
        <v>358842</v>
      </c>
      <c r="AJ224">
        <v>358842</v>
      </c>
      <c r="AK224">
        <v>358841</v>
      </c>
      <c r="AL224">
        <v>358885</v>
      </c>
      <c r="AM224">
        <v>358884</v>
      </c>
      <c r="AN224">
        <v>358885</v>
      </c>
      <c r="AO224">
        <v>358938</v>
      </c>
      <c r="AP224">
        <v>358937</v>
      </c>
      <c r="AQ224">
        <v>358938</v>
      </c>
      <c r="AR224">
        <v>359007</v>
      </c>
      <c r="AS224">
        <v>359006</v>
      </c>
      <c r="AT224">
        <v>359006</v>
      </c>
      <c r="AU224" s="57">
        <f t="shared" ref="AU224" si="89">AVERAGE(AF224:AF228)</f>
        <v>0.63656599999999997</v>
      </c>
    </row>
    <row r="225" spans="1:47" x14ac:dyDescent="0.25">
      <c r="A225">
        <v>1</v>
      </c>
      <c r="B225" t="s">
        <v>164</v>
      </c>
      <c r="C225">
        <v>14080</v>
      </c>
      <c r="D225">
        <v>256</v>
      </c>
      <c r="E225">
        <v>1</v>
      </c>
      <c r="F225">
        <v>4</v>
      </c>
      <c r="G225">
        <v>2408.29</v>
      </c>
      <c r="H225" s="42">
        <v>0.77281999999999995</v>
      </c>
      <c r="I225" s="42">
        <v>45476</v>
      </c>
      <c r="J225" s="42">
        <v>0.48923611111111109</v>
      </c>
      <c r="K225" s="42">
        <v>249773</v>
      </c>
      <c r="L225" s="42">
        <v>249773</v>
      </c>
      <c r="M225" s="42">
        <v>249773</v>
      </c>
      <c r="N225" s="42">
        <v>249830</v>
      </c>
      <c r="O225" s="42">
        <v>249830</v>
      </c>
      <c r="P225" s="42">
        <v>249830</v>
      </c>
      <c r="Q225" s="42">
        <v>249892</v>
      </c>
      <c r="R225" s="42">
        <v>249891</v>
      </c>
      <c r="S225" s="42">
        <v>249891</v>
      </c>
      <c r="T225" s="42">
        <v>249936</v>
      </c>
      <c r="U225" s="42">
        <v>249935</v>
      </c>
      <c r="V225" s="42">
        <v>249936</v>
      </c>
      <c r="W225" s="57">
        <f>W224</f>
        <v>0.816554</v>
      </c>
      <c r="Y225">
        <v>1</v>
      </c>
      <c r="Z225" t="s">
        <v>164</v>
      </c>
      <c r="AA225">
        <v>14080</v>
      </c>
      <c r="AB225">
        <v>256</v>
      </c>
      <c r="AC225">
        <v>1</v>
      </c>
      <c r="AD225">
        <v>4</v>
      </c>
      <c r="AE225">
        <v>3175.41</v>
      </c>
      <c r="AF225" s="48">
        <v>0.58611999999999997</v>
      </c>
      <c r="AG225" s="46">
        <v>45468</v>
      </c>
      <c r="AH225" s="47">
        <v>0.44564814814814813</v>
      </c>
      <c r="AI225">
        <v>351871</v>
      </c>
      <c r="AJ225">
        <v>351871</v>
      </c>
      <c r="AK225">
        <v>351871</v>
      </c>
      <c r="AL225">
        <v>351917</v>
      </c>
      <c r="AM225">
        <v>351916</v>
      </c>
      <c r="AN225">
        <v>351916</v>
      </c>
      <c r="AO225">
        <v>351970</v>
      </c>
      <c r="AP225">
        <v>351970</v>
      </c>
      <c r="AQ225">
        <v>351970</v>
      </c>
      <c r="AR225">
        <v>352027</v>
      </c>
      <c r="AS225">
        <v>352027</v>
      </c>
      <c r="AT225">
        <v>352027</v>
      </c>
      <c r="AU225" s="57">
        <f t="shared" ref="AU225" si="90">AU224</f>
        <v>0.63656599999999997</v>
      </c>
    </row>
    <row r="226" spans="1:47" x14ac:dyDescent="0.25">
      <c r="A226">
        <v>2</v>
      </c>
      <c r="B226" t="s">
        <v>164</v>
      </c>
      <c r="C226">
        <v>14080</v>
      </c>
      <c r="D226">
        <v>256</v>
      </c>
      <c r="E226">
        <v>1</v>
      </c>
      <c r="F226">
        <v>4</v>
      </c>
      <c r="G226">
        <v>2359.1999999999998</v>
      </c>
      <c r="H226" s="42">
        <v>0.78890000000000005</v>
      </c>
      <c r="I226" s="42">
        <v>45477</v>
      </c>
      <c r="J226" s="42">
        <v>0.47723379629629631</v>
      </c>
      <c r="K226" s="42">
        <v>245970</v>
      </c>
      <c r="L226" s="42">
        <v>245970</v>
      </c>
      <c r="M226" s="42">
        <v>245969</v>
      </c>
      <c r="N226" s="42">
        <v>246021</v>
      </c>
      <c r="O226" s="42">
        <v>246021</v>
      </c>
      <c r="P226" s="42">
        <v>246022</v>
      </c>
      <c r="Q226" s="42">
        <v>246083</v>
      </c>
      <c r="R226" s="42">
        <v>246083</v>
      </c>
      <c r="S226" s="42">
        <v>246083</v>
      </c>
      <c r="T226" s="42">
        <v>246133</v>
      </c>
      <c r="U226" s="42">
        <v>246133</v>
      </c>
      <c r="V226" s="42">
        <v>246133</v>
      </c>
      <c r="W226" s="57">
        <f>W225</f>
        <v>0.816554</v>
      </c>
      <c r="Y226">
        <v>2</v>
      </c>
      <c r="Z226" t="s">
        <v>164</v>
      </c>
      <c r="AA226">
        <v>14080</v>
      </c>
      <c r="AB226">
        <v>256</v>
      </c>
      <c r="AC226">
        <v>1</v>
      </c>
      <c r="AD226">
        <v>4</v>
      </c>
      <c r="AE226">
        <v>2775.76</v>
      </c>
      <c r="AF226" s="48">
        <v>0.67051000000000005</v>
      </c>
      <c r="AG226" s="46">
        <v>45469</v>
      </c>
      <c r="AH226" s="47">
        <v>0.81026620370370372</v>
      </c>
      <c r="AI226">
        <v>311713</v>
      </c>
      <c r="AJ226">
        <v>311712</v>
      </c>
      <c r="AK226">
        <v>311712</v>
      </c>
      <c r="AL226">
        <v>311760</v>
      </c>
      <c r="AM226">
        <v>311760</v>
      </c>
      <c r="AN226">
        <v>311760</v>
      </c>
      <c r="AO226">
        <v>311810</v>
      </c>
      <c r="AP226">
        <v>311810</v>
      </c>
      <c r="AQ226">
        <v>311809</v>
      </c>
      <c r="AR226">
        <v>311861</v>
      </c>
      <c r="AS226">
        <v>311861</v>
      </c>
      <c r="AT226">
        <v>311860</v>
      </c>
      <c r="AU226" s="57">
        <f t="shared" si="82"/>
        <v>0.63656599999999997</v>
      </c>
    </row>
    <row r="227" spans="1:47" x14ac:dyDescent="0.25">
      <c r="A227">
        <v>3</v>
      </c>
      <c r="B227" t="s">
        <v>164</v>
      </c>
      <c r="C227">
        <v>14080</v>
      </c>
      <c r="D227">
        <v>256</v>
      </c>
      <c r="E227">
        <v>1</v>
      </c>
      <c r="F227">
        <v>4</v>
      </c>
      <c r="G227">
        <v>2117.14</v>
      </c>
      <c r="H227" s="42">
        <v>0.87909999999999999</v>
      </c>
      <c r="I227" s="42">
        <v>45478</v>
      </c>
      <c r="J227" s="42">
        <v>0.45856481481481481</v>
      </c>
      <c r="K227" s="42">
        <v>220634</v>
      </c>
      <c r="L227" s="42">
        <v>220634</v>
      </c>
      <c r="M227" s="42">
        <v>220634</v>
      </c>
      <c r="N227" s="42">
        <v>220687</v>
      </c>
      <c r="O227" s="42">
        <v>220687</v>
      </c>
      <c r="P227" s="42">
        <v>220688</v>
      </c>
      <c r="Q227" s="42">
        <v>220751</v>
      </c>
      <c r="R227" s="42">
        <v>220751</v>
      </c>
      <c r="S227" s="42">
        <v>220751</v>
      </c>
      <c r="T227" s="42">
        <v>220815</v>
      </c>
      <c r="U227" s="42">
        <v>220814</v>
      </c>
      <c r="V227" s="42">
        <v>220815</v>
      </c>
      <c r="W227" s="57">
        <f>W226</f>
        <v>0.816554</v>
      </c>
      <c r="Y227">
        <v>3</v>
      </c>
      <c r="Z227" t="s">
        <v>164</v>
      </c>
      <c r="AA227">
        <v>14080</v>
      </c>
      <c r="AB227">
        <v>256</v>
      </c>
      <c r="AC227">
        <v>1</v>
      </c>
      <c r="AD227">
        <v>4</v>
      </c>
      <c r="AE227">
        <v>2815.33</v>
      </c>
      <c r="AF227" s="48">
        <v>0.66108</v>
      </c>
      <c r="AG227" s="46">
        <v>45471</v>
      </c>
      <c r="AH227" s="47">
        <v>0.16438657407407409</v>
      </c>
      <c r="AI227">
        <v>316617</v>
      </c>
      <c r="AJ227">
        <v>316616</v>
      </c>
      <c r="AK227">
        <v>316617</v>
      </c>
      <c r="AL227">
        <v>316668</v>
      </c>
      <c r="AM227">
        <v>316668</v>
      </c>
      <c r="AN227">
        <v>316668</v>
      </c>
      <c r="AO227">
        <v>316717</v>
      </c>
      <c r="AP227">
        <v>316717</v>
      </c>
      <c r="AQ227">
        <v>316717</v>
      </c>
      <c r="AR227">
        <v>316776</v>
      </c>
      <c r="AS227">
        <v>316776</v>
      </c>
      <c r="AT227">
        <v>316777</v>
      </c>
      <c r="AU227" s="57">
        <f t="shared" si="82"/>
        <v>0.63656599999999997</v>
      </c>
    </row>
    <row r="228" spans="1:47" x14ac:dyDescent="0.25">
      <c r="A228">
        <v>4</v>
      </c>
      <c r="B228" t="s">
        <v>164</v>
      </c>
      <c r="C228">
        <v>14080</v>
      </c>
      <c r="D228">
        <v>256</v>
      </c>
      <c r="E228">
        <v>1</v>
      </c>
      <c r="F228">
        <v>4</v>
      </c>
      <c r="G228">
        <v>2118.65</v>
      </c>
      <c r="H228" s="42">
        <v>0.87846999999999997</v>
      </c>
      <c r="I228" s="42">
        <v>45479</v>
      </c>
      <c r="J228" s="42">
        <v>0.43762731481481482</v>
      </c>
      <c r="K228" s="42">
        <v>221560</v>
      </c>
      <c r="L228" s="42">
        <v>221560</v>
      </c>
      <c r="M228" s="42">
        <v>221561</v>
      </c>
      <c r="N228" s="42">
        <v>221617</v>
      </c>
      <c r="O228" s="42">
        <v>221617</v>
      </c>
      <c r="P228" s="42">
        <v>221616</v>
      </c>
      <c r="Q228" s="42">
        <v>221667</v>
      </c>
      <c r="R228" s="42">
        <v>221667</v>
      </c>
      <c r="S228" s="42">
        <v>221667</v>
      </c>
      <c r="T228" s="42">
        <v>221712</v>
      </c>
      <c r="U228" s="42">
        <v>221712</v>
      </c>
      <c r="V228" s="42">
        <v>221712</v>
      </c>
      <c r="W228" s="57">
        <f>W227</f>
        <v>0.816554</v>
      </c>
      <c r="Y228">
        <v>4</v>
      </c>
      <c r="Z228" t="s">
        <v>164</v>
      </c>
      <c r="AA228">
        <v>14080</v>
      </c>
      <c r="AB228">
        <v>256</v>
      </c>
      <c r="AC228">
        <v>1</v>
      </c>
      <c r="AD228">
        <v>4</v>
      </c>
      <c r="AE228">
        <v>2692.91</v>
      </c>
      <c r="AF228" s="48">
        <v>0.69113999999999998</v>
      </c>
      <c r="AG228" s="46">
        <v>45472</v>
      </c>
      <c r="AH228" s="47">
        <v>0.52658564814814812</v>
      </c>
      <c r="AI228">
        <v>303638</v>
      </c>
      <c r="AJ228">
        <v>303638</v>
      </c>
      <c r="AK228">
        <v>303638</v>
      </c>
      <c r="AL228">
        <v>303691</v>
      </c>
      <c r="AM228">
        <v>303690</v>
      </c>
      <c r="AN228">
        <v>303690</v>
      </c>
      <c r="AO228">
        <v>303742</v>
      </c>
      <c r="AP228">
        <v>303742</v>
      </c>
      <c r="AQ228">
        <v>303741</v>
      </c>
      <c r="AR228">
        <v>303797</v>
      </c>
      <c r="AS228">
        <v>303797</v>
      </c>
      <c r="AT228">
        <v>303796</v>
      </c>
      <c r="AU228" s="57">
        <f t="shared" si="82"/>
        <v>0.63656599999999997</v>
      </c>
    </row>
    <row r="229" spans="1:47" x14ac:dyDescent="0.25">
      <c r="A229">
        <v>0</v>
      </c>
      <c r="B229" t="s">
        <v>164</v>
      </c>
      <c r="C229">
        <v>12544</v>
      </c>
      <c r="D229">
        <v>256</v>
      </c>
      <c r="E229">
        <v>2</v>
      </c>
      <c r="F229">
        <v>2</v>
      </c>
      <c r="G229">
        <v>1454.88</v>
      </c>
      <c r="H229" s="70">
        <v>0.90463000000000005</v>
      </c>
      <c r="I229" s="42">
        <v>45474</v>
      </c>
      <c r="J229" s="42">
        <v>0.79843750000000002</v>
      </c>
      <c r="K229" s="42">
        <v>152345</v>
      </c>
      <c r="L229" s="42">
        <v>152346</v>
      </c>
      <c r="M229" s="42">
        <v>152346</v>
      </c>
      <c r="N229" s="42">
        <v>152347</v>
      </c>
      <c r="O229" s="42">
        <v>152348</v>
      </c>
      <c r="P229" s="42">
        <v>152348</v>
      </c>
      <c r="Q229" s="42">
        <v>152350</v>
      </c>
      <c r="R229" s="42">
        <v>152350</v>
      </c>
      <c r="S229" s="42">
        <v>152349</v>
      </c>
      <c r="T229" s="42">
        <v>152350</v>
      </c>
      <c r="U229" s="42">
        <v>152351</v>
      </c>
      <c r="V229" s="42">
        <v>152351</v>
      </c>
      <c r="W229" s="57">
        <f>AVERAGE(H229:H233)</f>
        <v>0.90403599999999995</v>
      </c>
      <c r="Y229">
        <v>0</v>
      </c>
      <c r="Z229" t="s">
        <v>164</v>
      </c>
      <c r="AA229">
        <v>12544</v>
      </c>
      <c r="AB229">
        <v>256</v>
      </c>
      <c r="AC229">
        <v>2</v>
      </c>
      <c r="AD229">
        <v>2</v>
      </c>
      <c r="AE229">
        <v>1870.96</v>
      </c>
      <c r="AF229" s="48">
        <v>0.70343999999999995</v>
      </c>
      <c r="AG229" s="46">
        <v>45466</v>
      </c>
      <c r="AH229" s="47">
        <v>8.7581018518518516E-2</v>
      </c>
      <c r="AI229">
        <v>214721</v>
      </c>
      <c r="AJ229">
        <v>214722</v>
      </c>
      <c r="AK229">
        <v>214721</v>
      </c>
      <c r="AL229">
        <v>214724</v>
      </c>
      <c r="AM229">
        <v>214723</v>
      </c>
      <c r="AN229">
        <v>214723</v>
      </c>
      <c r="AO229">
        <v>214725</v>
      </c>
      <c r="AP229">
        <v>214726</v>
      </c>
      <c r="AQ229">
        <v>214726</v>
      </c>
      <c r="AR229">
        <v>214727</v>
      </c>
      <c r="AS229">
        <v>214728</v>
      </c>
      <c r="AT229">
        <v>214728</v>
      </c>
      <c r="AU229" s="57">
        <f t="shared" ref="AU229" si="91">AVERAGE(AF229:AF233)</f>
        <v>0.71929999999999994</v>
      </c>
    </row>
    <row r="230" spans="1:47" x14ac:dyDescent="0.25">
      <c r="A230">
        <v>1</v>
      </c>
      <c r="B230" t="s">
        <v>164</v>
      </c>
      <c r="C230">
        <v>12544</v>
      </c>
      <c r="D230">
        <v>256</v>
      </c>
      <c r="E230">
        <v>2</v>
      </c>
      <c r="F230">
        <v>2</v>
      </c>
      <c r="G230">
        <v>1454.51</v>
      </c>
      <c r="H230" s="42">
        <v>0.90485000000000004</v>
      </c>
      <c r="I230" s="42">
        <v>45475</v>
      </c>
      <c r="J230" s="42">
        <v>0.79322916666666665</v>
      </c>
      <c r="K230" s="42">
        <v>152302</v>
      </c>
      <c r="L230" s="42">
        <v>152301</v>
      </c>
      <c r="M230" s="42">
        <v>152302</v>
      </c>
      <c r="N230" s="42">
        <v>152304</v>
      </c>
      <c r="O230" s="42">
        <v>152305</v>
      </c>
      <c r="P230" s="42">
        <v>152304</v>
      </c>
      <c r="Q230" s="42">
        <v>152307</v>
      </c>
      <c r="R230" s="42">
        <v>152306</v>
      </c>
      <c r="S230" s="42">
        <v>152307</v>
      </c>
      <c r="T230" s="42">
        <v>152308</v>
      </c>
      <c r="U230" s="42">
        <v>152308</v>
      </c>
      <c r="V230" s="42">
        <v>152309</v>
      </c>
      <c r="W230" s="57">
        <f>W229</f>
        <v>0.90403599999999995</v>
      </c>
      <c r="Y230">
        <v>1</v>
      </c>
      <c r="Z230" t="s">
        <v>164</v>
      </c>
      <c r="AA230">
        <v>12544</v>
      </c>
      <c r="AB230">
        <v>256</v>
      </c>
      <c r="AC230">
        <v>2</v>
      </c>
      <c r="AD230">
        <v>2</v>
      </c>
      <c r="AE230">
        <v>1754.4</v>
      </c>
      <c r="AF230" s="48">
        <v>0.75017999999999996</v>
      </c>
      <c r="AG230" s="46">
        <v>45467</v>
      </c>
      <c r="AH230" s="47">
        <v>0.47655092592592591</v>
      </c>
      <c r="AI230">
        <v>203088</v>
      </c>
      <c r="AJ230">
        <v>203087</v>
      </c>
      <c r="AK230">
        <v>203088</v>
      </c>
      <c r="AL230">
        <v>203089</v>
      </c>
      <c r="AM230">
        <v>203088</v>
      </c>
      <c r="AN230">
        <v>203088</v>
      </c>
      <c r="AO230">
        <v>203089</v>
      </c>
      <c r="AP230">
        <v>203090</v>
      </c>
      <c r="AQ230">
        <v>203090</v>
      </c>
      <c r="AR230">
        <v>203096</v>
      </c>
      <c r="AS230">
        <v>203096</v>
      </c>
      <c r="AT230">
        <v>203096</v>
      </c>
      <c r="AU230" s="57">
        <f t="shared" ref="AU230" si="92">AU229</f>
        <v>0.71929999999999994</v>
      </c>
    </row>
    <row r="231" spans="1:47" x14ac:dyDescent="0.25">
      <c r="A231">
        <v>2</v>
      </c>
      <c r="B231" t="s">
        <v>164</v>
      </c>
      <c r="C231">
        <v>12544</v>
      </c>
      <c r="D231">
        <v>256</v>
      </c>
      <c r="E231">
        <v>2</v>
      </c>
      <c r="F231">
        <v>2</v>
      </c>
      <c r="G231">
        <v>1456.46</v>
      </c>
      <c r="H231" s="42">
        <v>0.90364</v>
      </c>
      <c r="I231" s="42">
        <v>45476</v>
      </c>
      <c r="J231" s="42">
        <v>0.78533564814814816</v>
      </c>
      <c r="K231" s="42">
        <v>152558</v>
      </c>
      <c r="L231" s="42">
        <v>152559</v>
      </c>
      <c r="M231" s="42">
        <v>152559</v>
      </c>
      <c r="N231" s="42">
        <v>152560</v>
      </c>
      <c r="O231" s="42">
        <v>152560</v>
      </c>
      <c r="P231" s="42">
        <v>152560</v>
      </c>
      <c r="Q231" s="42">
        <v>152565</v>
      </c>
      <c r="R231" s="42">
        <v>152565</v>
      </c>
      <c r="S231" s="42">
        <v>152566</v>
      </c>
      <c r="T231" s="42">
        <v>152561</v>
      </c>
      <c r="U231" s="42">
        <v>152561</v>
      </c>
      <c r="V231" s="42">
        <v>152562</v>
      </c>
      <c r="W231" s="57">
        <f>W230</f>
        <v>0.90403599999999995</v>
      </c>
      <c r="Y231">
        <v>2</v>
      </c>
      <c r="Z231" t="s">
        <v>164</v>
      </c>
      <c r="AA231">
        <v>12544</v>
      </c>
      <c r="AB231">
        <v>256</v>
      </c>
      <c r="AC231">
        <v>2</v>
      </c>
      <c r="AD231">
        <v>2</v>
      </c>
      <c r="AE231">
        <v>1982.16</v>
      </c>
      <c r="AF231" s="48">
        <v>0.66398000000000001</v>
      </c>
      <c r="AG231" s="46">
        <v>45468</v>
      </c>
      <c r="AH231" s="47">
        <v>0.85400462962962964</v>
      </c>
      <c r="AI231">
        <v>225858</v>
      </c>
      <c r="AJ231">
        <v>225858</v>
      </c>
      <c r="AK231">
        <v>225858</v>
      </c>
      <c r="AL231">
        <v>225863</v>
      </c>
      <c r="AM231">
        <v>225863</v>
      </c>
      <c r="AN231">
        <v>225863</v>
      </c>
      <c r="AO231">
        <v>225863</v>
      </c>
      <c r="AP231">
        <v>225864</v>
      </c>
      <c r="AQ231">
        <v>225864</v>
      </c>
      <c r="AR231">
        <v>225870</v>
      </c>
      <c r="AS231">
        <v>225871</v>
      </c>
      <c r="AT231">
        <v>225870</v>
      </c>
      <c r="AU231" s="57">
        <f t="shared" si="82"/>
        <v>0.71929999999999994</v>
      </c>
    </row>
    <row r="232" spans="1:47" x14ac:dyDescent="0.25">
      <c r="A232">
        <v>3</v>
      </c>
      <c r="B232" t="s">
        <v>164</v>
      </c>
      <c r="C232">
        <v>12544</v>
      </c>
      <c r="D232">
        <v>256</v>
      </c>
      <c r="E232">
        <v>2</v>
      </c>
      <c r="F232">
        <v>2</v>
      </c>
      <c r="G232">
        <v>1456.38</v>
      </c>
      <c r="H232" s="42">
        <v>0.90368999999999999</v>
      </c>
      <c r="I232" s="42">
        <v>45477</v>
      </c>
      <c r="J232" s="42">
        <v>0.77348379629629627</v>
      </c>
      <c r="K232" s="42">
        <v>153271</v>
      </c>
      <c r="L232" s="42">
        <v>153272</v>
      </c>
      <c r="M232" s="42">
        <v>153271</v>
      </c>
      <c r="N232" s="42">
        <v>153273</v>
      </c>
      <c r="O232" s="42">
        <v>153272</v>
      </c>
      <c r="P232" s="42">
        <v>153272</v>
      </c>
      <c r="Q232" s="42">
        <v>153275</v>
      </c>
      <c r="R232" s="42">
        <v>153275</v>
      </c>
      <c r="S232" s="42">
        <v>153274</v>
      </c>
      <c r="T232" s="42">
        <v>153276</v>
      </c>
      <c r="U232" s="42">
        <v>153276</v>
      </c>
      <c r="V232" s="42">
        <v>153275</v>
      </c>
      <c r="W232" s="57">
        <f>W231</f>
        <v>0.90403599999999995</v>
      </c>
      <c r="Y232">
        <v>3</v>
      </c>
      <c r="Z232" t="s">
        <v>164</v>
      </c>
      <c r="AA232">
        <v>12544</v>
      </c>
      <c r="AB232">
        <v>256</v>
      </c>
      <c r="AC232">
        <v>2</v>
      </c>
      <c r="AD232">
        <v>2</v>
      </c>
      <c r="AE232">
        <v>1755.46</v>
      </c>
      <c r="AF232" s="48">
        <v>0.74973000000000001</v>
      </c>
      <c r="AG232" s="46">
        <v>45470</v>
      </c>
      <c r="AH232" s="47">
        <v>0.21763888888888888</v>
      </c>
      <c r="AI232">
        <v>203141</v>
      </c>
      <c r="AJ232">
        <v>203142</v>
      </c>
      <c r="AK232">
        <v>203141</v>
      </c>
      <c r="AL232">
        <v>203153</v>
      </c>
      <c r="AM232">
        <v>203154</v>
      </c>
      <c r="AN232">
        <v>203153</v>
      </c>
      <c r="AO232">
        <v>203150</v>
      </c>
      <c r="AP232">
        <v>203150</v>
      </c>
      <c r="AQ232">
        <v>203151</v>
      </c>
      <c r="AR232">
        <v>203147</v>
      </c>
      <c r="AS232">
        <v>203147</v>
      </c>
      <c r="AT232">
        <v>203147</v>
      </c>
      <c r="AU232" s="57">
        <f t="shared" si="82"/>
        <v>0.71929999999999994</v>
      </c>
    </row>
    <row r="233" spans="1:47" x14ac:dyDescent="0.25">
      <c r="A233">
        <v>4</v>
      </c>
      <c r="B233" t="s">
        <v>164</v>
      </c>
      <c r="C233">
        <v>12544</v>
      </c>
      <c r="D233">
        <v>256</v>
      </c>
      <c r="E233">
        <v>2</v>
      </c>
      <c r="F233">
        <v>2</v>
      </c>
      <c r="G233">
        <v>1456.9</v>
      </c>
      <c r="H233" s="42">
        <v>0.90337000000000001</v>
      </c>
      <c r="I233" s="42">
        <v>45478</v>
      </c>
      <c r="J233" s="42">
        <v>0.75449074074074074</v>
      </c>
      <c r="K233" s="42">
        <v>152548</v>
      </c>
      <c r="L233" s="42">
        <v>152549</v>
      </c>
      <c r="M233" s="42">
        <v>152549</v>
      </c>
      <c r="N233" s="42">
        <v>152549</v>
      </c>
      <c r="O233" s="42">
        <v>152550</v>
      </c>
      <c r="P233" s="42">
        <v>152549</v>
      </c>
      <c r="Q233" s="42">
        <v>152555</v>
      </c>
      <c r="R233" s="42">
        <v>152555</v>
      </c>
      <c r="S233" s="42">
        <v>152554</v>
      </c>
      <c r="T233" s="42">
        <v>152555</v>
      </c>
      <c r="U233" s="42">
        <v>152556</v>
      </c>
      <c r="V233" s="42">
        <v>152556</v>
      </c>
      <c r="W233" s="57">
        <f>W232</f>
        <v>0.90403599999999995</v>
      </c>
      <c r="Y233">
        <v>4</v>
      </c>
      <c r="Z233" t="s">
        <v>164</v>
      </c>
      <c r="AA233">
        <v>12544</v>
      </c>
      <c r="AB233">
        <v>256</v>
      </c>
      <c r="AC233">
        <v>2</v>
      </c>
      <c r="AD233">
        <v>2</v>
      </c>
      <c r="AE233">
        <v>1804.94</v>
      </c>
      <c r="AF233" s="48">
        <v>0.72916999999999998</v>
      </c>
      <c r="AG233" s="46">
        <v>45471</v>
      </c>
      <c r="AH233" s="47">
        <v>0.57456018518518515</v>
      </c>
      <c r="AI233">
        <v>208207</v>
      </c>
      <c r="AJ233">
        <v>208207</v>
      </c>
      <c r="AK233">
        <v>208207</v>
      </c>
      <c r="AL233">
        <v>208209</v>
      </c>
      <c r="AM233">
        <v>208208</v>
      </c>
      <c r="AN233">
        <v>208209</v>
      </c>
      <c r="AO233">
        <v>208212</v>
      </c>
      <c r="AP233">
        <v>208212</v>
      </c>
      <c r="AQ233">
        <v>208211</v>
      </c>
      <c r="AR233">
        <v>208213</v>
      </c>
      <c r="AS233">
        <v>208214</v>
      </c>
      <c r="AT233">
        <v>208213</v>
      </c>
      <c r="AU233" s="57">
        <f t="shared" si="82"/>
        <v>0.71929999999999994</v>
      </c>
    </row>
    <row r="234" spans="1:47" x14ac:dyDescent="0.25">
      <c r="A234">
        <v>0</v>
      </c>
      <c r="B234" t="s">
        <v>164</v>
      </c>
      <c r="C234">
        <v>13312</v>
      </c>
      <c r="D234">
        <v>256</v>
      </c>
      <c r="E234">
        <v>2</v>
      </c>
      <c r="F234">
        <v>2</v>
      </c>
      <c r="G234">
        <v>1726.51</v>
      </c>
      <c r="H234" s="70">
        <v>0.91105000000000003</v>
      </c>
      <c r="I234" s="42">
        <v>45475</v>
      </c>
      <c r="J234" s="42">
        <v>0.12077546296296296</v>
      </c>
      <c r="K234" s="42">
        <v>180029</v>
      </c>
      <c r="L234" s="42">
        <v>180029</v>
      </c>
      <c r="M234" s="42">
        <v>180028</v>
      </c>
      <c r="N234" s="42">
        <v>180029</v>
      </c>
      <c r="O234" s="42">
        <v>180030</v>
      </c>
      <c r="P234" s="42">
        <v>180029</v>
      </c>
      <c r="Q234" s="42">
        <v>180032</v>
      </c>
      <c r="R234" s="42">
        <v>180032</v>
      </c>
      <c r="S234" s="42">
        <v>180032</v>
      </c>
      <c r="T234" s="42">
        <v>180029</v>
      </c>
      <c r="U234" s="42">
        <v>180028</v>
      </c>
      <c r="V234" s="42">
        <v>180028</v>
      </c>
      <c r="W234" s="57">
        <f>AVERAGE(H234:H238)</f>
        <v>0.91150200000000015</v>
      </c>
      <c r="Y234">
        <v>0</v>
      </c>
      <c r="Z234" t="s">
        <v>164</v>
      </c>
      <c r="AA234">
        <v>13312</v>
      </c>
      <c r="AB234">
        <v>256</v>
      </c>
      <c r="AC234">
        <v>2</v>
      </c>
      <c r="AD234">
        <v>2</v>
      </c>
      <c r="AE234">
        <v>2138.84</v>
      </c>
      <c r="AF234" s="48">
        <v>0.73541999999999996</v>
      </c>
      <c r="AG234" s="46">
        <v>45466</v>
      </c>
      <c r="AH234" s="47">
        <v>0.53209490740740739</v>
      </c>
      <c r="AI234">
        <v>243779</v>
      </c>
      <c r="AJ234">
        <v>243780</v>
      </c>
      <c r="AK234">
        <v>243779</v>
      </c>
      <c r="AL234">
        <v>243781</v>
      </c>
      <c r="AM234">
        <v>243781</v>
      </c>
      <c r="AN234">
        <v>243780</v>
      </c>
      <c r="AO234">
        <v>243811</v>
      </c>
      <c r="AP234">
        <v>243811</v>
      </c>
      <c r="AQ234">
        <v>243811</v>
      </c>
      <c r="AR234">
        <v>243812</v>
      </c>
      <c r="AS234">
        <v>243813</v>
      </c>
      <c r="AT234">
        <v>243813</v>
      </c>
      <c r="AU234" s="57">
        <f t="shared" ref="AU234" si="93">AVERAGE(AF234:AF238)</f>
        <v>0.73294599999999988</v>
      </c>
    </row>
    <row r="235" spans="1:47" x14ac:dyDescent="0.25">
      <c r="A235">
        <v>1</v>
      </c>
      <c r="B235" t="s">
        <v>164</v>
      </c>
      <c r="C235">
        <v>13312</v>
      </c>
      <c r="D235">
        <v>256</v>
      </c>
      <c r="E235">
        <v>2</v>
      </c>
      <c r="F235">
        <v>2</v>
      </c>
      <c r="G235">
        <v>1723.01</v>
      </c>
      <c r="H235" s="42">
        <v>0.91290000000000004</v>
      </c>
      <c r="I235" s="42">
        <v>45476</v>
      </c>
      <c r="J235" s="42">
        <v>0.11549768518518519</v>
      </c>
      <c r="K235" s="42">
        <v>179682</v>
      </c>
      <c r="L235" s="42">
        <v>179682</v>
      </c>
      <c r="M235" s="42">
        <v>179682</v>
      </c>
      <c r="N235" s="42">
        <v>179688</v>
      </c>
      <c r="O235" s="42">
        <v>179688</v>
      </c>
      <c r="P235" s="42">
        <v>179688</v>
      </c>
      <c r="Q235" s="42">
        <v>179691</v>
      </c>
      <c r="R235" s="42">
        <v>179690</v>
      </c>
      <c r="S235" s="42">
        <v>179691</v>
      </c>
      <c r="T235" s="42">
        <v>179691</v>
      </c>
      <c r="U235" s="42">
        <v>179691</v>
      </c>
      <c r="V235" s="42">
        <v>179692</v>
      </c>
      <c r="W235" s="57">
        <f>W234</f>
        <v>0.91150200000000015</v>
      </c>
      <c r="Y235">
        <v>1</v>
      </c>
      <c r="Z235" t="s">
        <v>164</v>
      </c>
      <c r="AA235">
        <v>13312</v>
      </c>
      <c r="AB235">
        <v>256</v>
      </c>
      <c r="AC235">
        <v>2</v>
      </c>
      <c r="AD235">
        <v>2</v>
      </c>
      <c r="AE235">
        <v>2124.7600000000002</v>
      </c>
      <c r="AF235" s="48">
        <v>0.74029</v>
      </c>
      <c r="AG235" s="46">
        <v>45467</v>
      </c>
      <c r="AH235" s="47">
        <v>0.9211921296296296</v>
      </c>
      <c r="AI235">
        <v>242441</v>
      </c>
      <c r="AJ235">
        <v>242442</v>
      </c>
      <c r="AK235">
        <v>242441</v>
      </c>
      <c r="AL235">
        <v>242443</v>
      </c>
      <c r="AM235">
        <v>242443</v>
      </c>
      <c r="AN235">
        <v>242442</v>
      </c>
      <c r="AO235">
        <v>242452</v>
      </c>
      <c r="AP235">
        <v>242453</v>
      </c>
      <c r="AQ235">
        <v>242453</v>
      </c>
      <c r="AR235">
        <v>242455</v>
      </c>
      <c r="AS235">
        <v>242456</v>
      </c>
      <c r="AT235">
        <v>242456</v>
      </c>
      <c r="AU235" s="57">
        <f t="shared" ref="AU235" si="94">AU234</f>
        <v>0.73294599999999988</v>
      </c>
    </row>
    <row r="236" spans="1:47" x14ac:dyDescent="0.25">
      <c r="A236">
        <v>2</v>
      </c>
      <c r="B236" t="s">
        <v>164</v>
      </c>
      <c r="C236">
        <v>13312</v>
      </c>
      <c r="D236">
        <v>256</v>
      </c>
      <c r="E236">
        <v>2</v>
      </c>
      <c r="F236">
        <v>2</v>
      </c>
      <c r="G236">
        <v>1727.71</v>
      </c>
      <c r="H236" s="42">
        <v>0.91042000000000001</v>
      </c>
      <c r="I236" s="42">
        <v>45477</v>
      </c>
      <c r="J236" s="42">
        <v>0.10789351851851851</v>
      </c>
      <c r="K236" s="42">
        <v>180146</v>
      </c>
      <c r="L236" s="42">
        <v>180145</v>
      </c>
      <c r="M236" s="42">
        <v>180145</v>
      </c>
      <c r="N236" s="42">
        <v>180148</v>
      </c>
      <c r="O236" s="42">
        <v>180148</v>
      </c>
      <c r="P236" s="42">
        <v>180147</v>
      </c>
      <c r="Q236" s="42">
        <v>180149</v>
      </c>
      <c r="R236" s="42">
        <v>180150</v>
      </c>
      <c r="S236" s="42">
        <v>180150</v>
      </c>
      <c r="T236" s="42">
        <v>180151</v>
      </c>
      <c r="U236" s="42">
        <v>180152</v>
      </c>
      <c r="V236" s="42">
        <v>180152</v>
      </c>
      <c r="W236" s="57">
        <f>W235</f>
        <v>0.91150200000000015</v>
      </c>
      <c r="Y236">
        <v>2</v>
      </c>
      <c r="Z236" t="s">
        <v>164</v>
      </c>
      <c r="AA236">
        <v>13312</v>
      </c>
      <c r="AB236">
        <v>256</v>
      </c>
      <c r="AC236">
        <v>2</v>
      </c>
      <c r="AD236">
        <v>2</v>
      </c>
      <c r="AE236">
        <v>2214.14</v>
      </c>
      <c r="AF236" s="48">
        <v>0.71040999999999999</v>
      </c>
      <c r="AG236" s="46">
        <v>45469</v>
      </c>
      <c r="AH236" s="47">
        <v>0.29600694444444442</v>
      </c>
      <c r="AI236">
        <v>251916</v>
      </c>
      <c r="AJ236">
        <v>251916</v>
      </c>
      <c r="AK236">
        <v>251917</v>
      </c>
      <c r="AL236">
        <v>251948</v>
      </c>
      <c r="AM236">
        <v>251948</v>
      </c>
      <c r="AN236">
        <v>251948</v>
      </c>
      <c r="AO236">
        <v>251992</v>
      </c>
      <c r="AP236">
        <v>251992</v>
      </c>
      <c r="AQ236">
        <v>251992</v>
      </c>
      <c r="AR236">
        <v>252042</v>
      </c>
      <c r="AS236">
        <v>252042</v>
      </c>
      <c r="AT236">
        <v>252043</v>
      </c>
      <c r="AU236" s="57">
        <f t="shared" si="82"/>
        <v>0.73294599999999988</v>
      </c>
    </row>
    <row r="237" spans="1:47" x14ac:dyDescent="0.25">
      <c r="A237">
        <v>3</v>
      </c>
      <c r="B237" t="s">
        <v>164</v>
      </c>
      <c r="C237">
        <v>13312</v>
      </c>
      <c r="D237">
        <v>256</v>
      </c>
      <c r="E237">
        <v>2</v>
      </c>
      <c r="F237">
        <v>2</v>
      </c>
      <c r="G237">
        <v>1726.76</v>
      </c>
      <c r="H237" s="42">
        <v>0.91091999999999995</v>
      </c>
      <c r="I237" s="42">
        <v>45478</v>
      </c>
      <c r="J237" s="42">
        <v>9.5879629629629634E-2</v>
      </c>
      <c r="K237" s="42">
        <v>180077</v>
      </c>
      <c r="L237" s="42">
        <v>180077</v>
      </c>
      <c r="M237" s="42">
        <v>180077</v>
      </c>
      <c r="N237" s="42">
        <v>180079</v>
      </c>
      <c r="O237" s="42">
        <v>180078</v>
      </c>
      <c r="P237" s="42">
        <v>180079</v>
      </c>
      <c r="Q237" s="42">
        <v>180080</v>
      </c>
      <c r="R237" s="42">
        <v>180080</v>
      </c>
      <c r="S237" s="42">
        <v>180081</v>
      </c>
      <c r="T237" s="42">
        <v>180081</v>
      </c>
      <c r="U237" s="42">
        <v>180082</v>
      </c>
      <c r="V237" s="42">
        <v>180081</v>
      </c>
      <c r="W237" s="57">
        <f>W236</f>
        <v>0.91150200000000015</v>
      </c>
      <c r="Y237">
        <v>3</v>
      </c>
      <c r="Z237" t="s">
        <v>164</v>
      </c>
      <c r="AA237">
        <v>13312</v>
      </c>
      <c r="AB237">
        <v>256</v>
      </c>
      <c r="AC237">
        <v>2</v>
      </c>
      <c r="AD237">
        <v>2</v>
      </c>
      <c r="AE237">
        <v>2130.6</v>
      </c>
      <c r="AF237" s="48">
        <v>0.73826000000000003</v>
      </c>
      <c r="AG237" s="46">
        <v>45470</v>
      </c>
      <c r="AH237" s="47">
        <v>0.65865740740740741</v>
      </c>
      <c r="AI237">
        <v>243015</v>
      </c>
      <c r="AJ237">
        <v>243014</v>
      </c>
      <c r="AK237">
        <v>243015</v>
      </c>
      <c r="AL237">
        <v>243038</v>
      </c>
      <c r="AM237">
        <v>243038</v>
      </c>
      <c r="AN237">
        <v>243037</v>
      </c>
      <c r="AO237">
        <v>243055</v>
      </c>
      <c r="AP237">
        <v>243055</v>
      </c>
      <c r="AQ237">
        <v>243056</v>
      </c>
      <c r="AR237">
        <v>243066</v>
      </c>
      <c r="AS237">
        <v>243066</v>
      </c>
      <c r="AT237">
        <v>243066</v>
      </c>
      <c r="AU237" s="57">
        <f t="shared" si="82"/>
        <v>0.73294599999999988</v>
      </c>
    </row>
    <row r="238" spans="1:47" x14ac:dyDescent="0.25">
      <c r="A238">
        <v>4</v>
      </c>
      <c r="B238" t="s">
        <v>164</v>
      </c>
      <c r="C238">
        <v>13312</v>
      </c>
      <c r="D238">
        <v>256</v>
      </c>
      <c r="E238">
        <v>2</v>
      </c>
      <c r="F238">
        <v>2</v>
      </c>
      <c r="G238">
        <v>1724.3</v>
      </c>
      <c r="H238" s="42">
        <v>0.91222000000000003</v>
      </c>
      <c r="I238" s="42">
        <v>45479</v>
      </c>
      <c r="J238" s="42">
        <v>7.6631944444444447E-2</v>
      </c>
      <c r="K238" s="42">
        <v>179811</v>
      </c>
      <c r="L238" s="42">
        <v>179810</v>
      </c>
      <c r="M238" s="42">
        <v>179810</v>
      </c>
      <c r="N238" s="42">
        <v>179811</v>
      </c>
      <c r="O238" s="42">
        <v>179811</v>
      </c>
      <c r="P238" s="42">
        <v>179811</v>
      </c>
      <c r="Q238" s="42">
        <v>179811</v>
      </c>
      <c r="R238" s="42">
        <v>179812</v>
      </c>
      <c r="S238" s="42">
        <v>179811</v>
      </c>
      <c r="T238" s="42">
        <v>179813</v>
      </c>
      <c r="U238" s="42">
        <v>179814</v>
      </c>
      <c r="V238" s="42">
        <v>179814</v>
      </c>
      <c r="W238" s="57">
        <f>W237</f>
        <v>0.91150200000000015</v>
      </c>
      <c r="Y238">
        <v>4</v>
      </c>
      <c r="Z238" t="s">
        <v>164</v>
      </c>
      <c r="AA238">
        <v>13312</v>
      </c>
      <c r="AB238">
        <v>256</v>
      </c>
      <c r="AC238">
        <v>2</v>
      </c>
      <c r="AD238">
        <v>2</v>
      </c>
      <c r="AE238">
        <v>2124.6</v>
      </c>
      <c r="AF238" s="48">
        <v>0.74034999999999995</v>
      </c>
      <c r="AG238" s="46">
        <v>45472</v>
      </c>
      <c r="AH238" s="47">
        <v>2.1944444444444444E-2</v>
      </c>
      <c r="AI238">
        <v>242666</v>
      </c>
      <c r="AJ238">
        <v>242666</v>
      </c>
      <c r="AK238">
        <v>242667</v>
      </c>
      <c r="AL238">
        <v>242700</v>
      </c>
      <c r="AM238">
        <v>242699</v>
      </c>
      <c r="AN238">
        <v>242699</v>
      </c>
      <c r="AO238">
        <v>242738</v>
      </c>
      <c r="AP238">
        <v>242738</v>
      </c>
      <c r="AQ238">
        <v>242739</v>
      </c>
      <c r="AR238">
        <v>242778</v>
      </c>
      <c r="AS238">
        <v>242778</v>
      </c>
      <c r="AT238">
        <v>242779</v>
      </c>
      <c r="AU238" s="57">
        <f t="shared" si="82"/>
        <v>0.73294599999999988</v>
      </c>
    </row>
    <row r="239" spans="1:47" x14ac:dyDescent="0.25">
      <c r="A239">
        <v>0</v>
      </c>
      <c r="B239" t="s">
        <v>164</v>
      </c>
      <c r="C239">
        <v>14080</v>
      </c>
      <c r="D239">
        <v>256</v>
      </c>
      <c r="E239">
        <v>2</v>
      </c>
      <c r="F239">
        <v>2</v>
      </c>
      <c r="G239">
        <v>2195.4499999999998</v>
      </c>
      <c r="H239" s="42">
        <v>0.84774000000000005</v>
      </c>
      <c r="I239" s="42">
        <v>45475</v>
      </c>
      <c r="J239" s="42">
        <v>0.52244212962962966</v>
      </c>
      <c r="K239" s="42">
        <v>228985</v>
      </c>
      <c r="L239" s="42">
        <v>228984</v>
      </c>
      <c r="M239" s="42">
        <v>228984</v>
      </c>
      <c r="N239" s="42">
        <v>229036</v>
      </c>
      <c r="O239" s="42">
        <v>229035</v>
      </c>
      <c r="P239" s="42">
        <v>229035</v>
      </c>
      <c r="Q239" s="42">
        <v>229086</v>
      </c>
      <c r="R239" s="42">
        <v>229085</v>
      </c>
      <c r="S239" s="42">
        <v>229085</v>
      </c>
      <c r="T239" s="42">
        <v>229156</v>
      </c>
      <c r="U239" s="42">
        <v>229156</v>
      </c>
      <c r="V239" s="42">
        <v>229155</v>
      </c>
      <c r="W239" s="57">
        <f>AVERAGE(H239:H243)</f>
        <v>0.88673599999999997</v>
      </c>
      <c r="Y239">
        <v>0</v>
      </c>
      <c r="Z239" t="s">
        <v>164</v>
      </c>
      <c r="AA239">
        <v>14080</v>
      </c>
      <c r="AB239">
        <v>256</v>
      </c>
      <c r="AC239">
        <v>2</v>
      </c>
      <c r="AD239">
        <v>2</v>
      </c>
      <c r="AE239">
        <v>2614.98</v>
      </c>
      <c r="AF239" s="48">
        <v>0.71172999999999997</v>
      </c>
      <c r="AG239" s="46">
        <v>45467</v>
      </c>
      <c r="AH239" s="47">
        <v>0.1021875</v>
      </c>
      <c r="AI239">
        <v>296524</v>
      </c>
      <c r="AJ239">
        <v>296524</v>
      </c>
      <c r="AK239">
        <v>296523</v>
      </c>
      <c r="AL239">
        <v>296575</v>
      </c>
      <c r="AM239">
        <v>296575</v>
      </c>
      <c r="AN239">
        <v>296575</v>
      </c>
      <c r="AO239">
        <v>296615</v>
      </c>
      <c r="AP239">
        <v>296615</v>
      </c>
      <c r="AQ239">
        <v>296616</v>
      </c>
      <c r="AR239">
        <v>296689</v>
      </c>
      <c r="AS239">
        <v>296688</v>
      </c>
      <c r="AT239">
        <v>296689</v>
      </c>
      <c r="AU239" s="57">
        <f t="shared" ref="AU239" si="95">AVERAGE(AF239:AF243)</f>
        <v>0.68644800000000006</v>
      </c>
    </row>
    <row r="240" spans="1:47" x14ac:dyDescent="0.25">
      <c r="A240">
        <v>1</v>
      </c>
      <c r="B240" t="s">
        <v>164</v>
      </c>
      <c r="C240">
        <v>14080</v>
      </c>
      <c r="D240">
        <v>256</v>
      </c>
      <c r="E240">
        <v>2</v>
      </c>
      <c r="F240">
        <v>2</v>
      </c>
      <c r="G240">
        <v>2075.09</v>
      </c>
      <c r="H240" s="42">
        <v>0.89690999999999999</v>
      </c>
      <c r="I240" s="42">
        <v>45476</v>
      </c>
      <c r="J240" s="42">
        <v>0.51442129629629629</v>
      </c>
      <c r="K240" s="42">
        <v>216819</v>
      </c>
      <c r="L240" s="42">
        <v>216819</v>
      </c>
      <c r="M240" s="42">
        <v>216818</v>
      </c>
      <c r="N240" s="42">
        <v>216868</v>
      </c>
      <c r="O240" s="42">
        <v>216868</v>
      </c>
      <c r="P240" s="42">
        <v>216868</v>
      </c>
      <c r="Q240" s="42">
        <v>216920</v>
      </c>
      <c r="R240" s="42">
        <v>216919</v>
      </c>
      <c r="S240" s="42">
        <v>216920</v>
      </c>
      <c r="T240" s="42">
        <v>216965</v>
      </c>
      <c r="U240" s="42">
        <v>216964</v>
      </c>
      <c r="V240" s="42">
        <v>216964</v>
      </c>
      <c r="W240" s="57">
        <f>W239</f>
        <v>0.88673599999999997</v>
      </c>
      <c r="Y240">
        <v>1</v>
      </c>
      <c r="Z240" t="s">
        <v>164</v>
      </c>
      <c r="AA240">
        <v>14080</v>
      </c>
      <c r="AB240">
        <v>256</v>
      </c>
      <c r="AC240">
        <v>2</v>
      </c>
      <c r="AD240">
        <v>2</v>
      </c>
      <c r="AE240">
        <v>2647.06</v>
      </c>
      <c r="AF240" s="48">
        <v>0.70311000000000001</v>
      </c>
      <c r="AG240" s="46">
        <v>45468</v>
      </c>
      <c r="AH240" s="47">
        <v>0.48042824074074075</v>
      </c>
      <c r="AI240">
        <v>299646</v>
      </c>
      <c r="AJ240">
        <v>299646</v>
      </c>
      <c r="AK240">
        <v>299646</v>
      </c>
      <c r="AL240">
        <v>299695</v>
      </c>
      <c r="AM240">
        <v>299695</v>
      </c>
      <c r="AN240">
        <v>299694</v>
      </c>
      <c r="AO240">
        <v>299756</v>
      </c>
      <c r="AP240">
        <v>299755</v>
      </c>
      <c r="AQ240">
        <v>299755</v>
      </c>
      <c r="AR240">
        <v>299826</v>
      </c>
      <c r="AS240">
        <v>299825</v>
      </c>
      <c r="AT240">
        <v>299826</v>
      </c>
      <c r="AU240" s="57">
        <f t="shared" ref="AU240" si="96">AU239</f>
        <v>0.68644800000000006</v>
      </c>
    </row>
    <row r="241" spans="1:47" x14ac:dyDescent="0.25">
      <c r="A241">
        <v>2</v>
      </c>
      <c r="B241" t="s">
        <v>164</v>
      </c>
      <c r="C241">
        <v>14080</v>
      </c>
      <c r="D241">
        <v>256</v>
      </c>
      <c r="E241">
        <v>2</v>
      </c>
      <c r="F241">
        <v>2</v>
      </c>
      <c r="G241">
        <v>2077.19</v>
      </c>
      <c r="H241" s="42">
        <v>0.89600000000000002</v>
      </c>
      <c r="I241" s="42">
        <v>45477</v>
      </c>
      <c r="J241" s="42">
        <v>0.50245370370370368</v>
      </c>
      <c r="K241" s="42">
        <v>217012</v>
      </c>
      <c r="L241" s="42">
        <v>217012</v>
      </c>
      <c r="M241" s="42">
        <v>217011</v>
      </c>
      <c r="N241" s="42">
        <v>217071</v>
      </c>
      <c r="O241" s="42">
        <v>217071</v>
      </c>
      <c r="P241" s="42">
        <v>217070</v>
      </c>
      <c r="Q241" s="42">
        <v>217139</v>
      </c>
      <c r="R241" s="42">
        <v>217140</v>
      </c>
      <c r="S241" s="42">
        <v>217139</v>
      </c>
      <c r="T241" s="42">
        <v>217213</v>
      </c>
      <c r="U241" s="42">
        <v>217212</v>
      </c>
      <c r="V241" s="42">
        <v>217212</v>
      </c>
      <c r="W241" s="57">
        <f>W240</f>
        <v>0.88673599999999997</v>
      </c>
      <c r="Y241">
        <v>2</v>
      </c>
      <c r="Z241" t="s">
        <v>164</v>
      </c>
      <c r="AA241">
        <v>14080</v>
      </c>
      <c r="AB241">
        <v>256</v>
      </c>
      <c r="AC241">
        <v>2</v>
      </c>
      <c r="AD241">
        <v>2</v>
      </c>
      <c r="AE241">
        <v>2870.27</v>
      </c>
      <c r="AF241" s="48">
        <v>0.64842999999999995</v>
      </c>
      <c r="AG241" s="46">
        <v>45469</v>
      </c>
      <c r="AH241" s="47">
        <v>0.84761574074074075</v>
      </c>
      <c r="AI241">
        <v>322016</v>
      </c>
      <c r="AJ241">
        <v>322016</v>
      </c>
      <c r="AK241">
        <v>322015</v>
      </c>
      <c r="AL241">
        <v>322062</v>
      </c>
      <c r="AM241">
        <v>322062</v>
      </c>
      <c r="AN241">
        <v>322061</v>
      </c>
      <c r="AO241">
        <v>322114</v>
      </c>
      <c r="AP241">
        <v>322114</v>
      </c>
      <c r="AQ241">
        <v>322113</v>
      </c>
      <c r="AR241">
        <v>322178</v>
      </c>
      <c r="AS241">
        <v>322177</v>
      </c>
      <c r="AT241">
        <v>322177</v>
      </c>
      <c r="AU241" s="57">
        <f t="shared" si="82"/>
        <v>0.68644800000000006</v>
      </c>
    </row>
    <row r="242" spans="1:47" x14ac:dyDescent="0.25">
      <c r="A242">
        <v>3</v>
      </c>
      <c r="B242" t="s">
        <v>164</v>
      </c>
      <c r="C242">
        <v>14080</v>
      </c>
      <c r="D242">
        <v>256</v>
      </c>
      <c r="E242">
        <v>2</v>
      </c>
      <c r="F242">
        <v>2</v>
      </c>
      <c r="G242">
        <v>2079.9899999999998</v>
      </c>
      <c r="H242" s="42">
        <v>0.89480000000000004</v>
      </c>
      <c r="I242" s="42">
        <v>45478</v>
      </c>
      <c r="J242" s="42">
        <v>0.48375000000000001</v>
      </c>
      <c r="K242" s="42">
        <v>216907</v>
      </c>
      <c r="L242" s="42">
        <v>216907</v>
      </c>
      <c r="M242" s="42">
        <v>216907</v>
      </c>
      <c r="N242" s="42">
        <v>216955</v>
      </c>
      <c r="O242" s="42">
        <v>216955</v>
      </c>
      <c r="P242" s="42">
        <v>216955</v>
      </c>
      <c r="Q242" s="42">
        <v>217011</v>
      </c>
      <c r="R242" s="42">
        <v>217011</v>
      </c>
      <c r="S242" s="42">
        <v>217011</v>
      </c>
      <c r="T242" s="42">
        <v>217075</v>
      </c>
      <c r="U242" s="42">
        <v>217074</v>
      </c>
      <c r="V242" s="42">
        <v>217074</v>
      </c>
      <c r="W242" s="57">
        <f>W241</f>
        <v>0.88673599999999997</v>
      </c>
      <c r="Y242">
        <v>3</v>
      </c>
      <c r="Z242" t="s">
        <v>164</v>
      </c>
      <c r="AA242">
        <v>14080</v>
      </c>
      <c r="AB242">
        <v>256</v>
      </c>
      <c r="AC242">
        <v>2</v>
      </c>
      <c r="AD242">
        <v>2</v>
      </c>
      <c r="AE242">
        <v>2622.74</v>
      </c>
      <c r="AF242" s="48">
        <v>0.70962999999999998</v>
      </c>
      <c r="AG242" s="46">
        <v>45471</v>
      </c>
      <c r="AH242" s="47">
        <v>0.19888888888888889</v>
      </c>
      <c r="AI242">
        <v>297347</v>
      </c>
      <c r="AJ242">
        <v>297347</v>
      </c>
      <c r="AK242">
        <v>297346</v>
      </c>
      <c r="AL242">
        <v>297395</v>
      </c>
      <c r="AM242">
        <v>297395</v>
      </c>
      <c r="AN242">
        <v>297396</v>
      </c>
      <c r="AO242">
        <v>297447</v>
      </c>
      <c r="AP242">
        <v>297447</v>
      </c>
      <c r="AQ242">
        <v>297446</v>
      </c>
      <c r="AR242">
        <v>297506</v>
      </c>
      <c r="AS242">
        <v>297506</v>
      </c>
      <c r="AT242">
        <v>297505</v>
      </c>
      <c r="AU242" s="57">
        <f t="shared" si="82"/>
        <v>0.68644800000000006</v>
      </c>
    </row>
    <row r="243" spans="1:47" x14ac:dyDescent="0.25">
      <c r="A243">
        <v>4</v>
      </c>
      <c r="B243" t="s">
        <v>164</v>
      </c>
      <c r="C243">
        <v>14080</v>
      </c>
      <c r="D243">
        <v>256</v>
      </c>
      <c r="E243">
        <v>2</v>
      </c>
      <c r="F243">
        <v>2</v>
      </c>
      <c r="G243">
        <v>2072.04</v>
      </c>
      <c r="H243" s="42">
        <v>0.89822999999999997</v>
      </c>
      <c r="I243" s="42">
        <v>45479</v>
      </c>
      <c r="J243" s="42">
        <v>0.46281250000000002</v>
      </c>
      <c r="K243" s="42">
        <v>216736</v>
      </c>
      <c r="L243" s="42">
        <v>216736</v>
      </c>
      <c r="M243" s="42">
        <v>216737</v>
      </c>
      <c r="N243" s="42">
        <v>216795</v>
      </c>
      <c r="O243" s="42">
        <v>216795</v>
      </c>
      <c r="P243" s="42">
        <v>216795</v>
      </c>
      <c r="Q243" s="42">
        <v>216856</v>
      </c>
      <c r="R243" s="42">
        <v>216856</v>
      </c>
      <c r="S243" s="42">
        <v>216855</v>
      </c>
      <c r="T243" s="42">
        <v>216929</v>
      </c>
      <c r="U243" s="42">
        <v>216929</v>
      </c>
      <c r="V243" s="42">
        <v>216928</v>
      </c>
      <c r="W243" s="57">
        <f>W242</f>
        <v>0.88673599999999997</v>
      </c>
      <c r="Y243">
        <v>4</v>
      </c>
      <c r="Z243" t="s">
        <v>164</v>
      </c>
      <c r="AA243">
        <v>14080</v>
      </c>
      <c r="AB243">
        <v>256</v>
      </c>
      <c r="AC243">
        <v>2</v>
      </c>
      <c r="AD243">
        <v>2</v>
      </c>
      <c r="AE243">
        <v>2822.76</v>
      </c>
      <c r="AF243" s="48">
        <v>0.65934000000000004</v>
      </c>
      <c r="AG243" s="46">
        <v>45472</v>
      </c>
      <c r="AH243" s="47">
        <v>0.56342592592592589</v>
      </c>
      <c r="AI243">
        <v>317507</v>
      </c>
      <c r="AJ243">
        <v>317507</v>
      </c>
      <c r="AK243">
        <v>317507</v>
      </c>
      <c r="AL243">
        <v>317556</v>
      </c>
      <c r="AM243">
        <v>317556</v>
      </c>
      <c r="AN243">
        <v>317556</v>
      </c>
      <c r="AO243">
        <v>317611</v>
      </c>
      <c r="AP243">
        <v>317611</v>
      </c>
      <c r="AQ243">
        <v>317611</v>
      </c>
      <c r="AR243">
        <v>317679</v>
      </c>
      <c r="AS243">
        <v>317679</v>
      </c>
      <c r="AT243">
        <v>317678</v>
      </c>
      <c r="AU243" s="57">
        <f t="shared" si="82"/>
        <v>0.68644800000000006</v>
      </c>
    </row>
  </sheetData>
  <sortState xmlns:xlrd2="http://schemas.microsoft.com/office/spreadsheetml/2017/richdata2" ref="AW4:BD168">
    <sortCondition ref="AZ4:AZ168"/>
    <sortCondition ref="BA4:BA168"/>
    <sortCondition ref="AY4:AY168"/>
    <sortCondition ref="AW4:AW168"/>
  </sortState>
  <mergeCells count="18">
    <mergeCell ref="AL2:AN2"/>
    <mergeCell ref="AO2:AQ2"/>
    <mergeCell ref="AR2:AT2"/>
    <mergeCell ref="AU1:AU3"/>
    <mergeCell ref="BS1:BS3"/>
    <mergeCell ref="AI1:AT1"/>
    <mergeCell ref="BG1:BR1"/>
    <mergeCell ref="BG2:BI2"/>
    <mergeCell ref="BJ2:BL2"/>
    <mergeCell ref="BM2:BO2"/>
    <mergeCell ref="BP2:BR2"/>
    <mergeCell ref="AI2:AK2"/>
    <mergeCell ref="K1:V1"/>
    <mergeCell ref="W1:W3"/>
    <mergeCell ref="K2:M2"/>
    <mergeCell ref="N2:P2"/>
    <mergeCell ref="Q2:S2"/>
    <mergeCell ref="T2:V2"/>
  </mergeCells>
  <conditionalFormatting sqref="W4:W1048576 AU4:AU243 BS1:BS1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2F0CB-6A57-472F-BAAF-0DFC7CC6D04D}">
  <dimension ref="A1:Y404"/>
  <sheetViews>
    <sheetView zoomScale="85" zoomScaleNormal="85" workbookViewId="0">
      <selection activeCell="U3" sqref="U3:Y27"/>
    </sheetView>
  </sheetViews>
  <sheetFormatPr defaultRowHeight="15" x14ac:dyDescent="0.25"/>
  <cols>
    <col min="5" max="5" width="16.42578125" bestFit="1" customWidth="1"/>
    <col min="11" max="11" width="16.42578125" bestFit="1" customWidth="1"/>
  </cols>
  <sheetData>
    <row r="1" spans="1:25" s="5" customFormat="1" x14ac:dyDescent="0.25">
      <c r="A1" s="88" t="s">
        <v>175</v>
      </c>
      <c r="B1" s="88"/>
      <c r="C1" s="88"/>
      <c r="D1" s="88"/>
      <c r="E1" s="88"/>
      <c r="F1"/>
      <c r="G1" s="88" t="s">
        <v>176</v>
      </c>
      <c r="H1" s="88"/>
      <c r="I1" s="88"/>
      <c r="J1" s="88"/>
      <c r="K1" s="88"/>
      <c r="L1"/>
    </row>
    <row r="2" spans="1:25" s="5" customFormat="1" x14ac:dyDescent="0.25">
      <c r="A2" s="56">
        <f>INDEX(A4:A500,MATCH(MAX(E4:E500),E4:E500,0))</f>
        <v>6720</v>
      </c>
      <c r="B2" s="56">
        <f>INDEX(B4:B500,MATCH(MAX(E4:E500),E4:E500,0))</f>
        <v>64</v>
      </c>
      <c r="C2" s="56">
        <f>INDEX(C4:C500,MATCH(MAX(E4:E500),E4:E500,0))</f>
        <v>1</v>
      </c>
      <c r="D2" s="56">
        <f>INDEX(D4:D500,MATCH(MAX(E4:E500),E4:E500,0))</f>
        <v>1</v>
      </c>
      <c r="E2" s="54">
        <f>MAX(E4:E500)</f>
        <v>0.286854</v>
      </c>
      <c r="F2"/>
      <c r="G2" s="56">
        <f>INDEX(G4:G500,MATCH(MAX(K4:K500),K4:K500,0))</f>
        <v>6720</v>
      </c>
      <c r="H2" s="56">
        <f>INDEX(H4:H500,MATCH(MAX(K4:K500),K4:K500,0))</f>
        <v>64</v>
      </c>
      <c r="I2" s="56">
        <f>INDEX(I4:I500,MATCH(MAX(K4:K500),K4:K500,0))</f>
        <v>1</v>
      </c>
      <c r="J2" s="56">
        <f>INDEX(J4:J500,MATCH(MAX(K4:K500),K4:K500,0))</f>
        <v>1</v>
      </c>
      <c r="K2" s="54">
        <f>MAX(K4:K500)</f>
        <v>0.22967599999999999</v>
      </c>
      <c r="L2"/>
    </row>
    <row r="3" spans="1:25" s="5" customFormat="1" x14ac:dyDescent="0.25">
      <c r="A3" s="51" t="s">
        <v>160</v>
      </c>
      <c r="B3" s="51" t="s">
        <v>62</v>
      </c>
      <c r="C3" s="51" t="s">
        <v>63</v>
      </c>
      <c r="D3" s="56" t="s">
        <v>64</v>
      </c>
      <c r="E3" s="51" t="s">
        <v>156</v>
      </c>
      <c r="F3"/>
      <c r="G3" s="51" t="s">
        <v>160</v>
      </c>
      <c r="H3" s="51" t="s">
        <v>62</v>
      </c>
      <c r="I3" s="51" t="s">
        <v>63</v>
      </c>
      <c r="J3" s="56" t="s">
        <v>64</v>
      </c>
      <c r="K3" s="51" t="s">
        <v>156</v>
      </c>
      <c r="L3"/>
      <c r="M3" s="5" t="s">
        <v>160</v>
      </c>
      <c r="N3" s="5" t="s">
        <v>185</v>
      </c>
      <c r="O3" s="5" t="s">
        <v>62</v>
      </c>
      <c r="P3" s="5" t="s">
        <v>63</v>
      </c>
      <c r="Q3" s="5" t="s">
        <v>64</v>
      </c>
      <c r="R3" s="5" t="s">
        <v>156</v>
      </c>
      <c r="T3" s="5" t="s">
        <v>160</v>
      </c>
      <c r="U3" s="5" t="s">
        <v>185</v>
      </c>
      <c r="V3" s="5" t="s">
        <v>62</v>
      </c>
      <c r="W3" s="5" t="s">
        <v>63</v>
      </c>
      <c r="X3" s="5" t="s">
        <v>64</v>
      </c>
      <c r="Y3" s="5" t="s">
        <v>156</v>
      </c>
    </row>
    <row r="4" spans="1:25" x14ac:dyDescent="0.25">
      <c r="A4" cm="1">
        <f t="array" ref="A4:E404">_xlfn.CHOOSECOLS(_xlfn._xlws.FILTER('1 node, params, RAW'!A4:N500,'1 node, params, RAW'!A4:A500=0),3,4,5,6,14)</f>
        <v>6336</v>
      </c>
      <c r="B4">
        <v>32</v>
      </c>
      <c r="C4">
        <v>1</v>
      </c>
      <c r="D4">
        <v>1</v>
      </c>
      <c r="E4">
        <v>0.27027999999999996</v>
      </c>
      <c r="G4" cm="1">
        <f t="array" ref="G4:K404">_xlfn.CHOOSECOLS(_xlfn._xlws.FILTER('1 node, params, RAW'!P4:AC500,'1 node, params, RAW'!P4:P500=0),3,4,5,6,14)</f>
        <v>6336</v>
      </c>
      <c r="H4">
        <v>32</v>
      </c>
      <c r="I4">
        <v>1</v>
      </c>
      <c r="J4">
        <v>1</v>
      </c>
      <c r="K4">
        <v>0.22606000000000001</v>
      </c>
      <c r="M4">
        <v>6336</v>
      </c>
      <c r="N4">
        <f>CHOOSE(IF(ABS(M4-6336) &lt;= ABS(M4-6720),IF(ABS(M4-6336) &lt;= ABS(M4-7104),1,3),IF(ABS(M4-6720) &lt;= ABS(M4-7104),2,3)),6336,6720,7104)</f>
        <v>6336</v>
      </c>
      <c r="O4">
        <v>32</v>
      </c>
      <c r="P4">
        <v>1</v>
      </c>
      <c r="Q4">
        <v>1</v>
      </c>
      <c r="R4">
        <v>0.27027999999999996</v>
      </c>
      <c r="T4">
        <v>6336</v>
      </c>
      <c r="U4">
        <f>CHOOSE(IF(ABS(T4-6336) &lt;= ABS(T4-6720),IF(ABS(T4-6336) &lt;= ABS(T4-7104),1,3),IF(ABS(T4-6720) &lt;= ABS(T4-7104),2,3)),6336,6720,7104)</f>
        <v>6336</v>
      </c>
      <c r="V4">
        <v>32</v>
      </c>
      <c r="W4">
        <v>1</v>
      </c>
      <c r="X4">
        <v>1</v>
      </c>
      <c r="Y4">
        <v>0.22606000000000001</v>
      </c>
    </row>
    <row r="5" spans="1:25" x14ac:dyDescent="0.25">
      <c r="A5">
        <v>6720</v>
      </c>
      <c r="B5">
        <v>32</v>
      </c>
      <c r="C5">
        <v>1</v>
      </c>
      <c r="D5">
        <v>1</v>
      </c>
      <c r="E5">
        <v>0.27124000000000004</v>
      </c>
      <c r="G5">
        <v>6720</v>
      </c>
      <c r="H5">
        <v>32</v>
      </c>
      <c r="I5">
        <v>1</v>
      </c>
      <c r="J5">
        <v>1</v>
      </c>
      <c r="K5">
        <v>0.22624000000000005</v>
      </c>
      <c r="M5">
        <v>6720</v>
      </c>
      <c r="N5">
        <f t="shared" ref="N5:N27" si="0">CHOOSE(IF(ABS(M5-6336) &lt;= ABS(M5-6720),IF(ABS(M5-6336) &lt;= ABS(M5-7104),1,3),IF(ABS(M5-6720) &lt;= ABS(M5-7104),2,3)),6336,6720,7104)</f>
        <v>6720</v>
      </c>
      <c r="O5">
        <v>32</v>
      </c>
      <c r="P5">
        <v>1</v>
      </c>
      <c r="Q5">
        <v>1</v>
      </c>
      <c r="R5">
        <v>0.27124000000000004</v>
      </c>
      <c r="T5">
        <v>6720</v>
      </c>
      <c r="U5">
        <f t="shared" ref="U5:U27" si="1">CHOOSE(IF(ABS(T5-6336) &lt;= ABS(T5-6720),IF(ABS(T5-6336) &lt;= ABS(T5-7104),1,3),IF(ABS(T5-6720) &lt;= ABS(T5-7104),2,3)),6336,6720,7104)</f>
        <v>6720</v>
      </c>
      <c r="V5">
        <v>32</v>
      </c>
      <c r="W5">
        <v>1</v>
      </c>
      <c r="X5">
        <v>1</v>
      </c>
      <c r="Y5">
        <v>0.22624000000000005</v>
      </c>
    </row>
    <row r="6" spans="1:25" x14ac:dyDescent="0.25">
      <c r="A6">
        <v>7104</v>
      </c>
      <c r="B6">
        <v>32</v>
      </c>
      <c r="C6">
        <v>1</v>
      </c>
      <c r="D6">
        <v>1</v>
      </c>
      <c r="E6">
        <v>0.27084199999999997</v>
      </c>
      <c r="G6">
        <v>7104</v>
      </c>
      <c r="H6">
        <v>32</v>
      </c>
      <c r="I6">
        <v>1</v>
      </c>
      <c r="J6">
        <v>1</v>
      </c>
      <c r="K6">
        <v>0.22347799999999998</v>
      </c>
      <c r="M6">
        <v>7104</v>
      </c>
      <c r="N6">
        <f t="shared" si="0"/>
        <v>7104</v>
      </c>
      <c r="O6">
        <v>32</v>
      </c>
      <c r="P6">
        <v>1</v>
      </c>
      <c r="Q6">
        <v>1</v>
      </c>
      <c r="R6">
        <v>0.27084199999999997</v>
      </c>
      <c r="T6">
        <v>7104</v>
      </c>
      <c r="U6">
        <f t="shared" si="1"/>
        <v>7104</v>
      </c>
      <c r="V6">
        <v>32</v>
      </c>
      <c r="W6">
        <v>1</v>
      </c>
      <c r="X6">
        <v>1</v>
      </c>
      <c r="Y6">
        <v>0.22347799999999998</v>
      </c>
    </row>
    <row r="7" spans="1:25" x14ac:dyDescent="0.25">
      <c r="A7">
        <v>6336</v>
      </c>
      <c r="B7">
        <v>64</v>
      </c>
      <c r="C7">
        <v>1</v>
      </c>
      <c r="D7">
        <v>1</v>
      </c>
      <c r="E7">
        <v>0.28599000000000002</v>
      </c>
      <c r="G7">
        <v>6336</v>
      </c>
      <c r="H7">
        <v>64</v>
      </c>
      <c r="I7">
        <v>1</v>
      </c>
      <c r="J7">
        <v>1</v>
      </c>
      <c r="K7">
        <v>0.22546400000000003</v>
      </c>
      <c r="M7">
        <v>6336</v>
      </c>
      <c r="N7">
        <f t="shared" si="0"/>
        <v>6336</v>
      </c>
      <c r="O7">
        <v>64</v>
      </c>
      <c r="P7">
        <v>1</v>
      </c>
      <c r="Q7">
        <v>1</v>
      </c>
      <c r="R7">
        <v>0.28599000000000002</v>
      </c>
      <c r="T7">
        <v>6336</v>
      </c>
      <c r="U7">
        <f t="shared" si="1"/>
        <v>6336</v>
      </c>
      <c r="V7">
        <v>64</v>
      </c>
      <c r="W7">
        <v>1</v>
      </c>
      <c r="X7">
        <v>1</v>
      </c>
      <c r="Y7">
        <v>0.22546400000000003</v>
      </c>
    </row>
    <row r="8" spans="1:25" x14ac:dyDescent="0.25">
      <c r="A8">
        <v>6720</v>
      </c>
      <c r="B8">
        <v>64</v>
      </c>
      <c r="C8">
        <v>1</v>
      </c>
      <c r="D8">
        <v>1</v>
      </c>
      <c r="E8">
        <v>0.286854</v>
      </c>
      <c r="G8">
        <v>6720</v>
      </c>
      <c r="H8">
        <v>64</v>
      </c>
      <c r="I8">
        <v>1</v>
      </c>
      <c r="J8">
        <v>1</v>
      </c>
      <c r="K8">
        <v>0.22967599999999999</v>
      </c>
      <c r="M8">
        <v>6720</v>
      </c>
      <c r="N8">
        <f t="shared" si="0"/>
        <v>6720</v>
      </c>
      <c r="O8">
        <v>64</v>
      </c>
      <c r="P8">
        <v>1</v>
      </c>
      <c r="Q8">
        <v>1</v>
      </c>
      <c r="R8">
        <v>0.286854</v>
      </c>
      <c r="T8">
        <v>6720</v>
      </c>
      <c r="U8">
        <f t="shared" si="1"/>
        <v>6720</v>
      </c>
      <c r="V8">
        <v>64</v>
      </c>
      <c r="W8">
        <v>1</v>
      </c>
      <c r="X8">
        <v>1</v>
      </c>
      <c r="Y8">
        <v>0.22967599999999999</v>
      </c>
    </row>
    <row r="9" spans="1:25" x14ac:dyDescent="0.25">
      <c r="A9">
        <v>7104</v>
      </c>
      <c r="B9">
        <v>64</v>
      </c>
      <c r="C9">
        <v>1</v>
      </c>
      <c r="D9">
        <v>1</v>
      </c>
      <c r="E9">
        <v>0.28615599999999997</v>
      </c>
      <c r="G9">
        <v>7104</v>
      </c>
      <c r="H9">
        <v>64</v>
      </c>
      <c r="I9">
        <v>1</v>
      </c>
      <c r="J9">
        <v>1</v>
      </c>
      <c r="K9">
        <v>0.2218</v>
      </c>
      <c r="M9">
        <v>7104</v>
      </c>
      <c r="N9">
        <f t="shared" si="0"/>
        <v>7104</v>
      </c>
      <c r="O9">
        <v>64</v>
      </c>
      <c r="P9">
        <v>1</v>
      </c>
      <c r="Q9">
        <v>1</v>
      </c>
      <c r="R9">
        <v>0.28615599999999997</v>
      </c>
      <c r="T9">
        <v>7104</v>
      </c>
      <c r="U9">
        <f t="shared" si="1"/>
        <v>7104</v>
      </c>
      <c r="V9">
        <v>64</v>
      </c>
      <c r="W9">
        <v>1</v>
      </c>
      <c r="X9">
        <v>1</v>
      </c>
      <c r="Y9">
        <v>0.2218</v>
      </c>
    </row>
    <row r="10" spans="1:25" x14ac:dyDescent="0.25">
      <c r="A10">
        <v>6336</v>
      </c>
      <c r="B10">
        <v>96</v>
      </c>
      <c r="C10">
        <v>1</v>
      </c>
      <c r="D10">
        <v>1</v>
      </c>
      <c r="E10">
        <v>0.28165400000000002</v>
      </c>
      <c r="G10">
        <v>6336</v>
      </c>
      <c r="H10">
        <v>96</v>
      </c>
      <c r="I10">
        <v>1</v>
      </c>
      <c r="J10">
        <v>1</v>
      </c>
      <c r="K10">
        <v>0.221694</v>
      </c>
      <c r="M10">
        <v>6336</v>
      </c>
      <c r="N10">
        <f t="shared" si="0"/>
        <v>6336</v>
      </c>
      <c r="O10">
        <v>96</v>
      </c>
      <c r="P10">
        <v>1</v>
      </c>
      <c r="Q10">
        <v>1</v>
      </c>
      <c r="R10">
        <v>0.28165400000000002</v>
      </c>
      <c r="T10">
        <v>6336</v>
      </c>
      <c r="U10">
        <f t="shared" si="1"/>
        <v>6336</v>
      </c>
      <c r="V10">
        <v>96</v>
      </c>
      <c r="W10">
        <v>1</v>
      </c>
      <c r="X10">
        <v>1</v>
      </c>
      <c r="Y10">
        <v>0.221694</v>
      </c>
    </row>
    <row r="11" spans="1:25" x14ac:dyDescent="0.25">
      <c r="A11">
        <v>6720</v>
      </c>
      <c r="B11">
        <v>96</v>
      </c>
      <c r="C11">
        <v>1</v>
      </c>
      <c r="D11">
        <v>1</v>
      </c>
      <c r="E11">
        <v>0.28115000000000001</v>
      </c>
      <c r="G11">
        <v>6720</v>
      </c>
      <c r="H11">
        <v>96</v>
      </c>
      <c r="I11">
        <v>1</v>
      </c>
      <c r="J11">
        <v>1</v>
      </c>
      <c r="K11">
        <v>0.22225800000000001</v>
      </c>
      <c r="M11">
        <v>6720</v>
      </c>
      <c r="N11">
        <f t="shared" si="0"/>
        <v>6720</v>
      </c>
      <c r="O11">
        <v>96</v>
      </c>
      <c r="P11">
        <v>1</v>
      </c>
      <c r="Q11">
        <v>1</v>
      </c>
      <c r="R11">
        <v>0.28115000000000001</v>
      </c>
      <c r="T11">
        <v>6720</v>
      </c>
      <c r="U11">
        <f t="shared" si="1"/>
        <v>6720</v>
      </c>
      <c r="V11">
        <v>96</v>
      </c>
      <c r="W11">
        <v>1</v>
      </c>
      <c r="X11">
        <v>1</v>
      </c>
      <c r="Y11">
        <v>0.22225800000000001</v>
      </c>
    </row>
    <row r="12" spans="1:25" x14ac:dyDescent="0.25">
      <c r="A12">
        <v>7104</v>
      </c>
      <c r="B12">
        <v>96</v>
      </c>
      <c r="C12">
        <v>1</v>
      </c>
      <c r="D12">
        <v>1</v>
      </c>
      <c r="E12">
        <v>0.28056599999999998</v>
      </c>
      <c r="G12">
        <v>7104</v>
      </c>
      <c r="H12">
        <v>96</v>
      </c>
      <c r="I12">
        <v>1</v>
      </c>
      <c r="J12">
        <v>1</v>
      </c>
      <c r="K12">
        <v>0.210506</v>
      </c>
      <c r="M12">
        <v>7104</v>
      </c>
      <c r="N12">
        <f t="shared" si="0"/>
        <v>7104</v>
      </c>
      <c r="O12">
        <v>96</v>
      </c>
      <c r="P12">
        <v>1</v>
      </c>
      <c r="Q12">
        <v>1</v>
      </c>
      <c r="R12">
        <v>0.28056599999999998</v>
      </c>
      <c r="T12">
        <v>7104</v>
      </c>
      <c r="U12">
        <f t="shared" si="1"/>
        <v>7104</v>
      </c>
      <c r="V12">
        <v>96</v>
      </c>
      <c r="W12">
        <v>1</v>
      </c>
      <c r="X12">
        <v>1</v>
      </c>
      <c r="Y12">
        <v>0.210506</v>
      </c>
    </row>
    <row r="13" spans="1:25" x14ac:dyDescent="0.25">
      <c r="A13">
        <v>6272</v>
      </c>
      <c r="B13">
        <v>128</v>
      </c>
      <c r="C13">
        <v>1</v>
      </c>
      <c r="D13">
        <v>1</v>
      </c>
      <c r="E13">
        <v>0.28422999999999998</v>
      </c>
      <c r="G13">
        <v>6272</v>
      </c>
      <c r="H13">
        <v>128</v>
      </c>
      <c r="I13">
        <v>1</v>
      </c>
      <c r="J13">
        <v>1</v>
      </c>
      <c r="K13">
        <v>0.226328</v>
      </c>
      <c r="M13">
        <v>6272</v>
      </c>
      <c r="N13">
        <f t="shared" si="0"/>
        <v>6336</v>
      </c>
      <c r="O13">
        <v>128</v>
      </c>
      <c r="P13">
        <v>1</v>
      </c>
      <c r="Q13">
        <v>1</v>
      </c>
      <c r="R13">
        <v>0.28422999999999998</v>
      </c>
      <c r="T13">
        <v>6272</v>
      </c>
      <c r="U13">
        <f t="shared" si="1"/>
        <v>6336</v>
      </c>
      <c r="V13">
        <v>128</v>
      </c>
      <c r="W13">
        <v>1</v>
      </c>
      <c r="X13">
        <v>1</v>
      </c>
      <c r="Y13">
        <v>0.226328</v>
      </c>
    </row>
    <row r="14" spans="1:25" x14ac:dyDescent="0.25">
      <c r="A14">
        <v>6656</v>
      </c>
      <c r="B14">
        <v>128</v>
      </c>
      <c r="C14">
        <v>1</v>
      </c>
      <c r="D14">
        <v>1</v>
      </c>
      <c r="E14">
        <v>0.26275600000000005</v>
      </c>
      <c r="G14">
        <v>6656</v>
      </c>
      <c r="H14">
        <v>128</v>
      </c>
      <c r="I14">
        <v>1</v>
      </c>
      <c r="J14">
        <v>1</v>
      </c>
      <c r="K14">
        <v>0.21948400000000001</v>
      </c>
      <c r="M14">
        <v>6656</v>
      </c>
      <c r="N14">
        <f t="shared" si="0"/>
        <v>6720</v>
      </c>
      <c r="O14">
        <v>128</v>
      </c>
      <c r="P14">
        <v>1</v>
      </c>
      <c r="Q14">
        <v>1</v>
      </c>
      <c r="R14">
        <v>0.26275600000000005</v>
      </c>
      <c r="T14">
        <v>6656</v>
      </c>
      <c r="U14">
        <f t="shared" si="1"/>
        <v>6720</v>
      </c>
      <c r="V14">
        <v>128</v>
      </c>
      <c r="W14">
        <v>1</v>
      </c>
      <c r="X14">
        <v>1</v>
      </c>
      <c r="Y14">
        <v>0.21948400000000001</v>
      </c>
    </row>
    <row r="15" spans="1:25" x14ac:dyDescent="0.25">
      <c r="A15">
        <v>7040</v>
      </c>
      <c r="B15">
        <v>128</v>
      </c>
      <c r="C15">
        <v>1</v>
      </c>
      <c r="D15">
        <v>1</v>
      </c>
      <c r="E15">
        <v>0.278644</v>
      </c>
      <c r="G15">
        <v>7040</v>
      </c>
      <c r="H15">
        <v>128</v>
      </c>
      <c r="I15">
        <v>1</v>
      </c>
      <c r="J15">
        <v>1</v>
      </c>
      <c r="K15">
        <v>0.22583600000000001</v>
      </c>
      <c r="M15">
        <v>7040</v>
      </c>
      <c r="N15">
        <f t="shared" si="0"/>
        <v>7104</v>
      </c>
      <c r="O15">
        <v>128</v>
      </c>
      <c r="P15">
        <v>1</v>
      </c>
      <c r="Q15">
        <v>1</v>
      </c>
      <c r="R15">
        <v>0.278644</v>
      </c>
      <c r="T15">
        <v>7040</v>
      </c>
      <c r="U15">
        <f t="shared" si="1"/>
        <v>7104</v>
      </c>
      <c r="V15">
        <v>128</v>
      </c>
      <c r="W15">
        <v>1</v>
      </c>
      <c r="X15">
        <v>1</v>
      </c>
      <c r="Y15">
        <v>0.22583600000000001</v>
      </c>
    </row>
    <row r="16" spans="1:25" x14ac:dyDescent="0.25">
      <c r="A16">
        <v>6240</v>
      </c>
      <c r="B16">
        <v>160</v>
      </c>
      <c r="C16">
        <v>1</v>
      </c>
      <c r="D16">
        <v>1</v>
      </c>
      <c r="E16">
        <v>0.27927000000000002</v>
      </c>
      <c r="G16">
        <v>6240</v>
      </c>
      <c r="H16">
        <v>160</v>
      </c>
      <c r="I16">
        <v>1</v>
      </c>
      <c r="J16">
        <v>1</v>
      </c>
      <c r="K16">
        <v>0.22377799999999998</v>
      </c>
      <c r="M16">
        <v>6240</v>
      </c>
      <c r="N16">
        <f t="shared" si="0"/>
        <v>6336</v>
      </c>
      <c r="O16">
        <v>160</v>
      </c>
      <c r="P16">
        <v>1</v>
      </c>
      <c r="Q16">
        <v>1</v>
      </c>
      <c r="R16">
        <v>0.27927000000000002</v>
      </c>
      <c r="T16">
        <v>6240</v>
      </c>
      <c r="U16">
        <f t="shared" si="1"/>
        <v>6336</v>
      </c>
      <c r="V16">
        <v>160</v>
      </c>
      <c r="W16">
        <v>1</v>
      </c>
      <c r="X16">
        <v>1</v>
      </c>
      <c r="Y16">
        <v>0.22377799999999998</v>
      </c>
    </row>
    <row r="17" spans="1:25" x14ac:dyDescent="0.25">
      <c r="A17">
        <v>6720</v>
      </c>
      <c r="B17">
        <v>160</v>
      </c>
      <c r="C17">
        <v>1</v>
      </c>
      <c r="D17">
        <v>1</v>
      </c>
      <c r="E17">
        <v>0.28219199999999994</v>
      </c>
      <c r="G17">
        <v>6720</v>
      </c>
      <c r="H17">
        <v>160</v>
      </c>
      <c r="I17">
        <v>1</v>
      </c>
      <c r="J17">
        <v>1</v>
      </c>
      <c r="K17">
        <v>0.22464200000000001</v>
      </c>
      <c r="M17">
        <v>6720</v>
      </c>
      <c r="N17">
        <f t="shared" si="0"/>
        <v>6720</v>
      </c>
      <c r="O17">
        <v>160</v>
      </c>
      <c r="P17">
        <v>1</v>
      </c>
      <c r="Q17">
        <v>1</v>
      </c>
      <c r="R17">
        <v>0.28219199999999994</v>
      </c>
      <c r="T17">
        <v>6720</v>
      </c>
      <c r="U17">
        <f t="shared" si="1"/>
        <v>6720</v>
      </c>
      <c r="V17">
        <v>160</v>
      </c>
      <c r="W17">
        <v>1</v>
      </c>
      <c r="X17">
        <v>1</v>
      </c>
      <c r="Y17">
        <v>0.22464200000000001</v>
      </c>
    </row>
    <row r="18" spans="1:25" x14ac:dyDescent="0.25">
      <c r="A18">
        <v>7040</v>
      </c>
      <c r="B18">
        <v>160</v>
      </c>
      <c r="C18">
        <v>1</v>
      </c>
      <c r="D18">
        <v>1</v>
      </c>
      <c r="E18">
        <v>0.27714</v>
      </c>
      <c r="G18">
        <v>7040</v>
      </c>
      <c r="H18">
        <v>160</v>
      </c>
      <c r="I18">
        <v>1</v>
      </c>
      <c r="J18">
        <v>1</v>
      </c>
      <c r="K18">
        <v>0.21274600000000002</v>
      </c>
      <c r="M18">
        <v>7040</v>
      </c>
      <c r="N18">
        <f t="shared" si="0"/>
        <v>7104</v>
      </c>
      <c r="O18">
        <v>160</v>
      </c>
      <c r="P18">
        <v>1</v>
      </c>
      <c r="Q18">
        <v>1</v>
      </c>
      <c r="R18">
        <v>0.27714</v>
      </c>
      <c r="T18">
        <v>7040</v>
      </c>
      <c r="U18">
        <f t="shared" si="1"/>
        <v>7104</v>
      </c>
      <c r="V18">
        <v>160</v>
      </c>
      <c r="W18">
        <v>1</v>
      </c>
      <c r="X18">
        <v>1</v>
      </c>
      <c r="Y18">
        <v>0.21274600000000002</v>
      </c>
    </row>
    <row r="19" spans="1:25" x14ac:dyDescent="0.25">
      <c r="A19">
        <v>6336</v>
      </c>
      <c r="B19">
        <v>192</v>
      </c>
      <c r="C19">
        <v>1</v>
      </c>
      <c r="D19">
        <v>1</v>
      </c>
      <c r="E19">
        <v>0.28407799999999994</v>
      </c>
      <c r="G19">
        <v>6336</v>
      </c>
      <c r="H19">
        <v>192</v>
      </c>
      <c r="I19">
        <v>1</v>
      </c>
      <c r="J19">
        <v>1</v>
      </c>
      <c r="K19">
        <v>0.21649400000000002</v>
      </c>
      <c r="M19">
        <v>6336</v>
      </c>
      <c r="N19">
        <f t="shared" si="0"/>
        <v>6336</v>
      </c>
      <c r="O19">
        <v>192</v>
      </c>
      <c r="P19">
        <v>1</v>
      </c>
      <c r="Q19">
        <v>1</v>
      </c>
      <c r="R19">
        <v>0.28407799999999994</v>
      </c>
      <c r="T19">
        <v>6336</v>
      </c>
      <c r="U19">
        <f t="shared" si="1"/>
        <v>6336</v>
      </c>
      <c r="V19">
        <v>192</v>
      </c>
      <c r="W19">
        <v>1</v>
      </c>
      <c r="X19">
        <v>1</v>
      </c>
      <c r="Y19">
        <v>0.21649400000000002</v>
      </c>
    </row>
    <row r="20" spans="1:25" x14ac:dyDescent="0.25">
      <c r="A20">
        <v>6720</v>
      </c>
      <c r="B20">
        <v>192</v>
      </c>
      <c r="C20">
        <v>1</v>
      </c>
      <c r="D20">
        <v>1</v>
      </c>
      <c r="E20">
        <v>0.28488400000000003</v>
      </c>
      <c r="G20">
        <v>6720</v>
      </c>
      <c r="H20">
        <v>192</v>
      </c>
      <c r="I20">
        <v>1</v>
      </c>
      <c r="J20">
        <v>1</v>
      </c>
      <c r="K20">
        <v>0.21348200000000001</v>
      </c>
      <c r="M20">
        <v>6720</v>
      </c>
      <c r="N20">
        <f t="shared" si="0"/>
        <v>6720</v>
      </c>
      <c r="O20">
        <v>192</v>
      </c>
      <c r="P20">
        <v>1</v>
      </c>
      <c r="Q20">
        <v>1</v>
      </c>
      <c r="R20">
        <v>0.28488400000000003</v>
      </c>
      <c r="T20">
        <v>6720</v>
      </c>
      <c r="U20">
        <f t="shared" si="1"/>
        <v>6720</v>
      </c>
      <c r="V20">
        <v>192</v>
      </c>
      <c r="W20">
        <v>1</v>
      </c>
      <c r="X20">
        <v>1</v>
      </c>
      <c r="Y20">
        <v>0.21348200000000001</v>
      </c>
    </row>
    <row r="21" spans="1:25" x14ac:dyDescent="0.25">
      <c r="A21">
        <v>7104</v>
      </c>
      <c r="B21">
        <v>192</v>
      </c>
      <c r="C21">
        <v>1</v>
      </c>
      <c r="D21">
        <v>1</v>
      </c>
      <c r="E21">
        <v>0.28438999999999998</v>
      </c>
      <c r="G21">
        <v>7104</v>
      </c>
      <c r="H21">
        <v>192</v>
      </c>
      <c r="I21">
        <v>1</v>
      </c>
      <c r="J21">
        <v>1</v>
      </c>
      <c r="K21">
        <v>0.20241400000000001</v>
      </c>
      <c r="M21">
        <v>7104</v>
      </c>
      <c r="N21">
        <f t="shared" si="0"/>
        <v>7104</v>
      </c>
      <c r="O21">
        <v>192</v>
      </c>
      <c r="P21">
        <v>1</v>
      </c>
      <c r="Q21">
        <v>1</v>
      </c>
      <c r="R21">
        <v>0.28438999999999998</v>
      </c>
      <c r="T21">
        <v>7104</v>
      </c>
      <c r="U21">
        <f t="shared" si="1"/>
        <v>7104</v>
      </c>
      <c r="V21">
        <v>192</v>
      </c>
      <c r="W21">
        <v>1</v>
      </c>
      <c r="X21">
        <v>1</v>
      </c>
      <c r="Y21">
        <v>0.20241400000000001</v>
      </c>
    </row>
    <row r="22" spans="1:25" x14ac:dyDescent="0.25">
      <c r="A22">
        <v>6272</v>
      </c>
      <c r="B22">
        <v>224</v>
      </c>
      <c r="C22">
        <v>1</v>
      </c>
      <c r="D22">
        <v>1</v>
      </c>
      <c r="E22">
        <v>0.27966199999999997</v>
      </c>
      <c r="G22">
        <v>6272</v>
      </c>
      <c r="H22">
        <v>224</v>
      </c>
      <c r="I22">
        <v>1</v>
      </c>
      <c r="J22">
        <v>1</v>
      </c>
      <c r="K22">
        <v>0.201958</v>
      </c>
      <c r="M22">
        <v>6272</v>
      </c>
      <c r="N22">
        <f t="shared" si="0"/>
        <v>6336</v>
      </c>
      <c r="O22">
        <v>224</v>
      </c>
      <c r="P22">
        <v>1</v>
      </c>
      <c r="Q22">
        <v>1</v>
      </c>
      <c r="R22">
        <v>0.27966199999999997</v>
      </c>
      <c r="T22">
        <v>6272</v>
      </c>
      <c r="U22">
        <f t="shared" si="1"/>
        <v>6336</v>
      </c>
      <c r="V22">
        <v>224</v>
      </c>
      <c r="W22">
        <v>1</v>
      </c>
      <c r="X22">
        <v>1</v>
      </c>
      <c r="Y22">
        <v>0.201958</v>
      </c>
    </row>
    <row r="23" spans="1:25" x14ac:dyDescent="0.25">
      <c r="A23">
        <v>6720</v>
      </c>
      <c r="B23">
        <v>224</v>
      </c>
      <c r="C23">
        <v>1</v>
      </c>
      <c r="D23">
        <v>1</v>
      </c>
      <c r="E23">
        <v>0.28132400000000002</v>
      </c>
      <c r="G23">
        <v>6720</v>
      </c>
      <c r="H23">
        <v>224</v>
      </c>
      <c r="I23">
        <v>1</v>
      </c>
      <c r="J23">
        <v>1</v>
      </c>
      <c r="K23">
        <v>0.20333800000000002</v>
      </c>
      <c r="M23">
        <v>6720</v>
      </c>
      <c r="N23">
        <f t="shared" si="0"/>
        <v>6720</v>
      </c>
      <c r="O23">
        <v>224</v>
      </c>
      <c r="P23">
        <v>1</v>
      </c>
      <c r="Q23">
        <v>1</v>
      </c>
      <c r="R23">
        <v>0.28132400000000002</v>
      </c>
      <c r="T23">
        <v>6720</v>
      </c>
      <c r="U23">
        <f t="shared" si="1"/>
        <v>6720</v>
      </c>
      <c r="V23">
        <v>224</v>
      </c>
      <c r="W23">
        <v>1</v>
      </c>
      <c r="X23">
        <v>1</v>
      </c>
      <c r="Y23">
        <v>0.20333800000000002</v>
      </c>
    </row>
    <row r="24" spans="1:25" x14ac:dyDescent="0.25">
      <c r="A24">
        <v>6944</v>
      </c>
      <c r="B24">
        <v>224</v>
      </c>
      <c r="C24">
        <v>1</v>
      </c>
      <c r="D24">
        <v>1</v>
      </c>
      <c r="E24">
        <v>0.281028</v>
      </c>
      <c r="G24">
        <v>6944</v>
      </c>
      <c r="H24">
        <v>224</v>
      </c>
      <c r="I24">
        <v>1</v>
      </c>
      <c r="J24">
        <v>1</v>
      </c>
      <c r="K24">
        <v>0.20576800000000001</v>
      </c>
      <c r="M24">
        <v>6944</v>
      </c>
      <c r="N24">
        <f t="shared" si="0"/>
        <v>7104</v>
      </c>
      <c r="O24">
        <v>224</v>
      </c>
      <c r="P24">
        <v>1</v>
      </c>
      <c r="Q24">
        <v>1</v>
      </c>
      <c r="R24">
        <v>0.281028</v>
      </c>
      <c r="T24">
        <v>6944</v>
      </c>
      <c r="U24">
        <f t="shared" si="1"/>
        <v>7104</v>
      </c>
      <c r="V24">
        <v>224</v>
      </c>
      <c r="W24">
        <v>1</v>
      </c>
      <c r="X24">
        <v>1</v>
      </c>
      <c r="Y24">
        <v>0.20576800000000001</v>
      </c>
    </row>
    <row r="25" spans="1:25" x14ac:dyDescent="0.25">
      <c r="A25">
        <v>6144</v>
      </c>
      <c r="B25">
        <v>256</v>
      </c>
      <c r="C25">
        <v>1</v>
      </c>
      <c r="D25">
        <v>1</v>
      </c>
      <c r="E25">
        <v>0.25335600000000003</v>
      </c>
      <c r="G25">
        <v>6144</v>
      </c>
      <c r="H25">
        <v>256</v>
      </c>
      <c r="I25">
        <v>1</v>
      </c>
      <c r="J25">
        <v>1</v>
      </c>
      <c r="K25">
        <v>0.20815799999999998</v>
      </c>
      <c r="M25">
        <v>6144</v>
      </c>
      <c r="N25">
        <f t="shared" si="0"/>
        <v>6336</v>
      </c>
      <c r="O25">
        <v>256</v>
      </c>
      <c r="P25">
        <v>1</v>
      </c>
      <c r="Q25">
        <v>1</v>
      </c>
      <c r="R25">
        <v>0.25335600000000003</v>
      </c>
      <c r="T25">
        <v>6144</v>
      </c>
      <c r="U25">
        <f t="shared" si="1"/>
        <v>6336</v>
      </c>
      <c r="V25">
        <v>256</v>
      </c>
      <c r="W25">
        <v>1</v>
      </c>
      <c r="X25">
        <v>1</v>
      </c>
      <c r="Y25">
        <v>0.20815799999999998</v>
      </c>
    </row>
    <row r="26" spans="1:25" x14ac:dyDescent="0.25">
      <c r="A26">
        <v>6656</v>
      </c>
      <c r="B26">
        <v>256</v>
      </c>
      <c r="C26">
        <v>1</v>
      </c>
      <c r="D26">
        <v>1</v>
      </c>
      <c r="E26">
        <v>0.26173999999999997</v>
      </c>
      <c r="G26">
        <v>6656</v>
      </c>
      <c r="H26">
        <v>256</v>
      </c>
      <c r="I26">
        <v>1</v>
      </c>
      <c r="J26">
        <v>1</v>
      </c>
      <c r="K26">
        <v>0.20951599999999998</v>
      </c>
      <c r="M26">
        <v>6656</v>
      </c>
      <c r="N26">
        <f t="shared" si="0"/>
        <v>6720</v>
      </c>
      <c r="O26">
        <v>256</v>
      </c>
      <c r="P26">
        <v>1</v>
      </c>
      <c r="Q26">
        <v>1</v>
      </c>
      <c r="R26">
        <v>0.26173999999999997</v>
      </c>
      <c r="T26">
        <v>6656</v>
      </c>
      <c r="U26">
        <f t="shared" si="1"/>
        <v>6720</v>
      </c>
      <c r="V26">
        <v>256</v>
      </c>
      <c r="W26">
        <v>1</v>
      </c>
      <c r="X26">
        <v>1</v>
      </c>
      <c r="Y26">
        <v>0.20951599999999998</v>
      </c>
    </row>
    <row r="27" spans="1:25" x14ac:dyDescent="0.25">
      <c r="A27">
        <v>6912</v>
      </c>
      <c r="B27">
        <v>256</v>
      </c>
      <c r="C27">
        <v>1</v>
      </c>
      <c r="D27">
        <v>1</v>
      </c>
      <c r="E27">
        <v>0.27909400000000001</v>
      </c>
      <c r="G27">
        <v>6912</v>
      </c>
      <c r="H27">
        <v>256</v>
      </c>
      <c r="I27">
        <v>1</v>
      </c>
      <c r="J27">
        <v>1</v>
      </c>
      <c r="K27">
        <v>0.21054599999999998</v>
      </c>
      <c r="M27">
        <v>6912</v>
      </c>
      <c r="N27">
        <f t="shared" si="0"/>
        <v>6720</v>
      </c>
      <c r="O27">
        <v>256</v>
      </c>
      <c r="P27">
        <v>1</v>
      </c>
      <c r="Q27">
        <v>1</v>
      </c>
      <c r="R27">
        <v>0.27909400000000001</v>
      </c>
      <c r="T27">
        <v>6912</v>
      </c>
      <c r="U27">
        <f t="shared" si="1"/>
        <v>6720</v>
      </c>
      <c r="V27">
        <v>256</v>
      </c>
      <c r="W27">
        <v>1</v>
      </c>
      <c r="X27">
        <v>1</v>
      </c>
      <c r="Y27">
        <v>0.21054599999999998</v>
      </c>
    </row>
    <row r="28" spans="1:25" x14ac:dyDescent="0.25">
      <c r="A28">
        <v>0</v>
      </c>
      <c r="B28">
        <v>0</v>
      </c>
      <c r="C28">
        <v>0</v>
      </c>
      <c r="D28">
        <v>0</v>
      </c>
      <c r="E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25" x14ac:dyDescent="0.25">
      <c r="A29">
        <v>0</v>
      </c>
      <c r="B29">
        <v>0</v>
      </c>
      <c r="C29">
        <v>0</v>
      </c>
      <c r="D29">
        <v>0</v>
      </c>
      <c r="E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25" x14ac:dyDescent="0.25">
      <c r="A30">
        <v>0</v>
      </c>
      <c r="B30">
        <v>0</v>
      </c>
      <c r="C30">
        <v>0</v>
      </c>
      <c r="D30">
        <v>0</v>
      </c>
      <c r="E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25" x14ac:dyDescent="0.25">
      <c r="A31">
        <v>0</v>
      </c>
      <c r="B31">
        <v>0</v>
      </c>
      <c r="C31">
        <v>0</v>
      </c>
      <c r="D31">
        <v>0</v>
      </c>
      <c r="E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25" x14ac:dyDescent="0.25">
      <c r="A32">
        <v>0</v>
      </c>
      <c r="B32">
        <v>0</v>
      </c>
      <c r="C32">
        <v>0</v>
      </c>
      <c r="D32">
        <v>0</v>
      </c>
      <c r="E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0</v>
      </c>
      <c r="B33">
        <v>0</v>
      </c>
      <c r="C33">
        <v>0</v>
      </c>
      <c r="D33">
        <v>0</v>
      </c>
      <c r="E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5">
      <c r="A34">
        <v>0</v>
      </c>
      <c r="B34">
        <v>0</v>
      </c>
      <c r="C34">
        <v>0</v>
      </c>
      <c r="D34">
        <v>0</v>
      </c>
      <c r="E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>
        <v>0</v>
      </c>
      <c r="B35">
        <v>0</v>
      </c>
      <c r="C35">
        <v>0</v>
      </c>
      <c r="D35">
        <v>0</v>
      </c>
      <c r="E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>
        <v>0</v>
      </c>
      <c r="B36">
        <v>0</v>
      </c>
      <c r="C36">
        <v>0</v>
      </c>
      <c r="D36">
        <v>0</v>
      </c>
      <c r="E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0</v>
      </c>
      <c r="B37">
        <v>0</v>
      </c>
      <c r="C37">
        <v>0</v>
      </c>
      <c r="D37">
        <v>0</v>
      </c>
      <c r="E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v>0</v>
      </c>
      <c r="B38">
        <v>0</v>
      </c>
      <c r="C38">
        <v>0</v>
      </c>
      <c r="D38">
        <v>0</v>
      </c>
      <c r="E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0</v>
      </c>
      <c r="B39">
        <v>0</v>
      </c>
      <c r="C39">
        <v>0</v>
      </c>
      <c r="D39">
        <v>0</v>
      </c>
      <c r="E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>
        <v>0</v>
      </c>
      <c r="B40">
        <v>0</v>
      </c>
      <c r="C40">
        <v>0</v>
      </c>
      <c r="D40">
        <v>0</v>
      </c>
      <c r="E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>
        <v>0</v>
      </c>
      <c r="B41">
        <v>0</v>
      </c>
      <c r="C41">
        <v>0</v>
      </c>
      <c r="D41">
        <v>0</v>
      </c>
      <c r="E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0</v>
      </c>
      <c r="B42">
        <v>0</v>
      </c>
      <c r="C42">
        <v>0</v>
      </c>
      <c r="D42">
        <v>0</v>
      </c>
      <c r="E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>
        <v>0</v>
      </c>
      <c r="B43">
        <v>0</v>
      </c>
      <c r="C43">
        <v>0</v>
      </c>
      <c r="D43">
        <v>0</v>
      </c>
      <c r="E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0</v>
      </c>
      <c r="B44">
        <v>0</v>
      </c>
      <c r="C44">
        <v>0</v>
      </c>
      <c r="D44">
        <v>0</v>
      </c>
      <c r="E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>
        <v>0</v>
      </c>
      <c r="B45">
        <v>0</v>
      </c>
      <c r="C45">
        <v>0</v>
      </c>
      <c r="D45">
        <v>0</v>
      </c>
      <c r="E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>
        <v>0</v>
      </c>
      <c r="B46">
        <v>0</v>
      </c>
      <c r="C46">
        <v>0</v>
      </c>
      <c r="D46">
        <v>0</v>
      </c>
      <c r="E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>
        <v>0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>
        <v>0</v>
      </c>
      <c r="B48">
        <v>0</v>
      </c>
      <c r="C48">
        <v>0</v>
      </c>
      <c r="D48">
        <v>0</v>
      </c>
      <c r="E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0</v>
      </c>
      <c r="B49">
        <v>0</v>
      </c>
      <c r="C49">
        <v>0</v>
      </c>
      <c r="D49">
        <v>0</v>
      </c>
      <c r="E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>
        <v>0</v>
      </c>
      <c r="B50">
        <v>0</v>
      </c>
      <c r="C50">
        <v>0</v>
      </c>
      <c r="D50">
        <v>0</v>
      </c>
      <c r="E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0</v>
      </c>
      <c r="B51">
        <v>0</v>
      </c>
      <c r="C51">
        <v>0</v>
      </c>
      <c r="D51">
        <v>0</v>
      </c>
      <c r="E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>
        <v>0</v>
      </c>
      <c r="B52">
        <v>0</v>
      </c>
      <c r="C52">
        <v>0</v>
      </c>
      <c r="D52">
        <v>0</v>
      </c>
      <c r="E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5">
      <c r="A53">
        <v>0</v>
      </c>
      <c r="B53">
        <v>0</v>
      </c>
      <c r="C53">
        <v>0</v>
      </c>
      <c r="D53">
        <v>0</v>
      </c>
      <c r="E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>
        <v>0</v>
      </c>
      <c r="B54">
        <v>0</v>
      </c>
      <c r="C54">
        <v>0</v>
      </c>
      <c r="D54">
        <v>0</v>
      </c>
      <c r="E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0</v>
      </c>
      <c r="B55">
        <v>0</v>
      </c>
      <c r="C55">
        <v>0</v>
      </c>
      <c r="D55">
        <v>0</v>
      </c>
      <c r="E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>
        <v>0</v>
      </c>
      <c r="B56">
        <v>0</v>
      </c>
      <c r="C56">
        <v>0</v>
      </c>
      <c r="D56">
        <v>0</v>
      </c>
      <c r="E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>
        <v>0</v>
      </c>
      <c r="B57">
        <v>0</v>
      </c>
      <c r="C57">
        <v>0</v>
      </c>
      <c r="D57">
        <v>0</v>
      </c>
      <c r="E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5">
      <c r="A58">
        <v>0</v>
      </c>
      <c r="B58">
        <v>0</v>
      </c>
      <c r="C58">
        <v>0</v>
      </c>
      <c r="D58">
        <v>0</v>
      </c>
      <c r="E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>
        <v>0</v>
      </c>
      <c r="B59">
        <v>0</v>
      </c>
      <c r="C59">
        <v>0</v>
      </c>
      <c r="D59">
        <v>0</v>
      </c>
      <c r="E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>
        <v>0</v>
      </c>
      <c r="B60">
        <v>0</v>
      </c>
      <c r="C60">
        <v>0</v>
      </c>
      <c r="D60">
        <v>0</v>
      </c>
      <c r="E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5">
      <c r="A61">
        <v>0</v>
      </c>
      <c r="B61">
        <v>0</v>
      </c>
      <c r="C61">
        <v>0</v>
      </c>
      <c r="D61">
        <v>0</v>
      </c>
      <c r="E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5">
      <c r="A62">
        <v>0</v>
      </c>
      <c r="B62">
        <v>0</v>
      </c>
      <c r="C62">
        <v>0</v>
      </c>
      <c r="D62">
        <v>0</v>
      </c>
      <c r="E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5">
      <c r="A63">
        <v>0</v>
      </c>
      <c r="B63">
        <v>0</v>
      </c>
      <c r="C63">
        <v>0</v>
      </c>
      <c r="D63">
        <v>0</v>
      </c>
      <c r="E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5">
      <c r="A64">
        <v>0</v>
      </c>
      <c r="B64">
        <v>0</v>
      </c>
      <c r="C64">
        <v>0</v>
      </c>
      <c r="D64">
        <v>0</v>
      </c>
      <c r="E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0</v>
      </c>
      <c r="B65">
        <v>0</v>
      </c>
      <c r="C65">
        <v>0</v>
      </c>
      <c r="D65">
        <v>0</v>
      </c>
      <c r="E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5">
      <c r="A66">
        <v>0</v>
      </c>
      <c r="B66">
        <v>0</v>
      </c>
      <c r="C66">
        <v>0</v>
      </c>
      <c r="D66">
        <v>0</v>
      </c>
      <c r="E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0</v>
      </c>
      <c r="B67">
        <v>0</v>
      </c>
      <c r="C67">
        <v>0</v>
      </c>
      <c r="D67">
        <v>0</v>
      </c>
      <c r="E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0</v>
      </c>
      <c r="B68">
        <v>0</v>
      </c>
      <c r="C68">
        <v>0</v>
      </c>
      <c r="D68">
        <v>0</v>
      </c>
      <c r="E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0</v>
      </c>
      <c r="B69">
        <v>0</v>
      </c>
      <c r="C69">
        <v>0</v>
      </c>
      <c r="D69">
        <v>0</v>
      </c>
      <c r="E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0</v>
      </c>
      <c r="B70">
        <v>0</v>
      </c>
      <c r="C70">
        <v>0</v>
      </c>
      <c r="D70">
        <v>0</v>
      </c>
      <c r="E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5">
      <c r="A71">
        <v>0</v>
      </c>
      <c r="B71">
        <v>0</v>
      </c>
      <c r="C71">
        <v>0</v>
      </c>
      <c r="D71">
        <v>0</v>
      </c>
      <c r="E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25">
      <c r="A72">
        <v>0</v>
      </c>
      <c r="B72">
        <v>0</v>
      </c>
      <c r="C72">
        <v>0</v>
      </c>
      <c r="D72">
        <v>0</v>
      </c>
      <c r="E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>
        <v>0</v>
      </c>
      <c r="B73">
        <v>0</v>
      </c>
      <c r="C73">
        <v>0</v>
      </c>
      <c r="D73">
        <v>0</v>
      </c>
      <c r="E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5">
      <c r="A74">
        <v>0</v>
      </c>
      <c r="B74">
        <v>0</v>
      </c>
      <c r="C74">
        <v>0</v>
      </c>
      <c r="D74">
        <v>0</v>
      </c>
      <c r="E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5">
      <c r="A75">
        <v>0</v>
      </c>
      <c r="B75">
        <v>0</v>
      </c>
      <c r="C75">
        <v>0</v>
      </c>
      <c r="D75">
        <v>0</v>
      </c>
      <c r="E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5">
      <c r="A76">
        <v>0</v>
      </c>
      <c r="B76">
        <v>0</v>
      </c>
      <c r="C76">
        <v>0</v>
      </c>
      <c r="D76">
        <v>0</v>
      </c>
      <c r="E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>
        <v>0</v>
      </c>
      <c r="B77">
        <v>0</v>
      </c>
      <c r="C77">
        <v>0</v>
      </c>
      <c r="D77">
        <v>0</v>
      </c>
      <c r="E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0</v>
      </c>
      <c r="B78">
        <v>0</v>
      </c>
      <c r="C78">
        <v>0</v>
      </c>
      <c r="D78">
        <v>0</v>
      </c>
      <c r="E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>
        <v>0</v>
      </c>
      <c r="B79">
        <v>0</v>
      </c>
      <c r="C79">
        <v>0</v>
      </c>
      <c r="D79">
        <v>0</v>
      </c>
      <c r="E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>
        <v>0</v>
      </c>
      <c r="B80">
        <v>0</v>
      </c>
      <c r="C80">
        <v>0</v>
      </c>
      <c r="D80">
        <v>0</v>
      </c>
      <c r="E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0</v>
      </c>
      <c r="B81">
        <v>0</v>
      </c>
      <c r="C81">
        <v>0</v>
      </c>
      <c r="D81">
        <v>0</v>
      </c>
      <c r="E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>
        <v>0</v>
      </c>
      <c r="B82">
        <v>0</v>
      </c>
      <c r="C82">
        <v>0</v>
      </c>
      <c r="D82">
        <v>0</v>
      </c>
      <c r="E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>
        <v>0</v>
      </c>
      <c r="B83">
        <v>0</v>
      </c>
      <c r="C83">
        <v>0</v>
      </c>
      <c r="D83">
        <v>0</v>
      </c>
      <c r="E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>
        <v>0</v>
      </c>
      <c r="B84">
        <v>0</v>
      </c>
      <c r="C84">
        <v>0</v>
      </c>
      <c r="D84">
        <v>0</v>
      </c>
      <c r="E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>
        <v>0</v>
      </c>
      <c r="B85">
        <v>0</v>
      </c>
      <c r="C85">
        <v>0</v>
      </c>
      <c r="D85">
        <v>0</v>
      </c>
      <c r="E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>
        <v>0</v>
      </c>
      <c r="B86">
        <v>0</v>
      </c>
      <c r="C86">
        <v>0</v>
      </c>
      <c r="D86">
        <v>0</v>
      </c>
      <c r="E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5">
      <c r="A87">
        <v>0</v>
      </c>
      <c r="B87">
        <v>0</v>
      </c>
      <c r="C87">
        <v>0</v>
      </c>
      <c r="D87">
        <v>0</v>
      </c>
      <c r="E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5">
      <c r="A88">
        <v>0</v>
      </c>
      <c r="B88">
        <v>0</v>
      </c>
      <c r="C88">
        <v>0</v>
      </c>
      <c r="D88">
        <v>0</v>
      </c>
      <c r="E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25">
      <c r="A89">
        <v>0</v>
      </c>
      <c r="B89">
        <v>0</v>
      </c>
      <c r="C89">
        <v>0</v>
      </c>
      <c r="D89">
        <v>0</v>
      </c>
      <c r="E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5">
      <c r="A90">
        <v>0</v>
      </c>
      <c r="B90">
        <v>0</v>
      </c>
      <c r="C90">
        <v>0</v>
      </c>
      <c r="D90">
        <v>0</v>
      </c>
      <c r="E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>
        <v>0</v>
      </c>
      <c r="B91">
        <v>0</v>
      </c>
      <c r="C91">
        <v>0</v>
      </c>
      <c r="D91">
        <v>0</v>
      </c>
      <c r="E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>
        <v>0</v>
      </c>
      <c r="B92">
        <v>0</v>
      </c>
      <c r="C92">
        <v>0</v>
      </c>
      <c r="D92">
        <v>0</v>
      </c>
      <c r="E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>
        <v>0</v>
      </c>
      <c r="B93">
        <v>0</v>
      </c>
      <c r="C93">
        <v>0</v>
      </c>
      <c r="D93">
        <v>0</v>
      </c>
      <c r="E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>
        <v>0</v>
      </c>
      <c r="B94">
        <v>0</v>
      </c>
      <c r="C94">
        <v>0</v>
      </c>
      <c r="D94">
        <v>0</v>
      </c>
      <c r="E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25">
      <c r="A95">
        <v>0</v>
      </c>
      <c r="B95">
        <v>0</v>
      </c>
      <c r="C95">
        <v>0</v>
      </c>
      <c r="D95">
        <v>0</v>
      </c>
      <c r="E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5">
      <c r="A96">
        <v>0</v>
      </c>
      <c r="B96">
        <v>0</v>
      </c>
      <c r="C96">
        <v>0</v>
      </c>
      <c r="D96">
        <v>0</v>
      </c>
      <c r="E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5">
      <c r="A97">
        <v>0</v>
      </c>
      <c r="B97">
        <v>0</v>
      </c>
      <c r="C97">
        <v>0</v>
      </c>
      <c r="D97">
        <v>0</v>
      </c>
      <c r="E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>
        <v>0</v>
      </c>
      <c r="B98">
        <v>0</v>
      </c>
      <c r="C98">
        <v>0</v>
      </c>
      <c r="D98">
        <v>0</v>
      </c>
      <c r="E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5">
      <c r="A99">
        <v>0</v>
      </c>
      <c r="B99">
        <v>0</v>
      </c>
      <c r="C99">
        <v>0</v>
      </c>
      <c r="D99">
        <v>0</v>
      </c>
      <c r="E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0</v>
      </c>
      <c r="B100">
        <v>0</v>
      </c>
      <c r="C100">
        <v>0</v>
      </c>
      <c r="D100">
        <v>0</v>
      </c>
      <c r="E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5">
      <c r="A101">
        <v>0</v>
      </c>
      <c r="B101">
        <v>0</v>
      </c>
      <c r="C101">
        <v>0</v>
      </c>
      <c r="D101">
        <v>0</v>
      </c>
      <c r="E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5">
      <c r="A102">
        <v>0</v>
      </c>
      <c r="B102">
        <v>0</v>
      </c>
      <c r="C102">
        <v>0</v>
      </c>
      <c r="D102">
        <v>0</v>
      </c>
      <c r="E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5">
      <c r="A103">
        <v>0</v>
      </c>
      <c r="B103">
        <v>0</v>
      </c>
      <c r="C103">
        <v>0</v>
      </c>
      <c r="D103">
        <v>0</v>
      </c>
      <c r="E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>
        <v>0</v>
      </c>
      <c r="B104">
        <v>0</v>
      </c>
      <c r="C104">
        <v>0</v>
      </c>
      <c r="D104">
        <v>0</v>
      </c>
      <c r="E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5">
      <c r="A105">
        <v>0</v>
      </c>
      <c r="B105">
        <v>0</v>
      </c>
      <c r="C105">
        <v>0</v>
      </c>
      <c r="D105">
        <v>0</v>
      </c>
      <c r="E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5">
      <c r="A106">
        <v>0</v>
      </c>
      <c r="B106">
        <v>0</v>
      </c>
      <c r="C106">
        <v>0</v>
      </c>
      <c r="D106">
        <v>0</v>
      </c>
      <c r="E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5">
      <c r="A107">
        <v>0</v>
      </c>
      <c r="B107">
        <v>0</v>
      </c>
      <c r="C107">
        <v>0</v>
      </c>
      <c r="D107">
        <v>0</v>
      </c>
      <c r="E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5">
      <c r="A108">
        <v>0</v>
      </c>
      <c r="B108">
        <v>0</v>
      </c>
      <c r="C108">
        <v>0</v>
      </c>
      <c r="D108">
        <v>0</v>
      </c>
      <c r="E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5">
      <c r="A109">
        <v>0</v>
      </c>
      <c r="B109">
        <v>0</v>
      </c>
      <c r="C109">
        <v>0</v>
      </c>
      <c r="D109">
        <v>0</v>
      </c>
      <c r="E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5">
      <c r="A110">
        <v>0</v>
      </c>
      <c r="B110">
        <v>0</v>
      </c>
      <c r="C110">
        <v>0</v>
      </c>
      <c r="D110">
        <v>0</v>
      </c>
      <c r="E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5">
      <c r="A111">
        <v>0</v>
      </c>
      <c r="B111">
        <v>0</v>
      </c>
      <c r="C111">
        <v>0</v>
      </c>
      <c r="D111">
        <v>0</v>
      </c>
      <c r="E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>
        <v>0</v>
      </c>
      <c r="B112">
        <v>0</v>
      </c>
      <c r="C112">
        <v>0</v>
      </c>
      <c r="D112">
        <v>0</v>
      </c>
      <c r="E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5">
      <c r="A113">
        <v>0</v>
      </c>
      <c r="B113">
        <v>0</v>
      </c>
      <c r="C113">
        <v>0</v>
      </c>
      <c r="D113">
        <v>0</v>
      </c>
      <c r="E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5">
      <c r="A114">
        <v>0</v>
      </c>
      <c r="B114">
        <v>0</v>
      </c>
      <c r="C114">
        <v>0</v>
      </c>
      <c r="D114">
        <v>0</v>
      </c>
      <c r="E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5">
      <c r="A115">
        <v>0</v>
      </c>
      <c r="B115">
        <v>0</v>
      </c>
      <c r="C115">
        <v>0</v>
      </c>
      <c r="D115">
        <v>0</v>
      </c>
      <c r="E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0</v>
      </c>
      <c r="B116">
        <v>0</v>
      </c>
      <c r="C116">
        <v>0</v>
      </c>
      <c r="D116">
        <v>0</v>
      </c>
      <c r="E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0</v>
      </c>
      <c r="B117">
        <v>0</v>
      </c>
      <c r="C117">
        <v>0</v>
      </c>
      <c r="D117">
        <v>0</v>
      </c>
      <c r="E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5">
      <c r="A118">
        <v>0</v>
      </c>
      <c r="B118">
        <v>0</v>
      </c>
      <c r="C118">
        <v>0</v>
      </c>
      <c r="D118">
        <v>0</v>
      </c>
      <c r="E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5">
      <c r="A119">
        <v>0</v>
      </c>
      <c r="B119">
        <v>0</v>
      </c>
      <c r="C119">
        <v>0</v>
      </c>
      <c r="D119">
        <v>0</v>
      </c>
      <c r="E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0</v>
      </c>
      <c r="B120">
        <v>0</v>
      </c>
      <c r="C120">
        <v>0</v>
      </c>
      <c r="D120">
        <v>0</v>
      </c>
      <c r="E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0</v>
      </c>
      <c r="B121">
        <v>0</v>
      </c>
      <c r="C121">
        <v>0</v>
      </c>
      <c r="D121">
        <v>0</v>
      </c>
      <c r="E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0</v>
      </c>
      <c r="B122">
        <v>0</v>
      </c>
      <c r="C122">
        <v>0</v>
      </c>
      <c r="D122">
        <v>0</v>
      </c>
      <c r="E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5">
      <c r="A123">
        <v>0</v>
      </c>
      <c r="B123">
        <v>0</v>
      </c>
      <c r="C123">
        <v>0</v>
      </c>
      <c r="D123">
        <v>0</v>
      </c>
      <c r="E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5">
      <c r="A124">
        <v>0</v>
      </c>
      <c r="B124">
        <v>0</v>
      </c>
      <c r="C124">
        <v>0</v>
      </c>
      <c r="D124">
        <v>0</v>
      </c>
      <c r="E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5">
      <c r="A125">
        <v>0</v>
      </c>
      <c r="B125">
        <v>0</v>
      </c>
      <c r="C125">
        <v>0</v>
      </c>
      <c r="D125">
        <v>0</v>
      </c>
      <c r="E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0</v>
      </c>
      <c r="B126">
        <v>0</v>
      </c>
      <c r="C126">
        <v>0</v>
      </c>
      <c r="D126">
        <v>0</v>
      </c>
      <c r="E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>
        <v>0</v>
      </c>
      <c r="B127">
        <v>0</v>
      </c>
      <c r="C127">
        <v>0</v>
      </c>
      <c r="D127">
        <v>0</v>
      </c>
      <c r="E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5">
      <c r="A128">
        <v>0</v>
      </c>
      <c r="B128">
        <v>0</v>
      </c>
      <c r="C128">
        <v>0</v>
      </c>
      <c r="D128">
        <v>0</v>
      </c>
      <c r="E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5">
      <c r="A129">
        <v>0</v>
      </c>
      <c r="B129">
        <v>0</v>
      </c>
      <c r="C129">
        <v>0</v>
      </c>
      <c r="D129">
        <v>0</v>
      </c>
      <c r="E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5">
      <c r="A130">
        <v>0</v>
      </c>
      <c r="B130">
        <v>0</v>
      </c>
      <c r="C130">
        <v>0</v>
      </c>
      <c r="D130">
        <v>0</v>
      </c>
      <c r="E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0</v>
      </c>
      <c r="B131">
        <v>0</v>
      </c>
      <c r="C131">
        <v>0</v>
      </c>
      <c r="D131">
        <v>0</v>
      </c>
      <c r="E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5">
      <c r="A132">
        <v>0</v>
      </c>
      <c r="B132">
        <v>0</v>
      </c>
      <c r="C132">
        <v>0</v>
      </c>
      <c r="D132">
        <v>0</v>
      </c>
      <c r="E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5">
      <c r="A133">
        <v>0</v>
      </c>
      <c r="B133">
        <v>0</v>
      </c>
      <c r="C133">
        <v>0</v>
      </c>
      <c r="D133">
        <v>0</v>
      </c>
      <c r="E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5">
      <c r="A134">
        <v>0</v>
      </c>
      <c r="B134">
        <v>0</v>
      </c>
      <c r="C134">
        <v>0</v>
      </c>
      <c r="D134">
        <v>0</v>
      </c>
      <c r="E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5">
      <c r="A135">
        <v>0</v>
      </c>
      <c r="B135">
        <v>0</v>
      </c>
      <c r="C135">
        <v>0</v>
      </c>
      <c r="D135">
        <v>0</v>
      </c>
      <c r="E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5">
      <c r="A136">
        <v>0</v>
      </c>
      <c r="B136">
        <v>0</v>
      </c>
      <c r="C136">
        <v>0</v>
      </c>
      <c r="D136">
        <v>0</v>
      </c>
      <c r="E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>
        <v>0</v>
      </c>
      <c r="B137">
        <v>0</v>
      </c>
      <c r="C137">
        <v>0</v>
      </c>
      <c r="D137">
        <v>0</v>
      </c>
      <c r="E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0</v>
      </c>
      <c r="B138">
        <v>0</v>
      </c>
      <c r="C138">
        <v>0</v>
      </c>
      <c r="D138">
        <v>0</v>
      </c>
      <c r="E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5">
      <c r="A139">
        <v>0</v>
      </c>
      <c r="B139">
        <v>0</v>
      </c>
      <c r="C139">
        <v>0</v>
      </c>
      <c r="D139">
        <v>0</v>
      </c>
      <c r="E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0</v>
      </c>
      <c r="B140">
        <v>0</v>
      </c>
      <c r="C140">
        <v>0</v>
      </c>
      <c r="D140">
        <v>0</v>
      </c>
      <c r="E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0</v>
      </c>
      <c r="B141">
        <v>0</v>
      </c>
      <c r="C141">
        <v>0</v>
      </c>
      <c r="D141">
        <v>0</v>
      </c>
      <c r="E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5">
      <c r="A142">
        <v>0</v>
      </c>
      <c r="B142">
        <v>0</v>
      </c>
      <c r="C142">
        <v>0</v>
      </c>
      <c r="D142">
        <v>0</v>
      </c>
      <c r="E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0</v>
      </c>
      <c r="B143">
        <v>0</v>
      </c>
      <c r="C143">
        <v>0</v>
      </c>
      <c r="D143">
        <v>0</v>
      </c>
      <c r="E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5">
      <c r="A144">
        <v>0</v>
      </c>
      <c r="B144">
        <v>0</v>
      </c>
      <c r="C144">
        <v>0</v>
      </c>
      <c r="D144">
        <v>0</v>
      </c>
      <c r="E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0</v>
      </c>
      <c r="B145">
        <v>0</v>
      </c>
      <c r="C145">
        <v>0</v>
      </c>
      <c r="D145">
        <v>0</v>
      </c>
      <c r="E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5">
      <c r="A146">
        <v>0</v>
      </c>
      <c r="B146">
        <v>0</v>
      </c>
      <c r="C146">
        <v>0</v>
      </c>
      <c r="D146">
        <v>0</v>
      </c>
      <c r="E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5">
      <c r="A147">
        <v>0</v>
      </c>
      <c r="B147">
        <v>0</v>
      </c>
      <c r="C147">
        <v>0</v>
      </c>
      <c r="D147">
        <v>0</v>
      </c>
      <c r="E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5">
      <c r="A148">
        <v>0</v>
      </c>
      <c r="B148">
        <v>0</v>
      </c>
      <c r="C148">
        <v>0</v>
      </c>
      <c r="D148">
        <v>0</v>
      </c>
      <c r="E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5">
      <c r="A149">
        <v>0</v>
      </c>
      <c r="B149">
        <v>0</v>
      </c>
      <c r="C149">
        <v>0</v>
      </c>
      <c r="D149">
        <v>0</v>
      </c>
      <c r="E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5">
      <c r="A150">
        <v>0</v>
      </c>
      <c r="B150">
        <v>0</v>
      </c>
      <c r="C150">
        <v>0</v>
      </c>
      <c r="D150">
        <v>0</v>
      </c>
      <c r="E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5">
      <c r="A151">
        <v>0</v>
      </c>
      <c r="B151">
        <v>0</v>
      </c>
      <c r="C151">
        <v>0</v>
      </c>
      <c r="D151">
        <v>0</v>
      </c>
      <c r="E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5">
      <c r="A152">
        <v>0</v>
      </c>
      <c r="B152">
        <v>0</v>
      </c>
      <c r="C152">
        <v>0</v>
      </c>
      <c r="D152">
        <v>0</v>
      </c>
      <c r="E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>
        <v>0</v>
      </c>
      <c r="B153">
        <v>0</v>
      </c>
      <c r="C153">
        <v>0</v>
      </c>
      <c r="D153">
        <v>0</v>
      </c>
      <c r="E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5">
      <c r="A154">
        <v>0</v>
      </c>
      <c r="B154">
        <v>0</v>
      </c>
      <c r="C154">
        <v>0</v>
      </c>
      <c r="D154">
        <v>0</v>
      </c>
      <c r="E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5">
      <c r="A155">
        <v>0</v>
      </c>
      <c r="B155">
        <v>0</v>
      </c>
      <c r="C155">
        <v>0</v>
      </c>
      <c r="D155">
        <v>0</v>
      </c>
      <c r="E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25">
      <c r="A156">
        <v>0</v>
      </c>
      <c r="B156">
        <v>0</v>
      </c>
      <c r="C156">
        <v>0</v>
      </c>
      <c r="D156">
        <v>0</v>
      </c>
      <c r="E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5">
      <c r="A157">
        <v>0</v>
      </c>
      <c r="B157">
        <v>0</v>
      </c>
      <c r="C157">
        <v>0</v>
      </c>
      <c r="D157">
        <v>0</v>
      </c>
      <c r="E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25">
      <c r="A158">
        <v>0</v>
      </c>
      <c r="B158">
        <v>0</v>
      </c>
      <c r="C158">
        <v>0</v>
      </c>
      <c r="D158">
        <v>0</v>
      </c>
      <c r="E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25">
      <c r="A159">
        <v>0</v>
      </c>
      <c r="B159">
        <v>0</v>
      </c>
      <c r="C159">
        <v>0</v>
      </c>
      <c r="D159">
        <v>0</v>
      </c>
      <c r="E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25">
      <c r="A160">
        <v>0</v>
      </c>
      <c r="B160">
        <v>0</v>
      </c>
      <c r="C160">
        <v>0</v>
      </c>
      <c r="D160">
        <v>0</v>
      </c>
      <c r="E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25">
      <c r="A161">
        <v>0</v>
      </c>
      <c r="B161">
        <v>0</v>
      </c>
      <c r="C161">
        <v>0</v>
      </c>
      <c r="D161">
        <v>0</v>
      </c>
      <c r="E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25">
      <c r="A162">
        <v>0</v>
      </c>
      <c r="B162">
        <v>0</v>
      </c>
      <c r="C162">
        <v>0</v>
      </c>
      <c r="D162">
        <v>0</v>
      </c>
      <c r="E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25">
      <c r="A163">
        <v>0</v>
      </c>
      <c r="B163">
        <v>0</v>
      </c>
      <c r="C163">
        <v>0</v>
      </c>
      <c r="D163">
        <v>0</v>
      </c>
      <c r="E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25">
      <c r="A164">
        <v>0</v>
      </c>
      <c r="B164">
        <v>0</v>
      </c>
      <c r="C164">
        <v>0</v>
      </c>
      <c r="D164">
        <v>0</v>
      </c>
      <c r="E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5">
      <c r="A165">
        <v>0</v>
      </c>
      <c r="B165">
        <v>0</v>
      </c>
      <c r="C165">
        <v>0</v>
      </c>
      <c r="D165">
        <v>0</v>
      </c>
      <c r="E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5">
      <c r="A166">
        <v>0</v>
      </c>
      <c r="B166">
        <v>0</v>
      </c>
      <c r="C166">
        <v>0</v>
      </c>
      <c r="D166">
        <v>0</v>
      </c>
      <c r="E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5">
      <c r="A167">
        <v>0</v>
      </c>
      <c r="B167">
        <v>0</v>
      </c>
      <c r="C167">
        <v>0</v>
      </c>
      <c r="D167">
        <v>0</v>
      </c>
      <c r="E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25">
      <c r="A168">
        <v>0</v>
      </c>
      <c r="B168">
        <v>0</v>
      </c>
      <c r="C168">
        <v>0</v>
      </c>
      <c r="D168">
        <v>0</v>
      </c>
      <c r="E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5">
      <c r="A169">
        <v>0</v>
      </c>
      <c r="B169">
        <v>0</v>
      </c>
      <c r="C169">
        <v>0</v>
      </c>
      <c r="D169">
        <v>0</v>
      </c>
      <c r="E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25">
      <c r="A170">
        <v>0</v>
      </c>
      <c r="B170">
        <v>0</v>
      </c>
      <c r="C170">
        <v>0</v>
      </c>
      <c r="D170">
        <v>0</v>
      </c>
      <c r="E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25">
      <c r="A171">
        <v>0</v>
      </c>
      <c r="B171">
        <v>0</v>
      </c>
      <c r="C171">
        <v>0</v>
      </c>
      <c r="D171">
        <v>0</v>
      </c>
      <c r="E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25">
      <c r="A172">
        <v>0</v>
      </c>
      <c r="B172">
        <v>0</v>
      </c>
      <c r="C172">
        <v>0</v>
      </c>
      <c r="D172">
        <v>0</v>
      </c>
      <c r="E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25">
      <c r="A173">
        <v>0</v>
      </c>
      <c r="B173">
        <v>0</v>
      </c>
      <c r="C173">
        <v>0</v>
      </c>
      <c r="D173">
        <v>0</v>
      </c>
      <c r="E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5">
      <c r="A174">
        <v>0</v>
      </c>
      <c r="B174">
        <v>0</v>
      </c>
      <c r="C174">
        <v>0</v>
      </c>
      <c r="D174">
        <v>0</v>
      </c>
      <c r="E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25">
      <c r="A175">
        <v>0</v>
      </c>
      <c r="B175">
        <v>0</v>
      </c>
      <c r="C175">
        <v>0</v>
      </c>
      <c r="D175">
        <v>0</v>
      </c>
      <c r="E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25">
      <c r="A176">
        <v>0</v>
      </c>
      <c r="B176">
        <v>0</v>
      </c>
      <c r="C176">
        <v>0</v>
      </c>
      <c r="D176">
        <v>0</v>
      </c>
      <c r="E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25">
      <c r="A177">
        <v>0</v>
      </c>
      <c r="B177">
        <v>0</v>
      </c>
      <c r="C177">
        <v>0</v>
      </c>
      <c r="D177">
        <v>0</v>
      </c>
      <c r="E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25">
      <c r="A178">
        <v>0</v>
      </c>
      <c r="B178">
        <v>0</v>
      </c>
      <c r="C178">
        <v>0</v>
      </c>
      <c r="D178">
        <v>0</v>
      </c>
      <c r="E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25">
      <c r="A179">
        <v>0</v>
      </c>
      <c r="B179">
        <v>0</v>
      </c>
      <c r="C179">
        <v>0</v>
      </c>
      <c r="D179">
        <v>0</v>
      </c>
      <c r="E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5">
      <c r="A180">
        <v>0</v>
      </c>
      <c r="B180">
        <v>0</v>
      </c>
      <c r="C180">
        <v>0</v>
      </c>
      <c r="D180">
        <v>0</v>
      </c>
      <c r="E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5">
      <c r="A181">
        <v>0</v>
      </c>
      <c r="B181">
        <v>0</v>
      </c>
      <c r="C181">
        <v>0</v>
      </c>
      <c r="D181">
        <v>0</v>
      </c>
      <c r="E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5">
      <c r="A182">
        <v>0</v>
      </c>
      <c r="B182">
        <v>0</v>
      </c>
      <c r="C182">
        <v>0</v>
      </c>
      <c r="D182">
        <v>0</v>
      </c>
      <c r="E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>
        <v>0</v>
      </c>
      <c r="B183">
        <v>0</v>
      </c>
      <c r="C183">
        <v>0</v>
      </c>
      <c r="D183">
        <v>0</v>
      </c>
      <c r="E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25">
      <c r="A184">
        <v>0</v>
      </c>
      <c r="B184">
        <v>0</v>
      </c>
      <c r="C184">
        <v>0</v>
      </c>
      <c r="D184">
        <v>0</v>
      </c>
      <c r="E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5">
      <c r="A185">
        <v>0</v>
      </c>
      <c r="B185">
        <v>0</v>
      </c>
      <c r="C185">
        <v>0</v>
      </c>
      <c r="D185">
        <v>0</v>
      </c>
      <c r="E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25">
      <c r="A186">
        <v>0</v>
      </c>
      <c r="B186">
        <v>0</v>
      </c>
      <c r="C186">
        <v>0</v>
      </c>
      <c r="D186">
        <v>0</v>
      </c>
      <c r="E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25">
      <c r="A187">
        <v>0</v>
      </c>
      <c r="B187">
        <v>0</v>
      </c>
      <c r="C187">
        <v>0</v>
      </c>
      <c r="D187">
        <v>0</v>
      </c>
      <c r="E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25">
      <c r="A188">
        <v>0</v>
      </c>
      <c r="B188">
        <v>0</v>
      </c>
      <c r="C188">
        <v>0</v>
      </c>
      <c r="D188">
        <v>0</v>
      </c>
      <c r="E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25">
      <c r="A189">
        <v>0</v>
      </c>
      <c r="B189">
        <v>0</v>
      </c>
      <c r="C189">
        <v>0</v>
      </c>
      <c r="D189">
        <v>0</v>
      </c>
      <c r="E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25">
      <c r="A190">
        <v>0</v>
      </c>
      <c r="B190">
        <v>0</v>
      </c>
      <c r="C190">
        <v>0</v>
      </c>
      <c r="D190">
        <v>0</v>
      </c>
      <c r="E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25">
      <c r="A191">
        <v>0</v>
      </c>
      <c r="B191">
        <v>0</v>
      </c>
      <c r="C191">
        <v>0</v>
      </c>
      <c r="D191">
        <v>0</v>
      </c>
      <c r="E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25">
      <c r="A192">
        <v>0</v>
      </c>
      <c r="B192">
        <v>0</v>
      </c>
      <c r="C192">
        <v>0</v>
      </c>
      <c r="D192">
        <v>0</v>
      </c>
      <c r="E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25">
      <c r="A193">
        <v>0</v>
      </c>
      <c r="B193">
        <v>0</v>
      </c>
      <c r="C193">
        <v>0</v>
      </c>
      <c r="D193">
        <v>0</v>
      </c>
      <c r="E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25">
      <c r="A194">
        <v>0</v>
      </c>
      <c r="B194">
        <v>0</v>
      </c>
      <c r="C194">
        <v>0</v>
      </c>
      <c r="D194">
        <v>0</v>
      </c>
      <c r="E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5">
      <c r="A195">
        <v>0</v>
      </c>
      <c r="B195">
        <v>0</v>
      </c>
      <c r="C195">
        <v>0</v>
      </c>
      <c r="D195">
        <v>0</v>
      </c>
      <c r="E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5">
      <c r="A196">
        <v>0</v>
      </c>
      <c r="B196">
        <v>0</v>
      </c>
      <c r="C196">
        <v>0</v>
      </c>
      <c r="D196">
        <v>0</v>
      </c>
      <c r="E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25">
      <c r="A197">
        <v>0</v>
      </c>
      <c r="B197">
        <v>0</v>
      </c>
      <c r="C197">
        <v>0</v>
      </c>
      <c r="D197">
        <v>0</v>
      </c>
      <c r="E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25">
      <c r="A198">
        <v>0</v>
      </c>
      <c r="B198">
        <v>0</v>
      </c>
      <c r="C198">
        <v>0</v>
      </c>
      <c r="D198">
        <v>0</v>
      </c>
      <c r="E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>
        <v>0</v>
      </c>
      <c r="B199">
        <v>0</v>
      </c>
      <c r="C199">
        <v>0</v>
      </c>
      <c r="D199">
        <v>0</v>
      </c>
      <c r="E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>
        <v>0</v>
      </c>
      <c r="B200">
        <v>0</v>
      </c>
      <c r="C200">
        <v>0</v>
      </c>
      <c r="D200">
        <v>0</v>
      </c>
      <c r="E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5">
      <c r="A201">
        <v>0</v>
      </c>
      <c r="B201">
        <v>0</v>
      </c>
      <c r="C201">
        <v>0</v>
      </c>
      <c r="D201">
        <v>0</v>
      </c>
      <c r="E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5">
      <c r="A202">
        <v>0</v>
      </c>
      <c r="B202">
        <v>0</v>
      </c>
      <c r="C202">
        <v>0</v>
      </c>
      <c r="D202">
        <v>0</v>
      </c>
      <c r="E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5">
      <c r="A203">
        <v>0</v>
      </c>
      <c r="B203">
        <v>0</v>
      </c>
      <c r="C203">
        <v>0</v>
      </c>
      <c r="D203">
        <v>0</v>
      </c>
      <c r="E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5">
      <c r="A204">
        <v>0</v>
      </c>
      <c r="B204">
        <v>0</v>
      </c>
      <c r="C204">
        <v>0</v>
      </c>
      <c r="D204">
        <v>0</v>
      </c>
      <c r="E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25">
      <c r="A205">
        <v>0</v>
      </c>
      <c r="B205">
        <v>0</v>
      </c>
      <c r="C205">
        <v>0</v>
      </c>
      <c r="D205">
        <v>0</v>
      </c>
      <c r="E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25">
      <c r="A206">
        <v>0</v>
      </c>
      <c r="B206">
        <v>0</v>
      </c>
      <c r="C206">
        <v>0</v>
      </c>
      <c r="D206">
        <v>0</v>
      </c>
      <c r="E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5">
      <c r="A207">
        <v>0</v>
      </c>
      <c r="B207">
        <v>0</v>
      </c>
      <c r="C207">
        <v>0</v>
      </c>
      <c r="D207">
        <v>0</v>
      </c>
      <c r="E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5">
      <c r="A208">
        <v>0</v>
      </c>
      <c r="B208">
        <v>0</v>
      </c>
      <c r="C208">
        <v>0</v>
      </c>
      <c r="D208">
        <v>0</v>
      </c>
      <c r="E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5">
      <c r="A209">
        <v>0</v>
      </c>
      <c r="B209">
        <v>0</v>
      </c>
      <c r="C209">
        <v>0</v>
      </c>
      <c r="D209">
        <v>0</v>
      </c>
      <c r="E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5">
      <c r="A210">
        <v>0</v>
      </c>
      <c r="B210">
        <v>0</v>
      </c>
      <c r="C210">
        <v>0</v>
      </c>
      <c r="D210">
        <v>0</v>
      </c>
      <c r="E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5">
      <c r="A211">
        <v>0</v>
      </c>
      <c r="B211">
        <v>0</v>
      </c>
      <c r="C211">
        <v>0</v>
      </c>
      <c r="D211">
        <v>0</v>
      </c>
      <c r="E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5">
      <c r="A212">
        <v>0</v>
      </c>
      <c r="B212">
        <v>0</v>
      </c>
      <c r="C212">
        <v>0</v>
      </c>
      <c r="D212">
        <v>0</v>
      </c>
      <c r="E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5">
      <c r="A213">
        <v>0</v>
      </c>
      <c r="B213">
        <v>0</v>
      </c>
      <c r="C213">
        <v>0</v>
      </c>
      <c r="D213">
        <v>0</v>
      </c>
      <c r="E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5">
      <c r="A214">
        <v>0</v>
      </c>
      <c r="B214">
        <v>0</v>
      </c>
      <c r="C214">
        <v>0</v>
      </c>
      <c r="D214">
        <v>0</v>
      </c>
      <c r="E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25">
      <c r="A215">
        <v>0</v>
      </c>
      <c r="B215">
        <v>0</v>
      </c>
      <c r="C215">
        <v>0</v>
      </c>
      <c r="D215">
        <v>0</v>
      </c>
      <c r="E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5">
      <c r="A216">
        <v>0</v>
      </c>
      <c r="B216">
        <v>0</v>
      </c>
      <c r="C216">
        <v>0</v>
      </c>
      <c r="D216">
        <v>0</v>
      </c>
      <c r="E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5">
      <c r="A217">
        <v>0</v>
      </c>
      <c r="B217">
        <v>0</v>
      </c>
      <c r="C217">
        <v>0</v>
      </c>
      <c r="D217">
        <v>0</v>
      </c>
      <c r="E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5">
      <c r="A218">
        <v>0</v>
      </c>
      <c r="B218">
        <v>0</v>
      </c>
      <c r="C218">
        <v>0</v>
      </c>
      <c r="D218">
        <v>0</v>
      </c>
      <c r="E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5">
      <c r="A219">
        <v>0</v>
      </c>
      <c r="B219">
        <v>0</v>
      </c>
      <c r="C219">
        <v>0</v>
      </c>
      <c r="D219">
        <v>0</v>
      </c>
      <c r="E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5">
      <c r="A220">
        <v>0</v>
      </c>
      <c r="B220">
        <v>0</v>
      </c>
      <c r="C220">
        <v>0</v>
      </c>
      <c r="D220">
        <v>0</v>
      </c>
      <c r="E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5">
      <c r="A221">
        <v>0</v>
      </c>
      <c r="B221">
        <v>0</v>
      </c>
      <c r="C221">
        <v>0</v>
      </c>
      <c r="D221">
        <v>0</v>
      </c>
      <c r="E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5">
      <c r="A222">
        <v>0</v>
      </c>
      <c r="B222">
        <v>0</v>
      </c>
      <c r="C222">
        <v>0</v>
      </c>
      <c r="D222">
        <v>0</v>
      </c>
      <c r="E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25">
      <c r="A223">
        <v>0</v>
      </c>
      <c r="B223">
        <v>0</v>
      </c>
      <c r="C223">
        <v>0</v>
      </c>
      <c r="D223">
        <v>0</v>
      </c>
      <c r="E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5">
      <c r="A224">
        <v>0</v>
      </c>
      <c r="B224">
        <v>0</v>
      </c>
      <c r="C224">
        <v>0</v>
      </c>
      <c r="D224">
        <v>0</v>
      </c>
      <c r="E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25">
      <c r="A225">
        <v>0</v>
      </c>
      <c r="B225">
        <v>0</v>
      </c>
      <c r="C225">
        <v>0</v>
      </c>
      <c r="D225">
        <v>0</v>
      </c>
      <c r="E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25">
      <c r="A226">
        <v>0</v>
      </c>
      <c r="B226">
        <v>0</v>
      </c>
      <c r="C226">
        <v>0</v>
      </c>
      <c r="D226">
        <v>0</v>
      </c>
      <c r="E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25">
      <c r="A227">
        <v>0</v>
      </c>
      <c r="B227">
        <v>0</v>
      </c>
      <c r="C227">
        <v>0</v>
      </c>
      <c r="D227">
        <v>0</v>
      </c>
      <c r="E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5">
      <c r="A228">
        <v>0</v>
      </c>
      <c r="B228">
        <v>0</v>
      </c>
      <c r="C228">
        <v>0</v>
      </c>
      <c r="D228">
        <v>0</v>
      </c>
      <c r="E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5">
      <c r="A229">
        <v>0</v>
      </c>
      <c r="B229">
        <v>0</v>
      </c>
      <c r="C229">
        <v>0</v>
      </c>
      <c r="D229">
        <v>0</v>
      </c>
      <c r="E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5">
      <c r="A230">
        <v>0</v>
      </c>
      <c r="B230">
        <v>0</v>
      </c>
      <c r="C230">
        <v>0</v>
      </c>
      <c r="D230">
        <v>0</v>
      </c>
      <c r="E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5">
      <c r="A231">
        <v>0</v>
      </c>
      <c r="B231">
        <v>0</v>
      </c>
      <c r="C231">
        <v>0</v>
      </c>
      <c r="D231">
        <v>0</v>
      </c>
      <c r="E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25">
      <c r="A232">
        <v>0</v>
      </c>
      <c r="B232">
        <v>0</v>
      </c>
      <c r="C232">
        <v>0</v>
      </c>
      <c r="D232">
        <v>0</v>
      </c>
      <c r="E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25">
      <c r="A233">
        <v>0</v>
      </c>
      <c r="B233">
        <v>0</v>
      </c>
      <c r="C233">
        <v>0</v>
      </c>
      <c r="D233">
        <v>0</v>
      </c>
      <c r="E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5">
      <c r="A234">
        <v>0</v>
      </c>
      <c r="B234">
        <v>0</v>
      </c>
      <c r="C234">
        <v>0</v>
      </c>
      <c r="D234">
        <v>0</v>
      </c>
      <c r="E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5">
      <c r="A235">
        <v>0</v>
      </c>
      <c r="B235">
        <v>0</v>
      </c>
      <c r="C235">
        <v>0</v>
      </c>
      <c r="D235">
        <v>0</v>
      </c>
      <c r="E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5">
      <c r="A236">
        <v>0</v>
      </c>
      <c r="B236">
        <v>0</v>
      </c>
      <c r="C236">
        <v>0</v>
      </c>
      <c r="D236">
        <v>0</v>
      </c>
      <c r="E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5">
      <c r="A237">
        <v>0</v>
      </c>
      <c r="B237">
        <v>0</v>
      </c>
      <c r="C237">
        <v>0</v>
      </c>
      <c r="D237">
        <v>0</v>
      </c>
      <c r="E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5">
      <c r="A238">
        <v>0</v>
      </c>
      <c r="B238">
        <v>0</v>
      </c>
      <c r="C238">
        <v>0</v>
      </c>
      <c r="D238">
        <v>0</v>
      </c>
      <c r="E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25">
      <c r="A239">
        <v>0</v>
      </c>
      <c r="B239">
        <v>0</v>
      </c>
      <c r="C239">
        <v>0</v>
      </c>
      <c r="D239">
        <v>0</v>
      </c>
      <c r="E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25">
      <c r="A240">
        <v>0</v>
      </c>
      <c r="B240">
        <v>0</v>
      </c>
      <c r="C240">
        <v>0</v>
      </c>
      <c r="D240">
        <v>0</v>
      </c>
      <c r="E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5">
      <c r="A241">
        <v>0</v>
      </c>
      <c r="B241">
        <v>0</v>
      </c>
      <c r="C241">
        <v>0</v>
      </c>
      <c r="D241">
        <v>0</v>
      </c>
      <c r="E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25">
      <c r="A242">
        <v>0</v>
      </c>
      <c r="B242">
        <v>0</v>
      </c>
      <c r="C242">
        <v>0</v>
      </c>
      <c r="D242">
        <v>0</v>
      </c>
      <c r="E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25">
      <c r="A243">
        <v>0</v>
      </c>
      <c r="B243">
        <v>0</v>
      </c>
      <c r="C243">
        <v>0</v>
      </c>
      <c r="D243">
        <v>0</v>
      </c>
      <c r="E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25">
      <c r="A244">
        <v>0</v>
      </c>
      <c r="B244">
        <v>0</v>
      </c>
      <c r="C244">
        <v>0</v>
      </c>
      <c r="D244">
        <v>0</v>
      </c>
      <c r="E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5">
      <c r="A245">
        <v>0</v>
      </c>
      <c r="B245">
        <v>0</v>
      </c>
      <c r="C245">
        <v>0</v>
      </c>
      <c r="D245">
        <v>0</v>
      </c>
      <c r="E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25">
      <c r="A246">
        <v>0</v>
      </c>
      <c r="B246">
        <v>0</v>
      </c>
      <c r="C246">
        <v>0</v>
      </c>
      <c r="D246">
        <v>0</v>
      </c>
      <c r="E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5">
      <c r="A247">
        <v>0</v>
      </c>
      <c r="B247">
        <v>0</v>
      </c>
      <c r="C247">
        <v>0</v>
      </c>
      <c r="D247">
        <v>0</v>
      </c>
      <c r="E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25">
      <c r="A248">
        <v>0</v>
      </c>
      <c r="B248">
        <v>0</v>
      </c>
      <c r="C248">
        <v>0</v>
      </c>
      <c r="D248">
        <v>0</v>
      </c>
      <c r="E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25">
      <c r="A249">
        <v>0</v>
      </c>
      <c r="B249">
        <v>0</v>
      </c>
      <c r="C249">
        <v>0</v>
      </c>
      <c r="D249">
        <v>0</v>
      </c>
      <c r="E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25">
      <c r="A250">
        <v>0</v>
      </c>
      <c r="B250">
        <v>0</v>
      </c>
      <c r="C250">
        <v>0</v>
      </c>
      <c r="D250">
        <v>0</v>
      </c>
      <c r="E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25">
      <c r="A251">
        <v>0</v>
      </c>
      <c r="B251">
        <v>0</v>
      </c>
      <c r="C251">
        <v>0</v>
      </c>
      <c r="D251">
        <v>0</v>
      </c>
      <c r="E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25">
      <c r="A252">
        <v>0</v>
      </c>
      <c r="B252">
        <v>0</v>
      </c>
      <c r="C252">
        <v>0</v>
      </c>
      <c r="D252">
        <v>0</v>
      </c>
      <c r="E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25">
      <c r="A253">
        <v>0</v>
      </c>
      <c r="B253">
        <v>0</v>
      </c>
      <c r="C253">
        <v>0</v>
      </c>
      <c r="D253">
        <v>0</v>
      </c>
      <c r="E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25">
      <c r="A254">
        <v>0</v>
      </c>
      <c r="B254">
        <v>0</v>
      </c>
      <c r="C254">
        <v>0</v>
      </c>
      <c r="D254">
        <v>0</v>
      </c>
      <c r="E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25">
      <c r="A255">
        <v>0</v>
      </c>
      <c r="B255">
        <v>0</v>
      </c>
      <c r="C255">
        <v>0</v>
      </c>
      <c r="D255">
        <v>0</v>
      </c>
      <c r="E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25">
      <c r="A256">
        <v>0</v>
      </c>
      <c r="B256">
        <v>0</v>
      </c>
      <c r="C256">
        <v>0</v>
      </c>
      <c r="D256">
        <v>0</v>
      </c>
      <c r="E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25">
      <c r="A257">
        <v>0</v>
      </c>
      <c r="B257">
        <v>0</v>
      </c>
      <c r="C257">
        <v>0</v>
      </c>
      <c r="D257">
        <v>0</v>
      </c>
      <c r="E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25">
      <c r="A258">
        <v>0</v>
      </c>
      <c r="B258">
        <v>0</v>
      </c>
      <c r="C258">
        <v>0</v>
      </c>
      <c r="D258">
        <v>0</v>
      </c>
      <c r="E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25">
      <c r="A259">
        <v>0</v>
      </c>
      <c r="B259">
        <v>0</v>
      </c>
      <c r="C259">
        <v>0</v>
      </c>
      <c r="D259">
        <v>0</v>
      </c>
      <c r="E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25">
      <c r="A260">
        <v>0</v>
      </c>
      <c r="B260">
        <v>0</v>
      </c>
      <c r="C260">
        <v>0</v>
      </c>
      <c r="D260">
        <v>0</v>
      </c>
      <c r="E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25">
      <c r="A261">
        <v>0</v>
      </c>
      <c r="B261">
        <v>0</v>
      </c>
      <c r="C261">
        <v>0</v>
      </c>
      <c r="D261">
        <v>0</v>
      </c>
      <c r="E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25">
      <c r="A262">
        <v>0</v>
      </c>
      <c r="B262">
        <v>0</v>
      </c>
      <c r="C262">
        <v>0</v>
      </c>
      <c r="D262">
        <v>0</v>
      </c>
      <c r="E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25">
      <c r="A263">
        <v>0</v>
      </c>
      <c r="B263">
        <v>0</v>
      </c>
      <c r="C263">
        <v>0</v>
      </c>
      <c r="D263">
        <v>0</v>
      </c>
      <c r="E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25">
      <c r="A264">
        <v>0</v>
      </c>
      <c r="B264">
        <v>0</v>
      </c>
      <c r="C264">
        <v>0</v>
      </c>
      <c r="D264">
        <v>0</v>
      </c>
      <c r="E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25">
      <c r="A265">
        <v>0</v>
      </c>
      <c r="B265">
        <v>0</v>
      </c>
      <c r="C265">
        <v>0</v>
      </c>
      <c r="D265">
        <v>0</v>
      </c>
      <c r="E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25">
      <c r="A266">
        <v>0</v>
      </c>
      <c r="B266">
        <v>0</v>
      </c>
      <c r="C266">
        <v>0</v>
      </c>
      <c r="D266">
        <v>0</v>
      </c>
      <c r="E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25">
      <c r="A267">
        <v>0</v>
      </c>
      <c r="B267">
        <v>0</v>
      </c>
      <c r="C267">
        <v>0</v>
      </c>
      <c r="D267">
        <v>0</v>
      </c>
      <c r="E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25">
      <c r="A268">
        <v>0</v>
      </c>
      <c r="B268">
        <v>0</v>
      </c>
      <c r="C268">
        <v>0</v>
      </c>
      <c r="D268">
        <v>0</v>
      </c>
      <c r="E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25">
      <c r="A269">
        <v>0</v>
      </c>
      <c r="B269">
        <v>0</v>
      </c>
      <c r="C269">
        <v>0</v>
      </c>
      <c r="D269">
        <v>0</v>
      </c>
      <c r="E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25">
      <c r="A270">
        <v>0</v>
      </c>
      <c r="B270">
        <v>0</v>
      </c>
      <c r="C270">
        <v>0</v>
      </c>
      <c r="D270">
        <v>0</v>
      </c>
      <c r="E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25">
      <c r="A271">
        <v>0</v>
      </c>
      <c r="B271">
        <v>0</v>
      </c>
      <c r="C271">
        <v>0</v>
      </c>
      <c r="D271">
        <v>0</v>
      </c>
      <c r="E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25">
      <c r="A272">
        <v>0</v>
      </c>
      <c r="B272">
        <v>0</v>
      </c>
      <c r="C272">
        <v>0</v>
      </c>
      <c r="D272">
        <v>0</v>
      </c>
      <c r="E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25">
      <c r="A273">
        <v>0</v>
      </c>
      <c r="B273">
        <v>0</v>
      </c>
      <c r="C273">
        <v>0</v>
      </c>
      <c r="D273">
        <v>0</v>
      </c>
      <c r="E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25">
      <c r="A274">
        <v>0</v>
      </c>
      <c r="B274">
        <v>0</v>
      </c>
      <c r="C274">
        <v>0</v>
      </c>
      <c r="D274">
        <v>0</v>
      </c>
      <c r="E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25">
      <c r="A275">
        <v>0</v>
      </c>
      <c r="B275">
        <v>0</v>
      </c>
      <c r="C275">
        <v>0</v>
      </c>
      <c r="D275">
        <v>0</v>
      </c>
      <c r="E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25">
      <c r="A276">
        <v>0</v>
      </c>
      <c r="B276">
        <v>0</v>
      </c>
      <c r="C276">
        <v>0</v>
      </c>
      <c r="D276">
        <v>0</v>
      </c>
      <c r="E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25">
      <c r="A277">
        <v>0</v>
      </c>
      <c r="B277">
        <v>0</v>
      </c>
      <c r="C277">
        <v>0</v>
      </c>
      <c r="D277">
        <v>0</v>
      </c>
      <c r="E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25">
      <c r="A278">
        <v>0</v>
      </c>
      <c r="B278">
        <v>0</v>
      </c>
      <c r="C278">
        <v>0</v>
      </c>
      <c r="D278">
        <v>0</v>
      </c>
      <c r="E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25">
      <c r="A279">
        <v>0</v>
      </c>
      <c r="B279">
        <v>0</v>
      </c>
      <c r="C279">
        <v>0</v>
      </c>
      <c r="D279">
        <v>0</v>
      </c>
      <c r="E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25">
      <c r="A280">
        <v>0</v>
      </c>
      <c r="B280">
        <v>0</v>
      </c>
      <c r="C280">
        <v>0</v>
      </c>
      <c r="D280">
        <v>0</v>
      </c>
      <c r="E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25">
      <c r="A281">
        <v>0</v>
      </c>
      <c r="B281">
        <v>0</v>
      </c>
      <c r="C281">
        <v>0</v>
      </c>
      <c r="D281">
        <v>0</v>
      </c>
      <c r="E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25">
      <c r="A282">
        <v>0</v>
      </c>
      <c r="B282">
        <v>0</v>
      </c>
      <c r="C282">
        <v>0</v>
      </c>
      <c r="D282">
        <v>0</v>
      </c>
      <c r="E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25">
      <c r="A283">
        <v>0</v>
      </c>
      <c r="B283">
        <v>0</v>
      </c>
      <c r="C283">
        <v>0</v>
      </c>
      <c r="D283">
        <v>0</v>
      </c>
      <c r="E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25">
      <c r="A284">
        <v>0</v>
      </c>
      <c r="B284">
        <v>0</v>
      </c>
      <c r="C284">
        <v>0</v>
      </c>
      <c r="D284">
        <v>0</v>
      </c>
      <c r="E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25">
      <c r="A285">
        <v>0</v>
      </c>
      <c r="B285">
        <v>0</v>
      </c>
      <c r="C285">
        <v>0</v>
      </c>
      <c r="D285">
        <v>0</v>
      </c>
      <c r="E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25">
      <c r="A286">
        <v>0</v>
      </c>
      <c r="B286">
        <v>0</v>
      </c>
      <c r="C286">
        <v>0</v>
      </c>
      <c r="D286">
        <v>0</v>
      </c>
      <c r="E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25">
      <c r="A287">
        <v>0</v>
      </c>
      <c r="B287">
        <v>0</v>
      </c>
      <c r="C287">
        <v>0</v>
      </c>
      <c r="D287">
        <v>0</v>
      </c>
      <c r="E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25">
      <c r="A288">
        <v>0</v>
      </c>
      <c r="B288">
        <v>0</v>
      </c>
      <c r="C288">
        <v>0</v>
      </c>
      <c r="D288">
        <v>0</v>
      </c>
      <c r="E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25">
      <c r="A289">
        <v>0</v>
      </c>
      <c r="B289">
        <v>0</v>
      </c>
      <c r="C289">
        <v>0</v>
      </c>
      <c r="D289">
        <v>0</v>
      </c>
      <c r="E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25">
      <c r="A290">
        <v>0</v>
      </c>
      <c r="B290">
        <v>0</v>
      </c>
      <c r="C290">
        <v>0</v>
      </c>
      <c r="D290">
        <v>0</v>
      </c>
      <c r="E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25">
      <c r="A291">
        <v>0</v>
      </c>
      <c r="B291">
        <v>0</v>
      </c>
      <c r="C291">
        <v>0</v>
      </c>
      <c r="D291">
        <v>0</v>
      </c>
      <c r="E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25">
      <c r="A292">
        <v>0</v>
      </c>
      <c r="B292">
        <v>0</v>
      </c>
      <c r="C292">
        <v>0</v>
      </c>
      <c r="D292">
        <v>0</v>
      </c>
      <c r="E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25">
      <c r="A293">
        <v>0</v>
      </c>
      <c r="B293">
        <v>0</v>
      </c>
      <c r="C293">
        <v>0</v>
      </c>
      <c r="D293">
        <v>0</v>
      </c>
      <c r="E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25">
      <c r="A294">
        <v>0</v>
      </c>
      <c r="B294">
        <v>0</v>
      </c>
      <c r="C294">
        <v>0</v>
      </c>
      <c r="D294">
        <v>0</v>
      </c>
      <c r="E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25">
      <c r="A295">
        <v>0</v>
      </c>
      <c r="B295">
        <v>0</v>
      </c>
      <c r="C295">
        <v>0</v>
      </c>
      <c r="D295">
        <v>0</v>
      </c>
      <c r="E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25">
      <c r="A296">
        <v>0</v>
      </c>
      <c r="B296">
        <v>0</v>
      </c>
      <c r="C296">
        <v>0</v>
      </c>
      <c r="D296">
        <v>0</v>
      </c>
      <c r="E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25">
      <c r="A297">
        <v>0</v>
      </c>
      <c r="B297">
        <v>0</v>
      </c>
      <c r="C297">
        <v>0</v>
      </c>
      <c r="D297">
        <v>0</v>
      </c>
      <c r="E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25">
      <c r="A298">
        <v>0</v>
      </c>
      <c r="B298">
        <v>0</v>
      </c>
      <c r="C298">
        <v>0</v>
      </c>
      <c r="D298">
        <v>0</v>
      </c>
      <c r="E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25">
      <c r="A299">
        <v>0</v>
      </c>
      <c r="B299">
        <v>0</v>
      </c>
      <c r="C299">
        <v>0</v>
      </c>
      <c r="D299">
        <v>0</v>
      </c>
      <c r="E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25">
      <c r="A300">
        <v>0</v>
      </c>
      <c r="B300">
        <v>0</v>
      </c>
      <c r="C300">
        <v>0</v>
      </c>
      <c r="D300">
        <v>0</v>
      </c>
      <c r="E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25">
      <c r="A301">
        <v>0</v>
      </c>
      <c r="B301">
        <v>0</v>
      </c>
      <c r="C301">
        <v>0</v>
      </c>
      <c r="D301">
        <v>0</v>
      </c>
      <c r="E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25">
      <c r="A302">
        <v>0</v>
      </c>
      <c r="B302">
        <v>0</v>
      </c>
      <c r="C302">
        <v>0</v>
      </c>
      <c r="D302">
        <v>0</v>
      </c>
      <c r="E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25">
      <c r="A303">
        <v>0</v>
      </c>
      <c r="B303">
        <v>0</v>
      </c>
      <c r="C303">
        <v>0</v>
      </c>
      <c r="D303">
        <v>0</v>
      </c>
      <c r="E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25">
      <c r="A304">
        <v>0</v>
      </c>
      <c r="B304">
        <v>0</v>
      </c>
      <c r="C304">
        <v>0</v>
      </c>
      <c r="D304">
        <v>0</v>
      </c>
      <c r="E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25">
      <c r="A305">
        <v>0</v>
      </c>
      <c r="B305">
        <v>0</v>
      </c>
      <c r="C305">
        <v>0</v>
      </c>
      <c r="D305">
        <v>0</v>
      </c>
      <c r="E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25">
      <c r="A306">
        <v>0</v>
      </c>
      <c r="B306">
        <v>0</v>
      </c>
      <c r="C306">
        <v>0</v>
      </c>
      <c r="D306">
        <v>0</v>
      </c>
      <c r="E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25">
      <c r="A307">
        <v>0</v>
      </c>
      <c r="B307">
        <v>0</v>
      </c>
      <c r="C307">
        <v>0</v>
      </c>
      <c r="D307">
        <v>0</v>
      </c>
      <c r="E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25">
      <c r="A308">
        <v>0</v>
      </c>
      <c r="B308">
        <v>0</v>
      </c>
      <c r="C308">
        <v>0</v>
      </c>
      <c r="D308">
        <v>0</v>
      </c>
      <c r="E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25">
      <c r="A309">
        <v>0</v>
      </c>
      <c r="B309">
        <v>0</v>
      </c>
      <c r="C309">
        <v>0</v>
      </c>
      <c r="D309">
        <v>0</v>
      </c>
      <c r="E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25">
      <c r="A310">
        <v>0</v>
      </c>
      <c r="B310">
        <v>0</v>
      </c>
      <c r="C310">
        <v>0</v>
      </c>
      <c r="D310">
        <v>0</v>
      </c>
      <c r="E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25">
      <c r="A311">
        <v>0</v>
      </c>
      <c r="B311">
        <v>0</v>
      </c>
      <c r="C311">
        <v>0</v>
      </c>
      <c r="D311">
        <v>0</v>
      </c>
      <c r="E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25">
      <c r="A312">
        <v>0</v>
      </c>
      <c r="B312">
        <v>0</v>
      </c>
      <c r="C312">
        <v>0</v>
      </c>
      <c r="D312">
        <v>0</v>
      </c>
      <c r="E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25">
      <c r="A313">
        <v>0</v>
      </c>
      <c r="B313">
        <v>0</v>
      </c>
      <c r="C313">
        <v>0</v>
      </c>
      <c r="D313">
        <v>0</v>
      </c>
      <c r="E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25">
      <c r="A314">
        <v>0</v>
      </c>
      <c r="B314">
        <v>0</v>
      </c>
      <c r="C314">
        <v>0</v>
      </c>
      <c r="D314">
        <v>0</v>
      </c>
      <c r="E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25">
      <c r="A315">
        <v>0</v>
      </c>
      <c r="B315">
        <v>0</v>
      </c>
      <c r="C315">
        <v>0</v>
      </c>
      <c r="D315">
        <v>0</v>
      </c>
      <c r="E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25">
      <c r="A316">
        <v>0</v>
      </c>
      <c r="B316">
        <v>0</v>
      </c>
      <c r="C316">
        <v>0</v>
      </c>
      <c r="D316">
        <v>0</v>
      </c>
      <c r="E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25">
      <c r="A317">
        <v>0</v>
      </c>
      <c r="B317">
        <v>0</v>
      </c>
      <c r="C317">
        <v>0</v>
      </c>
      <c r="D317">
        <v>0</v>
      </c>
      <c r="E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25">
      <c r="A318">
        <v>0</v>
      </c>
      <c r="B318">
        <v>0</v>
      </c>
      <c r="C318">
        <v>0</v>
      </c>
      <c r="D318">
        <v>0</v>
      </c>
      <c r="E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25">
      <c r="A319">
        <v>0</v>
      </c>
      <c r="B319">
        <v>0</v>
      </c>
      <c r="C319">
        <v>0</v>
      </c>
      <c r="D319">
        <v>0</v>
      </c>
      <c r="E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25">
      <c r="A320">
        <v>0</v>
      </c>
      <c r="B320">
        <v>0</v>
      </c>
      <c r="C320">
        <v>0</v>
      </c>
      <c r="D320">
        <v>0</v>
      </c>
      <c r="E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25">
      <c r="A321">
        <v>0</v>
      </c>
      <c r="B321">
        <v>0</v>
      </c>
      <c r="C321">
        <v>0</v>
      </c>
      <c r="D321">
        <v>0</v>
      </c>
      <c r="E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25">
      <c r="A322">
        <v>0</v>
      </c>
      <c r="B322">
        <v>0</v>
      </c>
      <c r="C322">
        <v>0</v>
      </c>
      <c r="D322">
        <v>0</v>
      </c>
      <c r="E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25">
      <c r="A323">
        <v>0</v>
      </c>
      <c r="B323">
        <v>0</v>
      </c>
      <c r="C323">
        <v>0</v>
      </c>
      <c r="D323">
        <v>0</v>
      </c>
      <c r="E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25">
      <c r="A324">
        <v>0</v>
      </c>
      <c r="B324">
        <v>0</v>
      </c>
      <c r="C324">
        <v>0</v>
      </c>
      <c r="D324">
        <v>0</v>
      </c>
      <c r="E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25">
      <c r="A325">
        <v>0</v>
      </c>
      <c r="B325">
        <v>0</v>
      </c>
      <c r="C325">
        <v>0</v>
      </c>
      <c r="D325">
        <v>0</v>
      </c>
      <c r="E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25">
      <c r="A326">
        <v>0</v>
      </c>
      <c r="B326">
        <v>0</v>
      </c>
      <c r="C326">
        <v>0</v>
      </c>
      <c r="D326">
        <v>0</v>
      </c>
      <c r="E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25">
      <c r="A327">
        <v>0</v>
      </c>
      <c r="B327">
        <v>0</v>
      </c>
      <c r="C327">
        <v>0</v>
      </c>
      <c r="D327">
        <v>0</v>
      </c>
      <c r="E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25">
      <c r="A328">
        <v>0</v>
      </c>
      <c r="B328">
        <v>0</v>
      </c>
      <c r="C328">
        <v>0</v>
      </c>
      <c r="D328">
        <v>0</v>
      </c>
      <c r="E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25">
      <c r="A329">
        <v>0</v>
      </c>
      <c r="B329">
        <v>0</v>
      </c>
      <c r="C329">
        <v>0</v>
      </c>
      <c r="D329">
        <v>0</v>
      </c>
      <c r="E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25">
      <c r="A330">
        <v>0</v>
      </c>
      <c r="B330">
        <v>0</v>
      </c>
      <c r="C330">
        <v>0</v>
      </c>
      <c r="D330">
        <v>0</v>
      </c>
      <c r="E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25">
      <c r="A331">
        <v>0</v>
      </c>
      <c r="B331">
        <v>0</v>
      </c>
      <c r="C331">
        <v>0</v>
      </c>
      <c r="D331">
        <v>0</v>
      </c>
      <c r="E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25">
      <c r="A332">
        <v>0</v>
      </c>
      <c r="B332">
        <v>0</v>
      </c>
      <c r="C332">
        <v>0</v>
      </c>
      <c r="D332">
        <v>0</v>
      </c>
      <c r="E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25">
      <c r="A333">
        <v>0</v>
      </c>
      <c r="B333">
        <v>0</v>
      </c>
      <c r="C333">
        <v>0</v>
      </c>
      <c r="D333">
        <v>0</v>
      </c>
      <c r="E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25">
      <c r="A334">
        <v>0</v>
      </c>
      <c r="B334">
        <v>0</v>
      </c>
      <c r="C334">
        <v>0</v>
      </c>
      <c r="D334">
        <v>0</v>
      </c>
      <c r="E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25">
      <c r="A335">
        <v>0</v>
      </c>
      <c r="B335">
        <v>0</v>
      </c>
      <c r="C335">
        <v>0</v>
      </c>
      <c r="D335">
        <v>0</v>
      </c>
      <c r="E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25">
      <c r="A336">
        <v>0</v>
      </c>
      <c r="B336">
        <v>0</v>
      </c>
      <c r="C336">
        <v>0</v>
      </c>
      <c r="D336">
        <v>0</v>
      </c>
      <c r="E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25">
      <c r="A337">
        <v>0</v>
      </c>
      <c r="B337">
        <v>0</v>
      </c>
      <c r="C337">
        <v>0</v>
      </c>
      <c r="D337">
        <v>0</v>
      </c>
      <c r="E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25">
      <c r="A338">
        <v>0</v>
      </c>
      <c r="B338">
        <v>0</v>
      </c>
      <c r="C338">
        <v>0</v>
      </c>
      <c r="D338">
        <v>0</v>
      </c>
      <c r="E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25">
      <c r="A339">
        <v>0</v>
      </c>
      <c r="B339">
        <v>0</v>
      </c>
      <c r="C339">
        <v>0</v>
      </c>
      <c r="D339">
        <v>0</v>
      </c>
      <c r="E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25">
      <c r="A340">
        <v>0</v>
      </c>
      <c r="B340">
        <v>0</v>
      </c>
      <c r="C340">
        <v>0</v>
      </c>
      <c r="D340">
        <v>0</v>
      </c>
      <c r="E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25">
      <c r="A341">
        <v>0</v>
      </c>
      <c r="B341">
        <v>0</v>
      </c>
      <c r="C341">
        <v>0</v>
      </c>
      <c r="D341">
        <v>0</v>
      </c>
      <c r="E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25">
      <c r="A342">
        <v>0</v>
      </c>
      <c r="B342">
        <v>0</v>
      </c>
      <c r="C342">
        <v>0</v>
      </c>
      <c r="D342">
        <v>0</v>
      </c>
      <c r="E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25">
      <c r="A343">
        <v>0</v>
      </c>
      <c r="B343">
        <v>0</v>
      </c>
      <c r="C343">
        <v>0</v>
      </c>
      <c r="D343">
        <v>0</v>
      </c>
      <c r="E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25">
      <c r="A344">
        <v>0</v>
      </c>
      <c r="B344">
        <v>0</v>
      </c>
      <c r="C344">
        <v>0</v>
      </c>
      <c r="D344">
        <v>0</v>
      </c>
      <c r="E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25">
      <c r="A345">
        <v>0</v>
      </c>
      <c r="B345">
        <v>0</v>
      </c>
      <c r="C345">
        <v>0</v>
      </c>
      <c r="D345">
        <v>0</v>
      </c>
      <c r="E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25">
      <c r="A346">
        <v>0</v>
      </c>
      <c r="B346">
        <v>0</v>
      </c>
      <c r="C346">
        <v>0</v>
      </c>
      <c r="D346">
        <v>0</v>
      </c>
      <c r="E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25">
      <c r="A347">
        <v>0</v>
      </c>
      <c r="B347">
        <v>0</v>
      </c>
      <c r="C347">
        <v>0</v>
      </c>
      <c r="D347">
        <v>0</v>
      </c>
      <c r="E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25">
      <c r="A348">
        <v>0</v>
      </c>
      <c r="B348">
        <v>0</v>
      </c>
      <c r="C348">
        <v>0</v>
      </c>
      <c r="D348">
        <v>0</v>
      </c>
      <c r="E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25">
      <c r="A349">
        <v>0</v>
      </c>
      <c r="B349">
        <v>0</v>
      </c>
      <c r="C349">
        <v>0</v>
      </c>
      <c r="D349">
        <v>0</v>
      </c>
      <c r="E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25">
      <c r="A350">
        <v>0</v>
      </c>
      <c r="B350">
        <v>0</v>
      </c>
      <c r="C350">
        <v>0</v>
      </c>
      <c r="D350">
        <v>0</v>
      </c>
      <c r="E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25">
      <c r="A351">
        <v>0</v>
      </c>
      <c r="B351">
        <v>0</v>
      </c>
      <c r="C351">
        <v>0</v>
      </c>
      <c r="D351">
        <v>0</v>
      </c>
      <c r="E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25">
      <c r="A352">
        <v>0</v>
      </c>
      <c r="B352">
        <v>0</v>
      </c>
      <c r="C352">
        <v>0</v>
      </c>
      <c r="D352">
        <v>0</v>
      </c>
      <c r="E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25">
      <c r="A353">
        <v>0</v>
      </c>
      <c r="B353">
        <v>0</v>
      </c>
      <c r="C353">
        <v>0</v>
      </c>
      <c r="D353">
        <v>0</v>
      </c>
      <c r="E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25">
      <c r="A354">
        <v>0</v>
      </c>
      <c r="B354">
        <v>0</v>
      </c>
      <c r="C354">
        <v>0</v>
      </c>
      <c r="D354">
        <v>0</v>
      </c>
      <c r="E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25">
      <c r="A355">
        <v>0</v>
      </c>
      <c r="B355">
        <v>0</v>
      </c>
      <c r="C355">
        <v>0</v>
      </c>
      <c r="D355">
        <v>0</v>
      </c>
      <c r="E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25">
      <c r="A356">
        <v>0</v>
      </c>
      <c r="B356">
        <v>0</v>
      </c>
      <c r="C356">
        <v>0</v>
      </c>
      <c r="D356">
        <v>0</v>
      </c>
      <c r="E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25">
      <c r="A357">
        <v>0</v>
      </c>
      <c r="B357">
        <v>0</v>
      </c>
      <c r="C357">
        <v>0</v>
      </c>
      <c r="D357">
        <v>0</v>
      </c>
      <c r="E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25">
      <c r="A358">
        <v>0</v>
      </c>
      <c r="B358">
        <v>0</v>
      </c>
      <c r="C358">
        <v>0</v>
      </c>
      <c r="D358">
        <v>0</v>
      </c>
      <c r="E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25">
      <c r="A359">
        <v>0</v>
      </c>
      <c r="B359">
        <v>0</v>
      </c>
      <c r="C359">
        <v>0</v>
      </c>
      <c r="D359">
        <v>0</v>
      </c>
      <c r="E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25">
      <c r="A360">
        <v>0</v>
      </c>
      <c r="B360">
        <v>0</v>
      </c>
      <c r="C360">
        <v>0</v>
      </c>
      <c r="D360">
        <v>0</v>
      </c>
      <c r="E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25">
      <c r="A361">
        <v>0</v>
      </c>
      <c r="B361">
        <v>0</v>
      </c>
      <c r="C361">
        <v>0</v>
      </c>
      <c r="D361">
        <v>0</v>
      </c>
      <c r="E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25">
      <c r="A362">
        <v>0</v>
      </c>
      <c r="B362">
        <v>0</v>
      </c>
      <c r="C362">
        <v>0</v>
      </c>
      <c r="D362">
        <v>0</v>
      </c>
      <c r="E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25">
      <c r="A363">
        <v>0</v>
      </c>
      <c r="B363">
        <v>0</v>
      </c>
      <c r="C363">
        <v>0</v>
      </c>
      <c r="D363">
        <v>0</v>
      </c>
      <c r="E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25">
      <c r="A364">
        <v>0</v>
      </c>
      <c r="B364">
        <v>0</v>
      </c>
      <c r="C364">
        <v>0</v>
      </c>
      <c r="D364">
        <v>0</v>
      </c>
      <c r="E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25">
      <c r="A365">
        <v>0</v>
      </c>
      <c r="B365">
        <v>0</v>
      </c>
      <c r="C365">
        <v>0</v>
      </c>
      <c r="D365">
        <v>0</v>
      </c>
      <c r="E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25">
      <c r="A366">
        <v>0</v>
      </c>
      <c r="B366">
        <v>0</v>
      </c>
      <c r="C366">
        <v>0</v>
      </c>
      <c r="D366">
        <v>0</v>
      </c>
      <c r="E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25">
      <c r="A367">
        <v>0</v>
      </c>
      <c r="B367">
        <v>0</v>
      </c>
      <c r="C367">
        <v>0</v>
      </c>
      <c r="D367">
        <v>0</v>
      </c>
      <c r="E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25">
      <c r="A368">
        <v>0</v>
      </c>
      <c r="B368">
        <v>0</v>
      </c>
      <c r="C368">
        <v>0</v>
      </c>
      <c r="D368">
        <v>0</v>
      </c>
      <c r="E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25">
      <c r="A369">
        <v>0</v>
      </c>
      <c r="B369">
        <v>0</v>
      </c>
      <c r="C369">
        <v>0</v>
      </c>
      <c r="D369">
        <v>0</v>
      </c>
      <c r="E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25">
      <c r="A370">
        <v>0</v>
      </c>
      <c r="B370">
        <v>0</v>
      </c>
      <c r="C370">
        <v>0</v>
      </c>
      <c r="D370">
        <v>0</v>
      </c>
      <c r="E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25">
      <c r="A371">
        <v>0</v>
      </c>
      <c r="B371">
        <v>0</v>
      </c>
      <c r="C371">
        <v>0</v>
      </c>
      <c r="D371">
        <v>0</v>
      </c>
      <c r="E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25">
      <c r="A372">
        <v>0</v>
      </c>
      <c r="B372">
        <v>0</v>
      </c>
      <c r="C372">
        <v>0</v>
      </c>
      <c r="D372">
        <v>0</v>
      </c>
      <c r="E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25">
      <c r="A373">
        <v>0</v>
      </c>
      <c r="B373">
        <v>0</v>
      </c>
      <c r="C373">
        <v>0</v>
      </c>
      <c r="D373">
        <v>0</v>
      </c>
      <c r="E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25">
      <c r="A374">
        <v>0</v>
      </c>
      <c r="B374">
        <v>0</v>
      </c>
      <c r="C374">
        <v>0</v>
      </c>
      <c r="D374">
        <v>0</v>
      </c>
      <c r="E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25">
      <c r="A375">
        <v>0</v>
      </c>
      <c r="B375">
        <v>0</v>
      </c>
      <c r="C375">
        <v>0</v>
      </c>
      <c r="D375">
        <v>0</v>
      </c>
      <c r="E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25">
      <c r="A376">
        <v>0</v>
      </c>
      <c r="B376">
        <v>0</v>
      </c>
      <c r="C376">
        <v>0</v>
      </c>
      <c r="D376">
        <v>0</v>
      </c>
      <c r="E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25">
      <c r="A377">
        <v>0</v>
      </c>
      <c r="B377">
        <v>0</v>
      </c>
      <c r="C377">
        <v>0</v>
      </c>
      <c r="D377">
        <v>0</v>
      </c>
      <c r="E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25">
      <c r="A378">
        <v>0</v>
      </c>
      <c r="B378">
        <v>0</v>
      </c>
      <c r="C378">
        <v>0</v>
      </c>
      <c r="D378">
        <v>0</v>
      </c>
      <c r="E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25">
      <c r="A379">
        <v>0</v>
      </c>
      <c r="B379">
        <v>0</v>
      </c>
      <c r="C379">
        <v>0</v>
      </c>
      <c r="D379">
        <v>0</v>
      </c>
      <c r="E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25">
      <c r="A380">
        <v>0</v>
      </c>
      <c r="B380">
        <v>0</v>
      </c>
      <c r="C380">
        <v>0</v>
      </c>
      <c r="D380">
        <v>0</v>
      </c>
      <c r="E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25">
      <c r="A381">
        <v>0</v>
      </c>
      <c r="B381">
        <v>0</v>
      </c>
      <c r="C381">
        <v>0</v>
      </c>
      <c r="D381">
        <v>0</v>
      </c>
      <c r="E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25">
      <c r="A382">
        <v>0</v>
      </c>
      <c r="B382">
        <v>0</v>
      </c>
      <c r="C382">
        <v>0</v>
      </c>
      <c r="D382">
        <v>0</v>
      </c>
      <c r="E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25">
      <c r="A383">
        <v>0</v>
      </c>
      <c r="B383">
        <v>0</v>
      </c>
      <c r="C383">
        <v>0</v>
      </c>
      <c r="D383">
        <v>0</v>
      </c>
      <c r="E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25">
      <c r="A384">
        <v>0</v>
      </c>
      <c r="B384">
        <v>0</v>
      </c>
      <c r="C384">
        <v>0</v>
      </c>
      <c r="D384">
        <v>0</v>
      </c>
      <c r="E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25">
      <c r="A385">
        <v>0</v>
      </c>
      <c r="B385">
        <v>0</v>
      </c>
      <c r="C385">
        <v>0</v>
      </c>
      <c r="D385">
        <v>0</v>
      </c>
      <c r="E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25">
      <c r="A386">
        <v>0</v>
      </c>
      <c r="B386">
        <v>0</v>
      </c>
      <c r="C386">
        <v>0</v>
      </c>
      <c r="D386">
        <v>0</v>
      </c>
      <c r="E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25">
      <c r="A387">
        <v>0</v>
      </c>
      <c r="B387">
        <v>0</v>
      </c>
      <c r="C387">
        <v>0</v>
      </c>
      <c r="D387">
        <v>0</v>
      </c>
      <c r="E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25">
      <c r="A388">
        <v>0</v>
      </c>
      <c r="B388">
        <v>0</v>
      </c>
      <c r="C388">
        <v>0</v>
      </c>
      <c r="D388">
        <v>0</v>
      </c>
      <c r="E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25">
      <c r="A389">
        <v>0</v>
      </c>
      <c r="B389">
        <v>0</v>
      </c>
      <c r="C389">
        <v>0</v>
      </c>
      <c r="D389">
        <v>0</v>
      </c>
      <c r="E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25">
      <c r="A390">
        <v>0</v>
      </c>
      <c r="B390">
        <v>0</v>
      </c>
      <c r="C390">
        <v>0</v>
      </c>
      <c r="D390">
        <v>0</v>
      </c>
      <c r="E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25">
      <c r="A391">
        <v>0</v>
      </c>
      <c r="B391">
        <v>0</v>
      </c>
      <c r="C391">
        <v>0</v>
      </c>
      <c r="D391">
        <v>0</v>
      </c>
      <c r="E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25">
      <c r="A392">
        <v>0</v>
      </c>
      <c r="B392">
        <v>0</v>
      </c>
      <c r="C392">
        <v>0</v>
      </c>
      <c r="D392">
        <v>0</v>
      </c>
      <c r="E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25">
      <c r="A393">
        <v>0</v>
      </c>
      <c r="B393">
        <v>0</v>
      </c>
      <c r="C393">
        <v>0</v>
      </c>
      <c r="D393">
        <v>0</v>
      </c>
      <c r="E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25">
      <c r="A394">
        <v>0</v>
      </c>
      <c r="B394">
        <v>0</v>
      </c>
      <c r="C394">
        <v>0</v>
      </c>
      <c r="D394">
        <v>0</v>
      </c>
      <c r="E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25">
      <c r="A395">
        <v>0</v>
      </c>
      <c r="B395">
        <v>0</v>
      </c>
      <c r="C395">
        <v>0</v>
      </c>
      <c r="D395">
        <v>0</v>
      </c>
      <c r="E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25">
      <c r="A396">
        <v>0</v>
      </c>
      <c r="B396">
        <v>0</v>
      </c>
      <c r="C396">
        <v>0</v>
      </c>
      <c r="D396">
        <v>0</v>
      </c>
      <c r="E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25">
      <c r="A397">
        <v>0</v>
      </c>
      <c r="B397">
        <v>0</v>
      </c>
      <c r="C397">
        <v>0</v>
      </c>
      <c r="D397">
        <v>0</v>
      </c>
      <c r="E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25">
      <c r="A398">
        <v>0</v>
      </c>
      <c r="B398">
        <v>0</v>
      </c>
      <c r="C398">
        <v>0</v>
      </c>
      <c r="D398">
        <v>0</v>
      </c>
      <c r="E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25">
      <c r="A399">
        <v>0</v>
      </c>
      <c r="B399">
        <v>0</v>
      </c>
      <c r="C399">
        <v>0</v>
      </c>
      <c r="D399">
        <v>0</v>
      </c>
      <c r="E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25">
      <c r="A400">
        <v>0</v>
      </c>
      <c r="B400">
        <v>0</v>
      </c>
      <c r="C400">
        <v>0</v>
      </c>
      <c r="D400">
        <v>0</v>
      </c>
      <c r="E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25">
      <c r="A401">
        <v>0</v>
      </c>
      <c r="B401">
        <v>0</v>
      </c>
      <c r="C401">
        <v>0</v>
      </c>
      <c r="D401">
        <v>0</v>
      </c>
      <c r="E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25">
      <c r="A402">
        <v>0</v>
      </c>
      <c r="B402">
        <v>0</v>
      </c>
      <c r="C402">
        <v>0</v>
      </c>
      <c r="D402">
        <v>0</v>
      </c>
      <c r="E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25">
      <c r="A403">
        <v>0</v>
      </c>
      <c r="B403">
        <v>0</v>
      </c>
      <c r="C403">
        <v>0</v>
      </c>
      <c r="D403">
        <v>0</v>
      </c>
      <c r="E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25">
      <c r="A404">
        <v>0</v>
      </c>
      <c r="B404">
        <v>0</v>
      </c>
      <c r="C404">
        <v>0</v>
      </c>
      <c r="D404">
        <v>0</v>
      </c>
      <c r="E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</sheetData>
  <mergeCells count="2">
    <mergeCell ref="A1:E1"/>
    <mergeCell ref="G1:K1"/>
  </mergeCells>
  <conditionalFormatting sqref="E1:E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8D06-F577-4593-A8E6-E54DA18406D5}">
  <dimension ref="A1:Y308"/>
  <sheetViews>
    <sheetView tabSelected="1" zoomScale="85" zoomScaleNormal="85" workbookViewId="0">
      <selection activeCell="AN47" sqref="AN47"/>
    </sheetView>
  </sheetViews>
  <sheetFormatPr defaultRowHeight="15" x14ac:dyDescent="0.25"/>
  <cols>
    <col min="5" max="5" width="16.42578125" bestFit="1" customWidth="1"/>
    <col min="11" max="11" width="16.42578125" bestFit="1" customWidth="1"/>
  </cols>
  <sheetData>
    <row r="1" spans="1:25" s="5" customFormat="1" x14ac:dyDescent="0.25">
      <c r="A1" s="88" t="s">
        <v>181</v>
      </c>
      <c r="B1" s="88"/>
      <c r="C1" s="88"/>
      <c r="D1" s="88"/>
      <c r="E1" s="88"/>
      <c r="F1"/>
      <c r="G1" s="88" t="s">
        <v>176</v>
      </c>
      <c r="H1" s="88"/>
      <c r="I1" s="88"/>
      <c r="J1" s="88"/>
      <c r="K1" s="88"/>
    </row>
    <row r="2" spans="1:25" s="5" customFormat="1" x14ac:dyDescent="0.25">
      <c r="A2" s="56">
        <f>INDEX(A4:A500,MATCH(MAX(E4:E500),E4:E500,0))</f>
        <v>13440</v>
      </c>
      <c r="B2" s="56">
        <f>INDEX(B4:B500,MATCH(MAX(E4:E500),E4:E500,0))</f>
        <v>64</v>
      </c>
      <c r="C2" s="56">
        <f>INDEX(C4:C500,MATCH(MAX(E4:E500),E4:E500,0))</f>
        <v>2</v>
      </c>
      <c r="D2" s="56">
        <f>INDEX(D4:D500,MATCH(MAX(E4:E500),E4:E500,0))</f>
        <v>2</v>
      </c>
      <c r="E2" s="54">
        <f>MAX(E4:E500)</f>
        <v>1.0367600000000001</v>
      </c>
      <c r="F2"/>
      <c r="G2" s="56">
        <f>INDEX(G4:G500,MATCH(MAX(K4:K500),K4:K500,0))</f>
        <v>13440</v>
      </c>
      <c r="H2" s="56">
        <f>INDEX(H4:H500,MATCH(MAX(K4:K500),K4:K500,0))</f>
        <v>64</v>
      </c>
      <c r="I2" s="56">
        <f>INDEX(I4:I500,MATCH(MAX(K4:K500),K4:K500,0))</f>
        <v>2</v>
      </c>
      <c r="J2" s="56">
        <f>INDEX(J4:J500,MATCH(MAX(K4:K500),K4:K500,0))</f>
        <v>2</v>
      </c>
      <c r="K2" s="54">
        <f>MAX(K4:K500)</f>
        <v>0.83976600000000001</v>
      </c>
    </row>
    <row r="3" spans="1:25" s="5" customFormat="1" x14ac:dyDescent="0.25">
      <c r="A3" s="51" t="s">
        <v>160</v>
      </c>
      <c r="B3" s="51" t="s">
        <v>62</v>
      </c>
      <c r="C3" s="51" t="s">
        <v>63</v>
      </c>
      <c r="D3" s="56" t="s">
        <v>64</v>
      </c>
      <c r="E3" s="51" t="s">
        <v>156</v>
      </c>
      <c r="F3"/>
      <c r="G3" s="51" t="s">
        <v>160</v>
      </c>
      <c r="H3" s="51" t="s">
        <v>62</v>
      </c>
      <c r="I3" s="51" t="s">
        <v>63</v>
      </c>
      <c r="J3" s="56" t="s">
        <v>64</v>
      </c>
      <c r="K3" s="51" t="s">
        <v>156</v>
      </c>
      <c r="N3" s="5" t="s">
        <v>160</v>
      </c>
      <c r="O3" s="5" t="s">
        <v>62</v>
      </c>
      <c r="P3" s="5" t="s">
        <v>63</v>
      </c>
      <c r="Q3" s="5" t="s">
        <v>64</v>
      </c>
      <c r="R3" s="5" t="s">
        <v>156</v>
      </c>
      <c r="U3" s="5" t="s">
        <v>160</v>
      </c>
      <c r="V3" s="5" t="s">
        <v>62</v>
      </c>
      <c r="W3" s="5" t="s">
        <v>63</v>
      </c>
      <c r="X3" s="5" t="s">
        <v>64</v>
      </c>
      <c r="Y3" s="5" t="s">
        <v>156</v>
      </c>
    </row>
    <row r="4" spans="1:25" x14ac:dyDescent="0.25">
      <c r="A4" cm="1">
        <f t="array" ref="A4:E143">_xlfn.CHOOSECOLS(_xlfn._xlws.FILTER('4 node, params, RAW'!A4:W335,'4 node, params, RAW'!A4:A335=0),3,4,5,6,23)</f>
        <v>12672</v>
      </c>
      <c r="B4">
        <v>32</v>
      </c>
      <c r="C4">
        <v>1</v>
      </c>
      <c r="D4">
        <v>4</v>
      </c>
      <c r="E4">
        <v>0.947932</v>
      </c>
      <c r="G4" cm="1">
        <f t="array" ref="G4:K308">_xlfn.CHOOSECOLS(_xlfn._xlws.FILTER('4 node, params, RAW'!Y4:AU500,'4 node, params, RAW'!Y4:Y500=0),3,4,5,6,23)</f>
        <v>12672</v>
      </c>
      <c r="H4">
        <v>32</v>
      </c>
      <c r="I4">
        <v>1</v>
      </c>
      <c r="J4">
        <v>4</v>
      </c>
      <c r="K4">
        <v>0.80168800000000007</v>
      </c>
      <c r="M4">
        <v>12672</v>
      </c>
      <c r="N4">
        <f>CHOOSE(IF(ABS(M4-12672) &lt;= ABS(M4-13440),IF(ABS(M4-12672) &lt;= ABS(M4-14208),1,3),IF(ABS(M4-13440) &lt;= ABS(M4-14208),2,3)),12672,13440,14208)</f>
        <v>12672</v>
      </c>
      <c r="O4">
        <v>32</v>
      </c>
      <c r="P4">
        <v>1</v>
      </c>
      <c r="Q4">
        <v>4</v>
      </c>
      <c r="R4">
        <v>0.947932</v>
      </c>
      <c r="T4">
        <v>12672</v>
      </c>
      <c r="U4">
        <f>CHOOSE(IF(ABS(T4-12672) &lt;= ABS(T4-13440),IF(ABS(T4-12672) &lt;= ABS(T4-14208),1,3),IF(ABS(T4-13440) &lt;= ABS(T4-14208),2,3)),12672,13440,14208)</f>
        <v>12672</v>
      </c>
      <c r="V4">
        <v>32</v>
      </c>
      <c r="W4">
        <v>1</v>
      </c>
      <c r="X4">
        <v>4</v>
      </c>
      <c r="Y4">
        <v>0.80168800000000007</v>
      </c>
    </row>
    <row r="5" spans="1:25" x14ac:dyDescent="0.25">
      <c r="A5">
        <v>13440</v>
      </c>
      <c r="B5">
        <v>32</v>
      </c>
      <c r="C5">
        <v>1</v>
      </c>
      <c r="D5">
        <v>4</v>
      </c>
      <c r="E5">
        <v>0.96225799999999995</v>
      </c>
      <c r="G5">
        <v>13440</v>
      </c>
      <c r="H5">
        <v>32</v>
      </c>
      <c r="I5">
        <v>1</v>
      </c>
      <c r="J5">
        <v>4</v>
      </c>
      <c r="K5">
        <v>0.80911000000000011</v>
      </c>
      <c r="M5">
        <v>13440</v>
      </c>
      <c r="N5">
        <f t="shared" ref="N5:N51" si="0">CHOOSE(IF(ABS(M5-12672) &lt;= ABS(M5-13440),IF(ABS(M5-12672) &lt;= ABS(M5-14208),1,3),IF(ABS(M5-13440) &lt;= ABS(M5-14208),2,3)),12672,13440,14208)</f>
        <v>13440</v>
      </c>
      <c r="O5">
        <v>32</v>
      </c>
      <c r="P5">
        <v>1</v>
      </c>
      <c r="Q5">
        <v>4</v>
      </c>
      <c r="R5">
        <v>0.96225799999999995</v>
      </c>
      <c r="T5">
        <v>13440</v>
      </c>
      <c r="U5">
        <f t="shared" ref="U5:U51" si="1">CHOOSE(IF(ABS(T5-12672) &lt;= ABS(T5-13440),IF(ABS(T5-12672) &lt;= ABS(T5-14208),1,3),IF(ABS(T5-13440) &lt;= ABS(T5-14208),2,3)),12672,13440,14208)</f>
        <v>13440</v>
      </c>
      <c r="V5">
        <v>32</v>
      </c>
      <c r="W5">
        <v>1</v>
      </c>
      <c r="X5">
        <v>4</v>
      </c>
      <c r="Y5">
        <v>0.80911000000000011</v>
      </c>
    </row>
    <row r="6" spans="1:25" x14ac:dyDescent="0.25">
      <c r="A6">
        <v>14208</v>
      </c>
      <c r="B6">
        <v>32</v>
      </c>
      <c r="C6">
        <v>1</v>
      </c>
      <c r="D6">
        <v>4</v>
      </c>
      <c r="E6">
        <v>0.9627420000000001</v>
      </c>
      <c r="G6">
        <v>14208</v>
      </c>
      <c r="H6">
        <v>32</v>
      </c>
      <c r="I6">
        <v>1</v>
      </c>
      <c r="J6">
        <v>4</v>
      </c>
      <c r="K6">
        <v>0.81315199999999999</v>
      </c>
      <c r="M6">
        <v>14208</v>
      </c>
      <c r="N6">
        <f t="shared" si="0"/>
        <v>14208</v>
      </c>
      <c r="O6">
        <v>32</v>
      </c>
      <c r="P6">
        <v>1</v>
      </c>
      <c r="Q6">
        <v>4</v>
      </c>
      <c r="R6">
        <v>0.9627420000000001</v>
      </c>
      <c r="T6">
        <v>14208</v>
      </c>
      <c r="U6">
        <f t="shared" si="1"/>
        <v>14208</v>
      </c>
      <c r="V6">
        <v>32</v>
      </c>
      <c r="W6">
        <v>1</v>
      </c>
      <c r="X6">
        <v>4</v>
      </c>
      <c r="Y6">
        <v>0.81315199999999999</v>
      </c>
    </row>
    <row r="7" spans="1:25" x14ac:dyDescent="0.25">
      <c r="A7">
        <v>12672</v>
      </c>
      <c r="B7">
        <v>32</v>
      </c>
      <c r="C7">
        <v>2</v>
      </c>
      <c r="D7">
        <v>2</v>
      </c>
      <c r="E7">
        <v>0.97878000000000009</v>
      </c>
      <c r="G7">
        <v>12672</v>
      </c>
      <c r="H7">
        <v>32</v>
      </c>
      <c r="I7">
        <v>2</v>
      </c>
      <c r="J7">
        <v>2</v>
      </c>
      <c r="K7">
        <v>0.82677200000000006</v>
      </c>
      <c r="M7">
        <v>12672</v>
      </c>
      <c r="N7">
        <f t="shared" si="0"/>
        <v>12672</v>
      </c>
      <c r="O7">
        <v>32</v>
      </c>
      <c r="P7">
        <v>2</v>
      </c>
      <c r="Q7">
        <v>2</v>
      </c>
      <c r="R7">
        <v>0.97878000000000009</v>
      </c>
      <c r="T7">
        <v>12672</v>
      </c>
      <c r="U7">
        <f t="shared" si="1"/>
        <v>12672</v>
      </c>
      <c r="V7">
        <v>32</v>
      </c>
      <c r="W7">
        <v>2</v>
      </c>
      <c r="X7">
        <v>2</v>
      </c>
      <c r="Y7">
        <v>0.82677200000000006</v>
      </c>
    </row>
    <row r="8" spans="1:25" x14ac:dyDescent="0.25">
      <c r="A8">
        <v>13440</v>
      </c>
      <c r="B8">
        <v>32</v>
      </c>
      <c r="C8">
        <v>2</v>
      </c>
      <c r="D8">
        <v>2</v>
      </c>
      <c r="E8">
        <v>0.98836200000000007</v>
      </c>
      <c r="G8">
        <v>13440</v>
      </c>
      <c r="H8">
        <v>32</v>
      </c>
      <c r="I8">
        <v>2</v>
      </c>
      <c r="J8">
        <v>2</v>
      </c>
      <c r="K8">
        <v>0.83416600000000007</v>
      </c>
      <c r="M8">
        <v>13440</v>
      </c>
      <c r="N8">
        <f t="shared" si="0"/>
        <v>13440</v>
      </c>
      <c r="O8">
        <v>32</v>
      </c>
      <c r="P8">
        <v>2</v>
      </c>
      <c r="Q8">
        <v>2</v>
      </c>
      <c r="R8">
        <v>0.98836200000000007</v>
      </c>
      <c r="T8">
        <v>13440</v>
      </c>
      <c r="U8">
        <f t="shared" si="1"/>
        <v>13440</v>
      </c>
      <c r="V8">
        <v>32</v>
      </c>
      <c r="W8">
        <v>2</v>
      </c>
      <c r="X8">
        <v>2</v>
      </c>
      <c r="Y8">
        <v>0.83416600000000007</v>
      </c>
    </row>
    <row r="9" spans="1:25" x14ac:dyDescent="0.25">
      <c r="A9">
        <v>14208</v>
      </c>
      <c r="B9">
        <v>32</v>
      </c>
      <c r="C9">
        <v>2</v>
      </c>
      <c r="D9">
        <v>2</v>
      </c>
      <c r="E9">
        <v>0.99314800000000003</v>
      </c>
      <c r="G9">
        <v>14208</v>
      </c>
      <c r="H9">
        <v>32</v>
      </c>
      <c r="I9">
        <v>2</v>
      </c>
      <c r="J9">
        <v>2</v>
      </c>
      <c r="K9">
        <v>0.83470199999999983</v>
      </c>
      <c r="M9">
        <v>14208</v>
      </c>
      <c r="N9">
        <f t="shared" si="0"/>
        <v>14208</v>
      </c>
      <c r="O9">
        <v>32</v>
      </c>
      <c r="P9">
        <v>2</v>
      </c>
      <c r="Q9">
        <v>2</v>
      </c>
      <c r="R9">
        <v>0.99314800000000003</v>
      </c>
      <c r="T9">
        <v>14208</v>
      </c>
      <c r="U9">
        <f t="shared" si="1"/>
        <v>14208</v>
      </c>
      <c r="V9">
        <v>32</v>
      </c>
      <c r="W9">
        <v>2</v>
      </c>
      <c r="X9">
        <v>2</v>
      </c>
      <c r="Y9">
        <v>0.83470199999999983</v>
      </c>
    </row>
    <row r="10" spans="1:25" x14ac:dyDescent="0.25">
      <c r="A10">
        <v>12672</v>
      </c>
      <c r="B10">
        <v>64</v>
      </c>
      <c r="C10">
        <v>1</v>
      </c>
      <c r="D10">
        <v>4</v>
      </c>
      <c r="E10">
        <v>0.99759400000000009</v>
      </c>
      <c r="G10">
        <v>12672</v>
      </c>
      <c r="H10">
        <v>64</v>
      </c>
      <c r="I10">
        <v>1</v>
      </c>
      <c r="J10">
        <v>4</v>
      </c>
      <c r="K10">
        <v>0.81602799999999998</v>
      </c>
      <c r="M10">
        <v>12672</v>
      </c>
      <c r="N10">
        <f t="shared" si="0"/>
        <v>12672</v>
      </c>
      <c r="O10">
        <v>64</v>
      </c>
      <c r="P10">
        <v>1</v>
      </c>
      <c r="Q10">
        <v>4</v>
      </c>
      <c r="R10">
        <v>0.99759400000000009</v>
      </c>
      <c r="T10">
        <v>12672</v>
      </c>
      <c r="U10">
        <f t="shared" si="1"/>
        <v>12672</v>
      </c>
      <c r="V10">
        <v>64</v>
      </c>
      <c r="W10">
        <v>1</v>
      </c>
      <c r="X10">
        <v>4</v>
      </c>
      <c r="Y10">
        <v>0.81602799999999998</v>
      </c>
    </row>
    <row r="11" spans="1:25" x14ac:dyDescent="0.25">
      <c r="A11">
        <v>13440</v>
      </c>
      <c r="B11">
        <v>64</v>
      </c>
      <c r="C11">
        <v>1</v>
      </c>
      <c r="D11">
        <v>4</v>
      </c>
      <c r="E11">
        <v>1.0058600000000002</v>
      </c>
      <c r="G11">
        <v>13440</v>
      </c>
      <c r="H11">
        <v>64</v>
      </c>
      <c r="I11">
        <v>1</v>
      </c>
      <c r="J11">
        <v>4</v>
      </c>
      <c r="K11">
        <v>0.81222399999999995</v>
      </c>
      <c r="M11">
        <v>13440</v>
      </c>
      <c r="N11">
        <f t="shared" si="0"/>
        <v>13440</v>
      </c>
      <c r="O11">
        <v>64</v>
      </c>
      <c r="P11">
        <v>1</v>
      </c>
      <c r="Q11">
        <v>4</v>
      </c>
      <c r="R11">
        <v>1.0058600000000002</v>
      </c>
      <c r="T11">
        <v>13440</v>
      </c>
      <c r="U11">
        <f t="shared" si="1"/>
        <v>13440</v>
      </c>
      <c r="V11">
        <v>64</v>
      </c>
      <c r="W11">
        <v>1</v>
      </c>
      <c r="X11">
        <v>4</v>
      </c>
      <c r="Y11">
        <v>0.81222399999999995</v>
      </c>
    </row>
    <row r="12" spans="1:25" x14ac:dyDescent="0.25">
      <c r="A12">
        <v>14208</v>
      </c>
      <c r="B12">
        <v>64</v>
      </c>
      <c r="C12">
        <v>1</v>
      </c>
      <c r="D12">
        <v>4</v>
      </c>
      <c r="E12">
        <v>1.0016159999999998</v>
      </c>
      <c r="G12">
        <v>14208</v>
      </c>
      <c r="H12">
        <v>64</v>
      </c>
      <c r="I12">
        <v>1</v>
      </c>
      <c r="J12">
        <v>4</v>
      </c>
      <c r="K12">
        <v>0.78657599999999994</v>
      </c>
      <c r="M12">
        <v>14208</v>
      </c>
      <c r="N12">
        <f t="shared" si="0"/>
        <v>14208</v>
      </c>
      <c r="O12">
        <v>64</v>
      </c>
      <c r="P12">
        <v>1</v>
      </c>
      <c r="Q12">
        <v>4</v>
      </c>
      <c r="R12">
        <v>1.0016159999999998</v>
      </c>
      <c r="T12">
        <v>14208</v>
      </c>
      <c r="U12">
        <f t="shared" si="1"/>
        <v>14208</v>
      </c>
      <c r="V12">
        <v>64</v>
      </c>
      <c r="W12">
        <v>1</v>
      </c>
      <c r="X12">
        <v>4</v>
      </c>
      <c r="Y12">
        <v>0.78657599999999994</v>
      </c>
    </row>
    <row r="13" spans="1:25" x14ac:dyDescent="0.25">
      <c r="A13">
        <v>12672</v>
      </c>
      <c r="B13">
        <v>64</v>
      </c>
      <c r="C13">
        <v>2</v>
      </c>
      <c r="D13">
        <v>2</v>
      </c>
      <c r="E13">
        <v>1.0266199999999999</v>
      </c>
      <c r="G13">
        <v>12672</v>
      </c>
      <c r="H13">
        <v>64</v>
      </c>
      <c r="I13">
        <v>2</v>
      </c>
      <c r="J13">
        <v>2</v>
      </c>
      <c r="K13">
        <v>0.83278200000000013</v>
      </c>
      <c r="M13">
        <v>12672</v>
      </c>
      <c r="N13">
        <f t="shared" si="0"/>
        <v>12672</v>
      </c>
      <c r="O13">
        <v>64</v>
      </c>
      <c r="P13">
        <v>2</v>
      </c>
      <c r="Q13">
        <v>2</v>
      </c>
      <c r="R13">
        <v>1.0266199999999999</v>
      </c>
      <c r="T13">
        <v>12672</v>
      </c>
      <c r="U13">
        <f t="shared" si="1"/>
        <v>12672</v>
      </c>
      <c r="V13">
        <v>64</v>
      </c>
      <c r="W13">
        <v>2</v>
      </c>
      <c r="X13">
        <v>2</v>
      </c>
      <c r="Y13">
        <v>0.83278200000000013</v>
      </c>
    </row>
    <row r="14" spans="1:25" x14ac:dyDescent="0.25">
      <c r="A14">
        <v>13440</v>
      </c>
      <c r="B14">
        <v>64</v>
      </c>
      <c r="C14">
        <v>2</v>
      </c>
      <c r="D14">
        <v>2</v>
      </c>
      <c r="E14">
        <v>1.0367600000000001</v>
      </c>
      <c r="G14">
        <v>13440</v>
      </c>
      <c r="H14">
        <v>64</v>
      </c>
      <c r="I14">
        <v>2</v>
      </c>
      <c r="J14">
        <v>2</v>
      </c>
      <c r="K14">
        <v>0.83976600000000001</v>
      </c>
      <c r="M14">
        <v>13440</v>
      </c>
      <c r="N14">
        <f t="shared" si="0"/>
        <v>13440</v>
      </c>
      <c r="O14">
        <v>64</v>
      </c>
      <c r="P14">
        <v>2</v>
      </c>
      <c r="Q14">
        <v>2</v>
      </c>
      <c r="R14">
        <v>1.0367600000000001</v>
      </c>
      <c r="T14">
        <v>13440</v>
      </c>
      <c r="U14">
        <f t="shared" si="1"/>
        <v>13440</v>
      </c>
      <c r="V14">
        <v>64</v>
      </c>
      <c r="W14">
        <v>2</v>
      </c>
      <c r="X14">
        <v>2</v>
      </c>
      <c r="Y14">
        <v>0.83976600000000001</v>
      </c>
    </row>
    <row r="15" spans="1:25" x14ac:dyDescent="0.25">
      <c r="A15">
        <v>14208</v>
      </c>
      <c r="B15">
        <v>64</v>
      </c>
      <c r="C15">
        <v>2</v>
      </c>
      <c r="D15">
        <v>2</v>
      </c>
      <c r="E15">
        <v>1.0358000000000001</v>
      </c>
      <c r="G15">
        <v>14208</v>
      </c>
      <c r="H15">
        <v>64</v>
      </c>
      <c r="I15">
        <v>2</v>
      </c>
      <c r="J15">
        <v>2</v>
      </c>
      <c r="K15">
        <v>0.76187399999999994</v>
      </c>
      <c r="M15">
        <v>14208</v>
      </c>
      <c r="N15">
        <f t="shared" si="0"/>
        <v>14208</v>
      </c>
      <c r="O15">
        <v>64</v>
      </c>
      <c r="P15">
        <v>2</v>
      </c>
      <c r="Q15">
        <v>2</v>
      </c>
      <c r="R15">
        <v>1.0358000000000001</v>
      </c>
      <c r="T15">
        <v>14208</v>
      </c>
      <c r="U15">
        <f t="shared" si="1"/>
        <v>14208</v>
      </c>
      <c r="V15">
        <v>64</v>
      </c>
      <c r="W15">
        <v>2</v>
      </c>
      <c r="X15">
        <v>2</v>
      </c>
      <c r="Y15">
        <v>0.76187399999999994</v>
      </c>
    </row>
    <row r="16" spans="1:25" x14ac:dyDescent="0.25">
      <c r="A16">
        <v>12672</v>
      </c>
      <c r="B16">
        <v>96</v>
      </c>
      <c r="C16">
        <v>1</v>
      </c>
      <c r="D16">
        <v>4</v>
      </c>
      <c r="E16">
        <v>0.98056599999999994</v>
      </c>
      <c r="G16">
        <v>12672</v>
      </c>
      <c r="H16">
        <v>96</v>
      </c>
      <c r="I16">
        <v>1</v>
      </c>
      <c r="J16">
        <v>4</v>
      </c>
      <c r="K16">
        <v>0.77736799999999995</v>
      </c>
      <c r="M16">
        <v>12672</v>
      </c>
      <c r="N16">
        <f t="shared" si="0"/>
        <v>12672</v>
      </c>
      <c r="O16">
        <v>96</v>
      </c>
      <c r="P16">
        <v>1</v>
      </c>
      <c r="Q16">
        <v>4</v>
      </c>
      <c r="R16">
        <v>0.98056599999999994</v>
      </c>
      <c r="T16">
        <v>12672</v>
      </c>
      <c r="U16">
        <f t="shared" si="1"/>
        <v>12672</v>
      </c>
      <c r="V16">
        <v>96</v>
      </c>
      <c r="W16">
        <v>1</v>
      </c>
      <c r="X16">
        <v>4</v>
      </c>
      <c r="Y16">
        <v>0.77736799999999995</v>
      </c>
    </row>
    <row r="17" spans="1:25" x14ac:dyDescent="0.25">
      <c r="A17">
        <v>13440</v>
      </c>
      <c r="B17">
        <v>96</v>
      </c>
      <c r="C17">
        <v>1</v>
      </c>
      <c r="D17">
        <v>4</v>
      </c>
      <c r="E17">
        <v>0.98974399999999996</v>
      </c>
      <c r="G17">
        <v>13440</v>
      </c>
      <c r="H17">
        <v>96</v>
      </c>
      <c r="I17">
        <v>1</v>
      </c>
      <c r="J17">
        <v>4</v>
      </c>
      <c r="K17">
        <v>0.77827799999999991</v>
      </c>
      <c r="M17">
        <v>13440</v>
      </c>
      <c r="N17">
        <f t="shared" si="0"/>
        <v>13440</v>
      </c>
      <c r="O17">
        <v>96</v>
      </c>
      <c r="P17">
        <v>1</v>
      </c>
      <c r="Q17">
        <v>4</v>
      </c>
      <c r="R17">
        <v>0.98974399999999996</v>
      </c>
      <c r="T17">
        <v>13440</v>
      </c>
      <c r="U17">
        <f t="shared" si="1"/>
        <v>13440</v>
      </c>
      <c r="V17">
        <v>96</v>
      </c>
      <c r="W17">
        <v>1</v>
      </c>
      <c r="X17">
        <v>4</v>
      </c>
      <c r="Y17">
        <v>0.77827799999999991</v>
      </c>
    </row>
    <row r="18" spans="1:25" x14ac:dyDescent="0.25">
      <c r="A18">
        <v>14208</v>
      </c>
      <c r="B18">
        <v>96</v>
      </c>
      <c r="C18">
        <v>1</v>
      </c>
      <c r="D18">
        <v>4</v>
      </c>
      <c r="E18">
        <v>0.98530800000000007</v>
      </c>
      <c r="G18">
        <v>14208</v>
      </c>
      <c r="H18">
        <v>96</v>
      </c>
      <c r="I18">
        <v>1</v>
      </c>
      <c r="J18">
        <v>4</v>
      </c>
      <c r="K18">
        <v>0.73642399999999986</v>
      </c>
      <c r="M18">
        <v>14208</v>
      </c>
      <c r="N18">
        <f t="shared" si="0"/>
        <v>14208</v>
      </c>
      <c r="O18">
        <v>96</v>
      </c>
      <c r="P18">
        <v>1</v>
      </c>
      <c r="Q18">
        <v>4</v>
      </c>
      <c r="R18">
        <v>0.98530800000000007</v>
      </c>
      <c r="T18">
        <v>14208</v>
      </c>
      <c r="U18">
        <f t="shared" si="1"/>
        <v>14208</v>
      </c>
      <c r="V18">
        <v>96</v>
      </c>
      <c r="W18">
        <v>1</v>
      </c>
      <c r="X18">
        <v>4</v>
      </c>
      <c r="Y18">
        <v>0.73642399999999986</v>
      </c>
    </row>
    <row r="19" spans="1:25" x14ac:dyDescent="0.25">
      <c r="A19">
        <v>12672</v>
      </c>
      <c r="B19">
        <v>96</v>
      </c>
      <c r="C19">
        <v>2</v>
      </c>
      <c r="D19">
        <v>2</v>
      </c>
      <c r="E19">
        <v>1.0041</v>
      </c>
      <c r="G19">
        <v>12672</v>
      </c>
      <c r="H19">
        <v>96</v>
      </c>
      <c r="I19">
        <v>2</v>
      </c>
      <c r="J19">
        <v>2</v>
      </c>
      <c r="K19">
        <v>0.79421799999999998</v>
      </c>
      <c r="M19">
        <v>12672</v>
      </c>
      <c r="N19">
        <f t="shared" si="0"/>
        <v>12672</v>
      </c>
      <c r="O19">
        <v>96</v>
      </c>
      <c r="P19">
        <v>2</v>
      </c>
      <c r="Q19">
        <v>2</v>
      </c>
      <c r="R19">
        <v>1.0041</v>
      </c>
      <c r="T19">
        <v>12672</v>
      </c>
      <c r="U19">
        <f t="shared" si="1"/>
        <v>12672</v>
      </c>
      <c r="V19">
        <v>96</v>
      </c>
      <c r="W19">
        <v>2</v>
      </c>
      <c r="X19">
        <v>2</v>
      </c>
      <c r="Y19">
        <v>0.79421799999999998</v>
      </c>
    </row>
    <row r="20" spans="1:25" x14ac:dyDescent="0.25">
      <c r="A20">
        <v>13440</v>
      </c>
      <c r="B20">
        <v>96</v>
      </c>
      <c r="C20">
        <v>2</v>
      </c>
      <c r="D20">
        <v>2</v>
      </c>
      <c r="E20">
        <v>1.0113400000000001</v>
      </c>
      <c r="G20">
        <v>13440</v>
      </c>
      <c r="H20">
        <v>96</v>
      </c>
      <c r="I20">
        <v>2</v>
      </c>
      <c r="J20">
        <v>2</v>
      </c>
      <c r="K20">
        <v>0.7864739999999999</v>
      </c>
      <c r="M20">
        <v>13440</v>
      </c>
      <c r="N20">
        <f t="shared" si="0"/>
        <v>13440</v>
      </c>
      <c r="O20">
        <v>96</v>
      </c>
      <c r="P20">
        <v>2</v>
      </c>
      <c r="Q20">
        <v>2</v>
      </c>
      <c r="R20">
        <v>1.0113400000000001</v>
      </c>
      <c r="T20">
        <v>13440</v>
      </c>
      <c r="U20">
        <f t="shared" si="1"/>
        <v>13440</v>
      </c>
      <c r="V20">
        <v>96</v>
      </c>
      <c r="W20">
        <v>2</v>
      </c>
      <c r="X20">
        <v>2</v>
      </c>
      <c r="Y20">
        <v>0.7864739999999999</v>
      </c>
    </row>
    <row r="21" spans="1:25" x14ac:dyDescent="0.25">
      <c r="A21">
        <v>14208</v>
      </c>
      <c r="B21">
        <v>96</v>
      </c>
      <c r="C21">
        <v>2</v>
      </c>
      <c r="D21">
        <v>2</v>
      </c>
      <c r="E21">
        <v>1.0086059999999999</v>
      </c>
      <c r="G21">
        <v>14208</v>
      </c>
      <c r="H21">
        <v>96</v>
      </c>
      <c r="I21">
        <v>2</v>
      </c>
      <c r="J21">
        <v>2</v>
      </c>
      <c r="K21">
        <v>0.72139600000000004</v>
      </c>
      <c r="M21">
        <v>14208</v>
      </c>
      <c r="N21">
        <f t="shared" si="0"/>
        <v>14208</v>
      </c>
      <c r="O21">
        <v>96</v>
      </c>
      <c r="P21">
        <v>2</v>
      </c>
      <c r="Q21">
        <v>2</v>
      </c>
      <c r="R21">
        <v>1.0086059999999999</v>
      </c>
      <c r="T21">
        <v>14208</v>
      </c>
      <c r="U21">
        <f t="shared" si="1"/>
        <v>14208</v>
      </c>
      <c r="V21">
        <v>96</v>
      </c>
      <c r="W21">
        <v>2</v>
      </c>
      <c r="X21">
        <v>2</v>
      </c>
      <c r="Y21">
        <v>0.72139600000000004</v>
      </c>
    </row>
    <row r="22" spans="1:25" x14ac:dyDescent="0.25">
      <c r="A22">
        <v>12672</v>
      </c>
      <c r="B22">
        <v>128</v>
      </c>
      <c r="C22">
        <v>1</v>
      </c>
      <c r="D22">
        <v>4</v>
      </c>
      <c r="E22">
        <v>0.97961799999999999</v>
      </c>
      <c r="G22">
        <v>12672</v>
      </c>
      <c r="H22">
        <v>128</v>
      </c>
      <c r="I22">
        <v>1</v>
      </c>
      <c r="J22">
        <v>4</v>
      </c>
      <c r="K22">
        <v>0.79908600000000007</v>
      </c>
      <c r="M22">
        <v>12672</v>
      </c>
      <c r="N22">
        <f t="shared" si="0"/>
        <v>12672</v>
      </c>
      <c r="O22">
        <v>128</v>
      </c>
      <c r="P22">
        <v>1</v>
      </c>
      <c r="Q22">
        <v>4</v>
      </c>
      <c r="R22">
        <v>0.97961799999999999</v>
      </c>
      <c r="T22">
        <v>12672</v>
      </c>
      <c r="U22">
        <f t="shared" si="1"/>
        <v>12672</v>
      </c>
      <c r="V22">
        <v>128</v>
      </c>
      <c r="W22">
        <v>1</v>
      </c>
      <c r="X22">
        <v>4</v>
      </c>
      <c r="Y22">
        <v>0.79908600000000007</v>
      </c>
    </row>
    <row r="23" spans="1:25" x14ac:dyDescent="0.25">
      <c r="A23">
        <v>13440</v>
      </c>
      <c r="B23">
        <v>128</v>
      </c>
      <c r="C23">
        <v>1</v>
      </c>
      <c r="D23">
        <v>4</v>
      </c>
      <c r="E23">
        <v>0.990788</v>
      </c>
      <c r="G23">
        <v>13440</v>
      </c>
      <c r="H23">
        <v>128</v>
      </c>
      <c r="I23">
        <v>1</v>
      </c>
      <c r="J23">
        <v>4</v>
      </c>
      <c r="K23">
        <v>0.79917599999999989</v>
      </c>
      <c r="M23">
        <v>13440</v>
      </c>
      <c r="N23">
        <f t="shared" si="0"/>
        <v>13440</v>
      </c>
      <c r="O23">
        <v>128</v>
      </c>
      <c r="P23">
        <v>1</v>
      </c>
      <c r="Q23">
        <v>4</v>
      </c>
      <c r="R23">
        <v>0.990788</v>
      </c>
      <c r="T23">
        <v>13440</v>
      </c>
      <c r="U23">
        <f t="shared" si="1"/>
        <v>13440</v>
      </c>
      <c r="V23">
        <v>128</v>
      </c>
      <c r="W23">
        <v>1</v>
      </c>
      <c r="X23">
        <v>4</v>
      </c>
      <c r="Y23">
        <v>0.79917599999999989</v>
      </c>
    </row>
    <row r="24" spans="1:25" x14ac:dyDescent="0.25">
      <c r="A24">
        <v>14208</v>
      </c>
      <c r="B24">
        <v>128</v>
      </c>
      <c r="C24">
        <v>1</v>
      </c>
      <c r="D24">
        <v>4</v>
      </c>
      <c r="E24">
        <v>0.92583799999999994</v>
      </c>
      <c r="G24">
        <v>14208</v>
      </c>
      <c r="H24">
        <v>128</v>
      </c>
      <c r="I24">
        <v>1</v>
      </c>
      <c r="J24">
        <v>4</v>
      </c>
      <c r="K24">
        <v>0.77354800000000001</v>
      </c>
      <c r="M24">
        <v>14208</v>
      </c>
      <c r="N24">
        <f t="shared" si="0"/>
        <v>14208</v>
      </c>
      <c r="O24">
        <v>128</v>
      </c>
      <c r="P24">
        <v>1</v>
      </c>
      <c r="Q24">
        <v>4</v>
      </c>
      <c r="R24">
        <v>0.92583799999999994</v>
      </c>
      <c r="T24">
        <v>14208</v>
      </c>
      <c r="U24">
        <f t="shared" si="1"/>
        <v>14208</v>
      </c>
      <c r="V24">
        <v>128</v>
      </c>
      <c r="W24">
        <v>1</v>
      </c>
      <c r="X24">
        <v>4</v>
      </c>
      <c r="Y24">
        <v>0.77354800000000001</v>
      </c>
    </row>
    <row r="25" spans="1:25" x14ac:dyDescent="0.25">
      <c r="A25">
        <v>12672</v>
      </c>
      <c r="B25">
        <v>128</v>
      </c>
      <c r="C25">
        <v>2</v>
      </c>
      <c r="D25">
        <v>2</v>
      </c>
      <c r="E25">
        <v>0.99427800000000011</v>
      </c>
      <c r="G25">
        <v>12672</v>
      </c>
      <c r="H25">
        <v>128</v>
      </c>
      <c r="I25">
        <v>2</v>
      </c>
      <c r="J25">
        <v>2</v>
      </c>
      <c r="K25">
        <v>0.78770000000000007</v>
      </c>
      <c r="M25">
        <v>12672</v>
      </c>
      <c r="N25">
        <f t="shared" si="0"/>
        <v>12672</v>
      </c>
      <c r="O25">
        <v>128</v>
      </c>
      <c r="P25">
        <v>2</v>
      </c>
      <c r="Q25">
        <v>2</v>
      </c>
      <c r="R25">
        <v>0.99427800000000011</v>
      </c>
      <c r="T25">
        <v>12672</v>
      </c>
      <c r="U25">
        <f t="shared" si="1"/>
        <v>12672</v>
      </c>
      <c r="V25">
        <v>128</v>
      </c>
      <c r="W25">
        <v>2</v>
      </c>
      <c r="X25">
        <v>2</v>
      </c>
      <c r="Y25">
        <v>0.78770000000000007</v>
      </c>
    </row>
    <row r="26" spans="1:25" x14ac:dyDescent="0.25">
      <c r="A26">
        <v>13440</v>
      </c>
      <c r="B26">
        <v>128</v>
      </c>
      <c r="C26">
        <v>2</v>
      </c>
      <c r="D26">
        <v>2</v>
      </c>
      <c r="E26">
        <v>0.95467400000000002</v>
      </c>
      <c r="G26">
        <v>13440</v>
      </c>
      <c r="H26">
        <v>128</v>
      </c>
      <c r="I26">
        <v>2</v>
      </c>
      <c r="J26">
        <v>2</v>
      </c>
      <c r="K26">
        <v>0.796898</v>
      </c>
      <c r="M26">
        <v>13440</v>
      </c>
      <c r="N26">
        <f t="shared" si="0"/>
        <v>13440</v>
      </c>
      <c r="O26">
        <v>128</v>
      </c>
      <c r="P26">
        <v>2</v>
      </c>
      <c r="Q26">
        <v>2</v>
      </c>
      <c r="R26">
        <v>0.95467400000000002</v>
      </c>
      <c r="T26">
        <v>13440</v>
      </c>
      <c r="U26">
        <f t="shared" si="1"/>
        <v>13440</v>
      </c>
      <c r="V26">
        <v>128</v>
      </c>
      <c r="W26">
        <v>2</v>
      </c>
      <c r="X26">
        <v>2</v>
      </c>
      <c r="Y26">
        <v>0.796898</v>
      </c>
    </row>
    <row r="27" spans="1:25" x14ac:dyDescent="0.25">
      <c r="A27">
        <v>14208</v>
      </c>
      <c r="B27">
        <v>128</v>
      </c>
      <c r="C27">
        <v>2</v>
      </c>
      <c r="D27">
        <v>2</v>
      </c>
      <c r="E27">
        <v>0.91799199999999992</v>
      </c>
      <c r="G27">
        <v>14208</v>
      </c>
      <c r="H27">
        <v>128</v>
      </c>
      <c r="I27">
        <v>2</v>
      </c>
      <c r="J27">
        <v>2</v>
      </c>
      <c r="K27">
        <v>0.78007599999999999</v>
      </c>
      <c r="M27">
        <v>14208</v>
      </c>
      <c r="N27">
        <f t="shared" si="0"/>
        <v>14208</v>
      </c>
      <c r="O27">
        <v>128</v>
      </c>
      <c r="P27">
        <v>2</v>
      </c>
      <c r="Q27">
        <v>2</v>
      </c>
      <c r="R27">
        <v>0.91799199999999992</v>
      </c>
      <c r="T27">
        <v>14208</v>
      </c>
      <c r="U27">
        <f t="shared" si="1"/>
        <v>14208</v>
      </c>
      <c r="V27">
        <v>128</v>
      </c>
      <c r="W27">
        <v>2</v>
      </c>
      <c r="X27">
        <v>2</v>
      </c>
      <c r="Y27">
        <v>0.78007599999999999</v>
      </c>
    </row>
    <row r="28" spans="1:25" x14ac:dyDescent="0.25">
      <c r="A28">
        <v>12640</v>
      </c>
      <c r="B28">
        <v>160</v>
      </c>
      <c r="C28">
        <v>1</v>
      </c>
      <c r="D28">
        <v>4</v>
      </c>
      <c r="E28">
        <v>0.95424000000000009</v>
      </c>
      <c r="G28">
        <v>12640</v>
      </c>
      <c r="H28">
        <v>160</v>
      </c>
      <c r="I28">
        <v>1</v>
      </c>
      <c r="J28">
        <v>4</v>
      </c>
      <c r="K28">
        <v>0.7888940000000001</v>
      </c>
      <c r="M28">
        <v>12640</v>
      </c>
      <c r="N28">
        <f t="shared" si="0"/>
        <v>12672</v>
      </c>
      <c r="O28">
        <v>160</v>
      </c>
      <c r="P28">
        <v>1</v>
      </c>
      <c r="Q28">
        <v>4</v>
      </c>
      <c r="R28">
        <v>0.95424000000000009</v>
      </c>
      <c r="T28">
        <v>12640</v>
      </c>
      <c r="U28">
        <f t="shared" si="1"/>
        <v>12672</v>
      </c>
      <c r="V28">
        <v>160</v>
      </c>
      <c r="W28">
        <v>1</v>
      </c>
      <c r="X28">
        <v>4</v>
      </c>
      <c r="Y28">
        <v>0.7888940000000001</v>
      </c>
    </row>
    <row r="29" spans="1:25" x14ac:dyDescent="0.25">
      <c r="A29">
        <v>13440</v>
      </c>
      <c r="B29">
        <v>160</v>
      </c>
      <c r="C29">
        <v>1</v>
      </c>
      <c r="D29">
        <v>4</v>
      </c>
      <c r="E29">
        <v>0.96868599999999994</v>
      </c>
      <c r="G29">
        <v>13440</v>
      </c>
      <c r="H29">
        <v>160</v>
      </c>
      <c r="I29">
        <v>1</v>
      </c>
      <c r="J29">
        <v>4</v>
      </c>
      <c r="K29">
        <v>0.78349999999999997</v>
      </c>
      <c r="M29">
        <v>13440</v>
      </c>
      <c r="N29">
        <f t="shared" si="0"/>
        <v>13440</v>
      </c>
      <c r="O29">
        <v>160</v>
      </c>
      <c r="P29">
        <v>1</v>
      </c>
      <c r="Q29">
        <v>4</v>
      </c>
      <c r="R29">
        <v>0.96868599999999994</v>
      </c>
      <c r="T29">
        <v>13440</v>
      </c>
      <c r="U29">
        <f t="shared" si="1"/>
        <v>13440</v>
      </c>
      <c r="V29">
        <v>160</v>
      </c>
      <c r="W29">
        <v>1</v>
      </c>
      <c r="X29">
        <v>4</v>
      </c>
      <c r="Y29">
        <v>0.78349999999999997</v>
      </c>
    </row>
    <row r="30" spans="1:25" x14ac:dyDescent="0.25">
      <c r="A30">
        <v>14080</v>
      </c>
      <c r="B30">
        <v>160</v>
      </c>
      <c r="C30">
        <v>1</v>
      </c>
      <c r="D30">
        <v>4</v>
      </c>
      <c r="E30">
        <v>0.94500200000000001</v>
      </c>
      <c r="G30">
        <v>14080</v>
      </c>
      <c r="H30">
        <v>160</v>
      </c>
      <c r="I30">
        <v>1</v>
      </c>
      <c r="J30">
        <v>4</v>
      </c>
      <c r="K30">
        <v>0.77302400000000004</v>
      </c>
      <c r="M30">
        <v>14080</v>
      </c>
      <c r="N30">
        <f t="shared" si="0"/>
        <v>14208</v>
      </c>
      <c r="O30">
        <v>160</v>
      </c>
      <c r="P30">
        <v>1</v>
      </c>
      <c r="Q30">
        <v>4</v>
      </c>
      <c r="R30">
        <v>0.94500200000000001</v>
      </c>
      <c r="T30">
        <v>14080</v>
      </c>
      <c r="U30">
        <f t="shared" si="1"/>
        <v>14208</v>
      </c>
      <c r="V30">
        <v>160</v>
      </c>
      <c r="W30">
        <v>1</v>
      </c>
      <c r="X30">
        <v>4</v>
      </c>
      <c r="Y30">
        <v>0.77302400000000004</v>
      </c>
    </row>
    <row r="31" spans="1:25" x14ac:dyDescent="0.25">
      <c r="A31">
        <v>12640</v>
      </c>
      <c r="B31">
        <v>160</v>
      </c>
      <c r="C31">
        <v>2</v>
      </c>
      <c r="D31">
        <v>2</v>
      </c>
      <c r="E31">
        <v>0.97763200000000006</v>
      </c>
      <c r="G31">
        <v>12640</v>
      </c>
      <c r="H31">
        <v>160</v>
      </c>
      <c r="I31">
        <v>2</v>
      </c>
      <c r="J31">
        <v>2</v>
      </c>
      <c r="K31">
        <v>0.78856599999999999</v>
      </c>
      <c r="M31">
        <v>12640</v>
      </c>
      <c r="N31">
        <f t="shared" si="0"/>
        <v>12672</v>
      </c>
      <c r="O31">
        <v>160</v>
      </c>
      <c r="P31">
        <v>2</v>
      </c>
      <c r="Q31">
        <v>2</v>
      </c>
      <c r="R31">
        <v>0.97763200000000006</v>
      </c>
      <c r="T31">
        <v>12640</v>
      </c>
      <c r="U31">
        <f t="shared" si="1"/>
        <v>12672</v>
      </c>
      <c r="V31">
        <v>160</v>
      </c>
      <c r="W31">
        <v>2</v>
      </c>
      <c r="X31">
        <v>2</v>
      </c>
      <c r="Y31">
        <v>0.78856599999999999</v>
      </c>
    </row>
    <row r="32" spans="1:25" x14ac:dyDescent="0.25">
      <c r="A32">
        <v>13440</v>
      </c>
      <c r="B32">
        <v>160</v>
      </c>
      <c r="C32">
        <v>2</v>
      </c>
      <c r="D32">
        <v>2</v>
      </c>
      <c r="E32">
        <v>0.99820399999999998</v>
      </c>
      <c r="G32">
        <v>13440</v>
      </c>
      <c r="H32">
        <v>160</v>
      </c>
      <c r="I32">
        <v>2</v>
      </c>
      <c r="J32">
        <v>2</v>
      </c>
      <c r="K32">
        <v>0.78439800000000004</v>
      </c>
      <c r="M32">
        <v>13440</v>
      </c>
      <c r="N32">
        <f t="shared" si="0"/>
        <v>13440</v>
      </c>
      <c r="O32">
        <v>160</v>
      </c>
      <c r="P32">
        <v>2</v>
      </c>
      <c r="Q32">
        <v>2</v>
      </c>
      <c r="R32">
        <v>0.99820399999999998</v>
      </c>
      <c r="T32">
        <v>13440</v>
      </c>
      <c r="U32">
        <f t="shared" si="1"/>
        <v>13440</v>
      </c>
      <c r="V32">
        <v>160</v>
      </c>
      <c r="W32">
        <v>2</v>
      </c>
      <c r="X32">
        <v>2</v>
      </c>
      <c r="Y32">
        <v>0.78439800000000004</v>
      </c>
    </row>
    <row r="33" spans="1:25" x14ac:dyDescent="0.25">
      <c r="A33">
        <v>14080</v>
      </c>
      <c r="B33">
        <v>160</v>
      </c>
      <c r="C33">
        <v>2</v>
      </c>
      <c r="D33">
        <v>2</v>
      </c>
      <c r="E33">
        <v>0.97494800000000004</v>
      </c>
      <c r="G33">
        <v>14080</v>
      </c>
      <c r="H33">
        <v>160</v>
      </c>
      <c r="I33">
        <v>2</v>
      </c>
      <c r="J33">
        <v>2</v>
      </c>
      <c r="K33">
        <v>0.76231000000000004</v>
      </c>
      <c r="M33">
        <v>14080</v>
      </c>
      <c r="N33">
        <f t="shared" si="0"/>
        <v>14208</v>
      </c>
      <c r="O33">
        <v>160</v>
      </c>
      <c r="P33">
        <v>2</v>
      </c>
      <c r="Q33">
        <v>2</v>
      </c>
      <c r="R33">
        <v>0.97494800000000004</v>
      </c>
      <c r="T33">
        <v>14080</v>
      </c>
      <c r="U33">
        <f t="shared" si="1"/>
        <v>14208</v>
      </c>
      <c r="V33">
        <v>160</v>
      </c>
      <c r="W33">
        <v>2</v>
      </c>
      <c r="X33">
        <v>2</v>
      </c>
      <c r="Y33">
        <v>0.76231000000000004</v>
      </c>
    </row>
    <row r="34" spans="1:25" x14ac:dyDescent="0.25">
      <c r="A34">
        <v>12672</v>
      </c>
      <c r="B34">
        <v>192</v>
      </c>
      <c r="C34">
        <v>1</v>
      </c>
      <c r="D34">
        <v>4</v>
      </c>
      <c r="E34">
        <v>0.96097199999999994</v>
      </c>
      <c r="G34">
        <v>12672</v>
      </c>
      <c r="H34">
        <v>192</v>
      </c>
      <c r="I34">
        <v>1</v>
      </c>
      <c r="J34">
        <v>4</v>
      </c>
      <c r="K34">
        <v>0.7455179999999999</v>
      </c>
      <c r="M34">
        <v>12672</v>
      </c>
      <c r="N34">
        <f t="shared" si="0"/>
        <v>12672</v>
      </c>
      <c r="O34">
        <v>192</v>
      </c>
      <c r="P34">
        <v>1</v>
      </c>
      <c r="Q34">
        <v>4</v>
      </c>
      <c r="R34">
        <v>0.96097199999999994</v>
      </c>
      <c r="T34">
        <v>12672</v>
      </c>
      <c r="U34">
        <f t="shared" si="1"/>
        <v>12672</v>
      </c>
      <c r="V34">
        <v>192</v>
      </c>
      <c r="W34">
        <v>1</v>
      </c>
      <c r="X34">
        <v>4</v>
      </c>
      <c r="Y34">
        <v>0.7455179999999999</v>
      </c>
    </row>
    <row r="35" spans="1:25" x14ac:dyDescent="0.25">
      <c r="A35">
        <v>13440</v>
      </c>
      <c r="B35">
        <v>192</v>
      </c>
      <c r="C35">
        <v>1</v>
      </c>
      <c r="D35">
        <v>4</v>
      </c>
      <c r="E35">
        <v>0.96771799999999997</v>
      </c>
      <c r="G35">
        <v>13440</v>
      </c>
      <c r="H35">
        <v>192</v>
      </c>
      <c r="I35">
        <v>1</v>
      </c>
      <c r="J35">
        <v>4</v>
      </c>
      <c r="K35">
        <v>0.75047799999999998</v>
      </c>
      <c r="M35">
        <v>13440</v>
      </c>
      <c r="N35">
        <f t="shared" si="0"/>
        <v>13440</v>
      </c>
      <c r="O35">
        <v>192</v>
      </c>
      <c r="P35">
        <v>1</v>
      </c>
      <c r="Q35">
        <v>4</v>
      </c>
      <c r="R35">
        <v>0.96771799999999997</v>
      </c>
      <c r="T35">
        <v>13440</v>
      </c>
      <c r="U35">
        <f t="shared" si="1"/>
        <v>13440</v>
      </c>
      <c r="V35">
        <v>192</v>
      </c>
      <c r="W35">
        <v>1</v>
      </c>
      <c r="X35">
        <v>4</v>
      </c>
      <c r="Y35">
        <v>0.75047799999999998</v>
      </c>
    </row>
    <row r="36" spans="1:25" x14ac:dyDescent="0.25">
      <c r="A36">
        <v>14208</v>
      </c>
      <c r="B36">
        <v>192</v>
      </c>
      <c r="C36">
        <v>1</v>
      </c>
      <c r="D36">
        <v>4</v>
      </c>
      <c r="E36">
        <v>0.84265600000000007</v>
      </c>
      <c r="G36">
        <v>14208</v>
      </c>
      <c r="H36">
        <v>192</v>
      </c>
      <c r="I36">
        <v>1</v>
      </c>
      <c r="J36">
        <v>4</v>
      </c>
      <c r="K36">
        <v>0.60215799999999997</v>
      </c>
      <c r="M36">
        <v>14208</v>
      </c>
      <c r="N36">
        <f t="shared" si="0"/>
        <v>14208</v>
      </c>
      <c r="O36">
        <v>192</v>
      </c>
      <c r="P36">
        <v>1</v>
      </c>
      <c r="Q36">
        <v>4</v>
      </c>
      <c r="R36">
        <v>0.84265600000000007</v>
      </c>
      <c r="T36">
        <v>14208</v>
      </c>
      <c r="U36">
        <f t="shared" si="1"/>
        <v>14208</v>
      </c>
      <c r="V36">
        <v>192</v>
      </c>
      <c r="W36">
        <v>1</v>
      </c>
      <c r="X36">
        <v>4</v>
      </c>
      <c r="Y36">
        <v>0.60215799999999997</v>
      </c>
    </row>
    <row r="37" spans="1:25" x14ac:dyDescent="0.25">
      <c r="A37">
        <v>12672</v>
      </c>
      <c r="B37">
        <v>192</v>
      </c>
      <c r="C37">
        <v>2</v>
      </c>
      <c r="D37">
        <v>2</v>
      </c>
      <c r="E37">
        <v>0.98912000000000011</v>
      </c>
      <c r="G37">
        <v>12672</v>
      </c>
      <c r="H37">
        <v>192</v>
      </c>
      <c r="I37">
        <v>2</v>
      </c>
      <c r="J37">
        <v>2</v>
      </c>
      <c r="K37">
        <v>0.76050400000000007</v>
      </c>
      <c r="M37">
        <v>12672</v>
      </c>
      <c r="N37">
        <f t="shared" si="0"/>
        <v>12672</v>
      </c>
      <c r="O37">
        <v>192</v>
      </c>
      <c r="P37">
        <v>2</v>
      </c>
      <c r="Q37">
        <v>2</v>
      </c>
      <c r="R37">
        <v>0.98912000000000011</v>
      </c>
      <c r="T37">
        <v>12672</v>
      </c>
      <c r="U37">
        <f t="shared" si="1"/>
        <v>12672</v>
      </c>
      <c r="V37">
        <v>192</v>
      </c>
      <c r="W37">
        <v>2</v>
      </c>
      <c r="X37">
        <v>2</v>
      </c>
      <c r="Y37">
        <v>0.76050400000000007</v>
      </c>
    </row>
    <row r="38" spans="1:25" x14ac:dyDescent="0.25">
      <c r="A38">
        <v>13440</v>
      </c>
      <c r="B38">
        <v>192</v>
      </c>
      <c r="C38">
        <v>2</v>
      </c>
      <c r="D38">
        <v>2</v>
      </c>
      <c r="E38">
        <v>0.99756</v>
      </c>
      <c r="G38">
        <v>13440</v>
      </c>
      <c r="H38">
        <v>192</v>
      </c>
      <c r="I38">
        <v>2</v>
      </c>
      <c r="J38">
        <v>2</v>
      </c>
      <c r="K38">
        <v>0.77928200000000003</v>
      </c>
      <c r="M38">
        <v>13440</v>
      </c>
      <c r="N38">
        <f t="shared" si="0"/>
        <v>13440</v>
      </c>
      <c r="O38">
        <v>192</v>
      </c>
      <c r="P38">
        <v>2</v>
      </c>
      <c r="Q38">
        <v>2</v>
      </c>
      <c r="R38">
        <v>0.99756</v>
      </c>
      <c r="T38">
        <v>13440</v>
      </c>
      <c r="U38">
        <f t="shared" si="1"/>
        <v>13440</v>
      </c>
      <c r="V38">
        <v>192</v>
      </c>
      <c r="W38">
        <v>2</v>
      </c>
      <c r="X38">
        <v>2</v>
      </c>
      <c r="Y38">
        <v>0.77928200000000003</v>
      </c>
    </row>
    <row r="39" spans="1:25" x14ac:dyDescent="0.25">
      <c r="A39">
        <v>14208</v>
      </c>
      <c r="B39">
        <v>192</v>
      </c>
      <c r="C39">
        <v>2</v>
      </c>
      <c r="D39">
        <v>2</v>
      </c>
      <c r="E39">
        <v>0.9868300000000001</v>
      </c>
      <c r="G39">
        <v>14208</v>
      </c>
      <c r="H39">
        <v>192</v>
      </c>
      <c r="I39">
        <v>2</v>
      </c>
      <c r="J39">
        <v>2</v>
      </c>
      <c r="K39">
        <v>0.68303000000000014</v>
      </c>
      <c r="M39">
        <v>14208</v>
      </c>
      <c r="N39">
        <f t="shared" si="0"/>
        <v>14208</v>
      </c>
      <c r="O39">
        <v>192</v>
      </c>
      <c r="P39">
        <v>2</v>
      </c>
      <c r="Q39">
        <v>2</v>
      </c>
      <c r="R39">
        <v>0.9868300000000001</v>
      </c>
      <c r="T39">
        <v>14208</v>
      </c>
      <c r="U39">
        <f t="shared" si="1"/>
        <v>14208</v>
      </c>
      <c r="V39">
        <v>192</v>
      </c>
      <c r="W39">
        <v>2</v>
      </c>
      <c r="X39">
        <v>2</v>
      </c>
      <c r="Y39">
        <v>0.68303000000000014</v>
      </c>
    </row>
    <row r="40" spans="1:25" x14ac:dyDescent="0.25">
      <c r="A40">
        <v>12544</v>
      </c>
      <c r="B40">
        <v>224</v>
      </c>
      <c r="C40">
        <v>1</v>
      </c>
      <c r="D40">
        <v>4</v>
      </c>
      <c r="E40">
        <v>0.92740200000000006</v>
      </c>
      <c r="G40">
        <v>12544</v>
      </c>
      <c r="H40">
        <v>224</v>
      </c>
      <c r="I40">
        <v>1</v>
      </c>
      <c r="J40">
        <v>4</v>
      </c>
      <c r="K40">
        <v>0.73309599999999997</v>
      </c>
      <c r="M40">
        <v>12544</v>
      </c>
      <c r="N40">
        <f t="shared" si="0"/>
        <v>12672</v>
      </c>
      <c r="O40">
        <v>224</v>
      </c>
      <c r="P40">
        <v>1</v>
      </c>
      <c r="Q40">
        <v>4</v>
      </c>
      <c r="R40">
        <v>0.92740200000000006</v>
      </c>
      <c r="T40">
        <v>12544</v>
      </c>
      <c r="U40">
        <f t="shared" si="1"/>
        <v>12672</v>
      </c>
      <c r="V40">
        <v>224</v>
      </c>
      <c r="W40">
        <v>1</v>
      </c>
      <c r="X40">
        <v>4</v>
      </c>
      <c r="Y40">
        <v>0.73309599999999997</v>
      </c>
    </row>
    <row r="41" spans="1:25" x14ac:dyDescent="0.25">
      <c r="A41">
        <v>13440</v>
      </c>
      <c r="B41">
        <v>224</v>
      </c>
      <c r="C41">
        <v>1</v>
      </c>
      <c r="D41">
        <v>4</v>
      </c>
      <c r="E41">
        <v>0.94657599999999997</v>
      </c>
      <c r="G41">
        <v>13440</v>
      </c>
      <c r="H41">
        <v>224</v>
      </c>
      <c r="I41">
        <v>1</v>
      </c>
      <c r="J41">
        <v>4</v>
      </c>
      <c r="K41">
        <v>0.71267400000000003</v>
      </c>
      <c r="M41">
        <v>13440</v>
      </c>
      <c r="N41">
        <f t="shared" si="0"/>
        <v>13440</v>
      </c>
      <c r="O41">
        <v>224</v>
      </c>
      <c r="P41">
        <v>1</v>
      </c>
      <c r="Q41">
        <v>4</v>
      </c>
      <c r="R41">
        <v>0.94657599999999997</v>
      </c>
      <c r="T41">
        <v>13440</v>
      </c>
      <c r="U41">
        <f t="shared" si="1"/>
        <v>13440</v>
      </c>
      <c r="V41">
        <v>224</v>
      </c>
      <c r="W41">
        <v>1</v>
      </c>
      <c r="X41">
        <v>4</v>
      </c>
      <c r="Y41">
        <v>0.71267400000000003</v>
      </c>
    </row>
    <row r="42" spans="1:25" x14ac:dyDescent="0.25">
      <c r="A42">
        <v>14112</v>
      </c>
      <c r="B42">
        <v>224</v>
      </c>
      <c r="C42">
        <v>1</v>
      </c>
      <c r="D42">
        <v>4</v>
      </c>
      <c r="E42">
        <v>0.84982599999999997</v>
      </c>
      <c r="G42">
        <v>14112</v>
      </c>
      <c r="H42">
        <v>224</v>
      </c>
      <c r="I42">
        <v>1</v>
      </c>
      <c r="J42">
        <v>4</v>
      </c>
      <c r="K42">
        <v>0.63895999999999997</v>
      </c>
      <c r="M42">
        <v>14112</v>
      </c>
      <c r="N42">
        <f t="shared" si="0"/>
        <v>14208</v>
      </c>
      <c r="O42">
        <v>224</v>
      </c>
      <c r="P42">
        <v>1</v>
      </c>
      <c r="Q42">
        <v>4</v>
      </c>
      <c r="R42">
        <v>0.84982599999999997</v>
      </c>
      <c r="T42">
        <v>14112</v>
      </c>
      <c r="U42">
        <f t="shared" si="1"/>
        <v>14208</v>
      </c>
      <c r="V42">
        <v>224</v>
      </c>
      <c r="W42">
        <v>1</v>
      </c>
      <c r="X42">
        <v>4</v>
      </c>
      <c r="Y42">
        <v>0.63895999999999997</v>
      </c>
    </row>
    <row r="43" spans="1:25" x14ac:dyDescent="0.25">
      <c r="A43">
        <v>12544</v>
      </c>
      <c r="B43">
        <v>224</v>
      </c>
      <c r="C43">
        <v>2</v>
      </c>
      <c r="D43">
        <v>2</v>
      </c>
      <c r="E43">
        <v>0.9683679999999999</v>
      </c>
      <c r="G43">
        <v>12544</v>
      </c>
      <c r="H43">
        <v>224</v>
      </c>
      <c r="I43">
        <v>2</v>
      </c>
      <c r="J43">
        <v>2</v>
      </c>
      <c r="K43">
        <v>0.72420600000000002</v>
      </c>
      <c r="M43">
        <v>12544</v>
      </c>
      <c r="N43">
        <f t="shared" si="0"/>
        <v>12672</v>
      </c>
      <c r="O43">
        <v>224</v>
      </c>
      <c r="P43">
        <v>2</v>
      </c>
      <c r="Q43">
        <v>2</v>
      </c>
      <c r="R43">
        <v>0.9683679999999999</v>
      </c>
      <c r="T43">
        <v>12544</v>
      </c>
      <c r="U43">
        <f t="shared" si="1"/>
        <v>12672</v>
      </c>
      <c r="V43">
        <v>224</v>
      </c>
      <c r="W43">
        <v>2</v>
      </c>
      <c r="X43">
        <v>2</v>
      </c>
      <c r="Y43">
        <v>0.72420600000000002</v>
      </c>
    </row>
    <row r="44" spans="1:25" x14ac:dyDescent="0.25">
      <c r="A44">
        <v>13440</v>
      </c>
      <c r="B44">
        <v>224</v>
      </c>
      <c r="C44">
        <v>2</v>
      </c>
      <c r="D44">
        <v>2</v>
      </c>
      <c r="E44">
        <v>0.98169200000000001</v>
      </c>
      <c r="G44">
        <v>13440</v>
      </c>
      <c r="H44">
        <v>224</v>
      </c>
      <c r="I44">
        <v>2</v>
      </c>
      <c r="J44">
        <v>2</v>
      </c>
      <c r="K44">
        <v>0.71328999999999998</v>
      </c>
      <c r="M44">
        <v>13440</v>
      </c>
      <c r="N44">
        <f t="shared" si="0"/>
        <v>13440</v>
      </c>
      <c r="O44">
        <v>224</v>
      </c>
      <c r="P44">
        <v>2</v>
      </c>
      <c r="Q44">
        <v>2</v>
      </c>
      <c r="R44">
        <v>0.98169200000000001</v>
      </c>
      <c r="T44">
        <v>13440</v>
      </c>
      <c r="U44">
        <f t="shared" si="1"/>
        <v>13440</v>
      </c>
      <c r="V44">
        <v>224</v>
      </c>
      <c r="W44">
        <v>2</v>
      </c>
      <c r="X44">
        <v>2</v>
      </c>
      <c r="Y44">
        <v>0.71328999999999998</v>
      </c>
    </row>
    <row r="45" spans="1:25" x14ac:dyDescent="0.25">
      <c r="A45">
        <v>14112</v>
      </c>
      <c r="B45">
        <v>224</v>
      </c>
      <c r="C45">
        <v>2</v>
      </c>
      <c r="D45">
        <v>2</v>
      </c>
      <c r="E45">
        <v>0.89617599999999997</v>
      </c>
      <c r="G45">
        <v>14112</v>
      </c>
      <c r="H45">
        <v>224</v>
      </c>
      <c r="I45">
        <v>2</v>
      </c>
      <c r="J45">
        <v>2</v>
      </c>
      <c r="K45">
        <v>0.67122199999999999</v>
      </c>
      <c r="M45">
        <v>14112</v>
      </c>
      <c r="N45">
        <f t="shared" si="0"/>
        <v>14208</v>
      </c>
      <c r="O45">
        <v>224</v>
      </c>
      <c r="P45">
        <v>2</v>
      </c>
      <c r="Q45">
        <v>2</v>
      </c>
      <c r="R45">
        <v>0.89617599999999997</v>
      </c>
      <c r="T45">
        <v>14112</v>
      </c>
      <c r="U45">
        <f t="shared" si="1"/>
        <v>14208</v>
      </c>
      <c r="V45">
        <v>224</v>
      </c>
      <c r="W45">
        <v>2</v>
      </c>
      <c r="X45">
        <v>2</v>
      </c>
      <c r="Y45">
        <v>0.67122199999999999</v>
      </c>
    </row>
    <row r="46" spans="1:25" x14ac:dyDescent="0.25">
      <c r="A46">
        <v>12544</v>
      </c>
      <c r="B46">
        <v>256</v>
      </c>
      <c r="C46">
        <v>1</v>
      </c>
      <c r="D46">
        <v>4</v>
      </c>
      <c r="E46">
        <v>0.92783800000000005</v>
      </c>
      <c r="G46">
        <v>12544</v>
      </c>
      <c r="H46">
        <v>256</v>
      </c>
      <c r="I46">
        <v>1</v>
      </c>
      <c r="J46">
        <v>4</v>
      </c>
      <c r="K46">
        <v>0.72612200000000005</v>
      </c>
      <c r="M46">
        <v>12544</v>
      </c>
      <c r="N46">
        <f t="shared" si="0"/>
        <v>12672</v>
      </c>
      <c r="O46">
        <v>256</v>
      </c>
      <c r="P46">
        <v>1</v>
      </c>
      <c r="Q46">
        <v>4</v>
      </c>
      <c r="R46">
        <v>0.92783800000000005</v>
      </c>
      <c r="T46">
        <v>12544</v>
      </c>
      <c r="U46">
        <f t="shared" si="1"/>
        <v>12672</v>
      </c>
      <c r="V46">
        <v>256</v>
      </c>
      <c r="W46">
        <v>1</v>
      </c>
      <c r="X46">
        <v>4</v>
      </c>
      <c r="Y46">
        <v>0.72612200000000005</v>
      </c>
    </row>
    <row r="47" spans="1:25" x14ac:dyDescent="0.25">
      <c r="A47">
        <v>13312</v>
      </c>
      <c r="B47">
        <v>256</v>
      </c>
      <c r="C47">
        <v>1</v>
      </c>
      <c r="D47">
        <v>4</v>
      </c>
      <c r="E47">
        <v>0.87403799999999987</v>
      </c>
      <c r="G47">
        <v>13312</v>
      </c>
      <c r="H47">
        <v>256</v>
      </c>
      <c r="I47">
        <v>1</v>
      </c>
      <c r="J47">
        <v>4</v>
      </c>
      <c r="K47">
        <v>0.71140599999999998</v>
      </c>
      <c r="M47">
        <v>13312</v>
      </c>
      <c r="N47">
        <f t="shared" si="0"/>
        <v>13440</v>
      </c>
      <c r="O47">
        <v>256</v>
      </c>
      <c r="P47">
        <v>1</v>
      </c>
      <c r="Q47">
        <v>4</v>
      </c>
      <c r="R47">
        <v>0.87403799999999987</v>
      </c>
      <c r="T47">
        <v>13312</v>
      </c>
      <c r="U47">
        <f t="shared" si="1"/>
        <v>13440</v>
      </c>
      <c r="V47">
        <v>256</v>
      </c>
      <c r="W47">
        <v>1</v>
      </c>
      <c r="X47">
        <v>4</v>
      </c>
      <c r="Y47">
        <v>0.71140599999999998</v>
      </c>
    </row>
    <row r="48" spans="1:25" x14ac:dyDescent="0.25">
      <c r="A48">
        <v>14080</v>
      </c>
      <c r="B48">
        <v>256</v>
      </c>
      <c r="C48">
        <v>1</v>
      </c>
      <c r="D48">
        <v>4</v>
      </c>
      <c r="E48">
        <v>0.816554</v>
      </c>
      <c r="G48">
        <v>14080</v>
      </c>
      <c r="H48">
        <v>256</v>
      </c>
      <c r="I48">
        <v>1</v>
      </c>
      <c r="J48">
        <v>4</v>
      </c>
      <c r="K48">
        <v>0.63656599999999997</v>
      </c>
      <c r="M48">
        <v>14080</v>
      </c>
      <c r="N48">
        <f t="shared" si="0"/>
        <v>14208</v>
      </c>
      <c r="O48">
        <v>256</v>
      </c>
      <c r="P48">
        <v>1</v>
      </c>
      <c r="Q48">
        <v>4</v>
      </c>
      <c r="R48">
        <v>0.816554</v>
      </c>
      <c r="T48">
        <v>14080</v>
      </c>
      <c r="U48">
        <f t="shared" si="1"/>
        <v>14208</v>
      </c>
      <c r="V48">
        <v>256</v>
      </c>
      <c r="W48">
        <v>1</v>
      </c>
      <c r="X48">
        <v>4</v>
      </c>
      <c r="Y48">
        <v>0.63656599999999997</v>
      </c>
    </row>
    <row r="49" spans="1:25" x14ac:dyDescent="0.25">
      <c r="A49">
        <v>12544</v>
      </c>
      <c r="B49">
        <v>256</v>
      </c>
      <c r="C49">
        <v>2</v>
      </c>
      <c r="D49">
        <v>2</v>
      </c>
      <c r="E49">
        <v>0.90403599999999995</v>
      </c>
      <c r="G49">
        <v>12544</v>
      </c>
      <c r="H49">
        <v>256</v>
      </c>
      <c r="I49">
        <v>2</v>
      </c>
      <c r="J49">
        <v>2</v>
      </c>
      <c r="K49">
        <v>0.71929999999999994</v>
      </c>
      <c r="M49">
        <v>12544</v>
      </c>
      <c r="N49">
        <f t="shared" si="0"/>
        <v>12672</v>
      </c>
      <c r="O49">
        <v>256</v>
      </c>
      <c r="P49">
        <v>2</v>
      </c>
      <c r="Q49">
        <v>2</v>
      </c>
      <c r="R49">
        <v>0.90403599999999995</v>
      </c>
      <c r="T49">
        <v>12544</v>
      </c>
      <c r="U49">
        <f t="shared" si="1"/>
        <v>12672</v>
      </c>
      <c r="V49">
        <v>256</v>
      </c>
      <c r="W49">
        <v>2</v>
      </c>
      <c r="X49">
        <v>2</v>
      </c>
      <c r="Y49">
        <v>0.71929999999999994</v>
      </c>
    </row>
    <row r="50" spans="1:25" x14ac:dyDescent="0.25">
      <c r="A50">
        <v>13312</v>
      </c>
      <c r="B50">
        <v>256</v>
      </c>
      <c r="C50">
        <v>2</v>
      </c>
      <c r="D50">
        <v>2</v>
      </c>
      <c r="E50">
        <v>0.91150200000000015</v>
      </c>
      <c r="G50">
        <v>13312</v>
      </c>
      <c r="H50">
        <v>256</v>
      </c>
      <c r="I50">
        <v>2</v>
      </c>
      <c r="J50">
        <v>2</v>
      </c>
      <c r="K50">
        <v>0.73294599999999988</v>
      </c>
      <c r="M50">
        <v>13312</v>
      </c>
      <c r="N50">
        <f t="shared" si="0"/>
        <v>13440</v>
      </c>
      <c r="O50">
        <v>256</v>
      </c>
      <c r="P50">
        <v>2</v>
      </c>
      <c r="Q50">
        <v>2</v>
      </c>
      <c r="R50">
        <v>0.91150200000000015</v>
      </c>
      <c r="T50">
        <v>13312</v>
      </c>
      <c r="U50">
        <f t="shared" si="1"/>
        <v>13440</v>
      </c>
      <c r="V50">
        <v>256</v>
      </c>
      <c r="W50">
        <v>2</v>
      </c>
      <c r="X50">
        <v>2</v>
      </c>
      <c r="Y50">
        <v>0.73294599999999988</v>
      </c>
    </row>
    <row r="51" spans="1:25" x14ac:dyDescent="0.25">
      <c r="A51">
        <v>14080</v>
      </c>
      <c r="B51">
        <v>256</v>
      </c>
      <c r="C51">
        <v>2</v>
      </c>
      <c r="D51">
        <v>2</v>
      </c>
      <c r="E51">
        <v>0.88673599999999997</v>
      </c>
      <c r="G51">
        <v>14080</v>
      </c>
      <c r="H51">
        <v>256</v>
      </c>
      <c r="I51">
        <v>2</v>
      </c>
      <c r="J51">
        <v>2</v>
      </c>
      <c r="K51">
        <v>0.68644800000000006</v>
      </c>
      <c r="M51">
        <v>14080</v>
      </c>
      <c r="N51">
        <f t="shared" si="0"/>
        <v>14208</v>
      </c>
      <c r="O51">
        <v>256</v>
      </c>
      <c r="P51">
        <v>2</v>
      </c>
      <c r="Q51">
        <v>2</v>
      </c>
      <c r="R51">
        <v>0.88673599999999997</v>
      </c>
      <c r="T51">
        <v>14080</v>
      </c>
      <c r="U51">
        <f t="shared" si="1"/>
        <v>14208</v>
      </c>
      <c r="V51">
        <v>256</v>
      </c>
      <c r="W51">
        <v>2</v>
      </c>
      <c r="X51">
        <v>2</v>
      </c>
      <c r="Y51">
        <v>0.68644800000000006</v>
      </c>
    </row>
    <row r="52" spans="1:25" x14ac:dyDescent="0.25">
      <c r="A52">
        <v>0</v>
      </c>
      <c r="B52">
        <v>0</v>
      </c>
      <c r="C52">
        <v>0</v>
      </c>
      <c r="D52">
        <v>0</v>
      </c>
      <c r="E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25" x14ac:dyDescent="0.25">
      <c r="A53">
        <v>0</v>
      </c>
      <c r="B53">
        <v>0</v>
      </c>
      <c r="C53">
        <v>0</v>
      </c>
      <c r="D53">
        <v>0</v>
      </c>
      <c r="E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25" x14ac:dyDescent="0.25">
      <c r="A54">
        <v>0</v>
      </c>
      <c r="B54">
        <v>0</v>
      </c>
      <c r="C54">
        <v>0</v>
      </c>
      <c r="D54">
        <v>0</v>
      </c>
      <c r="E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25" x14ac:dyDescent="0.25">
      <c r="A55">
        <v>0</v>
      </c>
      <c r="B55">
        <v>0</v>
      </c>
      <c r="C55">
        <v>0</v>
      </c>
      <c r="D55">
        <v>0</v>
      </c>
      <c r="E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25" x14ac:dyDescent="0.25">
      <c r="A56">
        <v>0</v>
      </c>
      <c r="B56">
        <v>0</v>
      </c>
      <c r="C56">
        <v>0</v>
      </c>
      <c r="D56">
        <v>0</v>
      </c>
      <c r="E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25" x14ac:dyDescent="0.25">
      <c r="A57">
        <v>0</v>
      </c>
      <c r="B57">
        <v>0</v>
      </c>
      <c r="C57">
        <v>0</v>
      </c>
      <c r="D57">
        <v>0</v>
      </c>
      <c r="E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25" x14ac:dyDescent="0.25">
      <c r="A58">
        <v>0</v>
      </c>
      <c r="B58">
        <v>0</v>
      </c>
      <c r="C58">
        <v>0</v>
      </c>
      <c r="D58">
        <v>0</v>
      </c>
      <c r="E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25" x14ac:dyDescent="0.25">
      <c r="A59">
        <v>0</v>
      </c>
      <c r="B59">
        <v>0</v>
      </c>
      <c r="C59">
        <v>0</v>
      </c>
      <c r="D59">
        <v>0</v>
      </c>
      <c r="E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25" x14ac:dyDescent="0.25">
      <c r="A60">
        <v>0</v>
      </c>
      <c r="B60">
        <v>0</v>
      </c>
      <c r="C60">
        <v>0</v>
      </c>
      <c r="D60">
        <v>0</v>
      </c>
      <c r="E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25" x14ac:dyDescent="0.25">
      <c r="A61">
        <v>0</v>
      </c>
      <c r="B61">
        <v>0</v>
      </c>
      <c r="C61">
        <v>0</v>
      </c>
      <c r="D61">
        <v>0</v>
      </c>
      <c r="E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25" x14ac:dyDescent="0.25">
      <c r="A62">
        <v>0</v>
      </c>
      <c r="B62">
        <v>0</v>
      </c>
      <c r="C62">
        <v>0</v>
      </c>
      <c r="D62">
        <v>0</v>
      </c>
      <c r="E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25" x14ac:dyDescent="0.25">
      <c r="A63">
        <v>0</v>
      </c>
      <c r="B63">
        <v>0</v>
      </c>
      <c r="C63">
        <v>0</v>
      </c>
      <c r="D63">
        <v>0</v>
      </c>
      <c r="E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25" x14ac:dyDescent="0.25">
      <c r="A64">
        <v>0</v>
      </c>
      <c r="B64">
        <v>0</v>
      </c>
      <c r="C64">
        <v>0</v>
      </c>
      <c r="D64">
        <v>0</v>
      </c>
      <c r="E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0</v>
      </c>
      <c r="B65">
        <v>0</v>
      </c>
      <c r="C65">
        <v>0</v>
      </c>
      <c r="D65">
        <v>0</v>
      </c>
      <c r="E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5">
      <c r="A66">
        <v>0</v>
      </c>
      <c r="B66">
        <v>0</v>
      </c>
      <c r="C66">
        <v>0</v>
      </c>
      <c r="D66">
        <v>0</v>
      </c>
      <c r="E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0</v>
      </c>
      <c r="B67">
        <v>0</v>
      </c>
      <c r="C67">
        <v>0</v>
      </c>
      <c r="D67">
        <v>0</v>
      </c>
      <c r="E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0</v>
      </c>
      <c r="B68">
        <v>0</v>
      </c>
      <c r="C68">
        <v>0</v>
      </c>
      <c r="D68">
        <v>0</v>
      </c>
      <c r="E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0</v>
      </c>
      <c r="B69">
        <v>0</v>
      </c>
      <c r="C69">
        <v>0</v>
      </c>
      <c r="D69">
        <v>0</v>
      </c>
      <c r="E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0</v>
      </c>
      <c r="B70">
        <v>0</v>
      </c>
      <c r="C70">
        <v>0</v>
      </c>
      <c r="D70">
        <v>0</v>
      </c>
      <c r="E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5">
      <c r="A71">
        <v>0</v>
      </c>
      <c r="B71">
        <v>0</v>
      </c>
      <c r="C71">
        <v>0</v>
      </c>
      <c r="D71">
        <v>0</v>
      </c>
      <c r="E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25">
      <c r="A72">
        <v>0</v>
      </c>
      <c r="B72">
        <v>0</v>
      </c>
      <c r="C72">
        <v>0</v>
      </c>
      <c r="D72">
        <v>0</v>
      </c>
      <c r="E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>
        <v>0</v>
      </c>
      <c r="B73">
        <v>0</v>
      </c>
      <c r="C73">
        <v>0</v>
      </c>
      <c r="D73">
        <v>0</v>
      </c>
      <c r="E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5">
      <c r="A74">
        <v>0</v>
      </c>
      <c r="B74">
        <v>0</v>
      </c>
      <c r="C74">
        <v>0</v>
      </c>
      <c r="D74">
        <v>0</v>
      </c>
      <c r="E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5">
      <c r="A75">
        <v>0</v>
      </c>
      <c r="B75">
        <v>0</v>
      </c>
      <c r="C75">
        <v>0</v>
      </c>
      <c r="D75">
        <v>0</v>
      </c>
      <c r="E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5">
      <c r="A76">
        <v>0</v>
      </c>
      <c r="B76">
        <v>0</v>
      </c>
      <c r="C76">
        <v>0</v>
      </c>
      <c r="D76">
        <v>0</v>
      </c>
      <c r="E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>
        <v>0</v>
      </c>
      <c r="B77">
        <v>0</v>
      </c>
      <c r="C77">
        <v>0</v>
      </c>
      <c r="D77">
        <v>0</v>
      </c>
      <c r="E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0</v>
      </c>
      <c r="B78">
        <v>0</v>
      </c>
      <c r="C78">
        <v>0</v>
      </c>
      <c r="D78">
        <v>0</v>
      </c>
      <c r="E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>
        <v>0</v>
      </c>
      <c r="B79">
        <v>0</v>
      </c>
      <c r="C79">
        <v>0</v>
      </c>
      <c r="D79">
        <v>0</v>
      </c>
      <c r="E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>
        <v>0</v>
      </c>
      <c r="B80">
        <v>0</v>
      </c>
      <c r="C80">
        <v>0</v>
      </c>
      <c r="D80">
        <v>0</v>
      </c>
      <c r="E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0</v>
      </c>
      <c r="B81">
        <v>0</v>
      </c>
      <c r="C81">
        <v>0</v>
      </c>
      <c r="D81">
        <v>0</v>
      </c>
      <c r="E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>
        <v>0</v>
      </c>
      <c r="B82">
        <v>0</v>
      </c>
      <c r="C82">
        <v>0</v>
      </c>
      <c r="D82">
        <v>0</v>
      </c>
      <c r="E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>
        <v>0</v>
      </c>
      <c r="B83">
        <v>0</v>
      </c>
      <c r="C83">
        <v>0</v>
      </c>
      <c r="D83">
        <v>0</v>
      </c>
      <c r="E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>
        <v>0</v>
      </c>
      <c r="B84">
        <v>0</v>
      </c>
      <c r="C84">
        <v>0</v>
      </c>
      <c r="D84">
        <v>0</v>
      </c>
      <c r="E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>
        <v>0</v>
      </c>
      <c r="B85">
        <v>0</v>
      </c>
      <c r="C85">
        <v>0</v>
      </c>
      <c r="D85">
        <v>0</v>
      </c>
      <c r="E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>
        <v>0</v>
      </c>
      <c r="B86">
        <v>0</v>
      </c>
      <c r="C86">
        <v>0</v>
      </c>
      <c r="D86">
        <v>0</v>
      </c>
      <c r="E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5">
      <c r="A87">
        <v>0</v>
      </c>
      <c r="B87">
        <v>0</v>
      </c>
      <c r="C87">
        <v>0</v>
      </c>
      <c r="D87">
        <v>0</v>
      </c>
      <c r="E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5">
      <c r="A88">
        <v>0</v>
      </c>
      <c r="B88">
        <v>0</v>
      </c>
      <c r="C88">
        <v>0</v>
      </c>
      <c r="D88">
        <v>0</v>
      </c>
      <c r="E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25">
      <c r="A89">
        <v>0</v>
      </c>
      <c r="B89">
        <v>0</v>
      </c>
      <c r="C89">
        <v>0</v>
      </c>
      <c r="D89">
        <v>0</v>
      </c>
      <c r="E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5">
      <c r="A90">
        <v>0</v>
      </c>
      <c r="B90">
        <v>0</v>
      </c>
      <c r="C90">
        <v>0</v>
      </c>
      <c r="D90">
        <v>0</v>
      </c>
      <c r="E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>
        <v>0</v>
      </c>
      <c r="B91">
        <v>0</v>
      </c>
      <c r="C91">
        <v>0</v>
      </c>
      <c r="D91">
        <v>0</v>
      </c>
      <c r="E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>
        <v>0</v>
      </c>
      <c r="B92">
        <v>0</v>
      </c>
      <c r="C92">
        <v>0</v>
      </c>
      <c r="D92">
        <v>0</v>
      </c>
      <c r="E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>
        <v>0</v>
      </c>
      <c r="B93">
        <v>0</v>
      </c>
      <c r="C93">
        <v>0</v>
      </c>
      <c r="D93">
        <v>0</v>
      </c>
      <c r="E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>
        <v>0</v>
      </c>
      <c r="B94">
        <v>0</v>
      </c>
      <c r="C94">
        <v>0</v>
      </c>
      <c r="D94">
        <v>0</v>
      </c>
      <c r="E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25">
      <c r="A95">
        <v>0</v>
      </c>
      <c r="B95">
        <v>0</v>
      </c>
      <c r="C95">
        <v>0</v>
      </c>
      <c r="D95">
        <v>0</v>
      </c>
      <c r="E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5">
      <c r="A96">
        <v>0</v>
      </c>
      <c r="B96">
        <v>0</v>
      </c>
      <c r="C96">
        <v>0</v>
      </c>
      <c r="D96">
        <v>0</v>
      </c>
      <c r="E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5">
      <c r="A97">
        <v>0</v>
      </c>
      <c r="B97">
        <v>0</v>
      </c>
      <c r="C97">
        <v>0</v>
      </c>
      <c r="D97">
        <v>0</v>
      </c>
      <c r="E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>
        <v>0</v>
      </c>
      <c r="B98">
        <v>0</v>
      </c>
      <c r="C98">
        <v>0</v>
      </c>
      <c r="D98">
        <v>0</v>
      </c>
      <c r="E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5">
      <c r="A99">
        <v>0</v>
      </c>
      <c r="B99">
        <v>0</v>
      </c>
      <c r="C99">
        <v>0</v>
      </c>
      <c r="D99">
        <v>0</v>
      </c>
      <c r="E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0</v>
      </c>
      <c r="B100">
        <v>0</v>
      </c>
      <c r="C100">
        <v>0</v>
      </c>
      <c r="D100">
        <v>0</v>
      </c>
      <c r="E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5">
      <c r="A101">
        <v>0</v>
      </c>
      <c r="B101">
        <v>0</v>
      </c>
      <c r="C101">
        <v>0</v>
      </c>
      <c r="D101">
        <v>0</v>
      </c>
      <c r="E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5">
      <c r="A102">
        <v>0</v>
      </c>
      <c r="B102">
        <v>0</v>
      </c>
      <c r="C102">
        <v>0</v>
      </c>
      <c r="D102">
        <v>0</v>
      </c>
      <c r="E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5">
      <c r="A103">
        <v>0</v>
      </c>
      <c r="B103">
        <v>0</v>
      </c>
      <c r="C103">
        <v>0</v>
      </c>
      <c r="D103">
        <v>0</v>
      </c>
      <c r="E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>
        <v>0</v>
      </c>
      <c r="B104">
        <v>0</v>
      </c>
      <c r="C104">
        <v>0</v>
      </c>
      <c r="D104">
        <v>0</v>
      </c>
      <c r="E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5">
      <c r="A105">
        <v>0</v>
      </c>
      <c r="B105">
        <v>0</v>
      </c>
      <c r="C105">
        <v>0</v>
      </c>
      <c r="D105">
        <v>0</v>
      </c>
      <c r="E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5">
      <c r="A106">
        <v>0</v>
      </c>
      <c r="B106">
        <v>0</v>
      </c>
      <c r="C106">
        <v>0</v>
      </c>
      <c r="D106">
        <v>0</v>
      </c>
      <c r="E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5">
      <c r="A107">
        <v>0</v>
      </c>
      <c r="B107">
        <v>0</v>
      </c>
      <c r="C107">
        <v>0</v>
      </c>
      <c r="D107">
        <v>0</v>
      </c>
      <c r="E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5">
      <c r="A108">
        <v>0</v>
      </c>
      <c r="B108">
        <v>0</v>
      </c>
      <c r="C108">
        <v>0</v>
      </c>
      <c r="D108">
        <v>0</v>
      </c>
      <c r="E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5">
      <c r="A109">
        <v>0</v>
      </c>
      <c r="B109">
        <v>0</v>
      </c>
      <c r="C109">
        <v>0</v>
      </c>
      <c r="D109">
        <v>0</v>
      </c>
      <c r="E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5">
      <c r="A110">
        <v>0</v>
      </c>
      <c r="B110">
        <v>0</v>
      </c>
      <c r="C110">
        <v>0</v>
      </c>
      <c r="D110">
        <v>0</v>
      </c>
      <c r="E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5">
      <c r="A111">
        <v>0</v>
      </c>
      <c r="B111">
        <v>0</v>
      </c>
      <c r="C111">
        <v>0</v>
      </c>
      <c r="D111">
        <v>0</v>
      </c>
      <c r="E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>
        <v>0</v>
      </c>
      <c r="B112">
        <v>0</v>
      </c>
      <c r="C112">
        <v>0</v>
      </c>
      <c r="D112">
        <v>0</v>
      </c>
      <c r="E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5">
      <c r="A113">
        <v>0</v>
      </c>
      <c r="B113">
        <v>0</v>
      </c>
      <c r="C113">
        <v>0</v>
      </c>
      <c r="D113">
        <v>0</v>
      </c>
      <c r="E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5">
      <c r="A114">
        <v>0</v>
      </c>
      <c r="B114">
        <v>0</v>
      </c>
      <c r="C114">
        <v>0</v>
      </c>
      <c r="D114">
        <v>0</v>
      </c>
      <c r="E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5">
      <c r="A115">
        <v>0</v>
      </c>
      <c r="B115">
        <v>0</v>
      </c>
      <c r="C115">
        <v>0</v>
      </c>
      <c r="D115">
        <v>0</v>
      </c>
      <c r="E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0</v>
      </c>
      <c r="B116">
        <v>0</v>
      </c>
      <c r="C116">
        <v>0</v>
      </c>
      <c r="D116">
        <v>0</v>
      </c>
      <c r="E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0</v>
      </c>
      <c r="B117">
        <v>0</v>
      </c>
      <c r="C117">
        <v>0</v>
      </c>
      <c r="D117">
        <v>0</v>
      </c>
      <c r="E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5">
      <c r="A118">
        <v>0</v>
      </c>
      <c r="B118">
        <v>0</v>
      </c>
      <c r="C118">
        <v>0</v>
      </c>
      <c r="D118">
        <v>0</v>
      </c>
      <c r="E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5">
      <c r="A119">
        <v>0</v>
      </c>
      <c r="B119">
        <v>0</v>
      </c>
      <c r="C119">
        <v>0</v>
      </c>
      <c r="D119">
        <v>0</v>
      </c>
      <c r="E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0</v>
      </c>
      <c r="B120">
        <v>0</v>
      </c>
      <c r="C120">
        <v>0</v>
      </c>
      <c r="D120">
        <v>0</v>
      </c>
      <c r="E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0</v>
      </c>
      <c r="B121">
        <v>0</v>
      </c>
      <c r="C121">
        <v>0</v>
      </c>
      <c r="D121">
        <v>0</v>
      </c>
      <c r="E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0</v>
      </c>
      <c r="B122">
        <v>0</v>
      </c>
      <c r="C122">
        <v>0</v>
      </c>
      <c r="D122">
        <v>0</v>
      </c>
      <c r="E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5">
      <c r="A123">
        <v>0</v>
      </c>
      <c r="B123">
        <v>0</v>
      </c>
      <c r="C123">
        <v>0</v>
      </c>
      <c r="D123">
        <v>0</v>
      </c>
      <c r="E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5">
      <c r="A124">
        <v>0</v>
      </c>
      <c r="B124">
        <v>0</v>
      </c>
      <c r="C124">
        <v>0</v>
      </c>
      <c r="D124">
        <v>0</v>
      </c>
      <c r="E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5">
      <c r="A125">
        <v>0</v>
      </c>
      <c r="B125">
        <v>0</v>
      </c>
      <c r="C125">
        <v>0</v>
      </c>
      <c r="D125">
        <v>0</v>
      </c>
      <c r="E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0</v>
      </c>
      <c r="B126">
        <v>0</v>
      </c>
      <c r="C126">
        <v>0</v>
      </c>
      <c r="D126">
        <v>0</v>
      </c>
      <c r="E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>
        <v>0</v>
      </c>
      <c r="B127">
        <v>0</v>
      </c>
      <c r="C127">
        <v>0</v>
      </c>
      <c r="D127">
        <v>0</v>
      </c>
      <c r="E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5">
      <c r="A128">
        <v>0</v>
      </c>
      <c r="B128">
        <v>0</v>
      </c>
      <c r="C128">
        <v>0</v>
      </c>
      <c r="D128">
        <v>0</v>
      </c>
      <c r="E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5">
      <c r="A129">
        <v>0</v>
      </c>
      <c r="B129">
        <v>0</v>
      </c>
      <c r="C129">
        <v>0</v>
      </c>
      <c r="D129">
        <v>0</v>
      </c>
      <c r="E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5">
      <c r="A130">
        <v>0</v>
      </c>
      <c r="B130">
        <v>0</v>
      </c>
      <c r="C130">
        <v>0</v>
      </c>
      <c r="D130">
        <v>0</v>
      </c>
      <c r="E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0</v>
      </c>
      <c r="B131">
        <v>0</v>
      </c>
      <c r="C131">
        <v>0</v>
      </c>
      <c r="D131">
        <v>0</v>
      </c>
      <c r="E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5">
      <c r="A132">
        <v>0</v>
      </c>
      <c r="B132">
        <v>0</v>
      </c>
      <c r="C132">
        <v>0</v>
      </c>
      <c r="D132">
        <v>0</v>
      </c>
      <c r="E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5">
      <c r="A133">
        <v>0</v>
      </c>
      <c r="B133">
        <v>0</v>
      </c>
      <c r="C133">
        <v>0</v>
      </c>
      <c r="D133">
        <v>0</v>
      </c>
      <c r="E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5">
      <c r="A134">
        <v>0</v>
      </c>
      <c r="B134">
        <v>0</v>
      </c>
      <c r="C134">
        <v>0</v>
      </c>
      <c r="D134">
        <v>0</v>
      </c>
      <c r="E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5">
      <c r="A135">
        <v>0</v>
      </c>
      <c r="B135">
        <v>0</v>
      </c>
      <c r="C135">
        <v>0</v>
      </c>
      <c r="D135">
        <v>0</v>
      </c>
      <c r="E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5">
      <c r="A136">
        <v>0</v>
      </c>
      <c r="B136">
        <v>0</v>
      </c>
      <c r="C136">
        <v>0</v>
      </c>
      <c r="D136">
        <v>0</v>
      </c>
      <c r="E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>
        <v>0</v>
      </c>
      <c r="B137">
        <v>0</v>
      </c>
      <c r="C137">
        <v>0</v>
      </c>
      <c r="D137">
        <v>0</v>
      </c>
      <c r="E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0</v>
      </c>
      <c r="B138">
        <v>0</v>
      </c>
      <c r="C138">
        <v>0</v>
      </c>
      <c r="D138">
        <v>0</v>
      </c>
      <c r="E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5">
      <c r="A139">
        <v>0</v>
      </c>
      <c r="B139">
        <v>0</v>
      </c>
      <c r="C139">
        <v>0</v>
      </c>
      <c r="D139">
        <v>0</v>
      </c>
      <c r="E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0</v>
      </c>
      <c r="B140">
        <v>0</v>
      </c>
      <c r="C140">
        <v>0</v>
      </c>
      <c r="D140">
        <v>0</v>
      </c>
      <c r="E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0</v>
      </c>
      <c r="B141">
        <v>0</v>
      </c>
      <c r="C141">
        <v>0</v>
      </c>
      <c r="D141">
        <v>0</v>
      </c>
      <c r="E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5">
      <c r="A142">
        <v>0</v>
      </c>
      <c r="B142">
        <v>0</v>
      </c>
      <c r="C142">
        <v>0</v>
      </c>
      <c r="D142">
        <v>0</v>
      </c>
      <c r="E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0</v>
      </c>
      <c r="B143">
        <v>0</v>
      </c>
      <c r="C143">
        <v>0</v>
      </c>
      <c r="D143">
        <v>0</v>
      </c>
      <c r="E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5">
      <c r="G144">
        <v>0</v>
      </c>
      <c r="H144">
        <v>0</v>
      </c>
      <c r="I144">
        <v>0</v>
      </c>
      <c r="J144">
        <v>0</v>
      </c>
      <c r="K144">
        <v>0</v>
      </c>
    </row>
    <row r="145" spans="7:11" x14ac:dyDescent="0.25">
      <c r="G145">
        <v>0</v>
      </c>
      <c r="H145">
        <v>0</v>
      </c>
      <c r="I145">
        <v>0</v>
      </c>
      <c r="J145">
        <v>0</v>
      </c>
      <c r="K145">
        <v>0</v>
      </c>
    </row>
    <row r="146" spans="7:11" x14ac:dyDescent="0.25">
      <c r="G146">
        <v>0</v>
      </c>
      <c r="H146">
        <v>0</v>
      </c>
      <c r="I146">
        <v>0</v>
      </c>
      <c r="J146">
        <v>0</v>
      </c>
      <c r="K146">
        <v>0</v>
      </c>
    </row>
    <row r="147" spans="7:11" x14ac:dyDescent="0.25">
      <c r="G147">
        <v>0</v>
      </c>
      <c r="H147">
        <v>0</v>
      </c>
      <c r="I147">
        <v>0</v>
      </c>
      <c r="J147">
        <v>0</v>
      </c>
      <c r="K147">
        <v>0</v>
      </c>
    </row>
    <row r="148" spans="7:11" x14ac:dyDescent="0.25">
      <c r="G148">
        <v>0</v>
      </c>
      <c r="H148">
        <v>0</v>
      </c>
      <c r="I148">
        <v>0</v>
      </c>
      <c r="J148">
        <v>0</v>
      </c>
      <c r="K148">
        <v>0</v>
      </c>
    </row>
    <row r="149" spans="7:11" x14ac:dyDescent="0.25">
      <c r="G149">
        <v>0</v>
      </c>
      <c r="H149">
        <v>0</v>
      </c>
      <c r="I149">
        <v>0</v>
      </c>
      <c r="J149">
        <v>0</v>
      </c>
      <c r="K149">
        <v>0</v>
      </c>
    </row>
    <row r="150" spans="7:11" x14ac:dyDescent="0.25">
      <c r="G150">
        <v>0</v>
      </c>
      <c r="H150">
        <v>0</v>
      </c>
      <c r="I150">
        <v>0</v>
      </c>
      <c r="J150">
        <v>0</v>
      </c>
      <c r="K150">
        <v>0</v>
      </c>
    </row>
    <row r="151" spans="7:11" x14ac:dyDescent="0.25">
      <c r="G151">
        <v>0</v>
      </c>
      <c r="H151">
        <v>0</v>
      </c>
      <c r="I151">
        <v>0</v>
      </c>
      <c r="J151">
        <v>0</v>
      </c>
      <c r="K151">
        <v>0</v>
      </c>
    </row>
    <row r="152" spans="7:11" x14ac:dyDescent="0.25">
      <c r="G152">
        <v>0</v>
      </c>
      <c r="H152">
        <v>0</v>
      </c>
      <c r="I152">
        <v>0</v>
      </c>
      <c r="J152">
        <v>0</v>
      </c>
      <c r="K152">
        <v>0</v>
      </c>
    </row>
    <row r="153" spans="7:11" x14ac:dyDescent="0.25">
      <c r="G153">
        <v>0</v>
      </c>
      <c r="H153">
        <v>0</v>
      </c>
      <c r="I153">
        <v>0</v>
      </c>
      <c r="J153">
        <v>0</v>
      </c>
      <c r="K153">
        <v>0</v>
      </c>
    </row>
    <row r="154" spans="7:11" x14ac:dyDescent="0.25">
      <c r="G154">
        <v>0</v>
      </c>
      <c r="H154">
        <v>0</v>
      </c>
      <c r="I154">
        <v>0</v>
      </c>
      <c r="J154">
        <v>0</v>
      </c>
      <c r="K154">
        <v>0</v>
      </c>
    </row>
    <row r="155" spans="7:11" x14ac:dyDescent="0.25">
      <c r="G155">
        <v>0</v>
      </c>
      <c r="H155">
        <v>0</v>
      </c>
      <c r="I155">
        <v>0</v>
      </c>
      <c r="J155">
        <v>0</v>
      </c>
      <c r="K155">
        <v>0</v>
      </c>
    </row>
    <row r="156" spans="7:11" x14ac:dyDescent="0.25">
      <c r="G156">
        <v>0</v>
      </c>
      <c r="H156">
        <v>0</v>
      </c>
      <c r="I156">
        <v>0</v>
      </c>
      <c r="J156">
        <v>0</v>
      </c>
      <c r="K156">
        <v>0</v>
      </c>
    </row>
    <row r="157" spans="7:11" x14ac:dyDescent="0.25">
      <c r="G157">
        <v>0</v>
      </c>
      <c r="H157">
        <v>0</v>
      </c>
      <c r="I157">
        <v>0</v>
      </c>
      <c r="J157">
        <v>0</v>
      </c>
      <c r="K157">
        <v>0</v>
      </c>
    </row>
    <row r="158" spans="7:11" x14ac:dyDescent="0.25">
      <c r="G158">
        <v>0</v>
      </c>
      <c r="H158">
        <v>0</v>
      </c>
      <c r="I158">
        <v>0</v>
      </c>
      <c r="J158">
        <v>0</v>
      </c>
      <c r="K158">
        <v>0</v>
      </c>
    </row>
    <row r="159" spans="7:11" x14ac:dyDescent="0.25">
      <c r="G159">
        <v>0</v>
      </c>
      <c r="H159">
        <v>0</v>
      </c>
      <c r="I159">
        <v>0</v>
      </c>
      <c r="J159">
        <v>0</v>
      </c>
      <c r="K159">
        <v>0</v>
      </c>
    </row>
    <row r="160" spans="7:11" x14ac:dyDescent="0.25">
      <c r="G160">
        <v>0</v>
      </c>
      <c r="H160">
        <v>0</v>
      </c>
      <c r="I160">
        <v>0</v>
      </c>
      <c r="J160">
        <v>0</v>
      </c>
      <c r="K160">
        <v>0</v>
      </c>
    </row>
    <row r="161" spans="7:11" x14ac:dyDescent="0.25">
      <c r="G161">
        <v>0</v>
      </c>
      <c r="H161">
        <v>0</v>
      </c>
      <c r="I161">
        <v>0</v>
      </c>
      <c r="J161">
        <v>0</v>
      </c>
      <c r="K161">
        <v>0</v>
      </c>
    </row>
    <row r="162" spans="7:11" x14ac:dyDescent="0.25">
      <c r="G162">
        <v>0</v>
      </c>
      <c r="H162">
        <v>0</v>
      </c>
      <c r="I162">
        <v>0</v>
      </c>
      <c r="J162">
        <v>0</v>
      </c>
      <c r="K162">
        <v>0</v>
      </c>
    </row>
    <row r="163" spans="7:11" x14ac:dyDescent="0.25">
      <c r="G163">
        <v>0</v>
      </c>
      <c r="H163">
        <v>0</v>
      </c>
      <c r="I163">
        <v>0</v>
      </c>
      <c r="J163">
        <v>0</v>
      </c>
      <c r="K163">
        <v>0</v>
      </c>
    </row>
    <row r="164" spans="7:11" x14ac:dyDescent="0.25">
      <c r="G164">
        <v>0</v>
      </c>
      <c r="H164">
        <v>0</v>
      </c>
      <c r="I164">
        <v>0</v>
      </c>
      <c r="J164">
        <v>0</v>
      </c>
      <c r="K164">
        <v>0</v>
      </c>
    </row>
    <row r="165" spans="7:11" x14ac:dyDescent="0.25">
      <c r="G165">
        <v>0</v>
      </c>
      <c r="H165">
        <v>0</v>
      </c>
      <c r="I165">
        <v>0</v>
      </c>
      <c r="J165">
        <v>0</v>
      </c>
      <c r="K165">
        <v>0</v>
      </c>
    </row>
    <row r="166" spans="7:11" x14ac:dyDescent="0.25">
      <c r="G166">
        <v>0</v>
      </c>
      <c r="H166">
        <v>0</v>
      </c>
      <c r="I166">
        <v>0</v>
      </c>
      <c r="J166">
        <v>0</v>
      </c>
      <c r="K166">
        <v>0</v>
      </c>
    </row>
    <row r="167" spans="7:11" x14ac:dyDescent="0.25">
      <c r="G167">
        <v>0</v>
      </c>
      <c r="H167">
        <v>0</v>
      </c>
      <c r="I167">
        <v>0</v>
      </c>
      <c r="J167">
        <v>0</v>
      </c>
      <c r="K167">
        <v>0</v>
      </c>
    </row>
    <row r="168" spans="7:11" x14ac:dyDescent="0.25">
      <c r="G168">
        <v>0</v>
      </c>
      <c r="H168">
        <v>0</v>
      </c>
      <c r="I168">
        <v>0</v>
      </c>
      <c r="J168">
        <v>0</v>
      </c>
      <c r="K168">
        <v>0</v>
      </c>
    </row>
    <row r="169" spans="7:11" x14ac:dyDescent="0.25">
      <c r="G169">
        <v>0</v>
      </c>
      <c r="H169">
        <v>0</v>
      </c>
      <c r="I169">
        <v>0</v>
      </c>
      <c r="J169">
        <v>0</v>
      </c>
      <c r="K169">
        <v>0</v>
      </c>
    </row>
    <row r="170" spans="7:11" x14ac:dyDescent="0.25">
      <c r="G170">
        <v>0</v>
      </c>
      <c r="H170">
        <v>0</v>
      </c>
      <c r="I170">
        <v>0</v>
      </c>
      <c r="J170">
        <v>0</v>
      </c>
      <c r="K170">
        <v>0</v>
      </c>
    </row>
    <row r="171" spans="7:11" x14ac:dyDescent="0.25">
      <c r="G171">
        <v>0</v>
      </c>
      <c r="H171">
        <v>0</v>
      </c>
      <c r="I171">
        <v>0</v>
      </c>
      <c r="J171">
        <v>0</v>
      </c>
      <c r="K171">
        <v>0</v>
      </c>
    </row>
    <row r="172" spans="7:11" x14ac:dyDescent="0.25">
      <c r="G172">
        <v>0</v>
      </c>
      <c r="H172">
        <v>0</v>
      </c>
      <c r="I172">
        <v>0</v>
      </c>
      <c r="J172">
        <v>0</v>
      </c>
      <c r="K172">
        <v>0</v>
      </c>
    </row>
    <row r="173" spans="7:11" x14ac:dyDescent="0.25">
      <c r="G173">
        <v>0</v>
      </c>
      <c r="H173">
        <v>0</v>
      </c>
      <c r="I173">
        <v>0</v>
      </c>
      <c r="J173">
        <v>0</v>
      </c>
      <c r="K173">
        <v>0</v>
      </c>
    </row>
    <row r="174" spans="7:11" x14ac:dyDescent="0.25">
      <c r="G174">
        <v>0</v>
      </c>
      <c r="H174">
        <v>0</v>
      </c>
      <c r="I174">
        <v>0</v>
      </c>
      <c r="J174">
        <v>0</v>
      </c>
      <c r="K174">
        <v>0</v>
      </c>
    </row>
    <row r="175" spans="7:11" x14ac:dyDescent="0.25">
      <c r="G175">
        <v>0</v>
      </c>
      <c r="H175">
        <v>0</v>
      </c>
      <c r="I175">
        <v>0</v>
      </c>
      <c r="J175">
        <v>0</v>
      </c>
      <c r="K175">
        <v>0</v>
      </c>
    </row>
    <row r="176" spans="7:11" x14ac:dyDescent="0.25">
      <c r="G176">
        <v>0</v>
      </c>
      <c r="H176">
        <v>0</v>
      </c>
      <c r="I176">
        <v>0</v>
      </c>
      <c r="J176">
        <v>0</v>
      </c>
      <c r="K176">
        <v>0</v>
      </c>
    </row>
    <row r="177" spans="7:11" x14ac:dyDescent="0.25">
      <c r="G177">
        <v>0</v>
      </c>
      <c r="H177">
        <v>0</v>
      </c>
      <c r="I177">
        <v>0</v>
      </c>
      <c r="J177">
        <v>0</v>
      </c>
      <c r="K177">
        <v>0</v>
      </c>
    </row>
    <row r="178" spans="7:11" x14ac:dyDescent="0.25">
      <c r="G178">
        <v>0</v>
      </c>
      <c r="H178">
        <v>0</v>
      </c>
      <c r="I178">
        <v>0</v>
      </c>
      <c r="J178">
        <v>0</v>
      </c>
      <c r="K178">
        <v>0</v>
      </c>
    </row>
    <row r="179" spans="7:11" x14ac:dyDescent="0.25">
      <c r="G179">
        <v>0</v>
      </c>
      <c r="H179">
        <v>0</v>
      </c>
      <c r="I179">
        <v>0</v>
      </c>
      <c r="J179">
        <v>0</v>
      </c>
      <c r="K179">
        <v>0</v>
      </c>
    </row>
    <row r="180" spans="7:11" x14ac:dyDescent="0.25">
      <c r="G180">
        <v>0</v>
      </c>
      <c r="H180">
        <v>0</v>
      </c>
      <c r="I180">
        <v>0</v>
      </c>
      <c r="J180">
        <v>0</v>
      </c>
      <c r="K180">
        <v>0</v>
      </c>
    </row>
    <row r="181" spans="7:11" x14ac:dyDescent="0.25">
      <c r="G181">
        <v>0</v>
      </c>
      <c r="H181">
        <v>0</v>
      </c>
      <c r="I181">
        <v>0</v>
      </c>
      <c r="J181">
        <v>0</v>
      </c>
      <c r="K181">
        <v>0</v>
      </c>
    </row>
    <row r="182" spans="7:11" x14ac:dyDescent="0.25">
      <c r="G182">
        <v>0</v>
      </c>
      <c r="H182">
        <v>0</v>
      </c>
      <c r="I182">
        <v>0</v>
      </c>
      <c r="J182">
        <v>0</v>
      </c>
      <c r="K182">
        <v>0</v>
      </c>
    </row>
    <row r="183" spans="7:11" x14ac:dyDescent="0.25">
      <c r="G183">
        <v>0</v>
      </c>
      <c r="H183">
        <v>0</v>
      </c>
      <c r="I183">
        <v>0</v>
      </c>
      <c r="J183">
        <v>0</v>
      </c>
      <c r="K183">
        <v>0</v>
      </c>
    </row>
    <row r="184" spans="7:11" x14ac:dyDescent="0.25">
      <c r="G184">
        <v>0</v>
      </c>
      <c r="H184">
        <v>0</v>
      </c>
      <c r="I184">
        <v>0</v>
      </c>
      <c r="J184">
        <v>0</v>
      </c>
      <c r="K184">
        <v>0</v>
      </c>
    </row>
    <row r="185" spans="7:11" x14ac:dyDescent="0.25">
      <c r="G185">
        <v>0</v>
      </c>
      <c r="H185">
        <v>0</v>
      </c>
      <c r="I185">
        <v>0</v>
      </c>
      <c r="J185">
        <v>0</v>
      </c>
      <c r="K185">
        <v>0</v>
      </c>
    </row>
    <row r="186" spans="7:11" x14ac:dyDescent="0.25">
      <c r="G186">
        <v>0</v>
      </c>
      <c r="H186">
        <v>0</v>
      </c>
      <c r="I186">
        <v>0</v>
      </c>
      <c r="J186">
        <v>0</v>
      </c>
      <c r="K186">
        <v>0</v>
      </c>
    </row>
    <row r="187" spans="7:11" x14ac:dyDescent="0.25">
      <c r="G187">
        <v>0</v>
      </c>
      <c r="H187">
        <v>0</v>
      </c>
      <c r="I187">
        <v>0</v>
      </c>
      <c r="J187">
        <v>0</v>
      </c>
      <c r="K187">
        <v>0</v>
      </c>
    </row>
    <row r="188" spans="7:11" x14ac:dyDescent="0.25">
      <c r="G188">
        <v>0</v>
      </c>
      <c r="H188">
        <v>0</v>
      </c>
      <c r="I188">
        <v>0</v>
      </c>
      <c r="J188">
        <v>0</v>
      </c>
      <c r="K188">
        <v>0</v>
      </c>
    </row>
    <row r="189" spans="7:11" x14ac:dyDescent="0.25">
      <c r="G189">
        <v>0</v>
      </c>
      <c r="H189">
        <v>0</v>
      </c>
      <c r="I189">
        <v>0</v>
      </c>
      <c r="J189">
        <v>0</v>
      </c>
      <c r="K189">
        <v>0</v>
      </c>
    </row>
    <row r="190" spans="7:11" x14ac:dyDescent="0.25">
      <c r="G190">
        <v>0</v>
      </c>
      <c r="H190">
        <v>0</v>
      </c>
      <c r="I190">
        <v>0</v>
      </c>
      <c r="J190">
        <v>0</v>
      </c>
      <c r="K190">
        <v>0</v>
      </c>
    </row>
    <row r="191" spans="7:11" x14ac:dyDescent="0.25">
      <c r="G191">
        <v>0</v>
      </c>
      <c r="H191">
        <v>0</v>
      </c>
      <c r="I191">
        <v>0</v>
      </c>
      <c r="J191">
        <v>0</v>
      </c>
      <c r="K191">
        <v>0</v>
      </c>
    </row>
    <row r="192" spans="7:11" x14ac:dyDescent="0.25">
      <c r="G192">
        <v>0</v>
      </c>
      <c r="H192">
        <v>0</v>
      </c>
      <c r="I192">
        <v>0</v>
      </c>
      <c r="J192">
        <v>0</v>
      </c>
      <c r="K192">
        <v>0</v>
      </c>
    </row>
    <row r="193" spans="7:11" x14ac:dyDescent="0.25">
      <c r="G193">
        <v>0</v>
      </c>
      <c r="H193">
        <v>0</v>
      </c>
      <c r="I193">
        <v>0</v>
      </c>
      <c r="J193">
        <v>0</v>
      </c>
      <c r="K193">
        <v>0</v>
      </c>
    </row>
    <row r="194" spans="7:11" x14ac:dyDescent="0.25">
      <c r="G194">
        <v>0</v>
      </c>
      <c r="H194">
        <v>0</v>
      </c>
      <c r="I194">
        <v>0</v>
      </c>
      <c r="J194">
        <v>0</v>
      </c>
      <c r="K194">
        <v>0</v>
      </c>
    </row>
    <row r="195" spans="7:11" x14ac:dyDescent="0.25">
      <c r="G195">
        <v>0</v>
      </c>
      <c r="H195">
        <v>0</v>
      </c>
      <c r="I195">
        <v>0</v>
      </c>
      <c r="J195">
        <v>0</v>
      </c>
      <c r="K195">
        <v>0</v>
      </c>
    </row>
    <row r="196" spans="7:11" x14ac:dyDescent="0.25">
      <c r="G196">
        <v>0</v>
      </c>
      <c r="H196">
        <v>0</v>
      </c>
      <c r="I196">
        <v>0</v>
      </c>
      <c r="J196">
        <v>0</v>
      </c>
      <c r="K196">
        <v>0</v>
      </c>
    </row>
    <row r="197" spans="7:11" x14ac:dyDescent="0.25">
      <c r="G197">
        <v>0</v>
      </c>
      <c r="H197">
        <v>0</v>
      </c>
      <c r="I197">
        <v>0</v>
      </c>
      <c r="J197">
        <v>0</v>
      </c>
      <c r="K197">
        <v>0</v>
      </c>
    </row>
    <row r="198" spans="7:11" x14ac:dyDescent="0.25">
      <c r="G198">
        <v>0</v>
      </c>
      <c r="H198">
        <v>0</v>
      </c>
      <c r="I198">
        <v>0</v>
      </c>
      <c r="J198">
        <v>0</v>
      </c>
      <c r="K198">
        <v>0</v>
      </c>
    </row>
    <row r="199" spans="7:11" x14ac:dyDescent="0.25">
      <c r="G199">
        <v>0</v>
      </c>
      <c r="H199">
        <v>0</v>
      </c>
      <c r="I199">
        <v>0</v>
      </c>
      <c r="J199">
        <v>0</v>
      </c>
      <c r="K199">
        <v>0</v>
      </c>
    </row>
    <row r="200" spans="7:11" x14ac:dyDescent="0.25">
      <c r="G200">
        <v>0</v>
      </c>
      <c r="H200">
        <v>0</v>
      </c>
      <c r="I200">
        <v>0</v>
      </c>
      <c r="J200">
        <v>0</v>
      </c>
      <c r="K200">
        <v>0</v>
      </c>
    </row>
    <row r="201" spans="7:11" x14ac:dyDescent="0.25">
      <c r="G201">
        <v>0</v>
      </c>
      <c r="H201">
        <v>0</v>
      </c>
      <c r="I201">
        <v>0</v>
      </c>
      <c r="J201">
        <v>0</v>
      </c>
      <c r="K201">
        <v>0</v>
      </c>
    </row>
    <row r="202" spans="7:11" x14ac:dyDescent="0.25">
      <c r="G202">
        <v>0</v>
      </c>
      <c r="H202">
        <v>0</v>
      </c>
      <c r="I202">
        <v>0</v>
      </c>
      <c r="J202">
        <v>0</v>
      </c>
      <c r="K202">
        <v>0</v>
      </c>
    </row>
    <row r="203" spans="7:11" x14ac:dyDescent="0.25">
      <c r="G203">
        <v>0</v>
      </c>
      <c r="H203">
        <v>0</v>
      </c>
      <c r="I203">
        <v>0</v>
      </c>
      <c r="J203">
        <v>0</v>
      </c>
      <c r="K203">
        <v>0</v>
      </c>
    </row>
    <row r="204" spans="7:11" x14ac:dyDescent="0.25">
      <c r="G204">
        <v>0</v>
      </c>
      <c r="H204">
        <v>0</v>
      </c>
      <c r="I204">
        <v>0</v>
      </c>
      <c r="J204">
        <v>0</v>
      </c>
      <c r="K204">
        <v>0</v>
      </c>
    </row>
    <row r="205" spans="7:11" x14ac:dyDescent="0.25">
      <c r="G205">
        <v>0</v>
      </c>
      <c r="H205">
        <v>0</v>
      </c>
      <c r="I205">
        <v>0</v>
      </c>
      <c r="J205">
        <v>0</v>
      </c>
      <c r="K205">
        <v>0</v>
      </c>
    </row>
    <row r="206" spans="7:11" x14ac:dyDescent="0.25">
      <c r="G206">
        <v>0</v>
      </c>
      <c r="H206">
        <v>0</v>
      </c>
      <c r="I206">
        <v>0</v>
      </c>
      <c r="J206">
        <v>0</v>
      </c>
      <c r="K206">
        <v>0</v>
      </c>
    </row>
    <row r="207" spans="7:11" x14ac:dyDescent="0.25">
      <c r="G207">
        <v>0</v>
      </c>
      <c r="H207">
        <v>0</v>
      </c>
      <c r="I207">
        <v>0</v>
      </c>
      <c r="J207">
        <v>0</v>
      </c>
      <c r="K207">
        <v>0</v>
      </c>
    </row>
    <row r="208" spans="7:11" x14ac:dyDescent="0.25">
      <c r="G208">
        <v>0</v>
      </c>
      <c r="H208">
        <v>0</v>
      </c>
      <c r="I208">
        <v>0</v>
      </c>
      <c r="J208">
        <v>0</v>
      </c>
      <c r="K208">
        <v>0</v>
      </c>
    </row>
    <row r="209" spans="7:11" x14ac:dyDescent="0.25">
      <c r="G209">
        <v>0</v>
      </c>
      <c r="H209">
        <v>0</v>
      </c>
      <c r="I209">
        <v>0</v>
      </c>
      <c r="J209">
        <v>0</v>
      </c>
      <c r="K209">
        <v>0</v>
      </c>
    </row>
    <row r="210" spans="7:11" x14ac:dyDescent="0.25">
      <c r="G210">
        <v>0</v>
      </c>
      <c r="H210">
        <v>0</v>
      </c>
      <c r="I210">
        <v>0</v>
      </c>
      <c r="J210">
        <v>0</v>
      </c>
      <c r="K210">
        <v>0</v>
      </c>
    </row>
    <row r="211" spans="7:11" x14ac:dyDescent="0.25">
      <c r="G211">
        <v>0</v>
      </c>
      <c r="H211">
        <v>0</v>
      </c>
      <c r="I211">
        <v>0</v>
      </c>
      <c r="J211">
        <v>0</v>
      </c>
      <c r="K211">
        <v>0</v>
      </c>
    </row>
    <row r="212" spans="7:11" x14ac:dyDescent="0.25">
      <c r="G212">
        <v>0</v>
      </c>
      <c r="H212">
        <v>0</v>
      </c>
      <c r="I212">
        <v>0</v>
      </c>
      <c r="J212">
        <v>0</v>
      </c>
      <c r="K212">
        <v>0</v>
      </c>
    </row>
    <row r="213" spans="7:11" x14ac:dyDescent="0.25">
      <c r="G213">
        <v>0</v>
      </c>
      <c r="H213">
        <v>0</v>
      </c>
      <c r="I213">
        <v>0</v>
      </c>
      <c r="J213">
        <v>0</v>
      </c>
      <c r="K213">
        <v>0</v>
      </c>
    </row>
    <row r="214" spans="7:11" x14ac:dyDescent="0.25">
      <c r="G214">
        <v>0</v>
      </c>
      <c r="H214">
        <v>0</v>
      </c>
      <c r="I214">
        <v>0</v>
      </c>
      <c r="J214">
        <v>0</v>
      </c>
      <c r="K214">
        <v>0</v>
      </c>
    </row>
    <row r="215" spans="7:11" x14ac:dyDescent="0.25">
      <c r="G215">
        <v>0</v>
      </c>
      <c r="H215">
        <v>0</v>
      </c>
      <c r="I215">
        <v>0</v>
      </c>
      <c r="J215">
        <v>0</v>
      </c>
      <c r="K215">
        <v>0</v>
      </c>
    </row>
    <row r="216" spans="7:11" x14ac:dyDescent="0.25">
      <c r="G216">
        <v>0</v>
      </c>
      <c r="H216">
        <v>0</v>
      </c>
      <c r="I216">
        <v>0</v>
      </c>
      <c r="J216">
        <v>0</v>
      </c>
      <c r="K216">
        <v>0</v>
      </c>
    </row>
    <row r="217" spans="7:11" x14ac:dyDescent="0.25">
      <c r="G217">
        <v>0</v>
      </c>
      <c r="H217">
        <v>0</v>
      </c>
      <c r="I217">
        <v>0</v>
      </c>
      <c r="J217">
        <v>0</v>
      </c>
      <c r="K217">
        <v>0</v>
      </c>
    </row>
    <row r="218" spans="7:11" x14ac:dyDescent="0.25">
      <c r="G218">
        <v>0</v>
      </c>
      <c r="H218">
        <v>0</v>
      </c>
      <c r="I218">
        <v>0</v>
      </c>
      <c r="J218">
        <v>0</v>
      </c>
      <c r="K218">
        <v>0</v>
      </c>
    </row>
    <row r="219" spans="7:11" x14ac:dyDescent="0.25">
      <c r="G219">
        <v>0</v>
      </c>
      <c r="H219">
        <v>0</v>
      </c>
      <c r="I219">
        <v>0</v>
      </c>
      <c r="J219">
        <v>0</v>
      </c>
      <c r="K219">
        <v>0</v>
      </c>
    </row>
    <row r="220" spans="7:11" x14ac:dyDescent="0.25">
      <c r="G220">
        <v>0</v>
      </c>
      <c r="H220">
        <v>0</v>
      </c>
      <c r="I220">
        <v>0</v>
      </c>
      <c r="J220">
        <v>0</v>
      </c>
      <c r="K220">
        <v>0</v>
      </c>
    </row>
    <row r="221" spans="7:11" x14ac:dyDescent="0.25">
      <c r="G221">
        <v>0</v>
      </c>
      <c r="H221">
        <v>0</v>
      </c>
      <c r="I221">
        <v>0</v>
      </c>
      <c r="J221">
        <v>0</v>
      </c>
      <c r="K221">
        <v>0</v>
      </c>
    </row>
    <row r="222" spans="7:11" x14ac:dyDescent="0.25">
      <c r="G222">
        <v>0</v>
      </c>
      <c r="H222">
        <v>0</v>
      </c>
      <c r="I222">
        <v>0</v>
      </c>
      <c r="J222">
        <v>0</v>
      </c>
      <c r="K222">
        <v>0</v>
      </c>
    </row>
    <row r="223" spans="7:11" x14ac:dyDescent="0.25">
      <c r="G223">
        <v>0</v>
      </c>
      <c r="H223">
        <v>0</v>
      </c>
      <c r="I223">
        <v>0</v>
      </c>
      <c r="J223">
        <v>0</v>
      </c>
      <c r="K223">
        <v>0</v>
      </c>
    </row>
    <row r="224" spans="7:11" x14ac:dyDescent="0.25">
      <c r="G224">
        <v>0</v>
      </c>
      <c r="H224">
        <v>0</v>
      </c>
      <c r="I224">
        <v>0</v>
      </c>
      <c r="J224">
        <v>0</v>
      </c>
      <c r="K224">
        <v>0</v>
      </c>
    </row>
    <row r="225" spans="7:11" x14ac:dyDescent="0.25">
      <c r="G225">
        <v>0</v>
      </c>
      <c r="H225">
        <v>0</v>
      </c>
      <c r="I225">
        <v>0</v>
      </c>
      <c r="J225">
        <v>0</v>
      </c>
      <c r="K225">
        <v>0</v>
      </c>
    </row>
    <row r="226" spans="7:11" x14ac:dyDescent="0.25">
      <c r="G226">
        <v>0</v>
      </c>
      <c r="H226">
        <v>0</v>
      </c>
      <c r="I226">
        <v>0</v>
      </c>
      <c r="J226">
        <v>0</v>
      </c>
      <c r="K226">
        <v>0</v>
      </c>
    </row>
    <row r="227" spans="7:11" x14ac:dyDescent="0.25">
      <c r="G227">
        <v>0</v>
      </c>
      <c r="H227">
        <v>0</v>
      </c>
      <c r="I227">
        <v>0</v>
      </c>
      <c r="J227">
        <v>0</v>
      </c>
      <c r="K227">
        <v>0</v>
      </c>
    </row>
    <row r="228" spans="7:11" x14ac:dyDescent="0.25">
      <c r="G228">
        <v>0</v>
      </c>
      <c r="H228">
        <v>0</v>
      </c>
      <c r="I228">
        <v>0</v>
      </c>
      <c r="J228">
        <v>0</v>
      </c>
      <c r="K228">
        <v>0</v>
      </c>
    </row>
    <row r="229" spans="7:11" x14ac:dyDescent="0.25">
      <c r="G229">
        <v>0</v>
      </c>
      <c r="H229">
        <v>0</v>
      </c>
      <c r="I229">
        <v>0</v>
      </c>
      <c r="J229">
        <v>0</v>
      </c>
      <c r="K229">
        <v>0</v>
      </c>
    </row>
    <row r="230" spans="7:11" x14ac:dyDescent="0.25">
      <c r="G230">
        <v>0</v>
      </c>
      <c r="H230">
        <v>0</v>
      </c>
      <c r="I230">
        <v>0</v>
      </c>
      <c r="J230">
        <v>0</v>
      </c>
      <c r="K230">
        <v>0</v>
      </c>
    </row>
    <row r="231" spans="7:11" x14ac:dyDescent="0.25">
      <c r="G231">
        <v>0</v>
      </c>
      <c r="H231">
        <v>0</v>
      </c>
      <c r="I231">
        <v>0</v>
      </c>
      <c r="J231">
        <v>0</v>
      </c>
      <c r="K231">
        <v>0</v>
      </c>
    </row>
    <row r="232" spans="7:11" x14ac:dyDescent="0.25">
      <c r="G232">
        <v>0</v>
      </c>
      <c r="H232">
        <v>0</v>
      </c>
      <c r="I232">
        <v>0</v>
      </c>
      <c r="J232">
        <v>0</v>
      </c>
      <c r="K232">
        <v>0</v>
      </c>
    </row>
    <row r="233" spans="7:11" x14ac:dyDescent="0.25">
      <c r="G233">
        <v>0</v>
      </c>
      <c r="H233">
        <v>0</v>
      </c>
      <c r="I233">
        <v>0</v>
      </c>
      <c r="J233">
        <v>0</v>
      </c>
      <c r="K233">
        <v>0</v>
      </c>
    </row>
    <row r="234" spans="7:11" x14ac:dyDescent="0.25">
      <c r="G234">
        <v>0</v>
      </c>
      <c r="H234">
        <v>0</v>
      </c>
      <c r="I234">
        <v>0</v>
      </c>
      <c r="J234">
        <v>0</v>
      </c>
      <c r="K234">
        <v>0</v>
      </c>
    </row>
    <row r="235" spans="7:11" x14ac:dyDescent="0.25">
      <c r="G235">
        <v>0</v>
      </c>
      <c r="H235">
        <v>0</v>
      </c>
      <c r="I235">
        <v>0</v>
      </c>
      <c r="J235">
        <v>0</v>
      </c>
      <c r="K235">
        <v>0</v>
      </c>
    </row>
    <row r="236" spans="7:11" x14ac:dyDescent="0.25">
      <c r="G236">
        <v>0</v>
      </c>
      <c r="H236">
        <v>0</v>
      </c>
      <c r="I236">
        <v>0</v>
      </c>
      <c r="J236">
        <v>0</v>
      </c>
      <c r="K236">
        <v>0</v>
      </c>
    </row>
    <row r="237" spans="7:11" x14ac:dyDescent="0.25">
      <c r="G237">
        <v>0</v>
      </c>
      <c r="H237">
        <v>0</v>
      </c>
      <c r="I237">
        <v>0</v>
      </c>
      <c r="J237">
        <v>0</v>
      </c>
      <c r="K237">
        <v>0</v>
      </c>
    </row>
    <row r="238" spans="7:11" x14ac:dyDescent="0.25">
      <c r="G238">
        <v>0</v>
      </c>
      <c r="H238">
        <v>0</v>
      </c>
      <c r="I238">
        <v>0</v>
      </c>
      <c r="J238">
        <v>0</v>
      </c>
      <c r="K238">
        <v>0</v>
      </c>
    </row>
    <row r="239" spans="7:11" x14ac:dyDescent="0.25">
      <c r="G239">
        <v>0</v>
      </c>
      <c r="H239">
        <v>0</v>
      </c>
      <c r="I239">
        <v>0</v>
      </c>
      <c r="J239">
        <v>0</v>
      </c>
      <c r="K239">
        <v>0</v>
      </c>
    </row>
    <row r="240" spans="7:11" x14ac:dyDescent="0.25">
      <c r="G240">
        <v>0</v>
      </c>
      <c r="H240">
        <v>0</v>
      </c>
      <c r="I240">
        <v>0</v>
      </c>
      <c r="J240">
        <v>0</v>
      </c>
      <c r="K240">
        <v>0</v>
      </c>
    </row>
    <row r="241" spans="7:11" x14ac:dyDescent="0.25">
      <c r="G241">
        <v>0</v>
      </c>
      <c r="H241">
        <v>0</v>
      </c>
      <c r="I241">
        <v>0</v>
      </c>
      <c r="J241">
        <v>0</v>
      </c>
      <c r="K241">
        <v>0</v>
      </c>
    </row>
    <row r="242" spans="7:11" x14ac:dyDescent="0.25">
      <c r="G242">
        <v>0</v>
      </c>
      <c r="H242">
        <v>0</v>
      </c>
      <c r="I242">
        <v>0</v>
      </c>
      <c r="J242">
        <v>0</v>
      </c>
      <c r="K242">
        <v>0</v>
      </c>
    </row>
    <row r="243" spans="7:11" x14ac:dyDescent="0.25">
      <c r="G243">
        <v>0</v>
      </c>
      <c r="H243">
        <v>0</v>
      </c>
      <c r="I243">
        <v>0</v>
      </c>
      <c r="J243">
        <v>0</v>
      </c>
      <c r="K243">
        <v>0</v>
      </c>
    </row>
    <row r="244" spans="7:11" x14ac:dyDescent="0.25">
      <c r="G244">
        <v>0</v>
      </c>
      <c r="H244">
        <v>0</v>
      </c>
      <c r="I244">
        <v>0</v>
      </c>
      <c r="J244">
        <v>0</v>
      </c>
      <c r="K244">
        <v>0</v>
      </c>
    </row>
    <row r="245" spans="7:11" x14ac:dyDescent="0.25">
      <c r="G245">
        <v>0</v>
      </c>
      <c r="H245">
        <v>0</v>
      </c>
      <c r="I245">
        <v>0</v>
      </c>
      <c r="J245">
        <v>0</v>
      </c>
      <c r="K245">
        <v>0</v>
      </c>
    </row>
    <row r="246" spans="7:11" x14ac:dyDescent="0.25">
      <c r="G246">
        <v>0</v>
      </c>
      <c r="H246">
        <v>0</v>
      </c>
      <c r="I246">
        <v>0</v>
      </c>
      <c r="J246">
        <v>0</v>
      </c>
      <c r="K246">
        <v>0</v>
      </c>
    </row>
    <row r="247" spans="7:11" x14ac:dyDescent="0.25">
      <c r="G247">
        <v>0</v>
      </c>
      <c r="H247">
        <v>0</v>
      </c>
      <c r="I247">
        <v>0</v>
      </c>
      <c r="J247">
        <v>0</v>
      </c>
      <c r="K247">
        <v>0</v>
      </c>
    </row>
    <row r="248" spans="7:11" x14ac:dyDescent="0.25">
      <c r="G248">
        <v>0</v>
      </c>
      <c r="H248">
        <v>0</v>
      </c>
      <c r="I248">
        <v>0</v>
      </c>
      <c r="J248">
        <v>0</v>
      </c>
      <c r="K248">
        <v>0</v>
      </c>
    </row>
    <row r="249" spans="7:11" x14ac:dyDescent="0.25">
      <c r="G249">
        <v>0</v>
      </c>
      <c r="H249">
        <v>0</v>
      </c>
      <c r="I249">
        <v>0</v>
      </c>
      <c r="J249">
        <v>0</v>
      </c>
      <c r="K249">
        <v>0</v>
      </c>
    </row>
    <row r="250" spans="7:11" x14ac:dyDescent="0.25">
      <c r="G250">
        <v>0</v>
      </c>
      <c r="H250">
        <v>0</v>
      </c>
      <c r="I250">
        <v>0</v>
      </c>
      <c r="J250">
        <v>0</v>
      </c>
      <c r="K250">
        <v>0</v>
      </c>
    </row>
    <row r="251" spans="7:11" x14ac:dyDescent="0.25">
      <c r="G251">
        <v>0</v>
      </c>
      <c r="H251">
        <v>0</v>
      </c>
      <c r="I251">
        <v>0</v>
      </c>
      <c r="J251">
        <v>0</v>
      </c>
      <c r="K251">
        <v>0</v>
      </c>
    </row>
    <row r="252" spans="7:11" x14ac:dyDescent="0.25">
      <c r="G252">
        <v>0</v>
      </c>
      <c r="H252">
        <v>0</v>
      </c>
      <c r="I252">
        <v>0</v>
      </c>
      <c r="J252">
        <v>0</v>
      </c>
      <c r="K252">
        <v>0</v>
      </c>
    </row>
    <row r="253" spans="7:11" x14ac:dyDescent="0.25">
      <c r="G253">
        <v>0</v>
      </c>
      <c r="H253">
        <v>0</v>
      </c>
      <c r="I253">
        <v>0</v>
      </c>
      <c r="J253">
        <v>0</v>
      </c>
      <c r="K253">
        <v>0</v>
      </c>
    </row>
    <row r="254" spans="7:11" x14ac:dyDescent="0.25">
      <c r="G254">
        <v>0</v>
      </c>
      <c r="H254">
        <v>0</v>
      </c>
      <c r="I254">
        <v>0</v>
      </c>
      <c r="J254">
        <v>0</v>
      </c>
      <c r="K254">
        <v>0</v>
      </c>
    </row>
    <row r="255" spans="7:11" x14ac:dyDescent="0.25">
      <c r="G255">
        <v>0</v>
      </c>
      <c r="H255">
        <v>0</v>
      </c>
      <c r="I255">
        <v>0</v>
      </c>
      <c r="J255">
        <v>0</v>
      </c>
      <c r="K255">
        <v>0</v>
      </c>
    </row>
    <row r="256" spans="7:11" x14ac:dyDescent="0.25">
      <c r="G256">
        <v>0</v>
      </c>
      <c r="H256">
        <v>0</v>
      </c>
      <c r="I256">
        <v>0</v>
      </c>
      <c r="J256">
        <v>0</v>
      </c>
      <c r="K256">
        <v>0</v>
      </c>
    </row>
    <row r="257" spans="7:11" x14ac:dyDescent="0.25">
      <c r="G257">
        <v>0</v>
      </c>
      <c r="H257">
        <v>0</v>
      </c>
      <c r="I257">
        <v>0</v>
      </c>
      <c r="J257">
        <v>0</v>
      </c>
      <c r="K257">
        <v>0</v>
      </c>
    </row>
    <row r="258" spans="7:11" x14ac:dyDescent="0.25">
      <c r="G258">
        <v>0</v>
      </c>
      <c r="H258">
        <v>0</v>
      </c>
      <c r="I258">
        <v>0</v>
      </c>
      <c r="J258">
        <v>0</v>
      </c>
      <c r="K258">
        <v>0</v>
      </c>
    </row>
    <row r="259" spans="7:11" x14ac:dyDescent="0.25">
      <c r="G259">
        <v>0</v>
      </c>
      <c r="H259">
        <v>0</v>
      </c>
      <c r="I259">
        <v>0</v>
      </c>
      <c r="J259">
        <v>0</v>
      </c>
      <c r="K259">
        <v>0</v>
      </c>
    </row>
    <row r="260" spans="7:11" x14ac:dyDescent="0.25">
      <c r="G260">
        <v>0</v>
      </c>
      <c r="H260">
        <v>0</v>
      </c>
      <c r="I260">
        <v>0</v>
      </c>
      <c r="J260">
        <v>0</v>
      </c>
      <c r="K260">
        <v>0</v>
      </c>
    </row>
    <row r="261" spans="7:11" x14ac:dyDescent="0.25">
      <c r="G261">
        <v>0</v>
      </c>
      <c r="H261">
        <v>0</v>
      </c>
      <c r="I261">
        <v>0</v>
      </c>
      <c r="J261">
        <v>0</v>
      </c>
      <c r="K261">
        <v>0</v>
      </c>
    </row>
    <row r="262" spans="7:11" x14ac:dyDescent="0.25">
      <c r="G262">
        <v>0</v>
      </c>
      <c r="H262">
        <v>0</v>
      </c>
      <c r="I262">
        <v>0</v>
      </c>
      <c r="J262">
        <v>0</v>
      </c>
      <c r="K262">
        <v>0</v>
      </c>
    </row>
    <row r="263" spans="7:11" x14ac:dyDescent="0.25">
      <c r="G263">
        <v>0</v>
      </c>
      <c r="H263">
        <v>0</v>
      </c>
      <c r="I263">
        <v>0</v>
      </c>
      <c r="J263">
        <v>0</v>
      </c>
      <c r="K263">
        <v>0</v>
      </c>
    </row>
    <row r="264" spans="7:11" x14ac:dyDescent="0.25">
      <c r="G264">
        <v>0</v>
      </c>
      <c r="H264">
        <v>0</v>
      </c>
      <c r="I264">
        <v>0</v>
      </c>
      <c r="J264">
        <v>0</v>
      </c>
      <c r="K264">
        <v>0</v>
      </c>
    </row>
    <row r="265" spans="7:11" x14ac:dyDescent="0.25">
      <c r="G265">
        <v>0</v>
      </c>
      <c r="H265">
        <v>0</v>
      </c>
      <c r="I265">
        <v>0</v>
      </c>
      <c r="J265">
        <v>0</v>
      </c>
      <c r="K265">
        <v>0</v>
      </c>
    </row>
    <row r="266" spans="7:11" x14ac:dyDescent="0.25">
      <c r="G266">
        <v>0</v>
      </c>
      <c r="H266">
        <v>0</v>
      </c>
      <c r="I266">
        <v>0</v>
      </c>
      <c r="J266">
        <v>0</v>
      </c>
      <c r="K266">
        <v>0</v>
      </c>
    </row>
    <row r="267" spans="7:11" x14ac:dyDescent="0.25">
      <c r="G267">
        <v>0</v>
      </c>
      <c r="H267">
        <v>0</v>
      </c>
      <c r="I267">
        <v>0</v>
      </c>
      <c r="J267">
        <v>0</v>
      </c>
      <c r="K267">
        <v>0</v>
      </c>
    </row>
    <row r="268" spans="7:11" x14ac:dyDescent="0.25">
      <c r="G268">
        <v>0</v>
      </c>
      <c r="H268">
        <v>0</v>
      </c>
      <c r="I268">
        <v>0</v>
      </c>
      <c r="J268">
        <v>0</v>
      </c>
      <c r="K268">
        <v>0</v>
      </c>
    </row>
    <row r="269" spans="7:11" x14ac:dyDescent="0.25">
      <c r="G269">
        <v>0</v>
      </c>
      <c r="H269">
        <v>0</v>
      </c>
      <c r="I269">
        <v>0</v>
      </c>
      <c r="J269">
        <v>0</v>
      </c>
      <c r="K269">
        <v>0</v>
      </c>
    </row>
    <row r="270" spans="7:11" x14ac:dyDescent="0.25">
      <c r="G270">
        <v>0</v>
      </c>
      <c r="H270">
        <v>0</v>
      </c>
      <c r="I270">
        <v>0</v>
      </c>
      <c r="J270">
        <v>0</v>
      </c>
      <c r="K270">
        <v>0</v>
      </c>
    </row>
    <row r="271" spans="7:11" x14ac:dyDescent="0.25">
      <c r="G271">
        <v>0</v>
      </c>
      <c r="H271">
        <v>0</v>
      </c>
      <c r="I271">
        <v>0</v>
      </c>
      <c r="J271">
        <v>0</v>
      </c>
      <c r="K271">
        <v>0</v>
      </c>
    </row>
    <row r="272" spans="7:11" x14ac:dyDescent="0.25">
      <c r="G272">
        <v>0</v>
      </c>
      <c r="H272">
        <v>0</v>
      </c>
      <c r="I272">
        <v>0</v>
      </c>
      <c r="J272">
        <v>0</v>
      </c>
      <c r="K272">
        <v>0</v>
      </c>
    </row>
    <row r="273" spans="7:11" x14ac:dyDescent="0.25">
      <c r="G273">
        <v>0</v>
      </c>
      <c r="H273">
        <v>0</v>
      </c>
      <c r="I273">
        <v>0</v>
      </c>
      <c r="J273">
        <v>0</v>
      </c>
      <c r="K273">
        <v>0</v>
      </c>
    </row>
    <row r="274" spans="7:11" x14ac:dyDescent="0.25">
      <c r="G274">
        <v>0</v>
      </c>
      <c r="H274">
        <v>0</v>
      </c>
      <c r="I274">
        <v>0</v>
      </c>
      <c r="J274">
        <v>0</v>
      </c>
      <c r="K274">
        <v>0</v>
      </c>
    </row>
    <row r="275" spans="7:11" x14ac:dyDescent="0.25">
      <c r="G275">
        <v>0</v>
      </c>
      <c r="H275">
        <v>0</v>
      </c>
      <c r="I275">
        <v>0</v>
      </c>
      <c r="J275">
        <v>0</v>
      </c>
      <c r="K275">
        <v>0</v>
      </c>
    </row>
    <row r="276" spans="7:11" x14ac:dyDescent="0.25">
      <c r="G276">
        <v>0</v>
      </c>
      <c r="H276">
        <v>0</v>
      </c>
      <c r="I276">
        <v>0</v>
      </c>
      <c r="J276">
        <v>0</v>
      </c>
      <c r="K276">
        <v>0</v>
      </c>
    </row>
    <row r="277" spans="7:11" x14ac:dyDescent="0.25">
      <c r="G277">
        <v>0</v>
      </c>
      <c r="H277">
        <v>0</v>
      </c>
      <c r="I277">
        <v>0</v>
      </c>
      <c r="J277">
        <v>0</v>
      </c>
      <c r="K277">
        <v>0</v>
      </c>
    </row>
    <row r="278" spans="7:11" x14ac:dyDescent="0.25">
      <c r="G278">
        <v>0</v>
      </c>
      <c r="H278">
        <v>0</v>
      </c>
      <c r="I278">
        <v>0</v>
      </c>
      <c r="J278">
        <v>0</v>
      </c>
      <c r="K278">
        <v>0</v>
      </c>
    </row>
    <row r="279" spans="7:11" x14ac:dyDescent="0.25">
      <c r="G279">
        <v>0</v>
      </c>
      <c r="H279">
        <v>0</v>
      </c>
      <c r="I279">
        <v>0</v>
      </c>
      <c r="J279">
        <v>0</v>
      </c>
      <c r="K279">
        <v>0</v>
      </c>
    </row>
    <row r="280" spans="7:11" x14ac:dyDescent="0.25">
      <c r="G280">
        <v>0</v>
      </c>
      <c r="H280">
        <v>0</v>
      </c>
      <c r="I280">
        <v>0</v>
      </c>
      <c r="J280">
        <v>0</v>
      </c>
      <c r="K280">
        <v>0</v>
      </c>
    </row>
    <row r="281" spans="7:11" x14ac:dyDescent="0.25">
      <c r="G281">
        <v>0</v>
      </c>
      <c r="H281">
        <v>0</v>
      </c>
      <c r="I281">
        <v>0</v>
      </c>
      <c r="J281">
        <v>0</v>
      </c>
      <c r="K281">
        <v>0</v>
      </c>
    </row>
    <row r="282" spans="7:11" x14ac:dyDescent="0.25">
      <c r="G282">
        <v>0</v>
      </c>
      <c r="H282">
        <v>0</v>
      </c>
      <c r="I282">
        <v>0</v>
      </c>
      <c r="J282">
        <v>0</v>
      </c>
      <c r="K282">
        <v>0</v>
      </c>
    </row>
    <row r="283" spans="7:11" x14ac:dyDescent="0.25">
      <c r="G283">
        <v>0</v>
      </c>
      <c r="H283">
        <v>0</v>
      </c>
      <c r="I283">
        <v>0</v>
      </c>
      <c r="J283">
        <v>0</v>
      </c>
      <c r="K283">
        <v>0</v>
      </c>
    </row>
    <row r="284" spans="7:11" x14ac:dyDescent="0.25">
      <c r="G284">
        <v>0</v>
      </c>
      <c r="H284">
        <v>0</v>
      </c>
      <c r="I284">
        <v>0</v>
      </c>
      <c r="J284">
        <v>0</v>
      </c>
      <c r="K284">
        <v>0</v>
      </c>
    </row>
    <row r="285" spans="7:11" x14ac:dyDescent="0.25">
      <c r="G285">
        <v>0</v>
      </c>
      <c r="H285">
        <v>0</v>
      </c>
      <c r="I285">
        <v>0</v>
      </c>
      <c r="J285">
        <v>0</v>
      </c>
      <c r="K285">
        <v>0</v>
      </c>
    </row>
    <row r="286" spans="7:11" x14ac:dyDescent="0.25">
      <c r="G286">
        <v>0</v>
      </c>
      <c r="H286">
        <v>0</v>
      </c>
      <c r="I286">
        <v>0</v>
      </c>
      <c r="J286">
        <v>0</v>
      </c>
      <c r="K286">
        <v>0</v>
      </c>
    </row>
    <row r="287" spans="7:11" x14ac:dyDescent="0.25">
      <c r="G287">
        <v>0</v>
      </c>
      <c r="H287">
        <v>0</v>
      </c>
      <c r="I287">
        <v>0</v>
      </c>
      <c r="J287">
        <v>0</v>
      </c>
      <c r="K287">
        <v>0</v>
      </c>
    </row>
    <row r="288" spans="7:11" x14ac:dyDescent="0.25">
      <c r="G288">
        <v>0</v>
      </c>
      <c r="H288">
        <v>0</v>
      </c>
      <c r="I288">
        <v>0</v>
      </c>
      <c r="J288">
        <v>0</v>
      </c>
      <c r="K288">
        <v>0</v>
      </c>
    </row>
    <row r="289" spans="7:11" x14ac:dyDescent="0.25">
      <c r="G289">
        <v>0</v>
      </c>
      <c r="H289">
        <v>0</v>
      </c>
      <c r="I289">
        <v>0</v>
      </c>
      <c r="J289">
        <v>0</v>
      </c>
      <c r="K289">
        <v>0</v>
      </c>
    </row>
    <row r="290" spans="7:11" x14ac:dyDescent="0.25">
      <c r="G290">
        <v>0</v>
      </c>
      <c r="H290">
        <v>0</v>
      </c>
      <c r="I290">
        <v>0</v>
      </c>
      <c r="J290">
        <v>0</v>
      </c>
      <c r="K290">
        <v>0</v>
      </c>
    </row>
    <row r="291" spans="7:11" x14ac:dyDescent="0.25">
      <c r="G291">
        <v>0</v>
      </c>
      <c r="H291">
        <v>0</v>
      </c>
      <c r="I291">
        <v>0</v>
      </c>
      <c r="J291">
        <v>0</v>
      </c>
      <c r="K291">
        <v>0</v>
      </c>
    </row>
    <row r="292" spans="7:11" x14ac:dyDescent="0.25">
      <c r="G292">
        <v>0</v>
      </c>
      <c r="H292">
        <v>0</v>
      </c>
      <c r="I292">
        <v>0</v>
      </c>
      <c r="J292">
        <v>0</v>
      </c>
      <c r="K292">
        <v>0</v>
      </c>
    </row>
    <row r="293" spans="7:11" x14ac:dyDescent="0.25">
      <c r="G293">
        <v>0</v>
      </c>
      <c r="H293">
        <v>0</v>
      </c>
      <c r="I293">
        <v>0</v>
      </c>
      <c r="J293">
        <v>0</v>
      </c>
      <c r="K293">
        <v>0</v>
      </c>
    </row>
    <row r="294" spans="7:11" x14ac:dyDescent="0.25">
      <c r="G294">
        <v>0</v>
      </c>
      <c r="H294">
        <v>0</v>
      </c>
      <c r="I294">
        <v>0</v>
      </c>
      <c r="J294">
        <v>0</v>
      </c>
      <c r="K294">
        <v>0</v>
      </c>
    </row>
    <row r="295" spans="7:11" x14ac:dyDescent="0.25">
      <c r="G295">
        <v>0</v>
      </c>
      <c r="H295">
        <v>0</v>
      </c>
      <c r="I295">
        <v>0</v>
      </c>
      <c r="J295">
        <v>0</v>
      </c>
      <c r="K295">
        <v>0</v>
      </c>
    </row>
    <row r="296" spans="7:11" x14ac:dyDescent="0.25">
      <c r="G296">
        <v>0</v>
      </c>
      <c r="H296">
        <v>0</v>
      </c>
      <c r="I296">
        <v>0</v>
      </c>
      <c r="J296">
        <v>0</v>
      </c>
      <c r="K296">
        <v>0</v>
      </c>
    </row>
    <row r="297" spans="7:11" x14ac:dyDescent="0.25">
      <c r="G297">
        <v>0</v>
      </c>
      <c r="H297">
        <v>0</v>
      </c>
      <c r="I297">
        <v>0</v>
      </c>
      <c r="J297">
        <v>0</v>
      </c>
      <c r="K297">
        <v>0</v>
      </c>
    </row>
    <row r="298" spans="7:11" x14ac:dyDescent="0.25">
      <c r="G298">
        <v>0</v>
      </c>
      <c r="H298">
        <v>0</v>
      </c>
      <c r="I298">
        <v>0</v>
      </c>
      <c r="J298">
        <v>0</v>
      </c>
      <c r="K298">
        <v>0</v>
      </c>
    </row>
    <row r="299" spans="7:11" x14ac:dyDescent="0.25">
      <c r="G299">
        <v>0</v>
      </c>
      <c r="H299">
        <v>0</v>
      </c>
      <c r="I299">
        <v>0</v>
      </c>
      <c r="J299">
        <v>0</v>
      </c>
      <c r="K299">
        <v>0</v>
      </c>
    </row>
    <row r="300" spans="7:11" x14ac:dyDescent="0.25">
      <c r="G300">
        <v>0</v>
      </c>
      <c r="H300">
        <v>0</v>
      </c>
      <c r="I300">
        <v>0</v>
      </c>
      <c r="J300">
        <v>0</v>
      </c>
      <c r="K300">
        <v>0</v>
      </c>
    </row>
    <row r="301" spans="7:11" x14ac:dyDescent="0.25">
      <c r="G301">
        <v>0</v>
      </c>
      <c r="H301">
        <v>0</v>
      </c>
      <c r="I301">
        <v>0</v>
      </c>
      <c r="J301">
        <v>0</v>
      </c>
      <c r="K301">
        <v>0</v>
      </c>
    </row>
    <row r="302" spans="7:11" x14ac:dyDescent="0.25">
      <c r="G302">
        <v>0</v>
      </c>
      <c r="H302">
        <v>0</v>
      </c>
      <c r="I302">
        <v>0</v>
      </c>
      <c r="J302">
        <v>0</v>
      </c>
      <c r="K302">
        <v>0</v>
      </c>
    </row>
    <row r="303" spans="7:11" x14ac:dyDescent="0.25">
      <c r="G303">
        <v>0</v>
      </c>
      <c r="H303">
        <v>0</v>
      </c>
      <c r="I303">
        <v>0</v>
      </c>
      <c r="J303">
        <v>0</v>
      </c>
      <c r="K303">
        <v>0</v>
      </c>
    </row>
    <row r="304" spans="7:11" x14ac:dyDescent="0.25">
      <c r="G304">
        <v>0</v>
      </c>
      <c r="H304">
        <v>0</v>
      </c>
      <c r="I304">
        <v>0</v>
      </c>
      <c r="J304">
        <v>0</v>
      </c>
      <c r="K304">
        <v>0</v>
      </c>
    </row>
    <row r="305" spans="7:11" x14ac:dyDescent="0.25">
      <c r="G305">
        <v>0</v>
      </c>
      <c r="H305">
        <v>0</v>
      </c>
      <c r="I305">
        <v>0</v>
      </c>
      <c r="J305">
        <v>0</v>
      </c>
      <c r="K305">
        <v>0</v>
      </c>
    </row>
    <row r="306" spans="7:11" x14ac:dyDescent="0.25">
      <c r="G306">
        <v>0</v>
      </c>
      <c r="H306">
        <v>0</v>
      </c>
      <c r="I306">
        <v>0</v>
      </c>
      <c r="J306">
        <v>0</v>
      </c>
      <c r="K306">
        <v>0</v>
      </c>
    </row>
    <row r="307" spans="7:11" x14ac:dyDescent="0.25">
      <c r="G307">
        <v>0</v>
      </c>
      <c r="H307">
        <v>0</v>
      </c>
      <c r="I307">
        <v>0</v>
      </c>
      <c r="J307">
        <v>0</v>
      </c>
      <c r="K307">
        <v>0</v>
      </c>
    </row>
    <row r="308" spans="7:11" x14ac:dyDescent="0.25">
      <c r="G308">
        <v>0</v>
      </c>
      <c r="H308">
        <v>0</v>
      </c>
      <c r="I308">
        <v>0</v>
      </c>
      <c r="J308">
        <v>0</v>
      </c>
      <c r="K308">
        <v>0</v>
      </c>
    </row>
  </sheetData>
  <mergeCells count="2">
    <mergeCell ref="A1:E1"/>
    <mergeCell ref="G1:K1"/>
  </mergeCells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CA5F-AAB1-49E8-B950-C85E85EAAD72}">
  <dimension ref="A2:BA50"/>
  <sheetViews>
    <sheetView topLeftCell="R1" workbookViewId="0">
      <selection activeCell="AW2" sqref="AW2:BA26"/>
    </sheetView>
  </sheetViews>
  <sheetFormatPr defaultRowHeight="15" x14ac:dyDescent="0.25"/>
  <cols>
    <col min="5" max="5" width="18.42578125" customWidth="1"/>
    <col min="11" max="11" width="18.42578125" customWidth="1"/>
    <col min="13" max="13" width="14" customWidth="1"/>
    <col min="17" max="17" width="18.42578125" customWidth="1"/>
    <col min="19" max="19" width="14" customWidth="1"/>
    <col min="23" max="23" width="18.42578125" customWidth="1"/>
  </cols>
  <sheetData>
    <row r="2" spans="1:53" x14ac:dyDescent="0.25">
      <c r="A2" t="s">
        <v>160</v>
      </c>
      <c r="B2" t="s">
        <v>62</v>
      </c>
      <c r="C2" t="s">
        <v>63</v>
      </c>
      <c r="D2" t="s">
        <v>64</v>
      </c>
      <c r="E2" t="s">
        <v>156</v>
      </c>
      <c r="G2" t="s">
        <v>160</v>
      </c>
      <c r="H2" t="s">
        <v>62</v>
      </c>
      <c r="I2" t="s">
        <v>63</v>
      </c>
      <c r="J2" t="s">
        <v>64</v>
      </c>
      <c r="K2" t="s">
        <v>156</v>
      </c>
      <c r="M2" t="s">
        <v>185</v>
      </c>
      <c r="N2" t="s">
        <v>62</v>
      </c>
      <c r="O2" t="s">
        <v>63</v>
      </c>
      <c r="P2" t="s">
        <v>64</v>
      </c>
      <c r="Q2" t="s">
        <v>156</v>
      </c>
      <c r="S2" t="s">
        <v>185</v>
      </c>
      <c r="T2" t="s">
        <v>62</v>
      </c>
      <c r="U2" t="s">
        <v>63</v>
      </c>
      <c r="V2" t="s">
        <v>64</v>
      </c>
      <c r="W2" t="s">
        <v>156</v>
      </c>
      <c r="AY2" t="s">
        <v>186</v>
      </c>
      <c r="BA2" t="s">
        <v>187</v>
      </c>
    </row>
    <row r="3" spans="1:53" x14ac:dyDescent="0.25">
      <c r="A3">
        <v>14208</v>
      </c>
      <c r="B3">
        <v>32</v>
      </c>
      <c r="C3">
        <v>1</v>
      </c>
      <c r="D3">
        <v>4</v>
      </c>
      <c r="E3">
        <v>0.9627420000000001</v>
      </c>
      <c r="G3">
        <v>14208</v>
      </c>
      <c r="H3">
        <v>32</v>
      </c>
      <c r="I3">
        <v>1</v>
      </c>
      <c r="J3">
        <v>4</v>
      </c>
      <c r="K3">
        <v>0.81315199999999999</v>
      </c>
      <c r="M3">
        <v>7104</v>
      </c>
      <c r="N3">
        <v>32</v>
      </c>
      <c r="O3">
        <v>1</v>
      </c>
      <c r="P3">
        <v>1</v>
      </c>
      <c r="Q3">
        <v>0.27084199999999997</v>
      </c>
      <c r="S3">
        <v>7104</v>
      </c>
      <c r="T3">
        <v>32</v>
      </c>
      <c r="U3">
        <v>1</v>
      </c>
      <c r="V3">
        <v>1</v>
      </c>
      <c r="W3">
        <v>0.22347799999999998</v>
      </c>
      <c r="Y3">
        <v>14208</v>
      </c>
      <c r="Z3">
        <v>32</v>
      </c>
      <c r="AA3">
        <v>2</v>
      </c>
      <c r="AB3">
        <v>2</v>
      </c>
      <c r="AC3">
        <v>0.99314800000000003</v>
      </c>
      <c r="AE3">
        <v>14208</v>
      </c>
      <c r="AF3">
        <v>32</v>
      </c>
      <c r="AG3">
        <v>2</v>
      </c>
      <c r="AH3">
        <v>2</v>
      </c>
      <c r="AI3">
        <v>0.83470199999999983</v>
      </c>
      <c r="AK3">
        <v>7104</v>
      </c>
      <c r="AL3">
        <v>32</v>
      </c>
      <c r="AM3">
        <v>1</v>
      </c>
      <c r="AN3">
        <v>1</v>
      </c>
      <c r="AO3">
        <v>0.27084199999999997</v>
      </c>
      <c r="AQ3">
        <v>7104</v>
      </c>
      <c r="AR3">
        <v>32</v>
      </c>
      <c r="AS3">
        <v>1</v>
      </c>
      <c r="AT3">
        <v>1</v>
      </c>
      <c r="AU3">
        <v>0.22347799999999998</v>
      </c>
      <c r="AW3" t="s">
        <v>188</v>
      </c>
      <c r="AX3">
        <v>32</v>
      </c>
      <c r="AY3">
        <f>AC3/AO3</f>
        <v>3.6668906594988964</v>
      </c>
      <c r="BA3">
        <f>AI3/AU3</f>
        <v>3.7350522199053144</v>
      </c>
    </row>
    <row r="4" spans="1:53" x14ac:dyDescent="0.25">
      <c r="A4">
        <v>14208</v>
      </c>
      <c r="B4">
        <v>64</v>
      </c>
      <c r="C4">
        <v>1</v>
      </c>
      <c r="D4">
        <v>4</v>
      </c>
      <c r="E4">
        <v>1.0016159999999998</v>
      </c>
      <c r="G4">
        <v>14208</v>
      </c>
      <c r="H4">
        <v>64</v>
      </c>
      <c r="I4">
        <v>1</v>
      </c>
      <c r="J4">
        <v>4</v>
      </c>
      <c r="K4">
        <v>0.78657599999999994</v>
      </c>
      <c r="M4">
        <v>7104</v>
      </c>
      <c r="N4">
        <v>64</v>
      </c>
      <c r="O4">
        <v>1</v>
      </c>
      <c r="P4">
        <v>1</v>
      </c>
      <c r="Q4">
        <v>0.28615599999999997</v>
      </c>
      <c r="S4">
        <v>7104</v>
      </c>
      <c r="T4">
        <v>64</v>
      </c>
      <c r="U4">
        <v>1</v>
      </c>
      <c r="V4">
        <v>1</v>
      </c>
      <c r="W4">
        <v>0.2218</v>
      </c>
      <c r="Y4">
        <v>14208</v>
      </c>
      <c r="Z4">
        <v>64</v>
      </c>
      <c r="AA4">
        <v>2</v>
      </c>
      <c r="AB4">
        <v>2</v>
      </c>
      <c r="AC4">
        <v>1.0358000000000001</v>
      </c>
      <c r="AE4">
        <v>14208</v>
      </c>
      <c r="AF4">
        <v>64</v>
      </c>
      <c r="AG4">
        <v>2</v>
      </c>
      <c r="AH4">
        <v>2</v>
      </c>
      <c r="AI4">
        <v>0.76187399999999994</v>
      </c>
      <c r="AK4">
        <v>7104</v>
      </c>
      <c r="AL4">
        <v>64</v>
      </c>
      <c r="AM4">
        <v>1</v>
      </c>
      <c r="AN4">
        <v>1</v>
      </c>
      <c r="AO4">
        <v>0.28615599999999997</v>
      </c>
      <c r="AQ4">
        <v>7104</v>
      </c>
      <c r="AR4">
        <v>64</v>
      </c>
      <c r="AS4">
        <v>1</v>
      </c>
      <c r="AT4">
        <v>1</v>
      </c>
      <c r="AU4">
        <v>0.2218</v>
      </c>
      <c r="AW4" t="s">
        <v>188</v>
      </c>
      <c r="AX4">
        <v>64</v>
      </c>
      <c r="AY4">
        <f t="shared" ref="AY4:AY26" si="0">AC4/AO4</f>
        <v>3.6197039377122975</v>
      </c>
      <c r="BA4">
        <f t="shared" ref="BA4:BA26" si="1">AI4/AU4</f>
        <v>3.4349594229035163</v>
      </c>
    </row>
    <row r="5" spans="1:53" x14ac:dyDescent="0.25">
      <c r="A5">
        <v>14208</v>
      </c>
      <c r="B5">
        <v>96</v>
      </c>
      <c r="C5">
        <v>1</v>
      </c>
      <c r="D5">
        <v>4</v>
      </c>
      <c r="E5">
        <v>0.98530800000000007</v>
      </c>
      <c r="G5">
        <v>14208</v>
      </c>
      <c r="H5">
        <v>96</v>
      </c>
      <c r="I5">
        <v>1</v>
      </c>
      <c r="J5">
        <v>4</v>
      </c>
      <c r="K5">
        <v>0.73642399999999986</v>
      </c>
      <c r="M5">
        <v>7104</v>
      </c>
      <c r="N5">
        <v>96</v>
      </c>
      <c r="O5">
        <v>1</v>
      </c>
      <c r="P5">
        <v>1</v>
      </c>
      <c r="Q5">
        <v>0.28056599999999998</v>
      </c>
      <c r="S5">
        <v>7104</v>
      </c>
      <c r="T5">
        <v>96</v>
      </c>
      <c r="U5">
        <v>1</v>
      </c>
      <c r="V5">
        <v>1</v>
      </c>
      <c r="W5">
        <v>0.210506</v>
      </c>
      <c r="Y5">
        <v>14208</v>
      </c>
      <c r="Z5">
        <v>96</v>
      </c>
      <c r="AA5">
        <v>2</v>
      </c>
      <c r="AB5">
        <v>2</v>
      </c>
      <c r="AC5">
        <v>1.0086059999999999</v>
      </c>
      <c r="AE5">
        <v>14208</v>
      </c>
      <c r="AF5">
        <v>96</v>
      </c>
      <c r="AG5">
        <v>2</v>
      </c>
      <c r="AH5">
        <v>2</v>
      </c>
      <c r="AI5">
        <v>0.72139600000000004</v>
      </c>
      <c r="AK5">
        <v>7104</v>
      </c>
      <c r="AL5">
        <v>96</v>
      </c>
      <c r="AM5">
        <v>1</v>
      </c>
      <c r="AN5">
        <v>1</v>
      </c>
      <c r="AO5">
        <v>0.28056599999999998</v>
      </c>
      <c r="AQ5">
        <v>7104</v>
      </c>
      <c r="AR5">
        <v>96</v>
      </c>
      <c r="AS5">
        <v>1</v>
      </c>
      <c r="AT5">
        <v>1</v>
      </c>
      <c r="AU5">
        <v>0.210506</v>
      </c>
      <c r="AW5" t="s">
        <v>188</v>
      </c>
      <c r="AX5">
        <v>96</v>
      </c>
      <c r="AY5">
        <f t="shared" si="0"/>
        <v>3.5948974572827783</v>
      </c>
      <c r="BA5">
        <f t="shared" si="1"/>
        <v>3.4269617018042244</v>
      </c>
    </row>
    <row r="6" spans="1:53" x14ac:dyDescent="0.25">
      <c r="A6">
        <v>14208</v>
      </c>
      <c r="B6">
        <v>128</v>
      </c>
      <c r="C6">
        <v>1</v>
      </c>
      <c r="D6">
        <v>4</v>
      </c>
      <c r="E6">
        <v>0.92583799999999994</v>
      </c>
      <c r="G6">
        <v>14208</v>
      </c>
      <c r="H6">
        <v>128</v>
      </c>
      <c r="I6">
        <v>1</v>
      </c>
      <c r="J6">
        <v>4</v>
      </c>
      <c r="K6">
        <v>0.77354800000000001</v>
      </c>
      <c r="M6">
        <v>7104</v>
      </c>
      <c r="N6">
        <v>128</v>
      </c>
      <c r="O6">
        <v>1</v>
      </c>
      <c r="P6">
        <v>1</v>
      </c>
      <c r="Q6">
        <v>0.278644</v>
      </c>
      <c r="S6">
        <v>7104</v>
      </c>
      <c r="T6">
        <v>128</v>
      </c>
      <c r="U6">
        <v>1</v>
      </c>
      <c r="V6">
        <v>1</v>
      </c>
      <c r="W6">
        <v>0.22583600000000001</v>
      </c>
      <c r="Y6">
        <v>14208</v>
      </c>
      <c r="Z6">
        <v>128</v>
      </c>
      <c r="AA6">
        <v>2</v>
      </c>
      <c r="AB6">
        <v>2</v>
      </c>
      <c r="AC6">
        <v>0.91799199999999992</v>
      </c>
      <c r="AE6">
        <v>14208</v>
      </c>
      <c r="AF6">
        <v>128</v>
      </c>
      <c r="AG6">
        <v>2</v>
      </c>
      <c r="AH6">
        <v>2</v>
      </c>
      <c r="AI6">
        <v>0.78007599999999999</v>
      </c>
      <c r="AK6">
        <v>7104</v>
      </c>
      <c r="AL6">
        <v>128</v>
      </c>
      <c r="AM6">
        <v>1</v>
      </c>
      <c r="AN6">
        <v>1</v>
      </c>
      <c r="AO6">
        <v>0.278644</v>
      </c>
      <c r="AQ6">
        <v>7104</v>
      </c>
      <c r="AR6">
        <v>128</v>
      </c>
      <c r="AS6">
        <v>1</v>
      </c>
      <c r="AT6">
        <v>1</v>
      </c>
      <c r="AU6">
        <v>0.22583600000000001</v>
      </c>
      <c r="AW6" t="s">
        <v>188</v>
      </c>
      <c r="AX6">
        <v>128</v>
      </c>
      <c r="AY6">
        <f t="shared" si="0"/>
        <v>3.294497638563902</v>
      </c>
      <c r="BA6">
        <f t="shared" si="1"/>
        <v>3.4541702828601286</v>
      </c>
    </row>
    <row r="7" spans="1:53" x14ac:dyDescent="0.25">
      <c r="A7">
        <v>14208</v>
      </c>
      <c r="B7">
        <v>160</v>
      </c>
      <c r="C7">
        <v>1</v>
      </c>
      <c r="D7">
        <v>4</v>
      </c>
      <c r="E7">
        <v>0.94500200000000001</v>
      </c>
      <c r="G7">
        <v>14208</v>
      </c>
      <c r="H7">
        <v>160</v>
      </c>
      <c r="I7">
        <v>1</v>
      </c>
      <c r="J7">
        <v>4</v>
      </c>
      <c r="K7">
        <v>0.77302400000000004</v>
      </c>
      <c r="M7">
        <v>7104</v>
      </c>
      <c r="N7">
        <v>160</v>
      </c>
      <c r="O7">
        <v>1</v>
      </c>
      <c r="P7">
        <v>1</v>
      </c>
      <c r="Q7">
        <v>0.27714</v>
      </c>
      <c r="S7">
        <v>7104</v>
      </c>
      <c r="T7">
        <v>160</v>
      </c>
      <c r="U7">
        <v>1</v>
      </c>
      <c r="V7">
        <v>1</v>
      </c>
      <c r="W7">
        <v>0.21274600000000002</v>
      </c>
      <c r="Y7">
        <v>14208</v>
      </c>
      <c r="Z7">
        <v>160</v>
      </c>
      <c r="AA7">
        <v>2</v>
      </c>
      <c r="AB7">
        <v>2</v>
      </c>
      <c r="AC7">
        <v>0.97494800000000004</v>
      </c>
      <c r="AE7">
        <v>14208</v>
      </c>
      <c r="AF7">
        <v>160</v>
      </c>
      <c r="AG7">
        <v>2</v>
      </c>
      <c r="AH7">
        <v>2</v>
      </c>
      <c r="AI7">
        <v>0.76231000000000004</v>
      </c>
      <c r="AK7">
        <v>7104</v>
      </c>
      <c r="AL7">
        <v>160</v>
      </c>
      <c r="AM7">
        <v>1</v>
      </c>
      <c r="AN7">
        <v>1</v>
      </c>
      <c r="AO7">
        <v>0.27714</v>
      </c>
      <c r="AQ7">
        <v>7104</v>
      </c>
      <c r="AR7">
        <v>160</v>
      </c>
      <c r="AS7">
        <v>1</v>
      </c>
      <c r="AT7">
        <v>1</v>
      </c>
      <c r="AU7">
        <v>0.21274600000000002</v>
      </c>
      <c r="AW7" t="s">
        <v>188</v>
      </c>
      <c r="AX7">
        <v>160</v>
      </c>
      <c r="AY7">
        <f t="shared" si="0"/>
        <v>3.5178898751533523</v>
      </c>
      <c r="BA7">
        <f t="shared" si="1"/>
        <v>3.5831931035131093</v>
      </c>
    </row>
    <row r="8" spans="1:53" x14ac:dyDescent="0.25">
      <c r="A8">
        <v>14208</v>
      </c>
      <c r="B8">
        <v>192</v>
      </c>
      <c r="C8">
        <v>1</v>
      </c>
      <c r="D8">
        <v>4</v>
      </c>
      <c r="E8">
        <v>0.84265600000000007</v>
      </c>
      <c r="G8">
        <v>14208</v>
      </c>
      <c r="H8">
        <v>192</v>
      </c>
      <c r="I8">
        <v>1</v>
      </c>
      <c r="J8">
        <v>4</v>
      </c>
      <c r="K8">
        <v>0.60215799999999997</v>
      </c>
      <c r="M8">
        <v>7104</v>
      </c>
      <c r="N8">
        <v>192</v>
      </c>
      <c r="O8">
        <v>1</v>
      </c>
      <c r="P8">
        <v>1</v>
      </c>
      <c r="Q8">
        <v>0.28438999999999998</v>
      </c>
      <c r="S8">
        <v>7104</v>
      </c>
      <c r="T8">
        <v>192</v>
      </c>
      <c r="U8">
        <v>1</v>
      </c>
      <c r="V8">
        <v>1</v>
      </c>
      <c r="W8">
        <v>0.20241400000000001</v>
      </c>
      <c r="Y8">
        <v>14208</v>
      </c>
      <c r="Z8">
        <v>192</v>
      </c>
      <c r="AA8">
        <v>2</v>
      </c>
      <c r="AB8">
        <v>2</v>
      </c>
      <c r="AC8">
        <v>0.9868300000000001</v>
      </c>
      <c r="AE8">
        <v>14208</v>
      </c>
      <c r="AF8">
        <v>192</v>
      </c>
      <c r="AG8">
        <v>2</v>
      </c>
      <c r="AH8">
        <v>2</v>
      </c>
      <c r="AI8">
        <v>0.68303000000000014</v>
      </c>
      <c r="AK8">
        <v>7104</v>
      </c>
      <c r="AL8">
        <v>192</v>
      </c>
      <c r="AM8">
        <v>1</v>
      </c>
      <c r="AN8">
        <v>1</v>
      </c>
      <c r="AO8">
        <v>0.28438999999999998</v>
      </c>
      <c r="AQ8">
        <v>7104</v>
      </c>
      <c r="AR8">
        <v>192</v>
      </c>
      <c r="AS8">
        <v>1</v>
      </c>
      <c r="AT8">
        <v>1</v>
      </c>
      <c r="AU8">
        <v>0.20241400000000001</v>
      </c>
      <c r="AW8" t="s">
        <v>188</v>
      </c>
      <c r="AX8">
        <v>192</v>
      </c>
      <c r="AY8">
        <f t="shared" si="0"/>
        <v>3.4699883962164639</v>
      </c>
      <c r="BA8">
        <f t="shared" si="1"/>
        <v>3.3744207416483056</v>
      </c>
    </row>
    <row r="9" spans="1:53" x14ac:dyDescent="0.25">
      <c r="A9">
        <v>14208</v>
      </c>
      <c r="B9">
        <v>224</v>
      </c>
      <c r="C9">
        <v>1</v>
      </c>
      <c r="D9">
        <v>4</v>
      </c>
      <c r="E9">
        <v>0.84982599999999997</v>
      </c>
      <c r="G9">
        <v>14208</v>
      </c>
      <c r="H9">
        <v>224</v>
      </c>
      <c r="I9">
        <v>1</v>
      </c>
      <c r="J9">
        <v>4</v>
      </c>
      <c r="K9">
        <v>0.63895999999999997</v>
      </c>
      <c r="M9">
        <v>7104</v>
      </c>
      <c r="N9">
        <v>224</v>
      </c>
      <c r="O9">
        <v>1</v>
      </c>
      <c r="P9">
        <v>1</v>
      </c>
      <c r="Q9">
        <v>0.281028</v>
      </c>
      <c r="S9">
        <v>7104</v>
      </c>
      <c r="T9">
        <v>224</v>
      </c>
      <c r="U9">
        <v>1</v>
      </c>
      <c r="V9">
        <v>1</v>
      </c>
      <c r="W9">
        <v>0.20576800000000001</v>
      </c>
      <c r="Y9">
        <v>14208</v>
      </c>
      <c r="Z9">
        <v>224</v>
      </c>
      <c r="AA9">
        <v>2</v>
      </c>
      <c r="AB9">
        <v>2</v>
      </c>
      <c r="AC9">
        <v>0.89617599999999997</v>
      </c>
      <c r="AE9">
        <v>14208</v>
      </c>
      <c r="AF9">
        <v>224</v>
      </c>
      <c r="AG9">
        <v>2</v>
      </c>
      <c r="AH9">
        <v>2</v>
      </c>
      <c r="AI9">
        <v>0.67122199999999999</v>
      </c>
      <c r="AK9">
        <v>7104</v>
      </c>
      <c r="AL9">
        <v>224</v>
      </c>
      <c r="AM9">
        <v>1</v>
      </c>
      <c r="AN9">
        <v>1</v>
      </c>
      <c r="AO9">
        <v>0.281028</v>
      </c>
      <c r="AQ9">
        <v>7104</v>
      </c>
      <c r="AR9">
        <v>224</v>
      </c>
      <c r="AS9">
        <v>1</v>
      </c>
      <c r="AT9">
        <v>1</v>
      </c>
      <c r="AU9">
        <v>0.20576800000000001</v>
      </c>
      <c r="AW9" t="s">
        <v>188</v>
      </c>
      <c r="AX9">
        <v>224</v>
      </c>
      <c r="AY9">
        <f t="shared" si="0"/>
        <v>3.1889206769432228</v>
      </c>
      <c r="BA9">
        <f t="shared" si="1"/>
        <v>3.2620329691691614</v>
      </c>
    </row>
    <row r="10" spans="1:53" x14ac:dyDescent="0.25">
      <c r="A10">
        <v>14208</v>
      </c>
      <c r="B10">
        <v>256</v>
      </c>
      <c r="C10">
        <v>1</v>
      </c>
      <c r="D10">
        <v>4</v>
      </c>
      <c r="E10">
        <v>0.816554</v>
      </c>
      <c r="G10">
        <v>14208</v>
      </c>
      <c r="H10">
        <v>256</v>
      </c>
      <c r="I10">
        <v>1</v>
      </c>
      <c r="J10">
        <v>4</v>
      </c>
      <c r="K10">
        <v>0.63656599999999997</v>
      </c>
      <c r="M10">
        <v>6720</v>
      </c>
      <c r="N10">
        <v>32</v>
      </c>
      <c r="O10">
        <v>1</v>
      </c>
      <c r="P10">
        <v>1</v>
      </c>
      <c r="Q10">
        <v>0.27124000000000004</v>
      </c>
      <c r="S10">
        <v>6720</v>
      </c>
      <c r="T10">
        <v>32</v>
      </c>
      <c r="U10">
        <v>1</v>
      </c>
      <c r="V10">
        <v>1</v>
      </c>
      <c r="W10">
        <v>0.22624000000000005</v>
      </c>
      <c r="Y10">
        <v>14208</v>
      </c>
      <c r="Z10">
        <v>256</v>
      </c>
      <c r="AA10">
        <v>2</v>
      </c>
      <c r="AB10">
        <v>2</v>
      </c>
      <c r="AC10">
        <v>0.88673599999999997</v>
      </c>
      <c r="AE10">
        <v>14208</v>
      </c>
      <c r="AF10">
        <v>256</v>
      </c>
      <c r="AG10">
        <v>2</v>
      </c>
      <c r="AH10">
        <v>2</v>
      </c>
      <c r="AI10">
        <v>0.68644800000000006</v>
      </c>
      <c r="AK10">
        <v>6720</v>
      </c>
      <c r="AL10">
        <v>32</v>
      </c>
      <c r="AM10">
        <v>1</v>
      </c>
      <c r="AN10">
        <v>1</v>
      </c>
      <c r="AO10">
        <v>0.27124000000000004</v>
      </c>
      <c r="AQ10">
        <v>6720</v>
      </c>
      <c r="AR10">
        <v>32</v>
      </c>
      <c r="AS10">
        <v>1</v>
      </c>
      <c r="AT10">
        <v>1</v>
      </c>
      <c r="AU10">
        <v>0.22624000000000005</v>
      </c>
      <c r="AW10" t="s">
        <v>188</v>
      </c>
      <c r="AX10">
        <v>256</v>
      </c>
      <c r="AY10">
        <f t="shared" si="0"/>
        <v>3.2691933343164719</v>
      </c>
      <c r="BA10">
        <f t="shared" si="1"/>
        <v>3.0341584158415835</v>
      </c>
    </row>
    <row r="11" spans="1:53" x14ac:dyDescent="0.25">
      <c r="A11">
        <v>13440</v>
      </c>
      <c r="B11">
        <v>32</v>
      </c>
      <c r="C11">
        <v>1</v>
      </c>
      <c r="D11">
        <v>4</v>
      </c>
      <c r="E11">
        <v>0.96225799999999995</v>
      </c>
      <c r="G11">
        <v>13440</v>
      </c>
      <c r="H11">
        <v>32</v>
      </c>
      <c r="I11">
        <v>1</v>
      </c>
      <c r="J11">
        <v>4</v>
      </c>
      <c r="K11">
        <v>0.80911000000000011</v>
      </c>
      <c r="M11">
        <v>6720</v>
      </c>
      <c r="N11">
        <v>64</v>
      </c>
      <c r="O11">
        <v>1</v>
      </c>
      <c r="P11">
        <v>1</v>
      </c>
      <c r="Q11">
        <v>0.286854</v>
      </c>
      <c r="S11">
        <v>6720</v>
      </c>
      <c r="T11">
        <v>64</v>
      </c>
      <c r="U11">
        <v>1</v>
      </c>
      <c r="V11">
        <v>1</v>
      </c>
      <c r="W11">
        <v>0.22967599999999999</v>
      </c>
      <c r="Y11">
        <v>13440</v>
      </c>
      <c r="Z11">
        <v>32</v>
      </c>
      <c r="AA11">
        <v>2</v>
      </c>
      <c r="AB11">
        <v>2</v>
      </c>
      <c r="AC11">
        <v>0.98836200000000007</v>
      </c>
      <c r="AE11">
        <v>13440</v>
      </c>
      <c r="AF11">
        <v>32</v>
      </c>
      <c r="AG11">
        <v>2</v>
      </c>
      <c r="AH11">
        <v>2</v>
      </c>
      <c r="AI11">
        <v>0.83416600000000007</v>
      </c>
      <c r="AK11">
        <v>6720</v>
      </c>
      <c r="AL11">
        <v>64</v>
      </c>
      <c r="AM11">
        <v>1</v>
      </c>
      <c r="AN11">
        <v>1</v>
      </c>
      <c r="AO11">
        <v>0.286854</v>
      </c>
      <c r="AQ11">
        <v>6720</v>
      </c>
      <c r="AR11">
        <v>64</v>
      </c>
      <c r="AS11">
        <v>1</v>
      </c>
      <c r="AT11">
        <v>1</v>
      </c>
      <c r="AU11">
        <v>0.22967599999999999</v>
      </c>
      <c r="AW11" t="s">
        <v>189</v>
      </c>
      <c r="AX11">
        <v>32</v>
      </c>
      <c r="AY11">
        <f t="shared" si="0"/>
        <v>3.4455228095128536</v>
      </c>
      <c r="BA11">
        <f t="shared" si="1"/>
        <v>3.6319249725700558</v>
      </c>
    </row>
    <row r="12" spans="1:53" x14ac:dyDescent="0.25">
      <c r="A12">
        <v>13440</v>
      </c>
      <c r="B12">
        <v>64</v>
      </c>
      <c r="C12">
        <v>1</v>
      </c>
      <c r="D12">
        <v>4</v>
      </c>
      <c r="E12">
        <v>1.0058600000000002</v>
      </c>
      <c r="G12">
        <v>13440</v>
      </c>
      <c r="H12">
        <v>64</v>
      </c>
      <c r="I12">
        <v>1</v>
      </c>
      <c r="J12">
        <v>4</v>
      </c>
      <c r="K12">
        <v>0.81222399999999995</v>
      </c>
      <c r="M12">
        <v>6720</v>
      </c>
      <c r="N12">
        <v>96</v>
      </c>
      <c r="O12">
        <v>1</v>
      </c>
      <c r="P12">
        <v>1</v>
      </c>
      <c r="Q12">
        <v>0.28115000000000001</v>
      </c>
      <c r="S12">
        <v>6720</v>
      </c>
      <c r="T12">
        <v>96</v>
      </c>
      <c r="U12">
        <v>1</v>
      </c>
      <c r="V12">
        <v>1</v>
      </c>
      <c r="W12">
        <v>0.22225800000000001</v>
      </c>
      <c r="Y12">
        <v>13440</v>
      </c>
      <c r="Z12">
        <v>64</v>
      </c>
      <c r="AA12">
        <v>2</v>
      </c>
      <c r="AB12">
        <v>2</v>
      </c>
      <c r="AC12">
        <v>1.0367600000000001</v>
      </c>
      <c r="AE12">
        <v>13440</v>
      </c>
      <c r="AF12">
        <v>64</v>
      </c>
      <c r="AG12">
        <v>2</v>
      </c>
      <c r="AH12">
        <v>2</v>
      </c>
      <c r="AI12">
        <v>0.83976600000000001</v>
      </c>
      <c r="AK12">
        <v>6720</v>
      </c>
      <c r="AL12">
        <v>96</v>
      </c>
      <c r="AM12">
        <v>1</v>
      </c>
      <c r="AN12">
        <v>1</v>
      </c>
      <c r="AO12">
        <v>0.28115000000000001</v>
      </c>
      <c r="AQ12">
        <v>6720</v>
      </c>
      <c r="AR12">
        <v>96</v>
      </c>
      <c r="AS12">
        <v>1</v>
      </c>
      <c r="AT12">
        <v>1</v>
      </c>
      <c r="AU12">
        <v>0.22225800000000001</v>
      </c>
      <c r="AW12" t="s">
        <v>189</v>
      </c>
      <c r="AX12">
        <v>64</v>
      </c>
      <c r="AY12">
        <f t="shared" si="0"/>
        <v>3.6875689133914284</v>
      </c>
      <c r="BA12">
        <f t="shared" si="1"/>
        <v>3.778338687471317</v>
      </c>
    </row>
    <row r="13" spans="1:53" x14ac:dyDescent="0.25">
      <c r="A13">
        <v>13440</v>
      </c>
      <c r="B13">
        <v>96</v>
      </c>
      <c r="C13">
        <v>1</v>
      </c>
      <c r="D13">
        <v>4</v>
      </c>
      <c r="E13">
        <v>0.98974399999999996</v>
      </c>
      <c r="G13">
        <v>13440</v>
      </c>
      <c r="H13">
        <v>96</v>
      </c>
      <c r="I13">
        <v>1</v>
      </c>
      <c r="J13">
        <v>4</v>
      </c>
      <c r="K13">
        <v>0.77827799999999991</v>
      </c>
      <c r="M13">
        <v>6720</v>
      </c>
      <c r="N13">
        <v>128</v>
      </c>
      <c r="O13">
        <v>1</v>
      </c>
      <c r="P13">
        <v>1</v>
      </c>
      <c r="Q13">
        <v>0.26275600000000005</v>
      </c>
      <c r="S13">
        <v>6720</v>
      </c>
      <c r="T13">
        <v>128</v>
      </c>
      <c r="U13">
        <v>1</v>
      </c>
      <c r="V13">
        <v>1</v>
      </c>
      <c r="W13">
        <v>0.21948400000000001</v>
      </c>
      <c r="Y13">
        <v>13440</v>
      </c>
      <c r="Z13">
        <v>96</v>
      </c>
      <c r="AA13">
        <v>2</v>
      </c>
      <c r="AB13">
        <v>2</v>
      </c>
      <c r="AC13">
        <v>1.0113400000000001</v>
      </c>
      <c r="AE13">
        <v>13440</v>
      </c>
      <c r="AF13">
        <v>96</v>
      </c>
      <c r="AG13">
        <v>2</v>
      </c>
      <c r="AH13">
        <v>2</v>
      </c>
      <c r="AI13">
        <v>0.7864739999999999</v>
      </c>
      <c r="AK13">
        <v>6720</v>
      </c>
      <c r="AL13">
        <v>128</v>
      </c>
      <c r="AM13">
        <v>1</v>
      </c>
      <c r="AN13">
        <v>1</v>
      </c>
      <c r="AO13">
        <v>0.26275600000000005</v>
      </c>
      <c r="AQ13">
        <v>6720</v>
      </c>
      <c r="AR13">
        <v>128</v>
      </c>
      <c r="AS13">
        <v>1</v>
      </c>
      <c r="AT13">
        <v>1</v>
      </c>
      <c r="AU13">
        <v>0.21948400000000001</v>
      </c>
      <c r="AW13" t="s">
        <v>189</v>
      </c>
      <c r="AX13">
        <v>96</v>
      </c>
      <c r="AY13">
        <f t="shared" si="0"/>
        <v>3.8489701472088171</v>
      </c>
      <c r="BA13">
        <f t="shared" si="1"/>
        <v>3.5832862532120786</v>
      </c>
    </row>
    <row r="14" spans="1:53" x14ac:dyDescent="0.25">
      <c r="A14">
        <v>13440</v>
      </c>
      <c r="B14">
        <v>128</v>
      </c>
      <c r="C14">
        <v>1</v>
      </c>
      <c r="D14">
        <v>4</v>
      </c>
      <c r="E14">
        <v>0.990788</v>
      </c>
      <c r="G14">
        <v>13440</v>
      </c>
      <c r="H14">
        <v>128</v>
      </c>
      <c r="I14">
        <v>1</v>
      </c>
      <c r="J14">
        <v>4</v>
      </c>
      <c r="K14">
        <v>0.79917599999999989</v>
      </c>
      <c r="M14">
        <v>6720</v>
      </c>
      <c r="N14">
        <v>160</v>
      </c>
      <c r="O14">
        <v>1</v>
      </c>
      <c r="P14">
        <v>1</v>
      </c>
      <c r="Q14">
        <v>0.28219199999999994</v>
      </c>
      <c r="S14">
        <v>6720</v>
      </c>
      <c r="T14">
        <v>160</v>
      </c>
      <c r="U14">
        <v>1</v>
      </c>
      <c r="V14">
        <v>1</v>
      </c>
      <c r="W14">
        <v>0.22464200000000001</v>
      </c>
      <c r="Y14">
        <v>13440</v>
      </c>
      <c r="Z14">
        <v>128</v>
      </c>
      <c r="AA14">
        <v>2</v>
      </c>
      <c r="AB14">
        <v>2</v>
      </c>
      <c r="AC14">
        <v>0.95467400000000002</v>
      </c>
      <c r="AE14">
        <v>13440</v>
      </c>
      <c r="AF14">
        <v>128</v>
      </c>
      <c r="AG14">
        <v>2</v>
      </c>
      <c r="AH14">
        <v>2</v>
      </c>
      <c r="AI14">
        <v>0.796898</v>
      </c>
      <c r="AK14">
        <v>6720</v>
      </c>
      <c r="AL14">
        <v>160</v>
      </c>
      <c r="AM14">
        <v>1</v>
      </c>
      <c r="AN14">
        <v>1</v>
      </c>
      <c r="AO14">
        <v>0.28219199999999994</v>
      </c>
      <c r="AQ14">
        <v>6720</v>
      </c>
      <c r="AR14">
        <v>160</v>
      </c>
      <c r="AS14">
        <v>1</v>
      </c>
      <c r="AT14">
        <v>1</v>
      </c>
      <c r="AU14">
        <v>0.22464200000000001</v>
      </c>
      <c r="AW14" t="s">
        <v>189</v>
      </c>
      <c r="AX14">
        <v>128</v>
      </c>
      <c r="AY14">
        <f t="shared" si="0"/>
        <v>3.3830654306287924</v>
      </c>
      <c r="BA14">
        <f t="shared" si="1"/>
        <v>3.5474132174749156</v>
      </c>
    </row>
    <row r="15" spans="1:53" x14ac:dyDescent="0.25">
      <c r="A15">
        <v>13440</v>
      </c>
      <c r="B15">
        <v>160</v>
      </c>
      <c r="C15">
        <v>1</v>
      </c>
      <c r="D15">
        <v>4</v>
      </c>
      <c r="E15">
        <v>0.96868599999999994</v>
      </c>
      <c r="G15">
        <v>13440</v>
      </c>
      <c r="H15">
        <v>160</v>
      </c>
      <c r="I15">
        <v>1</v>
      </c>
      <c r="J15">
        <v>4</v>
      </c>
      <c r="K15">
        <v>0.78349999999999997</v>
      </c>
      <c r="M15">
        <v>6720</v>
      </c>
      <c r="N15">
        <v>192</v>
      </c>
      <c r="O15">
        <v>1</v>
      </c>
      <c r="P15">
        <v>1</v>
      </c>
      <c r="Q15">
        <v>0.28488400000000003</v>
      </c>
      <c r="S15">
        <v>6720</v>
      </c>
      <c r="T15">
        <v>192</v>
      </c>
      <c r="U15">
        <v>1</v>
      </c>
      <c r="V15">
        <v>1</v>
      </c>
      <c r="W15">
        <v>0.21348200000000001</v>
      </c>
      <c r="Y15">
        <v>13440</v>
      </c>
      <c r="Z15">
        <v>160</v>
      </c>
      <c r="AA15">
        <v>2</v>
      </c>
      <c r="AB15">
        <v>2</v>
      </c>
      <c r="AC15">
        <v>0.99820399999999998</v>
      </c>
      <c r="AE15">
        <v>13440</v>
      </c>
      <c r="AF15">
        <v>160</v>
      </c>
      <c r="AG15">
        <v>2</v>
      </c>
      <c r="AH15">
        <v>2</v>
      </c>
      <c r="AI15">
        <v>0.78439800000000004</v>
      </c>
      <c r="AK15">
        <v>6720</v>
      </c>
      <c r="AL15">
        <v>192</v>
      </c>
      <c r="AM15">
        <v>1</v>
      </c>
      <c r="AN15">
        <v>1</v>
      </c>
      <c r="AO15">
        <v>0.28488400000000003</v>
      </c>
      <c r="AQ15">
        <v>6720</v>
      </c>
      <c r="AR15">
        <v>192</v>
      </c>
      <c r="AS15">
        <v>1</v>
      </c>
      <c r="AT15">
        <v>1</v>
      </c>
      <c r="AU15">
        <v>0.21348200000000001</v>
      </c>
      <c r="AW15" t="s">
        <v>189</v>
      </c>
      <c r="AX15">
        <v>160</v>
      </c>
      <c r="AY15">
        <f t="shared" si="0"/>
        <v>3.503896322713806</v>
      </c>
      <c r="BA15">
        <f t="shared" si="1"/>
        <v>3.6743050936378712</v>
      </c>
    </row>
    <row r="16" spans="1:53" x14ac:dyDescent="0.25">
      <c r="A16">
        <v>13440</v>
      </c>
      <c r="B16">
        <v>192</v>
      </c>
      <c r="C16">
        <v>1</v>
      </c>
      <c r="D16">
        <v>4</v>
      </c>
      <c r="E16">
        <v>0.96771799999999997</v>
      </c>
      <c r="G16">
        <v>13440</v>
      </c>
      <c r="H16">
        <v>192</v>
      </c>
      <c r="I16">
        <v>1</v>
      </c>
      <c r="J16">
        <v>4</v>
      </c>
      <c r="K16">
        <v>0.75047799999999998</v>
      </c>
      <c r="M16">
        <v>6720</v>
      </c>
      <c r="N16">
        <v>224</v>
      </c>
      <c r="O16">
        <v>1</v>
      </c>
      <c r="P16">
        <v>1</v>
      </c>
      <c r="Q16">
        <v>0.28132400000000002</v>
      </c>
      <c r="S16">
        <v>6720</v>
      </c>
      <c r="T16">
        <v>224</v>
      </c>
      <c r="U16">
        <v>1</v>
      </c>
      <c r="V16">
        <v>1</v>
      </c>
      <c r="W16">
        <v>0.20333800000000002</v>
      </c>
      <c r="Y16">
        <v>13440</v>
      </c>
      <c r="Z16">
        <v>192</v>
      </c>
      <c r="AA16">
        <v>2</v>
      </c>
      <c r="AB16">
        <v>2</v>
      </c>
      <c r="AC16">
        <v>0.99756</v>
      </c>
      <c r="AE16">
        <v>13440</v>
      </c>
      <c r="AF16">
        <v>192</v>
      </c>
      <c r="AG16">
        <v>2</v>
      </c>
      <c r="AH16">
        <v>2</v>
      </c>
      <c r="AI16">
        <v>0.77928200000000003</v>
      </c>
      <c r="AK16">
        <v>6720</v>
      </c>
      <c r="AL16">
        <v>224</v>
      </c>
      <c r="AM16">
        <v>1</v>
      </c>
      <c r="AN16">
        <v>1</v>
      </c>
      <c r="AO16">
        <v>0.28132400000000002</v>
      </c>
      <c r="AQ16">
        <v>6720</v>
      </c>
      <c r="AR16">
        <v>224</v>
      </c>
      <c r="AS16">
        <v>1</v>
      </c>
      <c r="AT16">
        <v>1</v>
      </c>
      <c r="AU16">
        <v>0.20333800000000002</v>
      </c>
      <c r="AW16" t="s">
        <v>189</v>
      </c>
      <c r="AX16">
        <v>192</v>
      </c>
      <c r="AY16">
        <f t="shared" si="0"/>
        <v>3.5459470219391163</v>
      </c>
      <c r="BA16">
        <f t="shared" si="1"/>
        <v>3.8324464684417077</v>
      </c>
    </row>
    <row r="17" spans="1:53" x14ac:dyDescent="0.25">
      <c r="A17">
        <v>13440</v>
      </c>
      <c r="B17">
        <v>224</v>
      </c>
      <c r="C17">
        <v>1</v>
      </c>
      <c r="D17">
        <v>4</v>
      </c>
      <c r="E17">
        <v>0.94657599999999997</v>
      </c>
      <c r="G17">
        <v>13440</v>
      </c>
      <c r="H17">
        <v>224</v>
      </c>
      <c r="I17">
        <v>1</v>
      </c>
      <c r="J17">
        <v>4</v>
      </c>
      <c r="K17">
        <v>0.71267400000000003</v>
      </c>
      <c r="M17">
        <v>6720</v>
      </c>
      <c r="N17">
        <v>256</v>
      </c>
      <c r="O17">
        <v>1</v>
      </c>
      <c r="P17">
        <v>1</v>
      </c>
      <c r="Q17">
        <v>0.26173999999999997</v>
      </c>
      <c r="S17">
        <v>6720</v>
      </c>
      <c r="T17">
        <v>256</v>
      </c>
      <c r="U17">
        <v>1</v>
      </c>
      <c r="V17">
        <v>1</v>
      </c>
      <c r="W17">
        <v>0.20951599999999998</v>
      </c>
      <c r="Y17">
        <v>13440</v>
      </c>
      <c r="Z17">
        <v>224</v>
      </c>
      <c r="AA17">
        <v>2</v>
      </c>
      <c r="AB17">
        <v>2</v>
      </c>
      <c r="AC17">
        <v>0.98169200000000001</v>
      </c>
      <c r="AE17">
        <v>13440</v>
      </c>
      <c r="AF17">
        <v>224</v>
      </c>
      <c r="AG17">
        <v>2</v>
      </c>
      <c r="AH17">
        <v>2</v>
      </c>
      <c r="AI17">
        <v>0.71328999999999998</v>
      </c>
      <c r="AK17">
        <v>6720</v>
      </c>
      <c r="AL17">
        <v>256</v>
      </c>
      <c r="AM17">
        <v>1</v>
      </c>
      <c r="AN17">
        <v>1</v>
      </c>
      <c r="AO17">
        <v>0.26173999999999997</v>
      </c>
      <c r="AQ17">
        <v>6720</v>
      </c>
      <c r="AR17">
        <v>256</v>
      </c>
      <c r="AS17">
        <v>1</v>
      </c>
      <c r="AT17">
        <v>1</v>
      </c>
      <c r="AU17">
        <v>0.20951599999999998</v>
      </c>
      <c r="AW17" t="s">
        <v>189</v>
      </c>
      <c r="AX17">
        <v>224</v>
      </c>
      <c r="AY17">
        <f t="shared" si="0"/>
        <v>3.7506380377473834</v>
      </c>
      <c r="BA17">
        <f t="shared" si="1"/>
        <v>3.4044655300788484</v>
      </c>
    </row>
    <row r="18" spans="1:53" x14ac:dyDescent="0.25">
      <c r="A18">
        <v>13440</v>
      </c>
      <c r="B18">
        <v>256</v>
      </c>
      <c r="C18">
        <v>1</v>
      </c>
      <c r="D18">
        <v>4</v>
      </c>
      <c r="E18">
        <v>0.87403799999999987</v>
      </c>
      <c r="G18">
        <v>13440</v>
      </c>
      <c r="H18">
        <v>256</v>
      </c>
      <c r="I18">
        <v>1</v>
      </c>
      <c r="J18">
        <v>4</v>
      </c>
      <c r="K18">
        <v>0.71140599999999998</v>
      </c>
      <c r="M18">
        <v>6720</v>
      </c>
      <c r="N18">
        <v>256</v>
      </c>
      <c r="O18">
        <v>1</v>
      </c>
      <c r="P18">
        <v>1</v>
      </c>
      <c r="Q18">
        <v>0.27909400000000001</v>
      </c>
      <c r="S18">
        <v>6720</v>
      </c>
      <c r="T18">
        <v>256</v>
      </c>
      <c r="U18">
        <v>1</v>
      </c>
      <c r="V18">
        <v>1</v>
      </c>
      <c r="W18">
        <v>0.21054599999999998</v>
      </c>
      <c r="Y18">
        <v>13440</v>
      </c>
      <c r="Z18">
        <v>256</v>
      </c>
      <c r="AA18">
        <v>2</v>
      </c>
      <c r="AB18">
        <v>2</v>
      </c>
      <c r="AC18">
        <v>0.91150200000000015</v>
      </c>
      <c r="AE18">
        <v>13440</v>
      </c>
      <c r="AF18">
        <v>256</v>
      </c>
      <c r="AG18">
        <v>2</v>
      </c>
      <c r="AH18">
        <v>2</v>
      </c>
      <c r="AI18">
        <v>0.73294599999999988</v>
      </c>
      <c r="AK18">
        <v>6720</v>
      </c>
      <c r="AL18">
        <v>256</v>
      </c>
      <c r="AM18">
        <v>1</v>
      </c>
      <c r="AN18">
        <v>1</v>
      </c>
      <c r="AO18">
        <v>0.27909400000000001</v>
      </c>
      <c r="AQ18">
        <v>6720</v>
      </c>
      <c r="AR18">
        <v>256</v>
      </c>
      <c r="AS18">
        <v>1</v>
      </c>
      <c r="AT18">
        <v>1</v>
      </c>
      <c r="AU18">
        <v>0.21054599999999998</v>
      </c>
      <c r="AW18" t="s">
        <v>189</v>
      </c>
      <c r="AX18">
        <v>256</v>
      </c>
      <c r="AY18">
        <f t="shared" si="0"/>
        <v>3.2659319082459679</v>
      </c>
      <c r="BA18">
        <f t="shared" si="1"/>
        <v>3.4811680107909906</v>
      </c>
    </row>
    <row r="19" spans="1:53" x14ac:dyDescent="0.25">
      <c r="A19">
        <v>12672</v>
      </c>
      <c r="B19">
        <v>32</v>
      </c>
      <c r="C19">
        <v>1</v>
      </c>
      <c r="D19">
        <v>4</v>
      </c>
      <c r="E19">
        <v>0.947932</v>
      </c>
      <c r="G19">
        <v>12672</v>
      </c>
      <c r="H19">
        <v>32</v>
      </c>
      <c r="I19">
        <v>1</v>
      </c>
      <c r="J19">
        <v>4</v>
      </c>
      <c r="K19">
        <v>0.80168800000000007</v>
      </c>
      <c r="M19">
        <v>6336</v>
      </c>
      <c r="N19">
        <v>32</v>
      </c>
      <c r="O19">
        <v>1</v>
      </c>
      <c r="P19">
        <v>1</v>
      </c>
      <c r="Q19">
        <v>0.27027999999999996</v>
      </c>
      <c r="S19">
        <v>6336</v>
      </c>
      <c r="T19">
        <v>32</v>
      </c>
      <c r="U19">
        <v>1</v>
      </c>
      <c r="V19">
        <v>1</v>
      </c>
      <c r="W19">
        <v>0.22606000000000001</v>
      </c>
      <c r="Y19">
        <v>12672</v>
      </c>
      <c r="Z19">
        <v>32</v>
      </c>
      <c r="AA19">
        <v>2</v>
      </c>
      <c r="AB19">
        <v>2</v>
      </c>
      <c r="AC19">
        <v>0.97878000000000009</v>
      </c>
      <c r="AE19">
        <v>12672</v>
      </c>
      <c r="AF19">
        <v>32</v>
      </c>
      <c r="AG19">
        <v>2</v>
      </c>
      <c r="AH19">
        <v>2</v>
      </c>
      <c r="AI19">
        <v>0.82677200000000006</v>
      </c>
      <c r="AK19">
        <v>6336</v>
      </c>
      <c r="AL19">
        <v>32</v>
      </c>
      <c r="AM19">
        <v>1</v>
      </c>
      <c r="AN19">
        <v>1</v>
      </c>
      <c r="AO19">
        <v>0.27027999999999996</v>
      </c>
      <c r="AQ19">
        <v>6336</v>
      </c>
      <c r="AR19">
        <v>32</v>
      </c>
      <c r="AS19">
        <v>1</v>
      </c>
      <c r="AT19">
        <v>1</v>
      </c>
      <c r="AU19">
        <v>0.22606000000000001</v>
      </c>
      <c r="AW19" t="s">
        <v>190</v>
      </c>
      <c r="AX19">
        <v>32</v>
      </c>
      <c r="AY19">
        <f t="shared" si="0"/>
        <v>3.6213556311972779</v>
      </c>
      <c r="BA19">
        <f t="shared" si="1"/>
        <v>3.6573122179952224</v>
      </c>
    </row>
    <row r="20" spans="1:53" x14ac:dyDescent="0.25">
      <c r="A20">
        <v>12672</v>
      </c>
      <c r="B20">
        <v>64</v>
      </c>
      <c r="C20">
        <v>1</v>
      </c>
      <c r="D20">
        <v>4</v>
      </c>
      <c r="E20">
        <v>0.99759400000000009</v>
      </c>
      <c r="G20">
        <v>12672</v>
      </c>
      <c r="H20">
        <v>64</v>
      </c>
      <c r="I20">
        <v>1</v>
      </c>
      <c r="J20">
        <v>4</v>
      </c>
      <c r="K20">
        <v>0.81602799999999998</v>
      </c>
      <c r="M20">
        <v>6336</v>
      </c>
      <c r="N20">
        <v>64</v>
      </c>
      <c r="O20">
        <v>1</v>
      </c>
      <c r="P20">
        <v>1</v>
      </c>
      <c r="Q20">
        <v>0.28599000000000002</v>
      </c>
      <c r="S20">
        <v>6336</v>
      </c>
      <c r="T20">
        <v>64</v>
      </c>
      <c r="U20">
        <v>1</v>
      </c>
      <c r="V20">
        <v>1</v>
      </c>
      <c r="W20">
        <v>0.22546400000000003</v>
      </c>
      <c r="Y20">
        <v>12672</v>
      </c>
      <c r="Z20">
        <v>64</v>
      </c>
      <c r="AA20">
        <v>2</v>
      </c>
      <c r="AB20">
        <v>2</v>
      </c>
      <c r="AC20">
        <v>1.0266199999999999</v>
      </c>
      <c r="AE20">
        <v>12672</v>
      </c>
      <c r="AF20">
        <v>64</v>
      </c>
      <c r="AG20">
        <v>2</v>
      </c>
      <c r="AH20">
        <v>2</v>
      </c>
      <c r="AI20">
        <v>0.83278200000000013</v>
      </c>
      <c r="AK20">
        <v>6336</v>
      </c>
      <c r="AL20">
        <v>64</v>
      </c>
      <c r="AM20">
        <v>1</v>
      </c>
      <c r="AN20">
        <v>1</v>
      </c>
      <c r="AO20">
        <v>0.28599000000000002</v>
      </c>
      <c r="AQ20">
        <v>6336</v>
      </c>
      <c r="AR20">
        <v>64</v>
      </c>
      <c r="AS20">
        <v>1</v>
      </c>
      <c r="AT20">
        <v>1</v>
      </c>
      <c r="AU20">
        <v>0.22546400000000003</v>
      </c>
      <c r="AW20" t="s">
        <v>190</v>
      </c>
      <c r="AX20">
        <v>64</v>
      </c>
      <c r="AY20">
        <f t="shared" si="0"/>
        <v>3.5897059337739075</v>
      </c>
      <c r="BA20">
        <f t="shared" si="1"/>
        <v>3.6936362346095164</v>
      </c>
    </row>
    <row r="21" spans="1:53" x14ac:dyDescent="0.25">
      <c r="A21">
        <v>12672</v>
      </c>
      <c r="B21">
        <v>96</v>
      </c>
      <c r="C21">
        <v>1</v>
      </c>
      <c r="D21">
        <v>4</v>
      </c>
      <c r="E21">
        <v>0.98056599999999994</v>
      </c>
      <c r="G21">
        <v>12672</v>
      </c>
      <c r="H21">
        <v>96</v>
      </c>
      <c r="I21">
        <v>1</v>
      </c>
      <c r="J21">
        <v>4</v>
      </c>
      <c r="K21">
        <v>0.77736799999999995</v>
      </c>
      <c r="M21">
        <v>6336</v>
      </c>
      <c r="N21">
        <v>96</v>
      </c>
      <c r="O21">
        <v>1</v>
      </c>
      <c r="P21">
        <v>1</v>
      </c>
      <c r="Q21">
        <v>0.28165400000000002</v>
      </c>
      <c r="S21">
        <v>6336</v>
      </c>
      <c r="T21">
        <v>96</v>
      </c>
      <c r="U21">
        <v>1</v>
      </c>
      <c r="V21">
        <v>1</v>
      </c>
      <c r="W21">
        <v>0.221694</v>
      </c>
      <c r="Y21">
        <v>12672</v>
      </c>
      <c r="Z21">
        <v>96</v>
      </c>
      <c r="AA21">
        <v>2</v>
      </c>
      <c r="AB21">
        <v>2</v>
      </c>
      <c r="AC21">
        <v>1.0041</v>
      </c>
      <c r="AE21">
        <v>12672</v>
      </c>
      <c r="AF21">
        <v>96</v>
      </c>
      <c r="AG21">
        <v>2</v>
      </c>
      <c r="AH21">
        <v>2</v>
      </c>
      <c r="AI21">
        <v>0.79421799999999998</v>
      </c>
      <c r="AK21">
        <v>6336</v>
      </c>
      <c r="AL21">
        <v>96</v>
      </c>
      <c r="AM21">
        <v>1</v>
      </c>
      <c r="AN21">
        <v>1</v>
      </c>
      <c r="AO21">
        <v>0.28165400000000002</v>
      </c>
      <c r="AQ21">
        <v>6336</v>
      </c>
      <c r="AR21">
        <v>96</v>
      </c>
      <c r="AS21">
        <v>1</v>
      </c>
      <c r="AT21">
        <v>1</v>
      </c>
      <c r="AU21">
        <v>0.221694</v>
      </c>
      <c r="AW21" t="s">
        <v>190</v>
      </c>
      <c r="AX21">
        <v>96</v>
      </c>
      <c r="AY21">
        <f t="shared" si="0"/>
        <v>3.5650123910897764</v>
      </c>
      <c r="BA21">
        <f t="shared" si="1"/>
        <v>3.5824965944049003</v>
      </c>
    </row>
    <row r="22" spans="1:53" x14ac:dyDescent="0.25">
      <c r="A22">
        <v>12672</v>
      </c>
      <c r="B22">
        <v>128</v>
      </c>
      <c r="C22">
        <v>1</v>
      </c>
      <c r="D22">
        <v>4</v>
      </c>
      <c r="E22">
        <v>0.97961799999999999</v>
      </c>
      <c r="G22">
        <v>12672</v>
      </c>
      <c r="H22">
        <v>128</v>
      </c>
      <c r="I22">
        <v>1</v>
      </c>
      <c r="J22">
        <v>4</v>
      </c>
      <c r="K22">
        <v>0.79908600000000007</v>
      </c>
      <c r="M22">
        <v>6336</v>
      </c>
      <c r="N22">
        <v>128</v>
      </c>
      <c r="O22">
        <v>1</v>
      </c>
      <c r="P22">
        <v>1</v>
      </c>
      <c r="Q22">
        <v>0.28422999999999998</v>
      </c>
      <c r="S22">
        <v>6336</v>
      </c>
      <c r="T22">
        <v>128</v>
      </c>
      <c r="U22">
        <v>1</v>
      </c>
      <c r="V22">
        <v>1</v>
      </c>
      <c r="W22">
        <v>0.226328</v>
      </c>
      <c r="Y22">
        <v>12672</v>
      </c>
      <c r="Z22">
        <v>128</v>
      </c>
      <c r="AA22">
        <v>2</v>
      </c>
      <c r="AB22">
        <v>2</v>
      </c>
      <c r="AC22">
        <v>0.99427800000000011</v>
      </c>
      <c r="AE22">
        <v>12672</v>
      </c>
      <c r="AF22">
        <v>128</v>
      </c>
      <c r="AG22">
        <v>2</v>
      </c>
      <c r="AH22">
        <v>2</v>
      </c>
      <c r="AI22">
        <v>0.78770000000000007</v>
      </c>
      <c r="AK22">
        <v>6336</v>
      </c>
      <c r="AL22">
        <v>128</v>
      </c>
      <c r="AM22">
        <v>1</v>
      </c>
      <c r="AN22">
        <v>1</v>
      </c>
      <c r="AO22">
        <v>0.28422999999999998</v>
      </c>
      <c r="AQ22">
        <v>6336</v>
      </c>
      <c r="AR22">
        <v>128</v>
      </c>
      <c r="AS22">
        <v>1</v>
      </c>
      <c r="AT22">
        <v>1</v>
      </c>
      <c r="AU22">
        <v>0.226328</v>
      </c>
      <c r="AW22" t="s">
        <v>190</v>
      </c>
      <c r="AX22">
        <v>128</v>
      </c>
      <c r="AY22">
        <f t="shared" si="0"/>
        <v>3.4981458677831339</v>
      </c>
      <c r="BA22">
        <f t="shared" si="1"/>
        <v>3.4803471068537699</v>
      </c>
    </row>
    <row r="23" spans="1:53" x14ac:dyDescent="0.25">
      <c r="A23">
        <v>12672</v>
      </c>
      <c r="B23">
        <v>160</v>
      </c>
      <c r="C23">
        <v>1</v>
      </c>
      <c r="D23">
        <v>4</v>
      </c>
      <c r="E23">
        <v>0.95424000000000009</v>
      </c>
      <c r="G23">
        <v>12672</v>
      </c>
      <c r="H23">
        <v>160</v>
      </c>
      <c r="I23">
        <v>1</v>
      </c>
      <c r="J23">
        <v>4</v>
      </c>
      <c r="K23">
        <v>0.7888940000000001</v>
      </c>
      <c r="M23">
        <v>6336</v>
      </c>
      <c r="N23">
        <v>160</v>
      </c>
      <c r="O23">
        <v>1</v>
      </c>
      <c r="P23">
        <v>1</v>
      </c>
      <c r="Q23">
        <v>0.27927000000000002</v>
      </c>
      <c r="S23">
        <v>6336</v>
      </c>
      <c r="T23">
        <v>160</v>
      </c>
      <c r="U23">
        <v>1</v>
      </c>
      <c r="V23">
        <v>1</v>
      </c>
      <c r="W23">
        <v>0.22377799999999998</v>
      </c>
      <c r="Y23">
        <v>12672</v>
      </c>
      <c r="Z23">
        <v>160</v>
      </c>
      <c r="AA23">
        <v>2</v>
      </c>
      <c r="AB23">
        <v>2</v>
      </c>
      <c r="AC23">
        <v>0.97763200000000006</v>
      </c>
      <c r="AE23">
        <v>12672</v>
      </c>
      <c r="AF23">
        <v>160</v>
      </c>
      <c r="AG23">
        <v>2</v>
      </c>
      <c r="AH23">
        <v>2</v>
      </c>
      <c r="AI23">
        <v>0.78856599999999999</v>
      </c>
      <c r="AK23">
        <v>6336</v>
      </c>
      <c r="AL23">
        <v>160</v>
      </c>
      <c r="AM23">
        <v>1</v>
      </c>
      <c r="AN23">
        <v>1</v>
      </c>
      <c r="AO23">
        <v>0.27927000000000002</v>
      </c>
      <c r="AQ23">
        <v>6336</v>
      </c>
      <c r="AR23">
        <v>160</v>
      </c>
      <c r="AS23">
        <v>1</v>
      </c>
      <c r="AT23">
        <v>1</v>
      </c>
      <c r="AU23">
        <v>0.22377799999999998</v>
      </c>
      <c r="AW23" t="s">
        <v>190</v>
      </c>
      <c r="AX23">
        <v>160</v>
      </c>
      <c r="AY23">
        <f t="shared" si="0"/>
        <v>3.5006696028932573</v>
      </c>
      <c r="BA23">
        <f t="shared" si="1"/>
        <v>3.5238763417315377</v>
      </c>
    </row>
    <row r="24" spans="1:53" x14ac:dyDescent="0.25">
      <c r="A24">
        <v>12672</v>
      </c>
      <c r="B24">
        <v>192</v>
      </c>
      <c r="C24">
        <v>1</v>
      </c>
      <c r="D24">
        <v>4</v>
      </c>
      <c r="E24">
        <v>0.96097199999999994</v>
      </c>
      <c r="G24">
        <v>12672</v>
      </c>
      <c r="H24">
        <v>192</v>
      </c>
      <c r="I24">
        <v>1</v>
      </c>
      <c r="J24">
        <v>4</v>
      </c>
      <c r="K24">
        <v>0.7455179999999999</v>
      </c>
      <c r="M24">
        <v>6336</v>
      </c>
      <c r="N24">
        <v>192</v>
      </c>
      <c r="O24">
        <v>1</v>
      </c>
      <c r="P24">
        <v>1</v>
      </c>
      <c r="Q24">
        <v>0.28407799999999994</v>
      </c>
      <c r="S24">
        <v>6336</v>
      </c>
      <c r="T24">
        <v>192</v>
      </c>
      <c r="U24">
        <v>1</v>
      </c>
      <c r="V24">
        <v>1</v>
      </c>
      <c r="W24">
        <v>0.21649400000000002</v>
      </c>
      <c r="Y24">
        <v>12672</v>
      </c>
      <c r="Z24">
        <v>192</v>
      </c>
      <c r="AA24">
        <v>2</v>
      </c>
      <c r="AB24">
        <v>2</v>
      </c>
      <c r="AC24">
        <v>0.98912000000000011</v>
      </c>
      <c r="AE24">
        <v>12672</v>
      </c>
      <c r="AF24">
        <v>192</v>
      </c>
      <c r="AG24">
        <v>2</v>
      </c>
      <c r="AH24">
        <v>2</v>
      </c>
      <c r="AI24">
        <v>0.76050400000000007</v>
      </c>
      <c r="AK24">
        <v>6336</v>
      </c>
      <c r="AL24">
        <v>192</v>
      </c>
      <c r="AM24">
        <v>1</v>
      </c>
      <c r="AN24">
        <v>1</v>
      </c>
      <c r="AO24">
        <v>0.28407799999999994</v>
      </c>
      <c r="AQ24">
        <v>6336</v>
      </c>
      <c r="AR24">
        <v>192</v>
      </c>
      <c r="AS24">
        <v>1</v>
      </c>
      <c r="AT24">
        <v>1</v>
      </c>
      <c r="AU24">
        <v>0.21649400000000002</v>
      </c>
      <c r="AW24" t="s">
        <v>190</v>
      </c>
      <c r="AX24">
        <v>192</v>
      </c>
      <c r="AY24">
        <f t="shared" si="0"/>
        <v>3.4818606157463807</v>
      </c>
      <c r="BA24">
        <f t="shared" si="1"/>
        <v>3.5128179071937327</v>
      </c>
    </row>
    <row r="25" spans="1:53" x14ac:dyDescent="0.25">
      <c r="A25">
        <v>12672</v>
      </c>
      <c r="B25">
        <v>224</v>
      </c>
      <c r="C25">
        <v>1</v>
      </c>
      <c r="D25">
        <v>4</v>
      </c>
      <c r="E25">
        <v>0.92740200000000006</v>
      </c>
      <c r="G25">
        <v>12672</v>
      </c>
      <c r="H25">
        <v>224</v>
      </c>
      <c r="I25">
        <v>1</v>
      </c>
      <c r="J25">
        <v>4</v>
      </c>
      <c r="K25">
        <v>0.73309599999999997</v>
      </c>
      <c r="M25">
        <v>6336</v>
      </c>
      <c r="N25">
        <v>224</v>
      </c>
      <c r="O25">
        <v>1</v>
      </c>
      <c r="P25">
        <v>1</v>
      </c>
      <c r="Q25">
        <v>0.27966199999999997</v>
      </c>
      <c r="S25">
        <v>6336</v>
      </c>
      <c r="T25">
        <v>224</v>
      </c>
      <c r="U25">
        <v>1</v>
      </c>
      <c r="V25">
        <v>1</v>
      </c>
      <c r="W25">
        <v>0.201958</v>
      </c>
      <c r="Y25">
        <v>12672</v>
      </c>
      <c r="Z25">
        <v>224</v>
      </c>
      <c r="AA25">
        <v>2</v>
      </c>
      <c r="AB25">
        <v>2</v>
      </c>
      <c r="AC25">
        <v>0.9683679999999999</v>
      </c>
      <c r="AE25">
        <v>12672</v>
      </c>
      <c r="AF25">
        <v>224</v>
      </c>
      <c r="AG25">
        <v>2</v>
      </c>
      <c r="AH25">
        <v>2</v>
      </c>
      <c r="AI25">
        <v>0.72420600000000002</v>
      </c>
      <c r="AK25">
        <v>6336</v>
      </c>
      <c r="AL25">
        <v>224</v>
      </c>
      <c r="AM25">
        <v>1</v>
      </c>
      <c r="AN25">
        <v>1</v>
      </c>
      <c r="AO25">
        <v>0.27966199999999997</v>
      </c>
      <c r="AQ25">
        <v>6336</v>
      </c>
      <c r="AR25">
        <v>224</v>
      </c>
      <c r="AS25">
        <v>1</v>
      </c>
      <c r="AT25">
        <v>1</v>
      </c>
      <c r="AU25">
        <v>0.201958</v>
      </c>
      <c r="AW25" t="s">
        <v>190</v>
      </c>
      <c r="AX25">
        <v>224</v>
      </c>
      <c r="AY25">
        <f t="shared" si="0"/>
        <v>3.462637040427373</v>
      </c>
      <c r="BA25">
        <f t="shared" si="1"/>
        <v>3.5859238059398488</v>
      </c>
    </row>
    <row r="26" spans="1:53" x14ac:dyDescent="0.25">
      <c r="A26">
        <v>12672</v>
      </c>
      <c r="B26">
        <v>256</v>
      </c>
      <c r="C26">
        <v>1</v>
      </c>
      <c r="D26">
        <v>4</v>
      </c>
      <c r="E26">
        <v>0.92783800000000005</v>
      </c>
      <c r="G26">
        <v>12672</v>
      </c>
      <c r="H26">
        <v>256</v>
      </c>
      <c r="I26">
        <v>1</v>
      </c>
      <c r="J26">
        <v>4</v>
      </c>
      <c r="K26">
        <v>0.72612200000000005</v>
      </c>
      <c r="M26">
        <v>6336</v>
      </c>
      <c r="N26">
        <v>256</v>
      </c>
      <c r="O26">
        <v>1</v>
      </c>
      <c r="P26">
        <v>1</v>
      </c>
      <c r="Q26">
        <v>0.25335600000000003</v>
      </c>
      <c r="S26">
        <v>6336</v>
      </c>
      <c r="T26">
        <v>256</v>
      </c>
      <c r="U26">
        <v>1</v>
      </c>
      <c r="V26">
        <v>1</v>
      </c>
      <c r="W26">
        <v>0.20815799999999998</v>
      </c>
      <c r="Y26">
        <v>12672</v>
      </c>
      <c r="Z26">
        <v>256</v>
      </c>
      <c r="AA26">
        <v>2</v>
      </c>
      <c r="AB26">
        <v>2</v>
      </c>
      <c r="AC26">
        <v>0.90403599999999995</v>
      </c>
      <c r="AE26">
        <v>12672</v>
      </c>
      <c r="AF26">
        <v>256</v>
      </c>
      <c r="AG26">
        <v>2</v>
      </c>
      <c r="AH26">
        <v>2</v>
      </c>
      <c r="AI26">
        <v>0.71929999999999994</v>
      </c>
      <c r="AK26">
        <v>6336</v>
      </c>
      <c r="AL26">
        <v>256</v>
      </c>
      <c r="AM26">
        <v>1</v>
      </c>
      <c r="AN26">
        <v>1</v>
      </c>
      <c r="AO26">
        <v>0.25335600000000003</v>
      </c>
      <c r="AQ26">
        <v>6336</v>
      </c>
      <c r="AR26">
        <v>256</v>
      </c>
      <c r="AS26">
        <v>1</v>
      </c>
      <c r="AT26">
        <v>1</v>
      </c>
      <c r="AU26">
        <v>0.20815799999999998</v>
      </c>
      <c r="AW26" t="s">
        <v>190</v>
      </c>
      <c r="AX26">
        <v>256</v>
      </c>
      <c r="AY26">
        <f t="shared" si="0"/>
        <v>3.5682438939673813</v>
      </c>
      <c r="BA26">
        <f t="shared" si="1"/>
        <v>3.4555481893561621</v>
      </c>
    </row>
    <row r="27" spans="1:53" x14ac:dyDescent="0.25">
      <c r="A27">
        <v>14208</v>
      </c>
      <c r="B27">
        <v>32</v>
      </c>
      <c r="C27">
        <v>2</v>
      </c>
      <c r="D27">
        <v>2</v>
      </c>
      <c r="E27">
        <v>0.99314800000000003</v>
      </c>
      <c r="G27">
        <v>14208</v>
      </c>
      <c r="H27">
        <v>32</v>
      </c>
      <c r="I27">
        <v>2</v>
      </c>
      <c r="J27">
        <v>2</v>
      </c>
      <c r="K27">
        <v>0.83470199999999983</v>
      </c>
    </row>
    <row r="28" spans="1:53" x14ac:dyDescent="0.25">
      <c r="A28">
        <v>14208</v>
      </c>
      <c r="B28">
        <v>64</v>
      </c>
      <c r="C28">
        <v>2</v>
      </c>
      <c r="D28">
        <v>2</v>
      </c>
      <c r="E28">
        <v>1.0358000000000001</v>
      </c>
      <c r="G28">
        <v>14208</v>
      </c>
      <c r="H28">
        <v>64</v>
      </c>
      <c r="I28">
        <v>2</v>
      </c>
      <c r="J28">
        <v>2</v>
      </c>
      <c r="K28">
        <v>0.76187399999999994</v>
      </c>
    </row>
    <row r="29" spans="1:53" x14ac:dyDescent="0.25">
      <c r="A29">
        <v>14208</v>
      </c>
      <c r="B29">
        <v>96</v>
      </c>
      <c r="C29">
        <v>2</v>
      </c>
      <c r="D29">
        <v>2</v>
      </c>
      <c r="E29">
        <v>1.0086059999999999</v>
      </c>
      <c r="G29">
        <v>14208</v>
      </c>
      <c r="H29">
        <v>96</v>
      </c>
      <c r="I29">
        <v>2</v>
      </c>
      <c r="J29">
        <v>2</v>
      </c>
      <c r="K29">
        <v>0.72139600000000004</v>
      </c>
    </row>
    <row r="30" spans="1:53" x14ac:dyDescent="0.25">
      <c r="A30">
        <v>14208</v>
      </c>
      <c r="B30">
        <v>128</v>
      </c>
      <c r="C30">
        <v>2</v>
      </c>
      <c r="D30">
        <v>2</v>
      </c>
      <c r="E30">
        <v>0.91799199999999992</v>
      </c>
      <c r="G30">
        <v>14208</v>
      </c>
      <c r="H30">
        <v>128</v>
      </c>
      <c r="I30">
        <v>2</v>
      </c>
      <c r="J30">
        <v>2</v>
      </c>
      <c r="K30">
        <v>0.78007599999999999</v>
      </c>
    </row>
    <row r="31" spans="1:53" x14ac:dyDescent="0.25">
      <c r="A31">
        <v>14208</v>
      </c>
      <c r="B31">
        <v>160</v>
      </c>
      <c r="C31">
        <v>2</v>
      </c>
      <c r="D31">
        <v>2</v>
      </c>
      <c r="E31">
        <v>0.97494800000000004</v>
      </c>
      <c r="G31">
        <v>14208</v>
      </c>
      <c r="H31">
        <v>160</v>
      </c>
      <c r="I31">
        <v>2</v>
      </c>
      <c r="J31">
        <v>2</v>
      </c>
      <c r="K31">
        <v>0.76231000000000004</v>
      </c>
    </row>
    <row r="32" spans="1:53" x14ac:dyDescent="0.25">
      <c r="A32">
        <v>14208</v>
      </c>
      <c r="B32">
        <v>192</v>
      </c>
      <c r="C32">
        <v>2</v>
      </c>
      <c r="D32">
        <v>2</v>
      </c>
      <c r="E32">
        <v>0.9868300000000001</v>
      </c>
      <c r="G32">
        <v>14208</v>
      </c>
      <c r="H32">
        <v>192</v>
      </c>
      <c r="I32">
        <v>2</v>
      </c>
      <c r="J32">
        <v>2</v>
      </c>
      <c r="K32">
        <v>0.68303000000000014</v>
      </c>
    </row>
    <row r="33" spans="1:11" x14ac:dyDescent="0.25">
      <c r="A33">
        <v>14208</v>
      </c>
      <c r="B33">
        <v>224</v>
      </c>
      <c r="C33">
        <v>2</v>
      </c>
      <c r="D33">
        <v>2</v>
      </c>
      <c r="E33">
        <v>0.89617599999999997</v>
      </c>
      <c r="G33">
        <v>14208</v>
      </c>
      <c r="H33">
        <v>224</v>
      </c>
      <c r="I33">
        <v>2</v>
      </c>
      <c r="J33">
        <v>2</v>
      </c>
      <c r="K33">
        <v>0.67122199999999999</v>
      </c>
    </row>
    <row r="34" spans="1:11" x14ac:dyDescent="0.25">
      <c r="A34">
        <v>14208</v>
      </c>
      <c r="B34">
        <v>256</v>
      </c>
      <c r="C34">
        <v>2</v>
      </c>
      <c r="D34">
        <v>2</v>
      </c>
      <c r="E34">
        <v>0.88673599999999997</v>
      </c>
      <c r="G34">
        <v>14208</v>
      </c>
      <c r="H34">
        <v>256</v>
      </c>
      <c r="I34">
        <v>2</v>
      </c>
      <c r="J34">
        <v>2</v>
      </c>
      <c r="K34">
        <v>0.68644800000000006</v>
      </c>
    </row>
    <row r="35" spans="1:11" x14ac:dyDescent="0.25">
      <c r="A35">
        <v>13440</v>
      </c>
      <c r="B35">
        <v>32</v>
      </c>
      <c r="C35">
        <v>2</v>
      </c>
      <c r="D35">
        <v>2</v>
      </c>
      <c r="E35">
        <v>0.98836200000000007</v>
      </c>
      <c r="G35">
        <v>13440</v>
      </c>
      <c r="H35">
        <v>32</v>
      </c>
      <c r="I35">
        <v>2</v>
      </c>
      <c r="J35">
        <v>2</v>
      </c>
      <c r="K35">
        <v>0.83416600000000007</v>
      </c>
    </row>
    <row r="36" spans="1:11" x14ac:dyDescent="0.25">
      <c r="A36">
        <v>13440</v>
      </c>
      <c r="B36">
        <v>64</v>
      </c>
      <c r="C36">
        <v>2</v>
      </c>
      <c r="D36">
        <v>2</v>
      </c>
      <c r="E36">
        <v>1.0367600000000001</v>
      </c>
      <c r="G36">
        <v>13440</v>
      </c>
      <c r="H36">
        <v>64</v>
      </c>
      <c r="I36">
        <v>2</v>
      </c>
      <c r="J36">
        <v>2</v>
      </c>
      <c r="K36">
        <v>0.83976600000000001</v>
      </c>
    </row>
    <row r="37" spans="1:11" x14ac:dyDescent="0.25">
      <c r="A37">
        <v>13440</v>
      </c>
      <c r="B37">
        <v>96</v>
      </c>
      <c r="C37">
        <v>2</v>
      </c>
      <c r="D37">
        <v>2</v>
      </c>
      <c r="E37">
        <v>1.0113400000000001</v>
      </c>
      <c r="G37">
        <v>13440</v>
      </c>
      <c r="H37">
        <v>96</v>
      </c>
      <c r="I37">
        <v>2</v>
      </c>
      <c r="J37">
        <v>2</v>
      </c>
      <c r="K37">
        <v>0.7864739999999999</v>
      </c>
    </row>
    <row r="38" spans="1:11" x14ac:dyDescent="0.25">
      <c r="A38">
        <v>13440</v>
      </c>
      <c r="B38">
        <v>128</v>
      </c>
      <c r="C38">
        <v>2</v>
      </c>
      <c r="D38">
        <v>2</v>
      </c>
      <c r="E38">
        <v>0.95467400000000002</v>
      </c>
      <c r="G38">
        <v>13440</v>
      </c>
      <c r="H38">
        <v>128</v>
      </c>
      <c r="I38">
        <v>2</v>
      </c>
      <c r="J38">
        <v>2</v>
      </c>
      <c r="K38">
        <v>0.796898</v>
      </c>
    </row>
    <row r="39" spans="1:11" x14ac:dyDescent="0.25">
      <c r="A39">
        <v>13440</v>
      </c>
      <c r="B39">
        <v>160</v>
      </c>
      <c r="C39">
        <v>2</v>
      </c>
      <c r="D39">
        <v>2</v>
      </c>
      <c r="E39">
        <v>0.99820399999999998</v>
      </c>
      <c r="G39">
        <v>13440</v>
      </c>
      <c r="H39">
        <v>160</v>
      </c>
      <c r="I39">
        <v>2</v>
      </c>
      <c r="J39">
        <v>2</v>
      </c>
      <c r="K39">
        <v>0.78439800000000004</v>
      </c>
    </row>
    <row r="40" spans="1:11" x14ac:dyDescent="0.25">
      <c r="A40">
        <v>13440</v>
      </c>
      <c r="B40">
        <v>192</v>
      </c>
      <c r="C40">
        <v>2</v>
      </c>
      <c r="D40">
        <v>2</v>
      </c>
      <c r="E40">
        <v>0.99756</v>
      </c>
      <c r="G40">
        <v>13440</v>
      </c>
      <c r="H40">
        <v>192</v>
      </c>
      <c r="I40">
        <v>2</v>
      </c>
      <c r="J40">
        <v>2</v>
      </c>
      <c r="K40">
        <v>0.77928200000000003</v>
      </c>
    </row>
    <row r="41" spans="1:11" x14ac:dyDescent="0.25">
      <c r="A41">
        <v>13440</v>
      </c>
      <c r="B41">
        <v>224</v>
      </c>
      <c r="C41">
        <v>2</v>
      </c>
      <c r="D41">
        <v>2</v>
      </c>
      <c r="E41">
        <v>0.98169200000000001</v>
      </c>
      <c r="G41">
        <v>13440</v>
      </c>
      <c r="H41">
        <v>224</v>
      </c>
      <c r="I41">
        <v>2</v>
      </c>
      <c r="J41">
        <v>2</v>
      </c>
      <c r="K41">
        <v>0.71328999999999998</v>
      </c>
    </row>
    <row r="42" spans="1:11" x14ac:dyDescent="0.25">
      <c r="A42">
        <v>13440</v>
      </c>
      <c r="B42">
        <v>256</v>
      </c>
      <c r="C42">
        <v>2</v>
      </c>
      <c r="D42">
        <v>2</v>
      </c>
      <c r="E42">
        <v>0.91150200000000015</v>
      </c>
      <c r="G42">
        <v>13440</v>
      </c>
      <c r="H42">
        <v>256</v>
      </c>
      <c r="I42">
        <v>2</v>
      </c>
      <c r="J42">
        <v>2</v>
      </c>
      <c r="K42">
        <v>0.73294599999999988</v>
      </c>
    </row>
    <row r="43" spans="1:11" x14ac:dyDescent="0.25">
      <c r="A43">
        <v>12672</v>
      </c>
      <c r="B43">
        <v>32</v>
      </c>
      <c r="C43">
        <v>2</v>
      </c>
      <c r="D43">
        <v>2</v>
      </c>
      <c r="E43">
        <v>0.97878000000000009</v>
      </c>
      <c r="G43">
        <v>12672</v>
      </c>
      <c r="H43">
        <v>32</v>
      </c>
      <c r="I43">
        <v>2</v>
      </c>
      <c r="J43">
        <v>2</v>
      </c>
      <c r="K43">
        <v>0.82677200000000006</v>
      </c>
    </row>
    <row r="44" spans="1:11" x14ac:dyDescent="0.25">
      <c r="A44">
        <v>12672</v>
      </c>
      <c r="B44">
        <v>64</v>
      </c>
      <c r="C44">
        <v>2</v>
      </c>
      <c r="D44">
        <v>2</v>
      </c>
      <c r="E44">
        <v>1.0266199999999999</v>
      </c>
      <c r="G44">
        <v>12672</v>
      </c>
      <c r="H44">
        <v>64</v>
      </c>
      <c r="I44">
        <v>2</v>
      </c>
      <c r="J44">
        <v>2</v>
      </c>
      <c r="K44">
        <v>0.83278200000000013</v>
      </c>
    </row>
    <row r="45" spans="1:11" x14ac:dyDescent="0.25">
      <c r="A45">
        <v>12672</v>
      </c>
      <c r="B45">
        <v>96</v>
      </c>
      <c r="C45">
        <v>2</v>
      </c>
      <c r="D45">
        <v>2</v>
      </c>
      <c r="E45">
        <v>1.0041</v>
      </c>
      <c r="G45">
        <v>12672</v>
      </c>
      <c r="H45">
        <v>96</v>
      </c>
      <c r="I45">
        <v>2</v>
      </c>
      <c r="J45">
        <v>2</v>
      </c>
      <c r="K45">
        <v>0.79421799999999998</v>
      </c>
    </row>
    <row r="46" spans="1:11" x14ac:dyDescent="0.25">
      <c r="A46">
        <v>12672</v>
      </c>
      <c r="B46">
        <v>128</v>
      </c>
      <c r="C46">
        <v>2</v>
      </c>
      <c r="D46">
        <v>2</v>
      </c>
      <c r="E46">
        <v>0.99427800000000011</v>
      </c>
      <c r="G46">
        <v>12672</v>
      </c>
      <c r="H46">
        <v>128</v>
      </c>
      <c r="I46">
        <v>2</v>
      </c>
      <c r="J46">
        <v>2</v>
      </c>
      <c r="K46">
        <v>0.78770000000000007</v>
      </c>
    </row>
    <row r="47" spans="1:11" x14ac:dyDescent="0.25">
      <c r="A47">
        <v>12672</v>
      </c>
      <c r="B47">
        <v>160</v>
      </c>
      <c r="C47">
        <v>2</v>
      </c>
      <c r="D47">
        <v>2</v>
      </c>
      <c r="E47">
        <v>0.97763200000000006</v>
      </c>
      <c r="G47">
        <v>12672</v>
      </c>
      <c r="H47">
        <v>160</v>
      </c>
      <c r="I47">
        <v>2</v>
      </c>
      <c r="J47">
        <v>2</v>
      </c>
      <c r="K47">
        <v>0.78856599999999999</v>
      </c>
    </row>
    <row r="48" spans="1:11" x14ac:dyDescent="0.25">
      <c r="A48">
        <v>12672</v>
      </c>
      <c r="B48">
        <v>192</v>
      </c>
      <c r="C48">
        <v>2</v>
      </c>
      <c r="D48">
        <v>2</v>
      </c>
      <c r="E48">
        <v>0.98912000000000011</v>
      </c>
      <c r="G48">
        <v>12672</v>
      </c>
      <c r="H48">
        <v>192</v>
      </c>
      <c r="I48">
        <v>2</v>
      </c>
      <c r="J48">
        <v>2</v>
      </c>
      <c r="K48">
        <v>0.76050400000000007</v>
      </c>
    </row>
    <row r="49" spans="1:11" x14ac:dyDescent="0.25">
      <c r="A49">
        <v>12672</v>
      </c>
      <c r="B49">
        <v>224</v>
      </c>
      <c r="C49">
        <v>2</v>
      </c>
      <c r="D49">
        <v>2</v>
      </c>
      <c r="E49">
        <v>0.9683679999999999</v>
      </c>
      <c r="G49">
        <v>12672</v>
      </c>
      <c r="H49">
        <v>224</v>
      </c>
      <c r="I49">
        <v>2</v>
      </c>
      <c r="J49">
        <v>2</v>
      </c>
      <c r="K49">
        <v>0.72420600000000002</v>
      </c>
    </row>
    <row r="50" spans="1:11" x14ac:dyDescent="0.25">
      <c r="A50">
        <v>12672</v>
      </c>
      <c r="B50">
        <v>256</v>
      </c>
      <c r="C50">
        <v>2</v>
      </c>
      <c r="D50">
        <v>2</v>
      </c>
      <c r="E50">
        <v>0.90403599999999995</v>
      </c>
      <c r="G50">
        <v>12672</v>
      </c>
      <c r="H50">
        <v>256</v>
      </c>
      <c r="I50">
        <v>2</v>
      </c>
      <c r="J50">
        <v>2</v>
      </c>
      <c r="K50">
        <v>0.71929999999999994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10</vt:i4>
      </vt:variant>
    </vt:vector>
  </HeadingPairs>
  <TitlesOfParts>
    <vt:vector size="10" baseType="lpstr">
      <vt:lpstr>ATLAS make time results</vt:lpstr>
      <vt:lpstr>Arch details</vt:lpstr>
      <vt:lpstr>HPL_Builds</vt:lpstr>
      <vt:lpstr>ATLAS builds</vt:lpstr>
      <vt:lpstr>HPL 4 nodes, builds</vt:lpstr>
      <vt:lpstr>1 node, params, RAW</vt:lpstr>
      <vt:lpstr>4 node, params, RAW</vt:lpstr>
      <vt:lpstr>1 node, params</vt:lpstr>
      <vt:lpstr>4 node, params</vt:lpstr>
      <vt:lpstr>Scalability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Zdravko Krpić</dc:creator>
  <cp:keywords/>
  <dc:description/>
  <cp:lastModifiedBy>Zdravko Krpić</cp:lastModifiedBy>
  <cp:revision/>
  <dcterms:created xsi:type="dcterms:W3CDTF">2022-06-10T13:31:47Z</dcterms:created>
  <dcterms:modified xsi:type="dcterms:W3CDTF">2025-04-24T10:56:36Z</dcterms:modified>
  <cp:category/>
  <cp:contentStatus/>
</cp:coreProperties>
</file>